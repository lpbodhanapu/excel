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D:\user files dec 2025 copy\Downloads\"/>
    </mc:Choice>
  </mc:AlternateContent>
  <xr:revisionPtr revIDLastSave="0" documentId="13_ncr:1_{663992C8-914D-438D-863B-0E896ADB62C3}" xr6:coauthVersionLast="47" xr6:coauthVersionMax="47" xr10:uidLastSave="{00000000-0000-0000-0000-000000000000}"/>
  <bookViews>
    <workbookView xWindow="-98" yWindow="-98" windowWidth="24196" windowHeight="14476" activeTab="2" xr2:uid="{00000000-000D-0000-FFFF-FFFF00000000}"/>
  </bookViews>
  <sheets>
    <sheet name="pivots" sheetId="4" r:id="rId1"/>
    <sheet name="Data" sheetId="2" r:id="rId2"/>
    <sheet name="dashboard" sheetId="3" r:id="rId3"/>
  </sheets>
  <definedNames>
    <definedName name="_xlnm._FilterDatabase" localSheetId="1" hidden="1">Data!$A$1:$N$3745</definedName>
    <definedName name="_xlchart.v5.0" hidden="1">pivots!$F$55</definedName>
    <definedName name="_xlchart.v5.1" hidden="1">pivots!$F$56:$F$104</definedName>
    <definedName name="_xlchart.v5.10" hidden="1">pivots!$H$56</definedName>
    <definedName name="_xlchart.v5.11" hidden="1">pivots!$H$56:$H$104</definedName>
    <definedName name="_xlchart.v5.2" hidden="1">pivots!$G$56</definedName>
    <definedName name="_xlchart.v5.3" hidden="1">pivots!$G$56:$G$104</definedName>
    <definedName name="_xlchart.v5.4" hidden="1">pivots!$H$56</definedName>
    <definedName name="_xlchart.v5.5" hidden="1">pivots!$H$56:$H$104</definedName>
    <definedName name="_xlchart.v5.6" hidden="1">pivots!$F$55</definedName>
    <definedName name="_xlchart.v5.7" hidden="1">pivots!$F$56:$F$104</definedName>
    <definedName name="_xlchart.v5.8" hidden="1">pivots!$G$56</definedName>
    <definedName name="_xlchart.v5.9" hidden="1">pivots!$G$56:$G$104</definedName>
    <definedName name="_xlcn.WorksheetConnection_data.xlsxTable11" hidden="1">Table1[]</definedName>
    <definedName name="Slicer_Beverage_Brand">#N/A</definedName>
  </definedNames>
  <calcPr calcId="191029"/>
  <pivotCaches>
    <pivotCache cacheId="507" r:id="rId4"/>
    <pivotCache cacheId="510" r:id="rId5"/>
    <pivotCache cacheId="513" r:id="rId6"/>
    <pivotCache cacheId="516" r:id="rId7"/>
    <pivotCache cacheId="519" r:id="rId8"/>
  </pivotCaches>
  <extLst>
    <ext xmlns:x14="http://schemas.microsoft.com/office/spreadsheetml/2009/9/main" uri="{876F7934-8845-4945-9796-88D515C7AA90}">
      <x14:pivotCaches>
        <pivotCache cacheId="103" r:id="rId9"/>
      </x14:pivotCaches>
    </ex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data.xlsx!Table1"/>
        </x15:modelTables>
        <x15:extLst>
          <ext xmlns:x16="http://schemas.microsoft.com/office/spreadsheetml/2014/11/main" uri="{9835A34E-60A6-4A7C-AAB8-D5F71C897F49}">
            <x16:modelTimeGroupings>
              <x16:modelTimeGrouping tableName="Table1" columnName="Invoice Date" columnId="Invoice Date">
                <x16:calculatedTimeColumn columnName="Invoice Date (Month Index)" columnId="Invoice Date (Month Index)" contentType="monthsindex" isSelected="1"/>
                <x16:calculatedTimeColumn columnName="Invoice Date (Month)" columnId="Invoice Date (Month)" contentType="months" isSelected="1"/>
              </x16:modelTimeGrouping>
            </x16:modelTimeGroupings>
          </ext>
        </x15:extLst>
      </x15:dataModel>
    </ext>
    <ext uri="GoogleSheetsCustomDataVersion1">
      <go:sheetsCustomData xmlns:go="http://customooxmlschemas.google.com/" r:id="rId11" roundtripDataSignature="AMtx7mhwl5n/6E4JEifg9kWlAttRGuttmA=="/>
    </ext>
  </extLst>
</workbook>
</file>

<file path=xl/calcChain.xml><?xml version="1.0" encoding="utf-8"?>
<calcChain xmlns="http://schemas.openxmlformats.org/spreadsheetml/2006/main">
  <c r="J4" i="3" l="1"/>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56" i="4"/>
  <c r="H56"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57" i="4"/>
  <c r="I19" i="4"/>
  <c r="L4" i="3" s="1"/>
  <c r="J19" i="4"/>
  <c r="M4" i="3" s="1"/>
  <c r="H19" i="4"/>
  <c r="K4" i="3" s="1"/>
  <c r="G21" i="4"/>
  <c r="J6" i="3" s="1"/>
  <c r="H21" i="4"/>
  <c r="K6" i="3" s="1"/>
  <c r="I21" i="4"/>
  <c r="L6" i="3" s="1"/>
  <c r="J21" i="4"/>
  <c r="M6" i="3" s="1"/>
  <c r="G22" i="4"/>
  <c r="J7" i="3" s="1"/>
  <c r="H22" i="4"/>
  <c r="K7" i="3" s="1"/>
  <c r="I22" i="4"/>
  <c r="L7" i="3" s="1"/>
  <c r="J22" i="4"/>
  <c r="M7" i="3" s="1"/>
  <c r="G23" i="4"/>
  <c r="J8" i="3" s="1"/>
  <c r="H23" i="4"/>
  <c r="K8" i="3" s="1"/>
  <c r="I23" i="4"/>
  <c r="L8" i="3" s="1"/>
  <c r="J23" i="4"/>
  <c r="M8" i="3" s="1"/>
  <c r="G24" i="4"/>
  <c r="J9" i="3" s="1"/>
  <c r="H24" i="4"/>
  <c r="K9" i="3" s="1"/>
  <c r="I24" i="4"/>
  <c r="L9" i="3" s="1"/>
  <c r="J24" i="4"/>
  <c r="M9" i="3" s="1"/>
  <c r="G25" i="4"/>
  <c r="J10" i="3" s="1"/>
  <c r="H25" i="4"/>
  <c r="K10" i="3" s="1"/>
  <c r="I25" i="4"/>
  <c r="L10" i="3" s="1"/>
  <c r="J25" i="4"/>
  <c r="M10" i="3" s="1"/>
  <c r="G26" i="4"/>
  <c r="J11" i="3" s="1"/>
  <c r="H26" i="4"/>
  <c r="K11" i="3" s="1"/>
  <c r="I26" i="4"/>
  <c r="L11" i="3" s="1"/>
  <c r="J26" i="4"/>
  <c r="M11" i="3" s="1"/>
  <c r="G27" i="4"/>
  <c r="J12" i="3" s="1"/>
  <c r="H27" i="4"/>
  <c r="K12" i="3" s="1"/>
  <c r="I27" i="4"/>
  <c r="L12" i="3" s="1"/>
  <c r="J27" i="4"/>
  <c r="M12" i="3" s="1"/>
  <c r="G28" i="4"/>
  <c r="J13" i="3" s="1"/>
  <c r="H28" i="4"/>
  <c r="K13" i="3" s="1"/>
  <c r="I28" i="4"/>
  <c r="L13" i="3" s="1"/>
  <c r="J28" i="4"/>
  <c r="M13" i="3" s="1"/>
  <c r="G29" i="4"/>
  <c r="J14" i="3" s="1"/>
  <c r="H29" i="4"/>
  <c r="K14" i="3" s="1"/>
  <c r="I29" i="4"/>
  <c r="L14" i="3" s="1"/>
  <c r="J29" i="4"/>
  <c r="M14" i="3" s="1"/>
  <c r="H20" i="4"/>
  <c r="K5" i="3" s="1"/>
  <c r="I20" i="4"/>
  <c r="L5" i="3" s="1"/>
  <c r="J20" i="4"/>
  <c r="M5" i="3" s="1"/>
  <c r="G20" i="4"/>
  <c r="J5" i="3" s="1"/>
  <c r="L3745" i="2"/>
  <c r="M3745" i="2" s="1"/>
  <c r="L3744" i="2"/>
  <c r="M3744" i="2" s="1"/>
  <c r="L3743" i="2"/>
  <c r="M3743" i="2" s="1"/>
  <c r="L3742" i="2"/>
  <c r="M3742" i="2" s="1"/>
  <c r="L3741" i="2"/>
  <c r="M3741" i="2" s="1"/>
  <c r="L3740" i="2"/>
  <c r="M3740" i="2" s="1"/>
  <c r="L3739" i="2"/>
  <c r="M3739" i="2" s="1"/>
  <c r="L3738" i="2"/>
  <c r="M3738" i="2" s="1"/>
  <c r="L3737" i="2"/>
  <c r="M3737" i="2" s="1"/>
  <c r="L3736" i="2"/>
  <c r="M3736" i="2" s="1"/>
  <c r="L3735" i="2"/>
  <c r="M3735" i="2" s="1"/>
  <c r="L3734" i="2"/>
  <c r="M3734" i="2" s="1"/>
  <c r="L3733" i="2"/>
  <c r="M3733" i="2" s="1"/>
  <c r="L3732" i="2"/>
  <c r="M3732" i="2" s="1"/>
  <c r="L3731" i="2"/>
  <c r="M3731" i="2" s="1"/>
  <c r="L3730" i="2"/>
  <c r="M3730" i="2" s="1"/>
  <c r="L3729" i="2"/>
  <c r="M3729" i="2" s="1"/>
  <c r="L3728" i="2"/>
  <c r="M3728" i="2" s="1"/>
  <c r="L3727" i="2"/>
  <c r="M3727" i="2" s="1"/>
  <c r="L3726" i="2"/>
  <c r="M3726" i="2" s="1"/>
  <c r="L3725" i="2"/>
  <c r="M3725" i="2" s="1"/>
  <c r="L3724" i="2"/>
  <c r="M3724" i="2" s="1"/>
  <c r="L3723" i="2"/>
  <c r="M3723" i="2" s="1"/>
  <c r="L3722" i="2"/>
  <c r="M3722" i="2" s="1"/>
  <c r="L3721" i="2"/>
  <c r="M3721" i="2" s="1"/>
  <c r="L3720" i="2"/>
  <c r="M3720" i="2" s="1"/>
  <c r="L3719" i="2"/>
  <c r="M3719" i="2" s="1"/>
  <c r="L3718" i="2"/>
  <c r="M3718" i="2" s="1"/>
  <c r="L3717" i="2"/>
  <c r="M3717" i="2" s="1"/>
  <c r="L3716" i="2"/>
  <c r="M3716" i="2" s="1"/>
  <c r="L3715" i="2"/>
  <c r="M3715" i="2" s="1"/>
  <c r="L3714" i="2"/>
  <c r="M3714" i="2" s="1"/>
  <c r="L3713" i="2"/>
  <c r="M3713" i="2" s="1"/>
  <c r="L3712" i="2"/>
  <c r="M3712" i="2" s="1"/>
  <c r="L3711" i="2"/>
  <c r="M3711" i="2" s="1"/>
  <c r="L3710" i="2"/>
  <c r="M3710" i="2" s="1"/>
  <c r="L3709" i="2"/>
  <c r="M3709" i="2" s="1"/>
  <c r="L3708" i="2"/>
  <c r="M3708" i="2" s="1"/>
  <c r="L3707" i="2"/>
  <c r="M3707" i="2" s="1"/>
  <c r="L3706" i="2"/>
  <c r="M3706" i="2" s="1"/>
  <c r="L3705" i="2"/>
  <c r="M3705" i="2" s="1"/>
  <c r="L3704" i="2"/>
  <c r="M3704" i="2" s="1"/>
  <c r="L3703" i="2"/>
  <c r="M3703" i="2" s="1"/>
  <c r="L3702" i="2"/>
  <c r="M3702" i="2" s="1"/>
  <c r="L3701" i="2"/>
  <c r="M3701" i="2" s="1"/>
  <c r="L3700" i="2"/>
  <c r="M3700" i="2" s="1"/>
  <c r="L3699" i="2"/>
  <c r="M3699" i="2" s="1"/>
  <c r="L3698" i="2"/>
  <c r="M3698" i="2" s="1"/>
  <c r="L3697" i="2"/>
  <c r="M3697" i="2" s="1"/>
  <c r="L3696" i="2"/>
  <c r="M3696" i="2" s="1"/>
  <c r="L3695" i="2"/>
  <c r="M3695" i="2" s="1"/>
  <c r="L3694" i="2"/>
  <c r="M3694" i="2" s="1"/>
  <c r="L3693" i="2"/>
  <c r="M3693" i="2" s="1"/>
  <c r="L3692" i="2"/>
  <c r="M3692" i="2" s="1"/>
  <c r="L3691" i="2"/>
  <c r="M3691" i="2" s="1"/>
  <c r="L3690" i="2"/>
  <c r="M3690" i="2" s="1"/>
  <c r="L3689" i="2"/>
  <c r="M3689" i="2" s="1"/>
  <c r="L3688" i="2"/>
  <c r="M3688" i="2" s="1"/>
  <c r="L3687" i="2"/>
  <c r="M3687" i="2" s="1"/>
  <c r="L3686" i="2"/>
  <c r="M3686" i="2" s="1"/>
  <c r="L3685" i="2"/>
  <c r="M3685" i="2" s="1"/>
  <c r="L3684" i="2"/>
  <c r="M3684" i="2" s="1"/>
  <c r="L3683" i="2"/>
  <c r="M3683" i="2" s="1"/>
  <c r="L3682" i="2"/>
  <c r="M3682" i="2" s="1"/>
  <c r="L3681" i="2"/>
  <c r="M3681" i="2" s="1"/>
  <c r="L3680" i="2"/>
  <c r="M3680" i="2" s="1"/>
  <c r="L3679" i="2"/>
  <c r="M3679" i="2" s="1"/>
  <c r="L3678" i="2"/>
  <c r="M3678" i="2" s="1"/>
  <c r="L3677" i="2"/>
  <c r="M3677" i="2" s="1"/>
  <c r="L3676" i="2"/>
  <c r="M3676" i="2" s="1"/>
  <c r="L3675" i="2"/>
  <c r="M3675" i="2" s="1"/>
  <c r="L3674" i="2"/>
  <c r="M3674" i="2" s="1"/>
  <c r="L3673" i="2"/>
  <c r="M3673" i="2" s="1"/>
  <c r="L3672" i="2"/>
  <c r="M3672" i="2" s="1"/>
  <c r="L3671" i="2"/>
  <c r="M3671" i="2" s="1"/>
  <c r="L3670" i="2"/>
  <c r="M3670" i="2" s="1"/>
  <c r="L3669" i="2"/>
  <c r="M3669" i="2" s="1"/>
  <c r="L3668" i="2"/>
  <c r="M3668" i="2" s="1"/>
  <c r="L3667" i="2"/>
  <c r="M3667" i="2" s="1"/>
  <c r="L3666" i="2"/>
  <c r="M3666" i="2" s="1"/>
  <c r="L3665" i="2"/>
  <c r="M3665" i="2" s="1"/>
  <c r="L3664" i="2"/>
  <c r="M3664" i="2" s="1"/>
  <c r="L3663" i="2"/>
  <c r="M3663" i="2" s="1"/>
  <c r="L3662" i="2"/>
  <c r="M3662" i="2" s="1"/>
  <c r="L3661" i="2"/>
  <c r="M3661" i="2" s="1"/>
  <c r="L3660" i="2"/>
  <c r="M3660" i="2" s="1"/>
  <c r="L3659" i="2"/>
  <c r="M3659" i="2" s="1"/>
  <c r="L3658" i="2"/>
  <c r="M3658" i="2" s="1"/>
  <c r="L3657" i="2"/>
  <c r="M3657" i="2" s="1"/>
  <c r="L3656" i="2"/>
  <c r="M3656" i="2" s="1"/>
  <c r="L3655" i="2"/>
  <c r="M3655" i="2" s="1"/>
  <c r="L3654" i="2"/>
  <c r="M3654" i="2" s="1"/>
  <c r="L3653" i="2"/>
  <c r="M3653" i="2" s="1"/>
  <c r="L3652" i="2"/>
  <c r="M3652" i="2" s="1"/>
  <c r="L3651" i="2"/>
  <c r="M3651" i="2" s="1"/>
  <c r="L3650" i="2"/>
  <c r="M3650" i="2" s="1"/>
  <c r="L3649" i="2"/>
  <c r="M3649" i="2" s="1"/>
  <c r="L3648" i="2"/>
  <c r="M3648" i="2" s="1"/>
  <c r="L3647" i="2"/>
  <c r="M3647" i="2" s="1"/>
  <c r="L3646" i="2"/>
  <c r="M3646" i="2" s="1"/>
  <c r="L3645" i="2"/>
  <c r="M3645" i="2" s="1"/>
  <c r="L3644" i="2"/>
  <c r="M3644" i="2" s="1"/>
  <c r="L3643" i="2"/>
  <c r="M3643" i="2" s="1"/>
  <c r="L3642" i="2"/>
  <c r="M3642" i="2" s="1"/>
  <c r="L3641" i="2"/>
  <c r="M3641" i="2" s="1"/>
  <c r="L3640" i="2"/>
  <c r="M3640" i="2" s="1"/>
  <c r="L3639" i="2"/>
  <c r="M3639" i="2" s="1"/>
  <c r="L3638" i="2"/>
  <c r="M3638" i="2" s="1"/>
  <c r="L3637" i="2"/>
  <c r="M3637" i="2" s="1"/>
  <c r="L3636" i="2"/>
  <c r="M3636" i="2" s="1"/>
  <c r="L3635" i="2"/>
  <c r="M3635" i="2" s="1"/>
  <c r="L3634" i="2"/>
  <c r="M3634" i="2" s="1"/>
  <c r="L3633" i="2"/>
  <c r="M3633" i="2" s="1"/>
  <c r="L3632" i="2"/>
  <c r="M3632" i="2" s="1"/>
  <c r="L3631" i="2"/>
  <c r="M3631" i="2" s="1"/>
  <c r="L3630" i="2"/>
  <c r="M3630" i="2" s="1"/>
  <c r="L3629" i="2"/>
  <c r="M3629" i="2" s="1"/>
  <c r="L3628" i="2"/>
  <c r="M3628" i="2" s="1"/>
  <c r="L3627" i="2"/>
  <c r="M3627" i="2" s="1"/>
  <c r="L3626" i="2"/>
  <c r="M3626" i="2" s="1"/>
  <c r="L3625" i="2"/>
  <c r="M3625" i="2" s="1"/>
  <c r="L3624" i="2"/>
  <c r="M3624" i="2" s="1"/>
  <c r="L3623" i="2"/>
  <c r="M3623" i="2" s="1"/>
  <c r="L3622" i="2"/>
  <c r="M3622" i="2" s="1"/>
  <c r="L3621" i="2"/>
  <c r="M3621" i="2" s="1"/>
  <c r="L3620" i="2"/>
  <c r="M3620" i="2" s="1"/>
  <c r="L3619" i="2"/>
  <c r="M3619" i="2" s="1"/>
  <c r="L3618" i="2"/>
  <c r="M3618" i="2" s="1"/>
  <c r="L3617" i="2"/>
  <c r="M3617" i="2" s="1"/>
  <c r="L3616" i="2"/>
  <c r="M3616" i="2" s="1"/>
  <c r="L3615" i="2"/>
  <c r="M3615" i="2" s="1"/>
  <c r="L3614" i="2"/>
  <c r="M3614" i="2" s="1"/>
  <c r="L3613" i="2"/>
  <c r="M3613" i="2" s="1"/>
  <c r="L3612" i="2"/>
  <c r="M3612" i="2" s="1"/>
  <c r="L3611" i="2"/>
  <c r="M3611" i="2" s="1"/>
  <c r="L3610" i="2"/>
  <c r="M3610" i="2" s="1"/>
  <c r="L3609" i="2"/>
  <c r="M3609" i="2" s="1"/>
  <c r="L3608" i="2"/>
  <c r="M3608" i="2" s="1"/>
  <c r="L3607" i="2"/>
  <c r="M3607" i="2" s="1"/>
  <c r="L3606" i="2"/>
  <c r="M3606" i="2" s="1"/>
  <c r="L3605" i="2"/>
  <c r="M3605" i="2" s="1"/>
  <c r="L3604" i="2"/>
  <c r="M3604" i="2" s="1"/>
  <c r="L3603" i="2"/>
  <c r="M3603" i="2" s="1"/>
  <c r="L3602" i="2"/>
  <c r="M3602" i="2" s="1"/>
  <c r="L3601" i="2"/>
  <c r="M3601" i="2" s="1"/>
  <c r="L3600" i="2"/>
  <c r="M3600" i="2" s="1"/>
  <c r="L3599" i="2"/>
  <c r="M3599" i="2" s="1"/>
  <c r="L3598" i="2"/>
  <c r="M3598" i="2" s="1"/>
  <c r="L3597" i="2"/>
  <c r="M3597" i="2" s="1"/>
  <c r="L3596" i="2"/>
  <c r="M3596" i="2" s="1"/>
  <c r="L3595" i="2"/>
  <c r="M3595" i="2" s="1"/>
  <c r="L3594" i="2"/>
  <c r="M3594" i="2" s="1"/>
  <c r="L3593" i="2"/>
  <c r="M3593" i="2" s="1"/>
  <c r="L3592" i="2"/>
  <c r="M3592" i="2" s="1"/>
  <c r="L3591" i="2"/>
  <c r="M3591" i="2" s="1"/>
  <c r="L3590" i="2"/>
  <c r="M3590" i="2" s="1"/>
  <c r="L3589" i="2"/>
  <c r="M3589" i="2" s="1"/>
  <c r="L3588" i="2"/>
  <c r="M3588" i="2" s="1"/>
  <c r="L3587" i="2"/>
  <c r="M3587" i="2" s="1"/>
  <c r="L3586" i="2"/>
  <c r="M3586" i="2" s="1"/>
  <c r="L3585" i="2"/>
  <c r="M3585" i="2" s="1"/>
  <c r="L3584" i="2"/>
  <c r="M3584" i="2" s="1"/>
  <c r="L3583" i="2"/>
  <c r="M3583" i="2" s="1"/>
  <c r="L3582" i="2"/>
  <c r="M3582" i="2" s="1"/>
  <c r="L3581" i="2"/>
  <c r="M3581" i="2" s="1"/>
  <c r="L3580" i="2"/>
  <c r="M3580" i="2" s="1"/>
  <c r="L3579" i="2"/>
  <c r="M3579" i="2" s="1"/>
  <c r="L3578" i="2"/>
  <c r="M3578" i="2" s="1"/>
  <c r="L3577" i="2"/>
  <c r="M3577" i="2" s="1"/>
  <c r="L3576" i="2"/>
  <c r="M3576" i="2" s="1"/>
  <c r="L3575" i="2"/>
  <c r="M3575" i="2" s="1"/>
  <c r="L3574" i="2"/>
  <c r="M3574" i="2" s="1"/>
  <c r="L3573" i="2"/>
  <c r="M3573" i="2" s="1"/>
  <c r="L3572" i="2"/>
  <c r="M3572" i="2" s="1"/>
  <c r="L3571" i="2"/>
  <c r="M3571" i="2" s="1"/>
  <c r="L3570" i="2"/>
  <c r="M3570" i="2" s="1"/>
  <c r="L3569" i="2"/>
  <c r="M3569" i="2" s="1"/>
  <c r="L3568" i="2"/>
  <c r="M3568" i="2" s="1"/>
  <c r="L3567" i="2"/>
  <c r="M3567" i="2" s="1"/>
  <c r="L3566" i="2"/>
  <c r="M3566" i="2" s="1"/>
  <c r="L3565" i="2"/>
  <c r="M3565" i="2" s="1"/>
  <c r="L3564" i="2"/>
  <c r="M3564" i="2" s="1"/>
  <c r="L3563" i="2"/>
  <c r="M3563" i="2" s="1"/>
  <c r="L3562" i="2"/>
  <c r="M3562" i="2" s="1"/>
  <c r="L3561" i="2"/>
  <c r="M3561" i="2" s="1"/>
  <c r="L3560" i="2"/>
  <c r="M3560" i="2" s="1"/>
  <c r="L3559" i="2"/>
  <c r="M3559" i="2" s="1"/>
  <c r="L3558" i="2"/>
  <c r="M3558" i="2" s="1"/>
  <c r="L3557" i="2"/>
  <c r="M3557" i="2" s="1"/>
  <c r="L3556" i="2"/>
  <c r="M3556" i="2" s="1"/>
  <c r="L3555" i="2"/>
  <c r="M3555" i="2" s="1"/>
  <c r="L3554" i="2"/>
  <c r="M3554" i="2" s="1"/>
  <c r="L3553" i="2"/>
  <c r="M3553" i="2" s="1"/>
  <c r="L3552" i="2"/>
  <c r="M3552" i="2" s="1"/>
  <c r="L3551" i="2"/>
  <c r="M3551" i="2" s="1"/>
  <c r="L3550" i="2"/>
  <c r="M3550" i="2" s="1"/>
  <c r="L3549" i="2"/>
  <c r="M3549" i="2" s="1"/>
  <c r="L3548" i="2"/>
  <c r="M3548" i="2" s="1"/>
  <c r="L3547" i="2"/>
  <c r="M3547" i="2" s="1"/>
  <c r="L3546" i="2"/>
  <c r="M3546" i="2" s="1"/>
  <c r="L3545" i="2"/>
  <c r="M3545" i="2" s="1"/>
  <c r="L3544" i="2"/>
  <c r="M3544" i="2" s="1"/>
  <c r="L3543" i="2"/>
  <c r="M3543" i="2" s="1"/>
  <c r="L3542" i="2"/>
  <c r="M3542" i="2" s="1"/>
  <c r="L3541" i="2"/>
  <c r="M3541" i="2" s="1"/>
  <c r="L3540" i="2"/>
  <c r="M3540" i="2" s="1"/>
  <c r="L3539" i="2"/>
  <c r="M3539" i="2" s="1"/>
  <c r="L3538" i="2"/>
  <c r="M3538" i="2" s="1"/>
  <c r="L3537" i="2"/>
  <c r="M3537" i="2" s="1"/>
  <c r="L3536" i="2"/>
  <c r="M3536" i="2" s="1"/>
  <c r="L3535" i="2"/>
  <c r="M3535" i="2" s="1"/>
  <c r="L3534" i="2"/>
  <c r="M3534" i="2" s="1"/>
  <c r="L3533" i="2"/>
  <c r="M3533" i="2" s="1"/>
  <c r="L3532" i="2"/>
  <c r="M3532" i="2" s="1"/>
  <c r="L3531" i="2"/>
  <c r="M3531" i="2" s="1"/>
  <c r="L3530" i="2"/>
  <c r="M3530" i="2" s="1"/>
  <c r="L3529" i="2"/>
  <c r="M3529" i="2" s="1"/>
  <c r="L3528" i="2"/>
  <c r="M3528" i="2" s="1"/>
  <c r="L3527" i="2"/>
  <c r="M3527" i="2" s="1"/>
  <c r="L3526" i="2"/>
  <c r="M3526" i="2" s="1"/>
  <c r="L3525" i="2"/>
  <c r="M3525" i="2" s="1"/>
  <c r="L3524" i="2"/>
  <c r="M3524" i="2" s="1"/>
  <c r="L3523" i="2"/>
  <c r="M3523" i="2" s="1"/>
  <c r="L3522" i="2"/>
  <c r="M3522" i="2" s="1"/>
  <c r="L3521" i="2"/>
  <c r="M3521" i="2" s="1"/>
  <c r="L3520" i="2"/>
  <c r="M3520" i="2" s="1"/>
  <c r="L3519" i="2"/>
  <c r="M3519" i="2" s="1"/>
  <c r="L3518" i="2"/>
  <c r="M3518" i="2" s="1"/>
  <c r="L3517" i="2"/>
  <c r="M3517" i="2" s="1"/>
  <c r="L3516" i="2"/>
  <c r="M3516" i="2" s="1"/>
  <c r="L3515" i="2"/>
  <c r="M3515" i="2" s="1"/>
  <c r="L3514" i="2"/>
  <c r="M3514" i="2" s="1"/>
  <c r="L3513" i="2"/>
  <c r="M3513" i="2" s="1"/>
  <c r="L3512" i="2"/>
  <c r="M3512" i="2" s="1"/>
  <c r="L3511" i="2"/>
  <c r="M3511" i="2" s="1"/>
  <c r="L3510" i="2"/>
  <c r="M3510" i="2" s="1"/>
  <c r="L3509" i="2"/>
  <c r="M3509" i="2" s="1"/>
  <c r="L3508" i="2"/>
  <c r="M3508" i="2" s="1"/>
  <c r="L3507" i="2"/>
  <c r="M3507" i="2" s="1"/>
  <c r="L3506" i="2"/>
  <c r="M3506" i="2" s="1"/>
  <c r="L3505" i="2"/>
  <c r="M3505" i="2" s="1"/>
  <c r="L3504" i="2"/>
  <c r="M3504" i="2" s="1"/>
  <c r="L3503" i="2"/>
  <c r="M3503" i="2" s="1"/>
  <c r="L3502" i="2"/>
  <c r="M3502" i="2" s="1"/>
  <c r="L3501" i="2"/>
  <c r="M3501" i="2" s="1"/>
  <c r="L3500" i="2"/>
  <c r="M3500" i="2" s="1"/>
  <c r="L3499" i="2"/>
  <c r="M3499" i="2" s="1"/>
  <c r="L3498" i="2"/>
  <c r="M3498" i="2" s="1"/>
  <c r="L3497" i="2"/>
  <c r="M3497" i="2" s="1"/>
  <c r="L3496" i="2"/>
  <c r="M3496" i="2" s="1"/>
  <c r="L3495" i="2"/>
  <c r="M3495" i="2" s="1"/>
  <c r="L3494" i="2"/>
  <c r="M3494" i="2" s="1"/>
  <c r="L3493" i="2"/>
  <c r="M3493" i="2" s="1"/>
  <c r="L3492" i="2"/>
  <c r="M3492" i="2" s="1"/>
  <c r="L3491" i="2"/>
  <c r="M3491" i="2" s="1"/>
  <c r="L3490" i="2"/>
  <c r="M3490" i="2" s="1"/>
  <c r="L3489" i="2"/>
  <c r="M3489" i="2" s="1"/>
  <c r="L3488" i="2"/>
  <c r="M3488" i="2" s="1"/>
  <c r="L3487" i="2"/>
  <c r="M3487" i="2" s="1"/>
  <c r="L3486" i="2"/>
  <c r="M3486" i="2" s="1"/>
  <c r="L3485" i="2"/>
  <c r="M3485" i="2" s="1"/>
  <c r="L3484" i="2"/>
  <c r="M3484" i="2" s="1"/>
  <c r="L3483" i="2"/>
  <c r="M3483" i="2" s="1"/>
  <c r="L3482" i="2"/>
  <c r="M3482" i="2" s="1"/>
  <c r="L3481" i="2"/>
  <c r="M3481" i="2" s="1"/>
  <c r="L3480" i="2"/>
  <c r="M3480" i="2" s="1"/>
  <c r="L3479" i="2"/>
  <c r="M3479" i="2" s="1"/>
  <c r="L3478" i="2"/>
  <c r="M3478" i="2" s="1"/>
  <c r="L3477" i="2"/>
  <c r="M3477" i="2" s="1"/>
  <c r="L3476" i="2"/>
  <c r="M3476" i="2" s="1"/>
  <c r="L3475" i="2"/>
  <c r="M3475" i="2" s="1"/>
  <c r="L3474" i="2"/>
  <c r="M3474" i="2" s="1"/>
  <c r="L3473" i="2"/>
  <c r="M3473" i="2" s="1"/>
  <c r="L3472" i="2"/>
  <c r="M3472" i="2" s="1"/>
  <c r="L3471" i="2"/>
  <c r="M3471" i="2" s="1"/>
  <c r="L3470" i="2"/>
  <c r="M3470" i="2" s="1"/>
  <c r="L3469" i="2"/>
  <c r="M3469" i="2" s="1"/>
  <c r="L3468" i="2"/>
  <c r="M3468" i="2" s="1"/>
  <c r="L3467" i="2"/>
  <c r="M3467" i="2" s="1"/>
  <c r="L3466" i="2"/>
  <c r="M3466" i="2" s="1"/>
  <c r="L3465" i="2"/>
  <c r="M3465" i="2" s="1"/>
  <c r="L3464" i="2"/>
  <c r="M3464" i="2" s="1"/>
  <c r="L3463" i="2"/>
  <c r="M3463" i="2" s="1"/>
  <c r="L3462" i="2"/>
  <c r="M3462" i="2" s="1"/>
  <c r="L3461" i="2"/>
  <c r="M3461" i="2" s="1"/>
  <c r="L3460" i="2"/>
  <c r="M3460" i="2" s="1"/>
  <c r="L3459" i="2"/>
  <c r="M3459" i="2" s="1"/>
  <c r="L3458" i="2"/>
  <c r="M3458" i="2" s="1"/>
  <c r="L3457" i="2"/>
  <c r="M3457" i="2" s="1"/>
  <c r="L3456" i="2"/>
  <c r="M3456" i="2" s="1"/>
  <c r="L3455" i="2"/>
  <c r="M3455" i="2" s="1"/>
  <c r="L3454" i="2"/>
  <c r="M3454" i="2" s="1"/>
  <c r="L3453" i="2"/>
  <c r="M3453" i="2" s="1"/>
  <c r="L3452" i="2"/>
  <c r="M3452" i="2" s="1"/>
  <c r="L3451" i="2"/>
  <c r="M3451" i="2" s="1"/>
  <c r="L3450" i="2"/>
  <c r="M3450" i="2" s="1"/>
  <c r="L3449" i="2"/>
  <c r="M3449" i="2" s="1"/>
  <c r="L3448" i="2"/>
  <c r="M3448" i="2" s="1"/>
  <c r="L3447" i="2"/>
  <c r="M3447" i="2" s="1"/>
  <c r="L3446" i="2"/>
  <c r="M3446" i="2" s="1"/>
  <c r="L3445" i="2"/>
  <c r="M3445" i="2" s="1"/>
  <c r="L3444" i="2"/>
  <c r="M3444" i="2" s="1"/>
  <c r="L3443" i="2"/>
  <c r="M3443" i="2" s="1"/>
  <c r="L3442" i="2"/>
  <c r="M3442" i="2" s="1"/>
  <c r="L3441" i="2"/>
  <c r="M3441" i="2" s="1"/>
  <c r="L3440" i="2"/>
  <c r="M3440" i="2" s="1"/>
  <c r="L3439" i="2"/>
  <c r="M3439" i="2" s="1"/>
  <c r="L3438" i="2"/>
  <c r="M3438" i="2" s="1"/>
  <c r="L3437" i="2"/>
  <c r="M3437" i="2" s="1"/>
  <c r="L3436" i="2"/>
  <c r="M3436" i="2" s="1"/>
  <c r="L3435" i="2"/>
  <c r="M3435" i="2" s="1"/>
  <c r="L3434" i="2"/>
  <c r="M3434" i="2" s="1"/>
  <c r="L3433" i="2"/>
  <c r="M3433" i="2" s="1"/>
  <c r="L3432" i="2"/>
  <c r="M3432" i="2" s="1"/>
  <c r="L3431" i="2"/>
  <c r="M3431" i="2" s="1"/>
  <c r="L3430" i="2"/>
  <c r="M3430" i="2" s="1"/>
  <c r="L3429" i="2"/>
  <c r="M3429" i="2" s="1"/>
  <c r="L3428" i="2"/>
  <c r="M3428" i="2" s="1"/>
  <c r="L3427" i="2"/>
  <c r="M3427" i="2" s="1"/>
  <c r="L3426" i="2"/>
  <c r="M3426" i="2" s="1"/>
  <c r="L3425" i="2"/>
  <c r="M3425" i="2" s="1"/>
  <c r="L3424" i="2"/>
  <c r="M3424" i="2" s="1"/>
  <c r="L3423" i="2"/>
  <c r="M3423" i="2" s="1"/>
  <c r="L3422" i="2"/>
  <c r="M3422" i="2" s="1"/>
  <c r="L3421" i="2"/>
  <c r="M3421" i="2" s="1"/>
  <c r="L3420" i="2"/>
  <c r="M3420" i="2" s="1"/>
  <c r="L3419" i="2"/>
  <c r="M3419" i="2" s="1"/>
  <c r="L3418" i="2"/>
  <c r="M3418" i="2" s="1"/>
  <c r="L3417" i="2"/>
  <c r="M3417" i="2" s="1"/>
  <c r="L3416" i="2"/>
  <c r="M3416" i="2" s="1"/>
  <c r="L3415" i="2"/>
  <c r="M3415" i="2" s="1"/>
  <c r="L3414" i="2"/>
  <c r="M3414" i="2" s="1"/>
  <c r="L3413" i="2"/>
  <c r="M3413" i="2" s="1"/>
  <c r="L3412" i="2"/>
  <c r="M3412" i="2" s="1"/>
  <c r="L3411" i="2"/>
  <c r="M3411" i="2" s="1"/>
  <c r="L3410" i="2"/>
  <c r="M3410" i="2" s="1"/>
  <c r="L3409" i="2"/>
  <c r="M3409" i="2" s="1"/>
  <c r="L3408" i="2"/>
  <c r="M3408" i="2" s="1"/>
  <c r="L3407" i="2"/>
  <c r="M3407" i="2" s="1"/>
  <c r="L3406" i="2"/>
  <c r="M3406" i="2" s="1"/>
  <c r="L3405" i="2"/>
  <c r="M3405" i="2" s="1"/>
  <c r="L3404" i="2"/>
  <c r="M3404" i="2" s="1"/>
  <c r="L3403" i="2"/>
  <c r="M3403" i="2" s="1"/>
  <c r="L3402" i="2"/>
  <c r="M3402" i="2" s="1"/>
  <c r="L3401" i="2"/>
  <c r="M3401" i="2" s="1"/>
  <c r="L3400" i="2"/>
  <c r="M3400" i="2" s="1"/>
  <c r="L3399" i="2"/>
  <c r="M3399" i="2" s="1"/>
  <c r="L3398" i="2"/>
  <c r="M3398" i="2" s="1"/>
  <c r="L3397" i="2"/>
  <c r="M3397" i="2" s="1"/>
  <c r="L3396" i="2"/>
  <c r="M3396" i="2" s="1"/>
  <c r="L3395" i="2"/>
  <c r="M3395" i="2" s="1"/>
  <c r="L3394" i="2"/>
  <c r="M3394" i="2" s="1"/>
  <c r="L3393" i="2"/>
  <c r="M3393" i="2" s="1"/>
  <c r="L3392" i="2"/>
  <c r="M3392" i="2" s="1"/>
  <c r="L3391" i="2"/>
  <c r="M3391" i="2" s="1"/>
  <c r="L3390" i="2"/>
  <c r="M3390" i="2" s="1"/>
  <c r="L3389" i="2"/>
  <c r="M3389" i="2" s="1"/>
  <c r="L3388" i="2"/>
  <c r="M3388" i="2" s="1"/>
  <c r="L3387" i="2"/>
  <c r="M3387" i="2" s="1"/>
  <c r="L3386" i="2"/>
  <c r="M3386" i="2" s="1"/>
  <c r="L3385" i="2"/>
  <c r="M3385" i="2" s="1"/>
  <c r="L3384" i="2"/>
  <c r="M3384" i="2" s="1"/>
  <c r="L3383" i="2"/>
  <c r="M3383" i="2" s="1"/>
  <c r="L3382" i="2"/>
  <c r="M3382" i="2" s="1"/>
  <c r="L3381" i="2"/>
  <c r="M3381" i="2" s="1"/>
  <c r="L3380" i="2"/>
  <c r="M3380" i="2" s="1"/>
  <c r="L3379" i="2"/>
  <c r="M3379" i="2" s="1"/>
  <c r="L3378" i="2"/>
  <c r="M3378" i="2" s="1"/>
  <c r="L3377" i="2"/>
  <c r="M3377" i="2" s="1"/>
  <c r="L3376" i="2"/>
  <c r="M3376" i="2" s="1"/>
  <c r="L3375" i="2"/>
  <c r="M3375" i="2" s="1"/>
  <c r="L3374" i="2"/>
  <c r="M3374" i="2" s="1"/>
  <c r="L3373" i="2"/>
  <c r="M3373" i="2" s="1"/>
  <c r="L3372" i="2"/>
  <c r="M3372" i="2" s="1"/>
  <c r="L3371" i="2"/>
  <c r="M3371" i="2" s="1"/>
  <c r="L3370" i="2"/>
  <c r="M3370" i="2" s="1"/>
  <c r="L3369" i="2"/>
  <c r="M3369" i="2" s="1"/>
  <c r="L3368" i="2"/>
  <c r="M3368" i="2" s="1"/>
  <c r="L3367" i="2"/>
  <c r="M3367" i="2" s="1"/>
  <c r="L3366" i="2"/>
  <c r="M3366" i="2" s="1"/>
  <c r="L3365" i="2"/>
  <c r="M3365" i="2" s="1"/>
  <c r="L3364" i="2"/>
  <c r="M3364" i="2" s="1"/>
  <c r="L3363" i="2"/>
  <c r="M3363" i="2" s="1"/>
  <c r="L3362" i="2"/>
  <c r="M3362" i="2" s="1"/>
  <c r="L3361" i="2"/>
  <c r="M3361" i="2" s="1"/>
  <c r="L3360" i="2"/>
  <c r="M3360" i="2" s="1"/>
  <c r="L3359" i="2"/>
  <c r="M3359" i="2" s="1"/>
  <c r="L3358" i="2"/>
  <c r="M3358" i="2" s="1"/>
  <c r="L3357" i="2"/>
  <c r="M3357" i="2" s="1"/>
  <c r="L3356" i="2"/>
  <c r="M3356" i="2" s="1"/>
  <c r="L3355" i="2"/>
  <c r="M3355" i="2" s="1"/>
  <c r="L3354" i="2"/>
  <c r="M3354" i="2" s="1"/>
  <c r="L3353" i="2"/>
  <c r="M3353" i="2" s="1"/>
  <c r="L3352" i="2"/>
  <c r="M3352" i="2" s="1"/>
  <c r="L3351" i="2"/>
  <c r="M3351" i="2" s="1"/>
  <c r="L3350" i="2"/>
  <c r="M3350" i="2" s="1"/>
  <c r="L3349" i="2"/>
  <c r="M3349" i="2" s="1"/>
  <c r="L3348" i="2"/>
  <c r="M3348" i="2" s="1"/>
  <c r="L3347" i="2"/>
  <c r="M3347" i="2" s="1"/>
  <c r="L3346" i="2"/>
  <c r="M3346" i="2" s="1"/>
  <c r="L3345" i="2"/>
  <c r="M3345" i="2" s="1"/>
  <c r="L3344" i="2"/>
  <c r="M3344" i="2" s="1"/>
  <c r="L3343" i="2"/>
  <c r="M3343" i="2" s="1"/>
  <c r="L3342" i="2"/>
  <c r="M3342" i="2" s="1"/>
  <c r="L3341" i="2"/>
  <c r="M3341" i="2" s="1"/>
  <c r="L3340" i="2"/>
  <c r="M3340" i="2" s="1"/>
  <c r="L3339" i="2"/>
  <c r="M3339" i="2" s="1"/>
  <c r="L3338" i="2"/>
  <c r="M3338" i="2" s="1"/>
  <c r="L3337" i="2"/>
  <c r="M3337" i="2" s="1"/>
  <c r="L3336" i="2"/>
  <c r="M3336" i="2" s="1"/>
  <c r="L3335" i="2"/>
  <c r="M3335" i="2" s="1"/>
  <c r="L3334" i="2"/>
  <c r="M3334" i="2" s="1"/>
  <c r="L3333" i="2"/>
  <c r="M3333" i="2" s="1"/>
  <c r="L3332" i="2"/>
  <c r="M3332" i="2" s="1"/>
  <c r="L3331" i="2"/>
  <c r="M3331" i="2" s="1"/>
  <c r="L3330" i="2"/>
  <c r="M3330" i="2" s="1"/>
  <c r="L3329" i="2"/>
  <c r="M3329" i="2" s="1"/>
  <c r="L3328" i="2"/>
  <c r="M3328" i="2" s="1"/>
  <c r="L3327" i="2"/>
  <c r="M3327" i="2" s="1"/>
  <c r="L3326" i="2"/>
  <c r="M3326" i="2" s="1"/>
  <c r="L3325" i="2"/>
  <c r="M3325" i="2" s="1"/>
  <c r="L3324" i="2"/>
  <c r="M3324" i="2" s="1"/>
  <c r="L3323" i="2"/>
  <c r="M3323" i="2" s="1"/>
  <c r="L3322" i="2"/>
  <c r="M3322" i="2" s="1"/>
  <c r="L3321" i="2"/>
  <c r="M3321" i="2" s="1"/>
  <c r="L3320" i="2"/>
  <c r="M3320" i="2" s="1"/>
  <c r="L3319" i="2"/>
  <c r="M3319" i="2" s="1"/>
  <c r="L3318" i="2"/>
  <c r="M3318" i="2" s="1"/>
  <c r="L3317" i="2"/>
  <c r="M3317" i="2" s="1"/>
  <c r="L3316" i="2"/>
  <c r="M3316" i="2" s="1"/>
  <c r="L3315" i="2"/>
  <c r="M3315" i="2" s="1"/>
  <c r="L3314" i="2"/>
  <c r="M3314" i="2" s="1"/>
  <c r="L3313" i="2"/>
  <c r="M3313" i="2" s="1"/>
  <c r="L3312" i="2"/>
  <c r="M3312" i="2" s="1"/>
  <c r="L3311" i="2"/>
  <c r="M3311" i="2" s="1"/>
  <c r="L3310" i="2"/>
  <c r="M3310" i="2" s="1"/>
  <c r="L3309" i="2"/>
  <c r="M3309" i="2" s="1"/>
  <c r="L3308" i="2"/>
  <c r="M3308" i="2" s="1"/>
  <c r="L3307" i="2"/>
  <c r="M3307" i="2" s="1"/>
  <c r="L3306" i="2"/>
  <c r="M3306" i="2" s="1"/>
  <c r="L3305" i="2"/>
  <c r="M3305" i="2" s="1"/>
  <c r="L3304" i="2"/>
  <c r="M3304" i="2" s="1"/>
  <c r="L3303" i="2"/>
  <c r="M3303" i="2" s="1"/>
  <c r="L3302" i="2"/>
  <c r="M3302" i="2" s="1"/>
  <c r="L3301" i="2"/>
  <c r="M3301" i="2" s="1"/>
  <c r="L3300" i="2"/>
  <c r="M3300" i="2" s="1"/>
  <c r="L3299" i="2"/>
  <c r="M3299" i="2" s="1"/>
  <c r="L3298" i="2"/>
  <c r="M3298" i="2" s="1"/>
  <c r="L3297" i="2"/>
  <c r="M3297" i="2" s="1"/>
  <c r="L3296" i="2"/>
  <c r="M3296" i="2" s="1"/>
  <c r="L3295" i="2"/>
  <c r="M3295" i="2" s="1"/>
  <c r="L3294" i="2"/>
  <c r="M3294" i="2" s="1"/>
  <c r="L3293" i="2"/>
  <c r="M3293" i="2" s="1"/>
  <c r="L3292" i="2"/>
  <c r="M3292" i="2" s="1"/>
  <c r="L3291" i="2"/>
  <c r="M3291" i="2" s="1"/>
  <c r="L3290" i="2"/>
  <c r="M3290" i="2" s="1"/>
  <c r="L3289" i="2"/>
  <c r="M3289" i="2" s="1"/>
  <c r="L3288" i="2"/>
  <c r="M3288" i="2" s="1"/>
  <c r="L3287" i="2"/>
  <c r="M3287" i="2" s="1"/>
  <c r="L3286" i="2"/>
  <c r="M3286" i="2" s="1"/>
  <c r="L3285" i="2"/>
  <c r="M3285" i="2" s="1"/>
  <c r="L3284" i="2"/>
  <c r="M3284" i="2" s="1"/>
  <c r="L3283" i="2"/>
  <c r="M3283" i="2" s="1"/>
  <c r="L3282" i="2"/>
  <c r="M3282" i="2" s="1"/>
  <c r="L3281" i="2"/>
  <c r="M3281" i="2" s="1"/>
  <c r="L3280" i="2"/>
  <c r="M3280" i="2" s="1"/>
  <c r="L3279" i="2"/>
  <c r="M3279" i="2" s="1"/>
  <c r="L3278" i="2"/>
  <c r="M3278" i="2" s="1"/>
  <c r="L3277" i="2"/>
  <c r="M3277" i="2" s="1"/>
  <c r="L3276" i="2"/>
  <c r="M3276" i="2" s="1"/>
  <c r="L3275" i="2"/>
  <c r="M3275" i="2" s="1"/>
  <c r="L3274" i="2"/>
  <c r="M3274" i="2" s="1"/>
  <c r="L3273" i="2"/>
  <c r="M3273" i="2" s="1"/>
  <c r="L3272" i="2"/>
  <c r="M3272" i="2" s="1"/>
  <c r="L3271" i="2"/>
  <c r="M3271" i="2" s="1"/>
  <c r="L3270" i="2"/>
  <c r="M3270" i="2" s="1"/>
  <c r="L3269" i="2"/>
  <c r="M3269" i="2" s="1"/>
  <c r="L3268" i="2"/>
  <c r="M3268" i="2" s="1"/>
  <c r="L3267" i="2"/>
  <c r="M3267" i="2" s="1"/>
  <c r="L3266" i="2"/>
  <c r="M3266" i="2" s="1"/>
  <c r="L3265" i="2"/>
  <c r="M3265" i="2" s="1"/>
  <c r="L3264" i="2"/>
  <c r="M3264" i="2" s="1"/>
  <c r="L3263" i="2"/>
  <c r="M3263" i="2" s="1"/>
  <c r="L3262" i="2"/>
  <c r="M3262" i="2" s="1"/>
  <c r="L3261" i="2"/>
  <c r="M3261" i="2" s="1"/>
  <c r="L3260" i="2"/>
  <c r="M3260" i="2" s="1"/>
  <c r="L3259" i="2"/>
  <c r="M3259" i="2" s="1"/>
  <c r="L3258" i="2"/>
  <c r="M3258" i="2" s="1"/>
  <c r="L3257" i="2"/>
  <c r="M3257" i="2" s="1"/>
  <c r="L3256" i="2"/>
  <c r="M3256" i="2" s="1"/>
  <c r="L3255" i="2"/>
  <c r="M3255" i="2" s="1"/>
  <c r="L3254" i="2"/>
  <c r="M3254" i="2" s="1"/>
  <c r="L3253" i="2"/>
  <c r="M3253" i="2" s="1"/>
  <c r="L3252" i="2"/>
  <c r="M3252" i="2" s="1"/>
  <c r="L3251" i="2"/>
  <c r="M3251" i="2" s="1"/>
  <c r="L3250" i="2"/>
  <c r="M3250" i="2" s="1"/>
  <c r="L3249" i="2"/>
  <c r="M3249" i="2" s="1"/>
  <c r="L3248" i="2"/>
  <c r="M3248" i="2" s="1"/>
  <c r="L3247" i="2"/>
  <c r="M3247" i="2" s="1"/>
  <c r="L3246" i="2"/>
  <c r="M3246" i="2" s="1"/>
  <c r="L3245" i="2"/>
  <c r="M3245" i="2" s="1"/>
  <c r="L3244" i="2"/>
  <c r="M3244" i="2" s="1"/>
  <c r="L3243" i="2"/>
  <c r="M3243" i="2" s="1"/>
  <c r="L3242" i="2"/>
  <c r="M3242" i="2" s="1"/>
  <c r="L3241" i="2"/>
  <c r="M3241" i="2" s="1"/>
  <c r="L3240" i="2"/>
  <c r="M3240" i="2" s="1"/>
  <c r="L3239" i="2"/>
  <c r="M3239" i="2" s="1"/>
  <c r="L3238" i="2"/>
  <c r="M3238" i="2" s="1"/>
  <c r="L3237" i="2"/>
  <c r="M3237" i="2" s="1"/>
  <c r="L3236" i="2"/>
  <c r="M3236" i="2" s="1"/>
  <c r="L3235" i="2"/>
  <c r="M3235" i="2" s="1"/>
  <c r="L3234" i="2"/>
  <c r="M3234" i="2" s="1"/>
  <c r="L3233" i="2"/>
  <c r="M3233" i="2" s="1"/>
  <c r="L3232" i="2"/>
  <c r="M3232" i="2" s="1"/>
  <c r="L3231" i="2"/>
  <c r="M3231" i="2" s="1"/>
  <c r="L3230" i="2"/>
  <c r="M3230" i="2" s="1"/>
  <c r="L3229" i="2"/>
  <c r="M3229" i="2" s="1"/>
  <c r="L3228" i="2"/>
  <c r="M3228" i="2" s="1"/>
  <c r="L3227" i="2"/>
  <c r="M3227" i="2" s="1"/>
  <c r="L3226" i="2"/>
  <c r="M3226" i="2" s="1"/>
  <c r="L3225" i="2"/>
  <c r="M3225" i="2" s="1"/>
  <c r="L3224" i="2"/>
  <c r="M3224" i="2" s="1"/>
  <c r="L3223" i="2"/>
  <c r="M3223" i="2" s="1"/>
  <c r="L3222" i="2"/>
  <c r="M3222" i="2" s="1"/>
  <c r="L3221" i="2"/>
  <c r="M3221" i="2" s="1"/>
  <c r="L3220" i="2"/>
  <c r="M3220" i="2" s="1"/>
  <c r="L3219" i="2"/>
  <c r="M3219" i="2" s="1"/>
  <c r="L3218" i="2"/>
  <c r="M3218" i="2" s="1"/>
  <c r="L3217" i="2"/>
  <c r="M3217" i="2" s="1"/>
  <c r="L3216" i="2"/>
  <c r="M3216" i="2" s="1"/>
  <c r="L3215" i="2"/>
  <c r="M3215" i="2" s="1"/>
  <c r="L3214" i="2"/>
  <c r="M3214" i="2" s="1"/>
  <c r="L3213" i="2"/>
  <c r="M3213" i="2" s="1"/>
  <c r="L3212" i="2"/>
  <c r="M3212" i="2" s="1"/>
  <c r="L3211" i="2"/>
  <c r="M3211" i="2" s="1"/>
  <c r="L3210" i="2"/>
  <c r="M3210" i="2" s="1"/>
  <c r="L3209" i="2"/>
  <c r="M3209" i="2" s="1"/>
  <c r="L3208" i="2"/>
  <c r="M3208" i="2" s="1"/>
  <c r="L3207" i="2"/>
  <c r="M3207" i="2" s="1"/>
  <c r="L3206" i="2"/>
  <c r="M3206" i="2" s="1"/>
  <c r="L3205" i="2"/>
  <c r="M3205" i="2" s="1"/>
  <c r="L3204" i="2"/>
  <c r="M3204" i="2" s="1"/>
  <c r="L3203" i="2"/>
  <c r="M3203" i="2" s="1"/>
  <c r="L3202" i="2"/>
  <c r="M3202" i="2" s="1"/>
  <c r="L3201" i="2"/>
  <c r="M3201" i="2" s="1"/>
  <c r="L3200" i="2"/>
  <c r="M3200" i="2" s="1"/>
  <c r="L3199" i="2"/>
  <c r="M3199" i="2" s="1"/>
  <c r="L3198" i="2"/>
  <c r="M3198" i="2" s="1"/>
  <c r="L3197" i="2"/>
  <c r="M3197" i="2" s="1"/>
  <c r="L3196" i="2"/>
  <c r="M3196" i="2" s="1"/>
  <c r="L3195" i="2"/>
  <c r="M3195" i="2" s="1"/>
  <c r="L3194" i="2"/>
  <c r="M3194" i="2" s="1"/>
  <c r="L3193" i="2"/>
  <c r="M3193" i="2" s="1"/>
  <c r="L3192" i="2"/>
  <c r="M3192" i="2" s="1"/>
  <c r="L3191" i="2"/>
  <c r="M3191" i="2" s="1"/>
  <c r="L3190" i="2"/>
  <c r="M3190" i="2" s="1"/>
  <c r="L3189" i="2"/>
  <c r="M3189" i="2" s="1"/>
  <c r="L3188" i="2"/>
  <c r="M3188" i="2" s="1"/>
  <c r="L3187" i="2"/>
  <c r="M3187" i="2" s="1"/>
  <c r="L3186" i="2"/>
  <c r="M3186" i="2" s="1"/>
  <c r="L3185" i="2"/>
  <c r="M3185" i="2" s="1"/>
  <c r="L3184" i="2"/>
  <c r="M3184" i="2" s="1"/>
  <c r="L3183" i="2"/>
  <c r="M3183" i="2" s="1"/>
  <c r="L3182" i="2"/>
  <c r="M3182" i="2" s="1"/>
  <c r="L3181" i="2"/>
  <c r="M3181" i="2" s="1"/>
  <c r="L3180" i="2"/>
  <c r="M3180" i="2" s="1"/>
  <c r="L3179" i="2"/>
  <c r="M3179" i="2" s="1"/>
  <c r="L3178" i="2"/>
  <c r="M3178" i="2" s="1"/>
  <c r="L3177" i="2"/>
  <c r="M3177" i="2" s="1"/>
  <c r="L3176" i="2"/>
  <c r="M3176" i="2" s="1"/>
  <c r="L3175" i="2"/>
  <c r="M3175" i="2" s="1"/>
  <c r="L3174" i="2"/>
  <c r="M3174" i="2" s="1"/>
  <c r="L3173" i="2"/>
  <c r="M3173" i="2" s="1"/>
  <c r="L3172" i="2"/>
  <c r="M3172" i="2" s="1"/>
  <c r="L3171" i="2"/>
  <c r="M3171" i="2" s="1"/>
  <c r="L3170" i="2"/>
  <c r="M3170" i="2" s="1"/>
  <c r="L3169" i="2"/>
  <c r="M3169" i="2" s="1"/>
  <c r="L3168" i="2"/>
  <c r="M3168" i="2" s="1"/>
  <c r="L3167" i="2"/>
  <c r="M3167" i="2" s="1"/>
  <c r="L3166" i="2"/>
  <c r="M3166" i="2" s="1"/>
  <c r="L3165" i="2"/>
  <c r="M3165" i="2" s="1"/>
  <c r="L3164" i="2"/>
  <c r="M3164" i="2" s="1"/>
  <c r="L3163" i="2"/>
  <c r="M3163" i="2" s="1"/>
  <c r="L3162" i="2"/>
  <c r="M3162" i="2" s="1"/>
  <c r="L3161" i="2"/>
  <c r="M3161" i="2" s="1"/>
  <c r="L3160" i="2"/>
  <c r="M3160" i="2" s="1"/>
  <c r="L3159" i="2"/>
  <c r="M3159" i="2" s="1"/>
  <c r="L3158" i="2"/>
  <c r="M3158" i="2" s="1"/>
  <c r="L3157" i="2"/>
  <c r="M3157" i="2" s="1"/>
  <c r="L3156" i="2"/>
  <c r="M3156" i="2" s="1"/>
  <c r="L3155" i="2"/>
  <c r="M3155" i="2" s="1"/>
  <c r="L3154" i="2"/>
  <c r="M3154" i="2" s="1"/>
  <c r="L3153" i="2"/>
  <c r="M3153" i="2" s="1"/>
  <c r="L3152" i="2"/>
  <c r="M3152" i="2" s="1"/>
  <c r="L3151" i="2"/>
  <c r="M3151" i="2" s="1"/>
  <c r="L3150" i="2"/>
  <c r="M3150" i="2" s="1"/>
  <c r="L3149" i="2"/>
  <c r="M3149" i="2" s="1"/>
  <c r="L3148" i="2"/>
  <c r="M3148" i="2" s="1"/>
  <c r="L3147" i="2"/>
  <c r="M3147" i="2" s="1"/>
  <c r="L3146" i="2"/>
  <c r="M3146" i="2" s="1"/>
  <c r="L3145" i="2"/>
  <c r="M3145" i="2" s="1"/>
  <c r="L3144" i="2"/>
  <c r="M3144" i="2" s="1"/>
  <c r="L3143" i="2"/>
  <c r="M3143" i="2" s="1"/>
  <c r="L3142" i="2"/>
  <c r="M3142" i="2" s="1"/>
  <c r="L3141" i="2"/>
  <c r="M3141" i="2" s="1"/>
  <c r="L3140" i="2"/>
  <c r="M3140" i="2" s="1"/>
  <c r="L3139" i="2"/>
  <c r="M3139" i="2" s="1"/>
  <c r="L3138" i="2"/>
  <c r="M3138" i="2" s="1"/>
  <c r="L3137" i="2"/>
  <c r="M3137" i="2" s="1"/>
  <c r="L3136" i="2"/>
  <c r="M3136" i="2" s="1"/>
  <c r="L3135" i="2"/>
  <c r="M3135" i="2" s="1"/>
  <c r="L3134" i="2"/>
  <c r="M3134" i="2" s="1"/>
  <c r="L3133" i="2"/>
  <c r="M3133" i="2" s="1"/>
  <c r="L3132" i="2"/>
  <c r="M3132" i="2" s="1"/>
  <c r="L3131" i="2"/>
  <c r="M3131" i="2" s="1"/>
  <c r="L3130" i="2"/>
  <c r="M3130" i="2" s="1"/>
  <c r="L3129" i="2"/>
  <c r="M3129" i="2" s="1"/>
  <c r="L3128" i="2"/>
  <c r="M3128" i="2" s="1"/>
  <c r="L3127" i="2"/>
  <c r="M3127" i="2" s="1"/>
  <c r="L3126" i="2"/>
  <c r="M3126" i="2" s="1"/>
  <c r="L3125" i="2"/>
  <c r="M3125" i="2" s="1"/>
  <c r="L3124" i="2"/>
  <c r="M3124" i="2" s="1"/>
  <c r="L3123" i="2"/>
  <c r="M3123" i="2" s="1"/>
  <c r="L3122" i="2"/>
  <c r="M3122" i="2" s="1"/>
  <c r="L3121" i="2"/>
  <c r="M3121" i="2" s="1"/>
  <c r="L3120" i="2"/>
  <c r="M3120" i="2" s="1"/>
  <c r="L3119" i="2"/>
  <c r="M3119" i="2" s="1"/>
  <c r="L3118" i="2"/>
  <c r="M3118" i="2" s="1"/>
  <c r="L3117" i="2"/>
  <c r="M3117" i="2" s="1"/>
  <c r="L3116" i="2"/>
  <c r="M3116" i="2" s="1"/>
  <c r="L3115" i="2"/>
  <c r="M3115" i="2" s="1"/>
  <c r="L3114" i="2"/>
  <c r="M3114" i="2" s="1"/>
  <c r="L3113" i="2"/>
  <c r="M3113" i="2" s="1"/>
  <c r="L3112" i="2"/>
  <c r="M3112" i="2" s="1"/>
  <c r="L3111" i="2"/>
  <c r="M3111" i="2" s="1"/>
  <c r="L3110" i="2"/>
  <c r="M3110" i="2" s="1"/>
  <c r="L3109" i="2"/>
  <c r="M3109" i="2" s="1"/>
  <c r="L3108" i="2"/>
  <c r="M3108" i="2" s="1"/>
  <c r="L3107" i="2"/>
  <c r="M3107" i="2" s="1"/>
  <c r="L3106" i="2"/>
  <c r="M3106" i="2" s="1"/>
  <c r="L3105" i="2"/>
  <c r="M3105" i="2" s="1"/>
  <c r="L3104" i="2"/>
  <c r="M3104" i="2" s="1"/>
  <c r="L3103" i="2"/>
  <c r="M3103" i="2" s="1"/>
  <c r="L3102" i="2"/>
  <c r="M3102" i="2" s="1"/>
  <c r="L3101" i="2"/>
  <c r="M3101" i="2" s="1"/>
  <c r="L3100" i="2"/>
  <c r="M3100" i="2" s="1"/>
  <c r="L3099" i="2"/>
  <c r="M3099" i="2" s="1"/>
  <c r="L3098" i="2"/>
  <c r="M3098" i="2" s="1"/>
  <c r="L3097" i="2"/>
  <c r="M3097" i="2" s="1"/>
  <c r="L3096" i="2"/>
  <c r="M3096" i="2" s="1"/>
  <c r="L3095" i="2"/>
  <c r="M3095" i="2" s="1"/>
  <c r="L3094" i="2"/>
  <c r="M3094" i="2" s="1"/>
  <c r="L3093" i="2"/>
  <c r="M3093" i="2" s="1"/>
  <c r="L3092" i="2"/>
  <c r="M3092" i="2" s="1"/>
  <c r="L3091" i="2"/>
  <c r="M3091" i="2" s="1"/>
  <c r="L3090" i="2"/>
  <c r="M3090" i="2" s="1"/>
  <c r="L3089" i="2"/>
  <c r="M3089" i="2" s="1"/>
  <c r="L3088" i="2"/>
  <c r="M3088" i="2" s="1"/>
  <c r="L3087" i="2"/>
  <c r="M3087" i="2" s="1"/>
  <c r="L3086" i="2"/>
  <c r="M3086" i="2" s="1"/>
  <c r="L3085" i="2"/>
  <c r="M3085" i="2" s="1"/>
  <c r="L3084" i="2"/>
  <c r="M3084" i="2" s="1"/>
  <c r="L3083" i="2"/>
  <c r="M3083" i="2" s="1"/>
  <c r="L3082" i="2"/>
  <c r="M3082" i="2" s="1"/>
  <c r="L3081" i="2"/>
  <c r="M3081" i="2" s="1"/>
  <c r="L3080" i="2"/>
  <c r="M3080" i="2" s="1"/>
  <c r="L3079" i="2"/>
  <c r="M3079" i="2" s="1"/>
  <c r="L3078" i="2"/>
  <c r="M3078" i="2" s="1"/>
  <c r="L3077" i="2"/>
  <c r="M3077" i="2" s="1"/>
  <c r="L3076" i="2"/>
  <c r="M3076" i="2" s="1"/>
  <c r="L3075" i="2"/>
  <c r="M3075" i="2" s="1"/>
  <c r="L3074" i="2"/>
  <c r="M3074" i="2" s="1"/>
  <c r="L3073" i="2"/>
  <c r="M3073" i="2" s="1"/>
  <c r="L3072" i="2"/>
  <c r="M3072" i="2" s="1"/>
  <c r="L3071" i="2"/>
  <c r="M3071" i="2" s="1"/>
  <c r="L3070" i="2"/>
  <c r="M3070" i="2" s="1"/>
  <c r="L3069" i="2"/>
  <c r="M3069" i="2" s="1"/>
  <c r="L3068" i="2"/>
  <c r="M3068" i="2" s="1"/>
  <c r="L3067" i="2"/>
  <c r="M3067" i="2" s="1"/>
  <c r="L3066" i="2"/>
  <c r="M3066" i="2" s="1"/>
  <c r="L3065" i="2"/>
  <c r="M3065" i="2" s="1"/>
  <c r="L3064" i="2"/>
  <c r="M3064" i="2" s="1"/>
  <c r="L3063" i="2"/>
  <c r="M3063" i="2" s="1"/>
  <c r="L3062" i="2"/>
  <c r="M3062" i="2" s="1"/>
  <c r="L3061" i="2"/>
  <c r="M3061" i="2" s="1"/>
  <c r="L3060" i="2"/>
  <c r="M3060" i="2" s="1"/>
  <c r="L3059" i="2"/>
  <c r="M3059" i="2" s="1"/>
  <c r="L3058" i="2"/>
  <c r="M3058" i="2" s="1"/>
  <c r="L3057" i="2"/>
  <c r="M3057" i="2" s="1"/>
  <c r="L3056" i="2"/>
  <c r="M3056" i="2" s="1"/>
  <c r="L3055" i="2"/>
  <c r="M3055" i="2" s="1"/>
  <c r="L3054" i="2"/>
  <c r="M3054" i="2" s="1"/>
  <c r="L3053" i="2"/>
  <c r="M3053" i="2" s="1"/>
  <c r="L3052" i="2"/>
  <c r="M3052" i="2" s="1"/>
  <c r="L3051" i="2"/>
  <c r="M3051" i="2" s="1"/>
  <c r="L3050" i="2"/>
  <c r="M3050" i="2" s="1"/>
  <c r="L3049" i="2"/>
  <c r="M3049" i="2" s="1"/>
  <c r="L3048" i="2"/>
  <c r="M3048" i="2" s="1"/>
  <c r="L3047" i="2"/>
  <c r="M3047" i="2" s="1"/>
  <c r="L3046" i="2"/>
  <c r="M3046" i="2" s="1"/>
  <c r="L3045" i="2"/>
  <c r="M3045" i="2" s="1"/>
  <c r="L3044" i="2"/>
  <c r="M3044" i="2" s="1"/>
  <c r="L3043" i="2"/>
  <c r="M3043" i="2" s="1"/>
  <c r="L3042" i="2"/>
  <c r="M3042" i="2" s="1"/>
  <c r="L3041" i="2"/>
  <c r="M3041" i="2" s="1"/>
  <c r="L3040" i="2"/>
  <c r="M3040" i="2" s="1"/>
  <c r="L3039" i="2"/>
  <c r="M3039" i="2" s="1"/>
  <c r="L3038" i="2"/>
  <c r="M3038" i="2" s="1"/>
  <c r="L3037" i="2"/>
  <c r="M3037" i="2" s="1"/>
  <c r="L3036" i="2"/>
  <c r="M3036" i="2" s="1"/>
  <c r="L3035" i="2"/>
  <c r="M3035" i="2" s="1"/>
  <c r="L3034" i="2"/>
  <c r="M3034" i="2" s="1"/>
  <c r="L3033" i="2"/>
  <c r="M3033" i="2" s="1"/>
  <c r="L3032" i="2"/>
  <c r="M3032" i="2" s="1"/>
  <c r="L3031" i="2"/>
  <c r="M3031" i="2" s="1"/>
  <c r="L3030" i="2"/>
  <c r="M3030" i="2" s="1"/>
  <c r="L3029" i="2"/>
  <c r="M3029" i="2" s="1"/>
  <c r="L3028" i="2"/>
  <c r="M3028" i="2" s="1"/>
  <c r="L3027" i="2"/>
  <c r="M3027" i="2" s="1"/>
  <c r="L3026" i="2"/>
  <c r="M3026" i="2" s="1"/>
  <c r="L3025" i="2"/>
  <c r="M3025" i="2" s="1"/>
  <c r="L3024" i="2"/>
  <c r="M3024" i="2" s="1"/>
  <c r="L3023" i="2"/>
  <c r="M3023" i="2" s="1"/>
  <c r="L3022" i="2"/>
  <c r="M3022" i="2" s="1"/>
  <c r="L3021" i="2"/>
  <c r="M3021" i="2" s="1"/>
  <c r="L3020" i="2"/>
  <c r="M3020" i="2" s="1"/>
  <c r="L3019" i="2"/>
  <c r="M3019" i="2" s="1"/>
  <c r="L3018" i="2"/>
  <c r="M3018" i="2" s="1"/>
  <c r="L3017" i="2"/>
  <c r="M3017" i="2" s="1"/>
  <c r="L3016" i="2"/>
  <c r="M3016" i="2" s="1"/>
  <c r="L3015" i="2"/>
  <c r="M3015" i="2" s="1"/>
  <c r="L3014" i="2"/>
  <c r="M3014" i="2" s="1"/>
  <c r="L3013" i="2"/>
  <c r="M3013" i="2" s="1"/>
  <c r="L3012" i="2"/>
  <c r="M3012" i="2" s="1"/>
  <c r="L3011" i="2"/>
  <c r="M3011" i="2" s="1"/>
  <c r="L3010" i="2"/>
  <c r="M3010" i="2" s="1"/>
  <c r="L3009" i="2"/>
  <c r="M3009" i="2" s="1"/>
  <c r="L3008" i="2"/>
  <c r="M3008" i="2" s="1"/>
  <c r="L3007" i="2"/>
  <c r="M3007" i="2" s="1"/>
  <c r="L3006" i="2"/>
  <c r="M3006" i="2" s="1"/>
  <c r="L3005" i="2"/>
  <c r="M3005" i="2" s="1"/>
  <c r="L3004" i="2"/>
  <c r="M3004" i="2" s="1"/>
  <c r="L3003" i="2"/>
  <c r="M3003" i="2" s="1"/>
  <c r="L3002" i="2"/>
  <c r="M3002" i="2" s="1"/>
  <c r="L3001" i="2"/>
  <c r="M3001" i="2" s="1"/>
  <c r="L3000" i="2"/>
  <c r="M3000" i="2" s="1"/>
  <c r="L2999" i="2"/>
  <c r="M2999" i="2" s="1"/>
  <c r="L2998" i="2"/>
  <c r="M2998" i="2" s="1"/>
  <c r="L2997" i="2"/>
  <c r="M2997" i="2" s="1"/>
  <c r="L2996" i="2"/>
  <c r="M2996" i="2" s="1"/>
  <c r="L2995" i="2"/>
  <c r="M2995" i="2" s="1"/>
  <c r="L2994" i="2"/>
  <c r="M2994" i="2" s="1"/>
  <c r="L2993" i="2"/>
  <c r="M2993" i="2" s="1"/>
  <c r="L2992" i="2"/>
  <c r="M2992" i="2" s="1"/>
  <c r="L2991" i="2"/>
  <c r="M2991" i="2" s="1"/>
  <c r="L2990" i="2"/>
  <c r="M2990" i="2" s="1"/>
  <c r="L2989" i="2"/>
  <c r="M2989" i="2" s="1"/>
  <c r="L2988" i="2"/>
  <c r="M2988" i="2" s="1"/>
  <c r="L2987" i="2"/>
  <c r="M2987" i="2" s="1"/>
  <c r="L2986" i="2"/>
  <c r="M2986" i="2" s="1"/>
  <c r="L2985" i="2"/>
  <c r="M2985" i="2" s="1"/>
  <c r="L2984" i="2"/>
  <c r="M2984" i="2" s="1"/>
  <c r="L2983" i="2"/>
  <c r="M2983" i="2" s="1"/>
  <c r="L2982" i="2"/>
  <c r="M2982" i="2" s="1"/>
  <c r="L2981" i="2"/>
  <c r="M2981" i="2" s="1"/>
  <c r="L2980" i="2"/>
  <c r="M2980" i="2" s="1"/>
  <c r="L2979" i="2"/>
  <c r="M2979" i="2" s="1"/>
  <c r="L2978" i="2"/>
  <c r="M2978" i="2" s="1"/>
  <c r="L2977" i="2"/>
  <c r="M2977" i="2" s="1"/>
  <c r="L2976" i="2"/>
  <c r="M2976" i="2" s="1"/>
  <c r="L2975" i="2"/>
  <c r="M2975" i="2" s="1"/>
  <c r="L2974" i="2"/>
  <c r="M2974" i="2" s="1"/>
  <c r="L2973" i="2"/>
  <c r="M2973" i="2" s="1"/>
  <c r="L2972" i="2"/>
  <c r="M2972" i="2" s="1"/>
  <c r="L2971" i="2"/>
  <c r="M2971" i="2" s="1"/>
  <c r="L2970" i="2"/>
  <c r="M2970" i="2" s="1"/>
  <c r="L2969" i="2"/>
  <c r="M2969" i="2" s="1"/>
  <c r="L2968" i="2"/>
  <c r="M2968" i="2" s="1"/>
  <c r="L2967" i="2"/>
  <c r="M2967" i="2" s="1"/>
  <c r="L2966" i="2"/>
  <c r="M2966" i="2" s="1"/>
  <c r="L2965" i="2"/>
  <c r="M2965" i="2" s="1"/>
  <c r="L2964" i="2"/>
  <c r="M2964" i="2" s="1"/>
  <c r="L2963" i="2"/>
  <c r="M2963" i="2" s="1"/>
  <c r="L2962" i="2"/>
  <c r="M2962" i="2" s="1"/>
  <c r="L2961" i="2"/>
  <c r="M2961" i="2" s="1"/>
  <c r="L2960" i="2"/>
  <c r="M2960" i="2" s="1"/>
  <c r="L2959" i="2"/>
  <c r="M2959" i="2" s="1"/>
  <c r="L2958" i="2"/>
  <c r="M2958" i="2" s="1"/>
  <c r="L2957" i="2"/>
  <c r="M2957" i="2" s="1"/>
  <c r="L2956" i="2"/>
  <c r="M2956" i="2" s="1"/>
  <c r="L2955" i="2"/>
  <c r="M2955" i="2" s="1"/>
  <c r="L2954" i="2"/>
  <c r="M2954" i="2" s="1"/>
  <c r="L2953" i="2"/>
  <c r="M2953" i="2" s="1"/>
  <c r="L2952" i="2"/>
  <c r="M2952" i="2" s="1"/>
  <c r="L2951" i="2"/>
  <c r="M2951" i="2" s="1"/>
  <c r="L2950" i="2"/>
  <c r="M2950" i="2" s="1"/>
  <c r="L2949" i="2"/>
  <c r="M2949" i="2" s="1"/>
  <c r="L2948" i="2"/>
  <c r="M2948" i="2" s="1"/>
  <c r="L2947" i="2"/>
  <c r="M2947" i="2" s="1"/>
  <c r="L2946" i="2"/>
  <c r="M2946" i="2" s="1"/>
  <c r="L2945" i="2"/>
  <c r="M2945" i="2" s="1"/>
  <c r="L2944" i="2"/>
  <c r="M2944" i="2" s="1"/>
  <c r="L2943" i="2"/>
  <c r="M2943" i="2" s="1"/>
  <c r="L2942" i="2"/>
  <c r="M2942" i="2" s="1"/>
  <c r="L2941" i="2"/>
  <c r="M2941" i="2" s="1"/>
  <c r="L2940" i="2"/>
  <c r="M2940" i="2" s="1"/>
  <c r="L2939" i="2"/>
  <c r="M2939" i="2" s="1"/>
  <c r="L2938" i="2"/>
  <c r="M2938" i="2" s="1"/>
  <c r="L2937" i="2"/>
  <c r="M2937" i="2" s="1"/>
  <c r="L2936" i="2"/>
  <c r="M2936" i="2" s="1"/>
  <c r="L2935" i="2"/>
  <c r="M2935" i="2" s="1"/>
  <c r="L2934" i="2"/>
  <c r="M2934" i="2" s="1"/>
  <c r="L2933" i="2"/>
  <c r="M2933" i="2" s="1"/>
  <c r="L2932" i="2"/>
  <c r="M2932" i="2" s="1"/>
  <c r="L2931" i="2"/>
  <c r="M2931" i="2" s="1"/>
  <c r="L2930" i="2"/>
  <c r="M2930" i="2" s="1"/>
  <c r="L2929" i="2"/>
  <c r="M2929" i="2" s="1"/>
  <c r="L2928" i="2"/>
  <c r="M2928" i="2" s="1"/>
  <c r="L2927" i="2"/>
  <c r="M2927" i="2" s="1"/>
  <c r="L2926" i="2"/>
  <c r="M2926" i="2" s="1"/>
  <c r="L2925" i="2"/>
  <c r="M2925" i="2" s="1"/>
  <c r="L2924" i="2"/>
  <c r="M2924" i="2" s="1"/>
  <c r="L2923" i="2"/>
  <c r="M2923" i="2" s="1"/>
  <c r="L2922" i="2"/>
  <c r="M2922" i="2" s="1"/>
  <c r="L2921" i="2"/>
  <c r="M2921" i="2" s="1"/>
  <c r="L2920" i="2"/>
  <c r="M2920" i="2" s="1"/>
  <c r="L2919" i="2"/>
  <c r="M2919" i="2" s="1"/>
  <c r="L2918" i="2"/>
  <c r="M2918" i="2" s="1"/>
  <c r="L2917" i="2"/>
  <c r="M2917" i="2" s="1"/>
  <c r="L2916" i="2"/>
  <c r="M2916" i="2" s="1"/>
  <c r="L2915" i="2"/>
  <c r="M2915" i="2" s="1"/>
  <c r="L2914" i="2"/>
  <c r="M2914" i="2" s="1"/>
  <c r="L2913" i="2"/>
  <c r="M2913" i="2" s="1"/>
  <c r="L2912" i="2"/>
  <c r="M2912" i="2" s="1"/>
  <c r="L2911" i="2"/>
  <c r="M2911" i="2" s="1"/>
  <c r="L2910" i="2"/>
  <c r="M2910" i="2" s="1"/>
  <c r="L2909" i="2"/>
  <c r="M2909" i="2" s="1"/>
  <c r="L2908" i="2"/>
  <c r="M2908" i="2" s="1"/>
  <c r="L2907" i="2"/>
  <c r="M2907" i="2" s="1"/>
  <c r="L2906" i="2"/>
  <c r="M2906" i="2" s="1"/>
  <c r="L2905" i="2"/>
  <c r="M2905" i="2" s="1"/>
  <c r="L2904" i="2"/>
  <c r="M2904" i="2" s="1"/>
  <c r="L2903" i="2"/>
  <c r="M2903" i="2" s="1"/>
  <c r="L2902" i="2"/>
  <c r="M2902" i="2" s="1"/>
  <c r="L2901" i="2"/>
  <c r="M2901" i="2" s="1"/>
  <c r="L2900" i="2"/>
  <c r="M2900" i="2" s="1"/>
  <c r="L2899" i="2"/>
  <c r="M2899" i="2" s="1"/>
  <c r="L2898" i="2"/>
  <c r="M2898" i="2" s="1"/>
  <c r="L2897" i="2"/>
  <c r="M2897" i="2" s="1"/>
  <c r="L2896" i="2"/>
  <c r="M2896" i="2" s="1"/>
  <c r="L2895" i="2"/>
  <c r="M2895" i="2" s="1"/>
  <c r="L2894" i="2"/>
  <c r="M2894" i="2" s="1"/>
  <c r="L2893" i="2"/>
  <c r="M2893" i="2" s="1"/>
  <c r="L2892" i="2"/>
  <c r="M2892" i="2" s="1"/>
  <c r="L2891" i="2"/>
  <c r="M2891" i="2" s="1"/>
  <c r="L2890" i="2"/>
  <c r="M2890" i="2" s="1"/>
  <c r="L2889" i="2"/>
  <c r="M2889" i="2" s="1"/>
  <c r="L2888" i="2"/>
  <c r="M2888" i="2" s="1"/>
  <c r="L2887" i="2"/>
  <c r="M2887" i="2" s="1"/>
  <c r="L2886" i="2"/>
  <c r="M2886" i="2" s="1"/>
  <c r="L2885" i="2"/>
  <c r="M2885" i="2" s="1"/>
  <c r="L2884" i="2"/>
  <c r="M2884" i="2" s="1"/>
  <c r="L2883" i="2"/>
  <c r="M2883" i="2" s="1"/>
  <c r="L2882" i="2"/>
  <c r="M2882" i="2" s="1"/>
  <c r="L2881" i="2"/>
  <c r="M2881" i="2" s="1"/>
  <c r="L2880" i="2"/>
  <c r="M2880" i="2" s="1"/>
  <c r="L2879" i="2"/>
  <c r="M2879" i="2" s="1"/>
  <c r="L2878" i="2"/>
  <c r="M2878" i="2" s="1"/>
  <c r="L2877" i="2"/>
  <c r="M2877" i="2" s="1"/>
  <c r="L2876" i="2"/>
  <c r="M2876" i="2" s="1"/>
  <c r="L2875" i="2"/>
  <c r="M2875" i="2" s="1"/>
  <c r="L2874" i="2"/>
  <c r="M2874" i="2" s="1"/>
  <c r="L2873" i="2"/>
  <c r="M2873" i="2" s="1"/>
  <c r="L2872" i="2"/>
  <c r="M2872" i="2" s="1"/>
  <c r="L2871" i="2"/>
  <c r="M2871" i="2" s="1"/>
  <c r="L2870" i="2"/>
  <c r="M2870" i="2" s="1"/>
  <c r="L2869" i="2"/>
  <c r="M2869" i="2" s="1"/>
  <c r="L2868" i="2"/>
  <c r="M2868" i="2" s="1"/>
  <c r="L2867" i="2"/>
  <c r="M2867" i="2" s="1"/>
  <c r="L2866" i="2"/>
  <c r="M2866" i="2" s="1"/>
  <c r="L2865" i="2"/>
  <c r="M2865" i="2" s="1"/>
  <c r="L2864" i="2"/>
  <c r="M2864" i="2" s="1"/>
  <c r="L2863" i="2"/>
  <c r="M2863" i="2" s="1"/>
  <c r="L2862" i="2"/>
  <c r="M2862" i="2" s="1"/>
  <c r="L2861" i="2"/>
  <c r="M2861" i="2" s="1"/>
  <c r="L2860" i="2"/>
  <c r="M2860" i="2" s="1"/>
  <c r="L2859" i="2"/>
  <c r="M2859" i="2" s="1"/>
  <c r="L2858" i="2"/>
  <c r="M2858" i="2" s="1"/>
  <c r="L2857" i="2"/>
  <c r="M2857" i="2" s="1"/>
  <c r="L2856" i="2"/>
  <c r="M2856" i="2" s="1"/>
  <c r="L2855" i="2"/>
  <c r="M2855" i="2" s="1"/>
  <c r="L2854" i="2"/>
  <c r="M2854" i="2" s="1"/>
  <c r="L2853" i="2"/>
  <c r="M2853" i="2" s="1"/>
  <c r="L2852" i="2"/>
  <c r="M2852" i="2" s="1"/>
  <c r="L2851" i="2"/>
  <c r="M2851" i="2" s="1"/>
  <c r="L2850" i="2"/>
  <c r="M2850" i="2" s="1"/>
  <c r="L2849" i="2"/>
  <c r="M2849" i="2" s="1"/>
  <c r="L2848" i="2"/>
  <c r="M2848" i="2" s="1"/>
  <c r="L2847" i="2"/>
  <c r="M2847" i="2" s="1"/>
  <c r="L2846" i="2"/>
  <c r="M2846" i="2" s="1"/>
  <c r="L2845" i="2"/>
  <c r="M2845" i="2" s="1"/>
  <c r="L2844" i="2"/>
  <c r="M2844" i="2" s="1"/>
  <c r="L2843" i="2"/>
  <c r="M2843" i="2" s="1"/>
  <c r="L2842" i="2"/>
  <c r="M2842" i="2" s="1"/>
  <c r="L2841" i="2"/>
  <c r="M2841" i="2" s="1"/>
  <c r="L2840" i="2"/>
  <c r="M2840" i="2" s="1"/>
  <c r="L2839" i="2"/>
  <c r="M2839" i="2" s="1"/>
  <c r="L2838" i="2"/>
  <c r="M2838" i="2" s="1"/>
  <c r="L2837" i="2"/>
  <c r="M2837" i="2" s="1"/>
  <c r="L2836" i="2"/>
  <c r="M2836" i="2" s="1"/>
  <c r="L2835" i="2"/>
  <c r="M2835" i="2" s="1"/>
  <c r="L2834" i="2"/>
  <c r="M2834" i="2" s="1"/>
  <c r="L2833" i="2"/>
  <c r="M2833" i="2" s="1"/>
  <c r="L2832" i="2"/>
  <c r="M2832" i="2" s="1"/>
  <c r="L2831" i="2"/>
  <c r="M2831" i="2" s="1"/>
  <c r="L2830" i="2"/>
  <c r="M2830" i="2" s="1"/>
  <c r="L2829" i="2"/>
  <c r="M2829" i="2" s="1"/>
  <c r="L2828" i="2"/>
  <c r="M2828" i="2" s="1"/>
  <c r="L2827" i="2"/>
  <c r="M2827" i="2" s="1"/>
  <c r="L2826" i="2"/>
  <c r="M2826" i="2" s="1"/>
  <c r="L2825" i="2"/>
  <c r="M2825" i="2" s="1"/>
  <c r="L2824" i="2"/>
  <c r="M2824" i="2" s="1"/>
  <c r="L2823" i="2"/>
  <c r="M2823" i="2" s="1"/>
  <c r="L2822" i="2"/>
  <c r="M2822" i="2" s="1"/>
  <c r="L2821" i="2"/>
  <c r="M2821" i="2" s="1"/>
  <c r="L2820" i="2"/>
  <c r="M2820" i="2" s="1"/>
  <c r="L2819" i="2"/>
  <c r="M2819" i="2" s="1"/>
  <c r="L2818" i="2"/>
  <c r="M2818" i="2" s="1"/>
  <c r="L2817" i="2"/>
  <c r="M2817" i="2" s="1"/>
  <c r="L2816" i="2"/>
  <c r="M2816" i="2" s="1"/>
  <c r="L2815" i="2"/>
  <c r="M2815" i="2" s="1"/>
  <c r="L2814" i="2"/>
  <c r="M2814" i="2" s="1"/>
  <c r="L2813" i="2"/>
  <c r="M2813" i="2" s="1"/>
  <c r="L2812" i="2"/>
  <c r="M2812" i="2" s="1"/>
  <c r="L2811" i="2"/>
  <c r="M2811" i="2" s="1"/>
  <c r="L2810" i="2"/>
  <c r="M2810" i="2" s="1"/>
  <c r="L2809" i="2"/>
  <c r="M2809" i="2" s="1"/>
  <c r="L2808" i="2"/>
  <c r="M2808" i="2" s="1"/>
  <c r="L2807" i="2"/>
  <c r="M2807" i="2" s="1"/>
  <c r="L2806" i="2"/>
  <c r="M2806" i="2" s="1"/>
  <c r="L2805" i="2"/>
  <c r="M2805" i="2" s="1"/>
  <c r="L2804" i="2"/>
  <c r="M2804" i="2" s="1"/>
  <c r="L2803" i="2"/>
  <c r="M2803" i="2" s="1"/>
  <c r="L2802" i="2"/>
  <c r="M2802" i="2" s="1"/>
  <c r="L2801" i="2"/>
  <c r="M2801" i="2" s="1"/>
  <c r="L2800" i="2"/>
  <c r="M2800" i="2" s="1"/>
  <c r="L2799" i="2"/>
  <c r="M2799" i="2" s="1"/>
  <c r="L2798" i="2"/>
  <c r="M2798" i="2" s="1"/>
  <c r="L2797" i="2"/>
  <c r="M2797" i="2" s="1"/>
  <c r="L2796" i="2"/>
  <c r="M2796" i="2" s="1"/>
  <c r="L2795" i="2"/>
  <c r="M2795" i="2" s="1"/>
  <c r="L2794" i="2"/>
  <c r="M2794" i="2" s="1"/>
  <c r="L2793" i="2"/>
  <c r="M2793" i="2" s="1"/>
  <c r="L2792" i="2"/>
  <c r="M2792" i="2" s="1"/>
  <c r="L2791" i="2"/>
  <c r="M2791" i="2" s="1"/>
  <c r="L2790" i="2"/>
  <c r="M2790" i="2" s="1"/>
  <c r="L2789" i="2"/>
  <c r="M2789" i="2" s="1"/>
  <c r="L2788" i="2"/>
  <c r="M2788" i="2" s="1"/>
  <c r="L2787" i="2"/>
  <c r="M2787" i="2" s="1"/>
  <c r="L2786" i="2"/>
  <c r="M2786" i="2" s="1"/>
  <c r="L2785" i="2"/>
  <c r="M2785" i="2" s="1"/>
  <c r="L2784" i="2"/>
  <c r="M2784" i="2" s="1"/>
  <c r="L2783" i="2"/>
  <c r="M2783" i="2" s="1"/>
  <c r="L2782" i="2"/>
  <c r="M2782" i="2" s="1"/>
  <c r="L2781" i="2"/>
  <c r="M2781" i="2" s="1"/>
  <c r="L2780" i="2"/>
  <c r="M2780" i="2" s="1"/>
  <c r="L2779" i="2"/>
  <c r="M2779" i="2" s="1"/>
  <c r="L2778" i="2"/>
  <c r="M2778" i="2" s="1"/>
  <c r="L2777" i="2"/>
  <c r="M2777" i="2" s="1"/>
  <c r="L2776" i="2"/>
  <c r="M2776" i="2" s="1"/>
  <c r="L2775" i="2"/>
  <c r="M2775" i="2" s="1"/>
  <c r="L2774" i="2"/>
  <c r="M2774" i="2" s="1"/>
  <c r="L2773" i="2"/>
  <c r="M2773" i="2" s="1"/>
  <c r="L2772" i="2"/>
  <c r="M2772" i="2" s="1"/>
  <c r="L2771" i="2"/>
  <c r="M2771" i="2" s="1"/>
  <c r="L2770" i="2"/>
  <c r="M2770" i="2" s="1"/>
  <c r="L2769" i="2"/>
  <c r="M2769" i="2" s="1"/>
  <c r="L2768" i="2"/>
  <c r="M2768" i="2" s="1"/>
  <c r="L2767" i="2"/>
  <c r="M2767" i="2" s="1"/>
  <c r="L2766" i="2"/>
  <c r="M2766" i="2" s="1"/>
  <c r="L2765" i="2"/>
  <c r="M2765" i="2" s="1"/>
  <c r="L2764" i="2"/>
  <c r="M2764" i="2" s="1"/>
  <c r="L2763" i="2"/>
  <c r="M2763" i="2" s="1"/>
  <c r="L2762" i="2"/>
  <c r="M2762" i="2" s="1"/>
  <c r="L2761" i="2"/>
  <c r="M2761" i="2" s="1"/>
  <c r="L2760" i="2"/>
  <c r="M2760" i="2" s="1"/>
  <c r="L2759" i="2"/>
  <c r="M2759" i="2" s="1"/>
  <c r="L2758" i="2"/>
  <c r="M2758" i="2" s="1"/>
  <c r="L2757" i="2"/>
  <c r="M2757" i="2" s="1"/>
  <c r="L2756" i="2"/>
  <c r="M2756" i="2" s="1"/>
  <c r="L2755" i="2"/>
  <c r="M2755" i="2" s="1"/>
  <c r="L2754" i="2"/>
  <c r="M2754" i="2" s="1"/>
  <c r="L2753" i="2"/>
  <c r="M2753" i="2" s="1"/>
  <c r="L2752" i="2"/>
  <c r="M2752" i="2" s="1"/>
  <c r="L2751" i="2"/>
  <c r="M2751" i="2" s="1"/>
  <c r="L2750" i="2"/>
  <c r="M2750" i="2" s="1"/>
  <c r="L2749" i="2"/>
  <c r="M2749" i="2" s="1"/>
  <c r="L2748" i="2"/>
  <c r="M2748" i="2" s="1"/>
  <c r="L2747" i="2"/>
  <c r="M2747" i="2" s="1"/>
  <c r="L2746" i="2"/>
  <c r="M2746" i="2" s="1"/>
  <c r="L2745" i="2"/>
  <c r="M2745" i="2" s="1"/>
  <c r="L2744" i="2"/>
  <c r="M2744" i="2" s="1"/>
  <c r="L2743" i="2"/>
  <c r="M2743" i="2" s="1"/>
  <c r="L2742" i="2"/>
  <c r="M2742" i="2" s="1"/>
  <c r="L2741" i="2"/>
  <c r="M2741" i="2" s="1"/>
  <c r="L2740" i="2"/>
  <c r="M2740" i="2" s="1"/>
  <c r="L2739" i="2"/>
  <c r="M2739" i="2" s="1"/>
  <c r="L2738" i="2"/>
  <c r="M2738" i="2" s="1"/>
  <c r="L2737" i="2"/>
  <c r="M2737" i="2" s="1"/>
  <c r="L2736" i="2"/>
  <c r="M2736" i="2" s="1"/>
  <c r="L2735" i="2"/>
  <c r="M2735" i="2" s="1"/>
  <c r="L2734" i="2"/>
  <c r="M2734" i="2" s="1"/>
  <c r="L2733" i="2"/>
  <c r="M2733" i="2" s="1"/>
  <c r="L2732" i="2"/>
  <c r="M2732" i="2" s="1"/>
  <c r="L2731" i="2"/>
  <c r="M2731" i="2" s="1"/>
  <c r="L2730" i="2"/>
  <c r="M2730" i="2" s="1"/>
  <c r="L2729" i="2"/>
  <c r="M2729" i="2" s="1"/>
  <c r="L2728" i="2"/>
  <c r="M2728" i="2" s="1"/>
  <c r="L2727" i="2"/>
  <c r="M2727" i="2" s="1"/>
  <c r="L2726" i="2"/>
  <c r="M2726" i="2" s="1"/>
  <c r="L2725" i="2"/>
  <c r="M2725" i="2" s="1"/>
  <c r="L2724" i="2"/>
  <c r="M2724" i="2" s="1"/>
  <c r="L2723" i="2"/>
  <c r="M2723" i="2" s="1"/>
  <c r="L2722" i="2"/>
  <c r="M2722" i="2" s="1"/>
  <c r="L2721" i="2"/>
  <c r="M2721" i="2" s="1"/>
  <c r="L2720" i="2"/>
  <c r="M2720" i="2" s="1"/>
  <c r="L2719" i="2"/>
  <c r="M2719" i="2" s="1"/>
  <c r="L2718" i="2"/>
  <c r="M2718" i="2" s="1"/>
  <c r="L2717" i="2"/>
  <c r="M2717" i="2" s="1"/>
  <c r="L2716" i="2"/>
  <c r="M2716" i="2" s="1"/>
  <c r="L2715" i="2"/>
  <c r="M2715" i="2" s="1"/>
  <c r="L2714" i="2"/>
  <c r="M2714" i="2" s="1"/>
  <c r="L2713" i="2"/>
  <c r="M2713" i="2" s="1"/>
  <c r="L2712" i="2"/>
  <c r="M2712" i="2" s="1"/>
  <c r="L2711" i="2"/>
  <c r="M2711" i="2" s="1"/>
  <c r="L2710" i="2"/>
  <c r="M2710" i="2" s="1"/>
  <c r="L2709" i="2"/>
  <c r="M2709" i="2" s="1"/>
  <c r="L2708" i="2"/>
  <c r="M2708" i="2" s="1"/>
  <c r="L2707" i="2"/>
  <c r="M2707" i="2" s="1"/>
  <c r="L2706" i="2"/>
  <c r="M2706" i="2" s="1"/>
  <c r="L2705" i="2"/>
  <c r="M2705" i="2" s="1"/>
  <c r="L2704" i="2"/>
  <c r="M2704" i="2" s="1"/>
  <c r="L2703" i="2"/>
  <c r="M2703" i="2" s="1"/>
  <c r="L2702" i="2"/>
  <c r="M2702" i="2" s="1"/>
  <c r="L2701" i="2"/>
  <c r="M2701" i="2" s="1"/>
  <c r="L2700" i="2"/>
  <c r="M2700" i="2" s="1"/>
  <c r="L2699" i="2"/>
  <c r="M2699" i="2" s="1"/>
  <c r="L2698" i="2"/>
  <c r="M2698" i="2" s="1"/>
  <c r="L2697" i="2"/>
  <c r="M2697" i="2" s="1"/>
  <c r="L2696" i="2"/>
  <c r="M2696" i="2" s="1"/>
  <c r="L2695" i="2"/>
  <c r="M2695" i="2" s="1"/>
  <c r="L2694" i="2"/>
  <c r="M2694" i="2" s="1"/>
  <c r="L2693" i="2"/>
  <c r="M2693" i="2" s="1"/>
  <c r="L2692" i="2"/>
  <c r="M2692" i="2" s="1"/>
  <c r="L2691" i="2"/>
  <c r="M2691" i="2" s="1"/>
  <c r="L2690" i="2"/>
  <c r="M2690" i="2" s="1"/>
  <c r="L2689" i="2"/>
  <c r="M2689" i="2" s="1"/>
  <c r="L2688" i="2"/>
  <c r="M2688" i="2" s="1"/>
  <c r="L2687" i="2"/>
  <c r="M2687" i="2" s="1"/>
  <c r="L2686" i="2"/>
  <c r="M2686" i="2" s="1"/>
  <c r="L2685" i="2"/>
  <c r="M2685" i="2" s="1"/>
  <c r="L2684" i="2"/>
  <c r="M2684" i="2" s="1"/>
  <c r="L2683" i="2"/>
  <c r="M2683" i="2" s="1"/>
  <c r="L2682" i="2"/>
  <c r="M2682" i="2" s="1"/>
  <c r="L2681" i="2"/>
  <c r="M2681" i="2" s="1"/>
  <c r="L2680" i="2"/>
  <c r="M2680" i="2" s="1"/>
  <c r="L2679" i="2"/>
  <c r="M2679" i="2" s="1"/>
  <c r="L2678" i="2"/>
  <c r="M2678" i="2" s="1"/>
  <c r="L2677" i="2"/>
  <c r="M2677" i="2" s="1"/>
  <c r="L2676" i="2"/>
  <c r="M2676" i="2" s="1"/>
  <c r="L2675" i="2"/>
  <c r="M2675" i="2" s="1"/>
  <c r="L2674" i="2"/>
  <c r="M2674" i="2" s="1"/>
  <c r="L2673" i="2"/>
  <c r="M2673" i="2" s="1"/>
  <c r="L2672" i="2"/>
  <c r="M2672" i="2" s="1"/>
  <c r="L2671" i="2"/>
  <c r="M2671" i="2" s="1"/>
  <c r="L2670" i="2"/>
  <c r="M2670" i="2" s="1"/>
  <c r="L2669" i="2"/>
  <c r="M2669" i="2" s="1"/>
  <c r="L2668" i="2"/>
  <c r="M2668" i="2" s="1"/>
  <c r="L2667" i="2"/>
  <c r="M2667" i="2" s="1"/>
  <c r="L2666" i="2"/>
  <c r="M2666" i="2" s="1"/>
  <c r="L2665" i="2"/>
  <c r="M2665" i="2" s="1"/>
  <c r="L2664" i="2"/>
  <c r="M2664" i="2" s="1"/>
  <c r="L2663" i="2"/>
  <c r="M2663" i="2" s="1"/>
  <c r="L2662" i="2"/>
  <c r="M2662" i="2" s="1"/>
  <c r="L2661" i="2"/>
  <c r="M2661" i="2" s="1"/>
  <c r="L2660" i="2"/>
  <c r="M2660" i="2" s="1"/>
  <c r="L2659" i="2"/>
  <c r="M2659" i="2" s="1"/>
  <c r="L2658" i="2"/>
  <c r="M2658" i="2" s="1"/>
  <c r="L2657" i="2"/>
  <c r="M2657" i="2" s="1"/>
  <c r="L2656" i="2"/>
  <c r="M2656" i="2" s="1"/>
  <c r="L2655" i="2"/>
  <c r="M2655" i="2" s="1"/>
  <c r="L2654" i="2"/>
  <c r="M2654" i="2" s="1"/>
  <c r="L2653" i="2"/>
  <c r="M2653" i="2" s="1"/>
  <c r="L2652" i="2"/>
  <c r="M2652" i="2" s="1"/>
  <c r="L2651" i="2"/>
  <c r="M2651" i="2" s="1"/>
  <c r="L2650" i="2"/>
  <c r="M2650" i="2" s="1"/>
  <c r="L2649" i="2"/>
  <c r="M2649" i="2" s="1"/>
  <c r="L2648" i="2"/>
  <c r="M2648" i="2" s="1"/>
  <c r="L2647" i="2"/>
  <c r="M2647" i="2" s="1"/>
  <c r="L2646" i="2"/>
  <c r="M2646" i="2" s="1"/>
  <c r="L2645" i="2"/>
  <c r="M2645" i="2" s="1"/>
  <c r="L2644" i="2"/>
  <c r="M2644" i="2" s="1"/>
  <c r="L2643" i="2"/>
  <c r="M2643" i="2" s="1"/>
  <c r="L2642" i="2"/>
  <c r="M2642" i="2" s="1"/>
  <c r="L2641" i="2"/>
  <c r="M2641" i="2" s="1"/>
  <c r="L2640" i="2"/>
  <c r="M2640" i="2" s="1"/>
  <c r="L2639" i="2"/>
  <c r="M2639" i="2" s="1"/>
  <c r="L2638" i="2"/>
  <c r="M2638" i="2" s="1"/>
  <c r="L2637" i="2"/>
  <c r="M2637" i="2" s="1"/>
  <c r="L2636" i="2"/>
  <c r="M2636" i="2" s="1"/>
  <c r="L2635" i="2"/>
  <c r="M2635" i="2" s="1"/>
  <c r="L2634" i="2"/>
  <c r="M2634" i="2" s="1"/>
  <c r="L2633" i="2"/>
  <c r="M2633" i="2" s="1"/>
  <c r="L2632" i="2"/>
  <c r="M2632" i="2" s="1"/>
  <c r="L2631" i="2"/>
  <c r="M2631" i="2" s="1"/>
  <c r="L2630" i="2"/>
  <c r="M2630" i="2" s="1"/>
  <c r="L2629" i="2"/>
  <c r="M2629" i="2" s="1"/>
  <c r="L2628" i="2"/>
  <c r="M2628" i="2" s="1"/>
  <c r="L2627" i="2"/>
  <c r="M2627" i="2" s="1"/>
  <c r="L2626" i="2"/>
  <c r="M2626" i="2" s="1"/>
  <c r="L2625" i="2"/>
  <c r="M2625" i="2" s="1"/>
  <c r="L2624" i="2"/>
  <c r="M2624" i="2" s="1"/>
  <c r="L2623" i="2"/>
  <c r="M2623" i="2" s="1"/>
  <c r="L2622" i="2"/>
  <c r="M2622" i="2" s="1"/>
  <c r="L2621" i="2"/>
  <c r="M2621" i="2" s="1"/>
  <c r="L2620" i="2"/>
  <c r="M2620" i="2" s="1"/>
  <c r="L2619" i="2"/>
  <c r="M2619" i="2" s="1"/>
  <c r="L2618" i="2"/>
  <c r="M2618" i="2" s="1"/>
  <c r="L2617" i="2"/>
  <c r="M2617" i="2" s="1"/>
  <c r="L2616" i="2"/>
  <c r="M2616" i="2" s="1"/>
  <c r="L2615" i="2"/>
  <c r="M2615" i="2" s="1"/>
  <c r="L2614" i="2"/>
  <c r="M2614" i="2" s="1"/>
  <c r="L2613" i="2"/>
  <c r="M2613" i="2" s="1"/>
  <c r="L2612" i="2"/>
  <c r="M2612" i="2" s="1"/>
  <c r="L2611" i="2"/>
  <c r="M2611" i="2" s="1"/>
  <c r="L2610" i="2"/>
  <c r="M2610" i="2" s="1"/>
  <c r="L2609" i="2"/>
  <c r="M2609" i="2" s="1"/>
  <c r="L2608" i="2"/>
  <c r="M2608" i="2" s="1"/>
  <c r="L2607" i="2"/>
  <c r="M2607" i="2" s="1"/>
  <c r="L2606" i="2"/>
  <c r="M2606" i="2" s="1"/>
  <c r="L2605" i="2"/>
  <c r="M2605" i="2" s="1"/>
  <c r="L2604" i="2"/>
  <c r="M2604" i="2" s="1"/>
  <c r="L2603" i="2"/>
  <c r="M2603" i="2" s="1"/>
  <c r="L2602" i="2"/>
  <c r="M2602" i="2" s="1"/>
  <c r="L2601" i="2"/>
  <c r="M2601" i="2" s="1"/>
  <c r="L2600" i="2"/>
  <c r="M2600" i="2" s="1"/>
  <c r="L2599" i="2"/>
  <c r="M2599" i="2" s="1"/>
  <c r="L2598" i="2"/>
  <c r="M2598" i="2" s="1"/>
  <c r="L2597" i="2"/>
  <c r="M2597" i="2" s="1"/>
  <c r="L2596" i="2"/>
  <c r="M2596" i="2" s="1"/>
  <c r="L2595" i="2"/>
  <c r="M2595" i="2" s="1"/>
  <c r="L2594" i="2"/>
  <c r="M2594" i="2" s="1"/>
  <c r="L2593" i="2"/>
  <c r="M2593" i="2" s="1"/>
  <c r="L2592" i="2"/>
  <c r="M2592" i="2" s="1"/>
  <c r="L2591" i="2"/>
  <c r="M2591" i="2" s="1"/>
  <c r="L2590" i="2"/>
  <c r="M2590" i="2" s="1"/>
  <c r="L2589" i="2"/>
  <c r="M2589" i="2" s="1"/>
  <c r="L2588" i="2"/>
  <c r="M2588" i="2" s="1"/>
  <c r="L2587" i="2"/>
  <c r="M2587" i="2" s="1"/>
  <c r="L2586" i="2"/>
  <c r="M2586" i="2" s="1"/>
  <c r="L2585" i="2"/>
  <c r="M2585" i="2" s="1"/>
  <c r="L2584" i="2"/>
  <c r="M2584" i="2" s="1"/>
  <c r="L2583" i="2"/>
  <c r="M2583" i="2" s="1"/>
  <c r="L2582" i="2"/>
  <c r="M2582" i="2" s="1"/>
  <c r="L2581" i="2"/>
  <c r="M2581" i="2" s="1"/>
  <c r="L2580" i="2"/>
  <c r="M2580" i="2" s="1"/>
  <c r="L2579" i="2"/>
  <c r="M2579" i="2" s="1"/>
  <c r="L2578" i="2"/>
  <c r="M2578" i="2" s="1"/>
  <c r="L2577" i="2"/>
  <c r="M2577" i="2" s="1"/>
  <c r="L2576" i="2"/>
  <c r="M2576" i="2" s="1"/>
  <c r="L2575" i="2"/>
  <c r="M2575" i="2" s="1"/>
  <c r="L2574" i="2"/>
  <c r="M2574" i="2" s="1"/>
  <c r="L2573" i="2"/>
  <c r="M2573" i="2" s="1"/>
  <c r="L2572" i="2"/>
  <c r="M2572" i="2" s="1"/>
  <c r="L2571" i="2"/>
  <c r="M2571" i="2" s="1"/>
  <c r="L2570" i="2"/>
  <c r="M2570" i="2" s="1"/>
  <c r="L2569" i="2"/>
  <c r="M2569" i="2" s="1"/>
  <c r="L2568" i="2"/>
  <c r="M2568" i="2" s="1"/>
  <c r="L2567" i="2"/>
  <c r="M2567" i="2" s="1"/>
  <c r="L2566" i="2"/>
  <c r="M2566" i="2" s="1"/>
  <c r="L2565" i="2"/>
  <c r="M2565" i="2" s="1"/>
  <c r="L2564" i="2"/>
  <c r="M2564" i="2" s="1"/>
  <c r="L2563" i="2"/>
  <c r="M2563" i="2" s="1"/>
  <c r="L2562" i="2"/>
  <c r="M2562" i="2" s="1"/>
  <c r="L2561" i="2"/>
  <c r="M2561" i="2" s="1"/>
  <c r="L2560" i="2"/>
  <c r="M2560" i="2" s="1"/>
  <c r="L2559" i="2"/>
  <c r="M2559" i="2" s="1"/>
  <c r="L2558" i="2"/>
  <c r="M2558" i="2" s="1"/>
  <c r="L2557" i="2"/>
  <c r="M2557" i="2" s="1"/>
  <c r="L2556" i="2"/>
  <c r="M2556" i="2" s="1"/>
  <c r="L2555" i="2"/>
  <c r="M2555" i="2" s="1"/>
  <c r="L2554" i="2"/>
  <c r="M2554" i="2" s="1"/>
  <c r="L2553" i="2"/>
  <c r="M2553" i="2" s="1"/>
  <c r="L2552" i="2"/>
  <c r="M2552" i="2" s="1"/>
  <c r="L2551" i="2"/>
  <c r="M2551" i="2" s="1"/>
  <c r="L2550" i="2"/>
  <c r="M2550" i="2" s="1"/>
  <c r="L2549" i="2"/>
  <c r="M2549" i="2" s="1"/>
  <c r="L2548" i="2"/>
  <c r="M2548" i="2" s="1"/>
  <c r="L2547" i="2"/>
  <c r="M2547" i="2" s="1"/>
  <c r="L2546" i="2"/>
  <c r="M2546" i="2" s="1"/>
  <c r="L2545" i="2"/>
  <c r="M2545" i="2" s="1"/>
  <c r="L2544" i="2"/>
  <c r="M2544" i="2" s="1"/>
  <c r="L2543" i="2"/>
  <c r="M2543" i="2" s="1"/>
  <c r="L2542" i="2"/>
  <c r="M2542" i="2" s="1"/>
  <c r="L2541" i="2"/>
  <c r="M2541" i="2" s="1"/>
  <c r="L2540" i="2"/>
  <c r="M2540" i="2" s="1"/>
  <c r="L2539" i="2"/>
  <c r="M2539" i="2" s="1"/>
  <c r="L2538" i="2"/>
  <c r="M2538" i="2" s="1"/>
  <c r="L2537" i="2"/>
  <c r="M2537" i="2" s="1"/>
  <c r="L2536" i="2"/>
  <c r="M2536" i="2" s="1"/>
  <c r="L2535" i="2"/>
  <c r="M2535" i="2" s="1"/>
  <c r="L2534" i="2"/>
  <c r="M2534" i="2" s="1"/>
  <c r="L2533" i="2"/>
  <c r="M2533" i="2" s="1"/>
  <c r="L2532" i="2"/>
  <c r="M2532" i="2" s="1"/>
  <c r="L2531" i="2"/>
  <c r="M2531" i="2" s="1"/>
  <c r="L2530" i="2"/>
  <c r="M2530" i="2" s="1"/>
  <c r="L2529" i="2"/>
  <c r="M2529" i="2" s="1"/>
  <c r="L2528" i="2"/>
  <c r="M2528" i="2" s="1"/>
  <c r="L2527" i="2"/>
  <c r="M2527" i="2" s="1"/>
  <c r="L2526" i="2"/>
  <c r="M2526" i="2" s="1"/>
  <c r="L2525" i="2"/>
  <c r="M2525" i="2" s="1"/>
  <c r="L2524" i="2"/>
  <c r="M2524" i="2" s="1"/>
  <c r="L2523" i="2"/>
  <c r="M2523" i="2" s="1"/>
  <c r="L2522" i="2"/>
  <c r="M2522" i="2" s="1"/>
  <c r="L2521" i="2"/>
  <c r="M2521" i="2" s="1"/>
  <c r="L2520" i="2"/>
  <c r="M2520" i="2" s="1"/>
  <c r="L2519" i="2"/>
  <c r="M2519" i="2" s="1"/>
  <c r="L2518" i="2"/>
  <c r="M2518" i="2" s="1"/>
  <c r="L2517" i="2"/>
  <c r="M2517" i="2" s="1"/>
  <c r="L2516" i="2"/>
  <c r="M2516" i="2" s="1"/>
  <c r="L2515" i="2"/>
  <c r="M2515" i="2" s="1"/>
  <c r="L2514" i="2"/>
  <c r="M2514" i="2" s="1"/>
  <c r="L2513" i="2"/>
  <c r="M2513" i="2" s="1"/>
  <c r="L2512" i="2"/>
  <c r="M2512" i="2" s="1"/>
  <c r="L2511" i="2"/>
  <c r="M2511" i="2" s="1"/>
  <c r="L2510" i="2"/>
  <c r="M2510" i="2" s="1"/>
  <c r="L2509" i="2"/>
  <c r="M2509" i="2" s="1"/>
  <c r="L2508" i="2"/>
  <c r="M2508" i="2" s="1"/>
  <c r="L2507" i="2"/>
  <c r="M2507" i="2" s="1"/>
  <c r="L2506" i="2"/>
  <c r="M2506" i="2" s="1"/>
  <c r="L2505" i="2"/>
  <c r="M2505" i="2" s="1"/>
  <c r="L2504" i="2"/>
  <c r="M2504" i="2" s="1"/>
  <c r="L2503" i="2"/>
  <c r="M2503" i="2" s="1"/>
  <c r="L2502" i="2"/>
  <c r="M2502" i="2" s="1"/>
  <c r="L2501" i="2"/>
  <c r="M2501" i="2" s="1"/>
  <c r="L2500" i="2"/>
  <c r="M2500" i="2" s="1"/>
  <c r="L2499" i="2"/>
  <c r="M2499" i="2" s="1"/>
  <c r="L2498" i="2"/>
  <c r="M2498" i="2" s="1"/>
  <c r="L2497" i="2"/>
  <c r="M2497" i="2" s="1"/>
  <c r="L2496" i="2"/>
  <c r="M2496" i="2" s="1"/>
  <c r="L2495" i="2"/>
  <c r="M2495" i="2" s="1"/>
  <c r="L2494" i="2"/>
  <c r="M2494" i="2" s="1"/>
  <c r="L2493" i="2"/>
  <c r="M2493" i="2" s="1"/>
  <c r="L2492" i="2"/>
  <c r="M2492" i="2" s="1"/>
  <c r="L2491" i="2"/>
  <c r="M2491" i="2" s="1"/>
  <c r="L2490" i="2"/>
  <c r="M2490" i="2" s="1"/>
  <c r="L2489" i="2"/>
  <c r="M2489" i="2" s="1"/>
  <c r="L2488" i="2"/>
  <c r="M2488" i="2" s="1"/>
  <c r="L2487" i="2"/>
  <c r="M2487" i="2" s="1"/>
  <c r="L2486" i="2"/>
  <c r="M2486" i="2" s="1"/>
  <c r="L2485" i="2"/>
  <c r="M2485" i="2" s="1"/>
  <c r="L2484" i="2"/>
  <c r="M2484" i="2" s="1"/>
  <c r="L2483" i="2"/>
  <c r="M2483" i="2" s="1"/>
  <c r="L2482" i="2"/>
  <c r="M2482" i="2" s="1"/>
  <c r="L2481" i="2"/>
  <c r="M2481" i="2" s="1"/>
  <c r="L2480" i="2"/>
  <c r="M2480" i="2" s="1"/>
  <c r="L2479" i="2"/>
  <c r="M2479" i="2" s="1"/>
  <c r="L2478" i="2"/>
  <c r="M2478" i="2" s="1"/>
  <c r="L2477" i="2"/>
  <c r="M2477" i="2" s="1"/>
  <c r="L2476" i="2"/>
  <c r="M2476" i="2" s="1"/>
  <c r="L2475" i="2"/>
  <c r="M2475" i="2" s="1"/>
  <c r="L2474" i="2"/>
  <c r="M2474" i="2" s="1"/>
  <c r="L2473" i="2"/>
  <c r="M2473" i="2" s="1"/>
  <c r="L2472" i="2"/>
  <c r="M2472" i="2" s="1"/>
  <c r="L2471" i="2"/>
  <c r="M2471" i="2" s="1"/>
  <c r="L2470" i="2"/>
  <c r="M2470" i="2" s="1"/>
  <c r="L2469" i="2"/>
  <c r="M2469" i="2" s="1"/>
  <c r="L2468" i="2"/>
  <c r="M2468" i="2" s="1"/>
  <c r="L2467" i="2"/>
  <c r="M2467" i="2" s="1"/>
  <c r="L2466" i="2"/>
  <c r="M2466" i="2" s="1"/>
  <c r="L2465" i="2"/>
  <c r="M2465" i="2" s="1"/>
  <c r="L2464" i="2"/>
  <c r="M2464" i="2" s="1"/>
  <c r="L2463" i="2"/>
  <c r="M2463" i="2" s="1"/>
  <c r="L2462" i="2"/>
  <c r="M2462" i="2" s="1"/>
  <c r="L2461" i="2"/>
  <c r="M2461" i="2" s="1"/>
  <c r="L2460" i="2"/>
  <c r="M2460" i="2" s="1"/>
  <c r="L2459" i="2"/>
  <c r="M2459" i="2" s="1"/>
  <c r="L2458" i="2"/>
  <c r="M2458" i="2" s="1"/>
  <c r="L2457" i="2"/>
  <c r="M2457" i="2" s="1"/>
  <c r="L2456" i="2"/>
  <c r="M2456" i="2" s="1"/>
  <c r="L2455" i="2"/>
  <c r="M2455" i="2" s="1"/>
  <c r="L2454" i="2"/>
  <c r="M2454" i="2" s="1"/>
  <c r="L2453" i="2"/>
  <c r="M2453" i="2" s="1"/>
  <c r="L2452" i="2"/>
  <c r="M2452" i="2" s="1"/>
  <c r="L2451" i="2"/>
  <c r="M2451" i="2" s="1"/>
  <c r="L2450" i="2"/>
  <c r="M2450" i="2" s="1"/>
  <c r="L2449" i="2"/>
  <c r="M2449" i="2" s="1"/>
  <c r="L2448" i="2"/>
  <c r="M2448" i="2" s="1"/>
  <c r="L2447" i="2"/>
  <c r="M2447" i="2" s="1"/>
  <c r="L2446" i="2"/>
  <c r="M2446" i="2" s="1"/>
  <c r="L2445" i="2"/>
  <c r="M2445" i="2" s="1"/>
  <c r="L2444" i="2"/>
  <c r="M2444" i="2" s="1"/>
  <c r="L2443" i="2"/>
  <c r="M2443" i="2" s="1"/>
  <c r="L2442" i="2"/>
  <c r="M2442" i="2" s="1"/>
  <c r="L2441" i="2"/>
  <c r="M2441" i="2" s="1"/>
  <c r="L2440" i="2"/>
  <c r="M2440" i="2" s="1"/>
  <c r="L2439" i="2"/>
  <c r="M2439" i="2" s="1"/>
  <c r="L2438" i="2"/>
  <c r="M2438" i="2" s="1"/>
  <c r="L2437" i="2"/>
  <c r="M2437" i="2" s="1"/>
  <c r="L2436" i="2"/>
  <c r="M2436" i="2" s="1"/>
  <c r="L2435" i="2"/>
  <c r="M2435" i="2" s="1"/>
  <c r="L2434" i="2"/>
  <c r="M2434" i="2" s="1"/>
  <c r="L2433" i="2"/>
  <c r="M2433" i="2" s="1"/>
  <c r="L2432" i="2"/>
  <c r="M2432" i="2" s="1"/>
  <c r="L2431" i="2"/>
  <c r="M2431" i="2" s="1"/>
  <c r="L2430" i="2"/>
  <c r="M2430" i="2" s="1"/>
  <c r="L2429" i="2"/>
  <c r="M2429" i="2" s="1"/>
  <c r="L2428" i="2"/>
  <c r="M2428" i="2" s="1"/>
  <c r="L2427" i="2"/>
  <c r="M2427" i="2" s="1"/>
  <c r="L2426" i="2"/>
  <c r="M2426" i="2" s="1"/>
  <c r="L2425" i="2"/>
  <c r="M2425" i="2" s="1"/>
  <c r="L2424" i="2"/>
  <c r="M2424" i="2" s="1"/>
  <c r="L2423" i="2"/>
  <c r="M2423" i="2" s="1"/>
  <c r="L2422" i="2"/>
  <c r="M2422" i="2" s="1"/>
  <c r="L2421" i="2"/>
  <c r="M2421" i="2" s="1"/>
  <c r="L2420" i="2"/>
  <c r="M2420" i="2" s="1"/>
  <c r="L2419" i="2"/>
  <c r="M2419" i="2" s="1"/>
  <c r="L2418" i="2"/>
  <c r="M2418" i="2" s="1"/>
  <c r="L2417" i="2"/>
  <c r="M2417" i="2" s="1"/>
  <c r="L2416" i="2"/>
  <c r="M2416" i="2" s="1"/>
  <c r="L2415" i="2"/>
  <c r="M2415" i="2" s="1"/>
  <c r="L2414" i="2"/>
  <c r="M2414" i="2" s="1"/>
  <c r="L2413" i="2"/>
  <c r="M2413" i="2" s="1"/>
  <c r="L2412" i="2"/>
  <c r="M2412" i="2" s="1"/>
  <c r="L2411" i="2"/>
  <c r="M2411" i="2" s="1"/>
  <c r="L2410" i="2"/>
  <c r="M2410" i="2" s="1"/>
  <c r="L2409" i="2"/>
  <c r="M2409" i="2" s="1"/>
  <c r="L2408" i="2"/>
  <c r="M2408" i="2" s="1"/>
  <c r="L2407" i="2"/>
  <c r="M2407" i="2" s="1"/>
  <c r="L2406" i="2"/>
  <c r="M2406" i="2" s="1"/>
  <c r="L2405" i="2"/>
  <c r="M2405" i="2" s="1"/>
  <c r="L2404" i="2"/>
  <c r="M2404" i="2" s="1"/>
  <c r="L2403" i="2"/>
  <c r="M2403" i="2" s="1"/>
  <c r="L2402" i="2"/>
  <c r="M2402" i="2" s="1"/>
  <c r="L2401" i="2"/>
  <c r="M2401" i="2" s="1"/>
  <c r="L2400" i="2"/>
  <c r="M2400" i="2" s="1"/>
  <c r="L2399" i="2"/>
  <c r="M2399" i="2" s="1"/>
  <c r="L2398" i="2"/>
  <c r="M2398" i="2" s="1"/>
  <c r="L2397" i="2"/>
  <c r="M2397" i="2" s="1"/>
  <c r="L2396" i="2"/>
  <c r="M2396" i="2" s="1"/>
  <c r="L2395" i="2"/>
  <c r="M2395" i="2" s="1"/>
  <c r="L2394" i="2"/>
  <c r="M2394" i="2" s="1"/>
  <c r="L2393" i="2"/>
  <c r="M2393" i="2" s="1"/>
  <c r="L2392" i="2"/>
  <c r="M2392" i="2" s="1"/>
  <c r="L2391" i="2"/>
  <c r="M2391" i="2" s="1"/>
  <c r="L2390" i="2"/>
  <c r="M2390" i="2" s="1"/>
  <c r="L2389" i="2"/>
  <c r="M2389" i="2" s="1"/>
  <c r="L2388" i="2"/>
  <c r="M2388" i="2" s="1"/>
  <c r="L2387" i="2"/>
  <c r="M2387" i="2" s="1"/>
  <c r="L2386" i="2"/>
  <c r="M2386" i="2" s="1"/>
  <c r="L2385" i="2"/>
  <c r="M2385" i="2" s="1"/>
  <c r="L2384" i="2"/>
  <c r="M2384" i="2" s="1"/>
  <c r="L2383" i="2"/>
  <c r="M2383" i="2" s="1"/>
  <c r="L2382" i="2"/>
  <c r="M2382" i="2" s="1"/>
  <c r="L2381" i="2"/>
  <c r="M2381" i="2" s="1"/>
  <c r="L2380" i="2"/>
  <c r="M2380" i="2" s="1"/>
  <c r="L2379" i="2"/>
  <c r="M2379" i="2" s="1"/>
  <c r="L2378" i="2"/>
  <c r="M2378" i="2" s="1"/>
  <c r="L2377" i="2"/>
  <c r="M2377" i="2" s="1"/>
  <c r="L2376" i="2"/>
  <c r="M2376" i="2" s="1"/>
  <c r="L2375" i="2"/>
  <c r="M2375" i="2" s="1"/>
  <c r="L2374" i="2"/>
  <c r="M2374" i="2" s="1"/>
  <c r="L2373" i="2"/>
  <c r="M2373" i="2" s="1"/>
  <c r="L2372" i="2"/>
  <c r="M2372" i="2" s="1"/>
  <c r="L2371" i="2"/>
  <c r="M2371" i="2" s="1"/>
  <c r="L2370" i="2"/>
  <c r="M2370" i="2" s="1"/>
  <c r="L2369" i="2"/>
  <c r="M2369" i="2" s="1"/>
  <c r="L2368" i="2"/>
  <c r="M2368" i="2" s="1"/>
  <c r="L2367" i="2"/>
  <c r="M2367" i="2" s="1"/>
  <c r="L2366" i="2"/>
  <c r="M2366" i="2" s="1"/>
  <c r="L2365" i="2"/>
  <c r="M2365" i="2" s="1"/>
  <c r="L2364" i="2"/>
  <c r="M2364" i="2" s="1"/>
  <c r="L2363" i="2"/>
  <c r="M2363" i="2" s="1"/>
  <c r="L2362" i="2"/>
  <c r="M2362" i="2" s="1"/>
  <c r="L2361" i="2"/>
  <c r="M2361" i="2" s="1"/>
  <c r="L2360" i="2"/>
  <c r="M2360" i="2" s="1"/>
  <c r="L2359" i="2"/>
  <c r="M2359" i="2" s="1"/>
  <c r="L2358" i="2"/>
  <c r="M2358" i="2" s="1"/>
  <c r="L2357" i="2"/>
  <c r="M2357" i="2" s="1"/>
  <c r="L2356" i="2"/>
  <c r="M2356" i="2" s="1"/>
  <c r="L2355" i="2"/>
  <c r="M2355" i="2" s="1"/>
  <c r="L2354" i="2"/>
  <c r="M2354" i="2" s="1"/>
  <c r="L2353" i="2"/>
  <c r="M2353" i="2" s="1"/>
  <c r="L2352" i="2"/>
  <c r="M2352" i="2" s="1"/>
  <c r="L2351" i="2"/>
  <c r="M2351" i="2" s="1"/>
  <c r="L2350" i="2"/>
  <c r="M2350" i="2" s="1"/>
  <c r="L2349" i="2"/>
  <c r="M2349" i="2" s="1"/>
  <c r="L2348" i="2"/>
  <c r="M2348" i="2" s="1"/>
  <c r="L2347" i="2"/>
  <c r="M2347" i="2" s="1"/>
  <c r="L2346" i="2"/>
  <c r="M2346" i="2" s="1"/>
  <c r="L2345" i="2"/>
  <c r="M2345" i="2" s="1"/>
  <c r="L2344" i="2"/>
  <c r="M2344" i="2" s="1"/>
  <c r="L2343" i="2"/>
  <c r="M2343" i="2" s="1"/>
  <c r="L2342" i="2"/>
  <c r="M2342" i="2" s="1"/>
  <c r="L2341" i="2"/>
  <c r="M2341" i="2" s="1"/>
  <c r="L2340" i="2"/>
  <c r="M2340" i="2" s="1"/>
  <c r="L2339" i="2"/>
  <c r="M2339" i="2" s="1"/>
  <c r="L2338" i="2"/>
  <c r="M2338" i="2" s="1"/>
  <c r="L2337" i="2"/>
  <c r="M2337" i="2" s="1"/>
  <c r="L2336" i="2"/>
  <c r="M2336" i="2" s="1"/>
  <c r="L2335" i="2"/>
  <c r="M2335" i="2" s="1"/>
  <c r="L2334" i="2"/>
  <c r="M2334" i="2" s="1"/>
  <c r="L2333" i="2"/>
  <c r="M2333" i="2" s="1"/>
  <c r="L2332" i="2"/>
  <c r="M2332" i="2" s="1"/>
  <c r="L2331" i="2"/>
  <c r="M2331" i="2" s="1"/>
  <c r="L2330" i="2"/>
  <c r="M2330" i="2" s="1"/>
  <c r="L2329" i="2"/>
  <c r="M2329" i="2" s="1"/>
  <c r="L2328" i="2"/>
  <c r="M2328" i="2" s="1"/>
  <c r="L2327" i="2"/>
  <c r="M2327" i="2" s="1"/>
  <c r="L2326" i="2"/>
  <c r="M2326" i="2" s="1"/>
  <c r="L2325" i="2"/>
  <c r="M2325" i="2" s="1"/>
  <c r="L2324" i="2"/>
  <c r="M2324" i="2" s="1"/>
  <c r="L2323" i="2"/>
  <c r="M2323" i="2" s="1"/>
  <c r="L2322" i="2"/>
  <c r="M2322" i="2" s="1"/>
  <c r="L2321" i="2"/>
  <c r="M2321" i="2" s="1"/>
  <c r="L2320" i="2"/>
  <c r="M2320" i="2" s="1"/>
  <c r="L2319" i="2"/>
  <c r="M2319" i="2" s="1"/>
  <c r="L2318" i="2"/>
  <c r="M2318" i="2" s="1"/>
  <c r="L2317" i="2"/>
  <c r="M2317" i="2" s="1"/>
  <c r="L2316" i="2"/>
  <c r="M2316" i="2" s="1"/>
  <c r="L2315" i="2"/>
  <c r="M2315" i="2" s="1"/>
  <c r="L2314" i="2"/>
  <c r="M2314" i="2" s="1"/>
  <c r="L2313" i="2"/>
  <c r="M2313" i="2" s="1"/>
  <c r="L2312" i="2"/>
  <c r="M2312" i="2" s="1"/>
  <c r="L2311" i="2"/>
  <c r="M2311" i="2" s="1"/>
  <c r="L2310" i="2"/>
  <c r="M2310" i="2" s="1"/>
  <c r="L2309" i="2"/>
  <c r="M2309" i="2" s="1"/>
  <c r="L2308" i="2"/>
  <c r="M2308" i="2" s="1"/>
  <c r="L2307" i="2"/>
  <c r="M2307" i="2" s="1"/>
  <c r="L2306" i="2"/>
  <c r="M2306" i="2" s="1"/>
  <c r="L2305" i="2"/>
  <c r="M2305" i="2" s="1"/>
  <c r="L2304" i="2"/>
  <c r="M2304" i="2" s="1"/>
  <c r="L2303" i="2"/>
  <c r="M2303" i="2" s="1"/>
  <c r="L2302" i="2"/>
  <c r="M2302" i="2" s="1"/>
  <c r="L2301" i="2"/>
  <c r="M2301" i="2" s="1"/>
  <c r="L2300" i="2"/>
  <c r="M2300" i="2" s="1"/>
  <c r="L2299" i="2"/>
  <c r="M2299" i="2" s="1"/>
  <c r="L2298" i="2"/>
  <c r="M2298" i="2" s="1"/>
  <c r="L2297" i="2"/>
  <c r="M2297" i="2" s="1"/>
  <c r="L2296" i="2"/>
  <c r="M2296" i="2" s="1"/>
  <c r="L2295" i="2"/>
  <c r="M2295" i="2" s="1"/>
  <c r="L2294" i="2"/>
  <c r="M2294" i="2" s="1"/>
  <c r="L2293" i="2"/>
  <c r="M2293" i="2" s="1"/>
  <c r="L2292" i="2"/>
  <c r="M2292" i="2" s="1"/>
  <c r="L2291" i="2"/>
  <c r="M2291" i="2" s="1"/>
  <c r="L2290" i="2"/>
  <c r="M2290" i="2" s="1"/>
  <c r="L2289" i="2"/>
  <c r="M2289" i="2" s="1"/>
  <c r="L2288" i="2"/>
  <c r="M2288" i="2" s="1"/>
  <c r="L2287" i="2"/>
  <c r="M2287" i="2" s="1"/>
  <c r="L2286" i="2"/>
  <c r="M2286" i="2" s="1"/>
  <c r="L2285" i="2"/>
  <c r="M2285" i="2" s="1"/>
  <c r="L2284" i="2"/>
  <c r="M2284" i="2" s="1"/>
  <c r="L2283" i="2"/>
  <c r="M2283" i="2" s="1"/>
  <c r="L2282" i="2"/>
  <c r="M2282" i="2" s="1"/>
  <c r="L2281" i="2"/>
  <c r="M2281" i="2" s="1"/>
  <c r="L2280" i="2"/>
  <c r="M2280" i="2" s="1"/>
  <c r="L2279" i="2"/>
  <c r="M2279" i="2" s="1"/>
  <c r="L2278" i="2"/>
  <c r="M2278" i="2" s="1"/>
  <c r="L2277" i="2"/>
  <c r="M2277" i="2" s="1"/>
  <c r="L2276" i="2"/>
  <c r="M2276" i="2" s="1"/>
  <c r="L2275" i="2"/>
  <c r="M2275" i="2" s="1"/>
  <c r="L2274" i="2"/>
  <c r="M2274" i="2" s="1"/>
  <c r="L2273" i="2"/>
  <c r="M2273" i="2" s="1"/>
  <c r="L2272" i="2"/>
  <c r="M2272" i="2" s="1"/>
  <c r="L2271" i="2"/>
  <c r="M2271" i="2" s="1"/>
  <c r="L2270" i="2"/>
  <c r="M2270" i="2" s="1"/>
  <c r="L2269" i="2"/>
  <c r="M2269" i="2" s="1"/>
  <c r="L2268" i="2"/>
  <c r="M2268" i="2" s="1"/>
  <c r="L2267" i="2"/>
  <c r="M2267" i="2" s="1"/>
  <c r="L2266" i="2"/>
  <c r="M2266" i="2" s="1"/>
  <c r="L2265" i="2"/>
  <c r="M2265" i="2" s="1"/>
  <c r="L2264" i="2"/>
  <c r="M2264" i="2" s="1"/>
  <c r="L2263" i="2"/>
  <c r="M2263" i="2" s="1"/>
  <c r="L2262" i="2"/>
  <c r="M2262" i="2" s="1"/>
  <c r="L2261" i="2"/>
  <c r="M2261" i="2" s="1"/>
  <c r="L2260" i="2"/>
  <c r="M2260" i="2" s="1"/>
  <c r="L2259" i="2"/>
  <c r="M2259" i="2" s="1"/>
  <c r="L2258" i="2"/>
  <c r="M2258" i="2" s="1"/>
  <c r="L2257" i="2"/>
  <c r="M2257" i="2" s="1"/>
  <c r="L2256" i="2"/>
  <c r="M2256" i="2" s="1"/>
  <c r="L2255" i="2"/>
  <c r="M2255" i="2" s="1"/>
  <c r="L2254" i="2"/>
  <c r="M2254" i="2" s="1"/>
  <c r="L2253" i="2"/>
  <c r="M2253" i="2" s="1"/>
  <c r="L2252" i="2"/>
  <c r="M2252" i="2" s="1"/>
  <c r="L2251" i="2"/>
  <c r="M2251" i="2" s="1"/>
  <c r="L2250" i="2"/>
  <c r="M2250" i="2" s="1"/>
  <c r="L2249" i="2"/>
  <c r="M2249" i="2" s="1"/>
  <c r="L2248" i="2"/>
  <c r="M2248" i="2" s="1"/>
  <c r="L2247" i="2"/>
  <c r="M2247" i="2" s="1"/>
  <c r="L2246" i="2"/>
  <c r="M2246" i="2" s="1"/>
  <c r="L2245" i="2"/>
  <c r="M2245" i="2" s="1"/>
  <c r="L2244" i="2"/>
  <c r="M2244" i="2" s="1"/>
  <c r="L2243" i="2"/>
  <c r="M2243" i="2" s="1"/>
  <c r="L2242" i="2"/>
  <c r="M2242" i="2" s="1"/>
  <c r="L2241" i="2"/>
  <c r="M2241" i="2" s="1"/>
  <c r="L2240" i="2"/>
  <c r="M2240" i="2" s="1"/>
  <c r="L2239" i="2"/>
  <c r="M2239" i="2" s="1"/>
  <c r="L2238" i="2"/>
  <c r="M2238" i="2" s="1"/>
  <c r="L2237" i="2"/>
  <c r="M2237" i="2" s="1"/>
  <c r="L2236" i="2"/>
  <c r="M2236" i="2" s="1"/>
  <c r="L2235" i="2"/>
  <c r="M2235" i="2" s="1"/>
  <c r="L2234" i="2"/>
  <c r="M2234" i="2" s="1"/>
  <c r="L2233" i="2"/>
  <c r="M2233" i="2" s="1"/>
  <c r="L2232" i="2"/>
  <c r="M2232" i="2" s="1"/>
  <c r="L2231" i="2"/>
  <c r="M2231" i="2" s="1"/>
  <c r="L2230" i="2"/>
  <c r="M2230" i="2" s="1"/>
  <c r="L2229" i="2"/>
  <c r="M2229" i="2" s="1"/>
  <c r="L2228" i="2"/>
  <c r="M2228" i="2" s="1"/>
  <c r="L2227" i="2"/>
  <c r="M2227" i="2" s="1"/>
  <c r="L2226" i="2"/>
  <c r="M2226" i="2" s="1"/>
  <c r="L2225" i="2"/>
  <c r="M2225" i="2" s="1"/>
  <c r="L2224" i="2"/>
  <c r="M2224" i="2" s="1"/>
  <c r="L2223" i="2"/>
  <c r="M2223" i="2" s="1"/>
  <c r="L2222" i="2"/>
  <c r="M2222" i="2" s="1"/>
  <c r="L2221" i="2"/>
  <c r="M2221" i="2" s="1"/>
  <c r="L2220" i="2"/>
  <c r="M2220" i="2" s="1"/>
  <c r="L2219" i="2"/>
  <c r="M2219" i="2" s="1"/>
  <c r="L2218" i="2"/>
  <c r="M2218" i="2" s="1"/>
  <c r="L2217" i="2"/>
  <c r="M2217" i="2" s="1"/>
  <c r="L2216" i="2"/>
  <c r="M2216" i="2" s="1"/>
  <c r="L2215" i="2"/>
  <c r="M2215" i="2" s="1"/>
  <c r="L2214" i="2"/>
  <c r="M2214" i="2" s="1"/>
  <c r="L2213" i="2"/>
  <c r="M2213" i="2" s="1"/>
  <c r="L2212" i="2"/>
  <c r="M2212" i="2" s="1"/>
  <c r="L2211" i="2"/>
  <c r="M2211" i="2" s="1"/>
  <c r="L2210" i="2"/>
  <c r="M2210" i="2" s="1"/>
  <c r="L2209" i="2"/>
  <c r="M2209" i="2" s="1"/>
  <c r="L2208" i="2"/>
  <c r="M2208" i="2" s="1"/>
  <c r="L2207" i="2"/>
  <c r="M2207" i="2" s="1"/>
  <c r="L2206" i="2"/>
  <c r="M2206" i="2" s="1"/>
  <c r="L2205" i="2"/>
  <c r="M2205" i="2" s="1"/>
  <c r="L2204" i="2"/>
  <c r="M2204" i="2" s="1"/>
  <c r="L2203" i="2"/>
  <c r="M2203" i="2" s="1"/>
  <c r="L2202" i="2"/>
  <c r="M2202" i="2" s="1"/>
  <c r="L2201" i="2"/>
  <c r="M2201" i="2" s="1"/>
  <c r="L2200" i="2"/>
  <c r="M2200" i="2" s="1"/>
  <c r="L2199" i="2"/>
  <c r="M2199" i="2" s="1"/>
  <c r="L2198" i="2"/>
  <c r="M2198" i="2" s="1"/>
  <c r="L2197" i="2"/>
  <c r="M2197" i="2" s="1"/>
  <c r="L2196" i="2"/>
  <c r="M2196" i="2" s="1"/>
  <c r="L2195" i="2"/>
  <c r="M2195" i="2" s="1"/>
  <c r="L2194" i="2"/>
  <c r="M2194" i="2" s="1"/>
  <c r="L2193" i="2"/>
  <c r="M2193" i="2" s="1"/>
  <c r="L2192" i="2"/>
  <c r="M2192" i="2" s="1"/>
  <c r="L2191" i="2"/>
  <c r="M2191" i="2" s="1"/>
  <c r="L2190" i="2"/>
  <c r="M2190" i="2" s="1"/>
  <c r="L2189" i="2"/>
  <c r="M2189" i="2" s="1"/>
  <c r="L2188" i="2"/>
  <c r="M2188" i="2" s="1"/>
  <c r="L2187" i="2"/>
  <c r="M2187" i="2" s="1"/>
  <c r="L2186" i="2"/>
  <c r="M2186" i="2" s="1"/>
  <c r="L2185" i="2"/>
  <c r="M2185" i="2" s="1"/>
  <c r="L2184" i="2"/>
  <c r="M2184" i="2" s="1"/>
  <c r="L2183" i="2"/>
  <c r="M2183" i="2" s="1"/>
  <c r="L2182" i="2"/>
  <c r="M2182" i="2" s="1"/>
  <c r="L2181" i="2"/>
  <c r="M2181" i="2" s="1"/>
  <c r="L2180" i="2"/>
  <c r="M2180" i="2" s="1"/>
  <c r="L2179" i="2"/>
  <c r="M2179" i="2" s="1"/>
  <c r="L2178" i="2"/>
  <c r="M2178" i="2" s="1"/>
  <c r="L2177" i="2"/>
  <c r="M2177" i="2" s="1"/>
  <c r="L2176" i="2"/>
  <c r="M2176" i="2" s="1"/>
  <c r="L2175" i="2"/>
  <c r="M2175" i="2" s="1"/>
  <c r="L2174" i="2"/>
  <c r="M2174" i="2" s="1"/>
  <c r="L2173" i="2"/>
  <c r="M2173" i="2" s="1"/>
  <c r="L2172" i="2"/>
  <c r="M2172" i="2" s="1"/>
  <c r="L2171" i="2"/>
  <c r="M2171" i="2" s="1"/>
  <c r="L2170" i="2"/>
  <c r="M2170" i="2" s="1"/>
  <c r="L2169" i="2"/>
  <c r="M2169" i="2" s="1"/>
  <c r="L2168" i="2"/>
  <c r="M2168" i="2" s="1"/>
  <c r="L2167" i="2"/>
  <c r="M2167" i="2" s="1"/>
  <c r="L2166" i="2"/>
  <c r="M2166" i="2" s="1"/>
  <c r="L2165" i="2"/>
  <c r="M2165" i="2" s="1"/>
  <c r="L2164" i="2"/>
  <c r="M2164" i="2" s="1"/>
  <c r="L2163" i="2"/>
  <c r="M2163" i="2" s="1"/>
  <c r="L2162" i="2"/>
  <c r="M2162" i="2" s="1"/>
  <c r="L2161" i="2"/>
  <c r="M2161" i="2" s="1"/>
  <c r="L2160" i="2"/>
  <c r="M2160" i="2" s="1"/>
  <c r="L2159" i="2"/>
  <c r="M2159" i="2" s="1"/>
  <c r="L2158" i="2"/>
  <c r="M2158" i="2" s="1"/>
  <c r="L2157" i="2"/>
  <c r="M2157" i="2" s="1"/>
  <c r="L2156" i="2"/>
  <c r="M2156" i="2" s="1"/>
  <c r="L2155" i="2"/>
  <c r="M2155" i="2" s="1"/>
  <c r="L2154" i="2"/>
  <c r="M2154" i="2" s="1"/>
  <c r="L2153" i="2"/>
  <c r="M2153" i="2" s="1"/>
  <c r="L2152" i="2"/>
  <c r="M2152" i="2" s="1"/>
  <c r="L2151" i="2"/>
  <c r="M2151" i="2" s="1"/>
  <c r="L2150" i="2"/>
  <c r="M2150" i="2" s="1"/>
  <c r="L2149" i="2"/>
  <c r="M2149" i="2" s="1"/>
  <c r="L2148" i="2"/>
  <c r="M2148" i="2" s="1"/>
  <c r="L2147" i="2"/>
  <c r="M2147" i="2" s="1"/>
  <c r="L2146" i="2"/>
  <c r="M2146" i="2" s="1"/>
  <c r="L2145" i="2"/>
  <c r="M2145" i="2" s="1"/>
  <c r="L2144" i="2"/>
  <c r="M2144" i="2" s="1"/>
  <c r="L2143" i="2"/>
  <c r="M2143" i="2" s="1"/>
  <c r="L2142" i="2"/>
  <c r="M2142" i="2" s="1"/>
  <c r="L2141" i="2"/>
  <c r="M2141" i="2" s="1"/>
  <c r="L2140" i="2"/>
  <c r="M2140" i="2" s="1"/>
  <c r="L2139" i="2"/>
  <c r="M2139" i="2" s="1"/>
  <c r="L2138" i="2"/>
  <c r="M2138" i="2" s="1"/>
  <c r="L2137" i="2"/>
  <c r="M2137" i="2" s="1"/>
  <c r="L2136" i="2"/>
  <c r="M2136" i="2" s="1"/>
  <c r="L2135" i="2"/>
  <c r="M2135" i="2" s="1"/>
  <c r="L2134" i="2"/>
  <c r="M2134" i="2" s="1"/>
  <c r="L2133" i="2"/>
  <c r="M2133" i="2" s="1"/>
  <c r="L2132" i="2"/>
  <c r="M2132" i="2" s="1"/>
  <c r="L2131" i="2"/>
  <c r="M2131" i="2" s="1"/>
  <c r="L2130" i="2"/>
  <c r="M2130" i="2" s="1"/>
  <c r="L2129" i="2"/>
  <c r="M2129" i="2" s="1"/>
  <c r="L2128" i="2"/>
  <c r="M2128" i="2" s="1"/>
  <c r="L2127" i="2"/>
  <c r="M2127" i="2" s="1"/>
  <c r="L2126" i="2"/>
  <c r="M2126" i="2" s="1"/>
  <c r="L2125" i="2"/>
  <c r="M2125" i="2" s="1"/>
  <c r="L2124" i="2"/>
  <c r="M2124" i="2" s="1"/>
  <c r="L2123" i="2"/>
  <c r="M2123" i="2" s="1"/>
  <c r="L2122" i="2"/>
  <c r="M2122" i="2" s="1"/>
  <c r="L2121" i="2"/>
  <c r="M2121" i="2" s="1"/>
  <c r="L2120" i="2"/>
  <c r="M2120" i="2" s="1"/>
  <c r="L2119" i="2"/>
  <c r="M2119" i="2" s="1"/>
  <c r="L2118" i="2"/>
  <c r="M2118" i="2" s="1"/>
  <c r="L2117" i="2"/>
  <c r="M2117" i="2" s="1"/>
  <c r="L2116" i="2"/>
  <c r="M2116" i="2" s="1"/>
  <c r="L2115" i="2"/>
  <c r="M2115" i="2" s="1"/>
  <c r="L2114" i="2"/>
  <c r="M2114" i="2" s="1"/>
  <c r="L2113" i="2"/>
  <c r="M2113" i="2" s="1"/>
  <c r="L2112" i="2"/>
  <c r="M2112" i="2" s="1"/>
  <c r="L2111" i="2"/>
  <c r="M2111" i="2" s="1"/>
  <c r="L2110" i="2"/>
  <c r="M2110" i="2" s="1"/>
  <c r="L2109" i="2"/>
  <c r="M2109" i="2" s="1"/>
  <c r="L2108" i="2"/>
  <c r="M2108" i="2" s="1"/>
  <c r="L2107" i="2"/>
  <c r="M2107" i="2" s="1"/>
  <c r="L2106" i="2"/>
  <c r="M2106" i="2" s="1"/>
  <c r="L2105" i="2"/>
  <c r="M2105" i="2" s="1"/>
  <c r="L2104" i="2"/>
  <c r="M2104" i="2" s="1"/>
  <c r="L2103" i="2"/>
  <c r="M2103" i="2" s="1"/>
  <c r="L2102" i="2"/>
  <c r="M2102" i="2" s="1"/>
  <c r="L2101" i="2"/>
  <c r="M2101" i="2" s="1"/>
  <c r="L2100" i="2"/>
  <c r="M2100" i="2" s="1"/>
  <c r="L2099" i="2"/>
  <c r="M2099" i="2" s="1"/>
  <c r="L2098" i="2"/>
  <c r="M2098" i="2" s="1"/>
  <c r="L2097" i="2"/>
  <c r="M2097" i="2" s="1"/>
  <c r="L2096" i="2"/>
  <c r="M2096" i="2" s="1"/>
  <c r="L2095" i="2"/>
  <c r="M2095" i="2" s="1"/>
  <c r="L2094" i="2"/>
  <c r="M2094" i="2" s="1"/>
  <c r="L2093" i="2"/>
  <c r="M2093" i="2" s="1"/>
  <c r="L2092" i="2"/>
  <c r="M2092" i="2" s="1"/>
  <c r="L2091" i="2"/>
  <c r="M2091" i="2" s="1"/>
  <c r="L2090" i="2"/>
  <c r="M2090" i="2" s="1"/>
  <c r="L2089" i="2"/>
  <c r="M2089" i="2" s="1"/>
  <c r="L2088" i="2"/>
  <c r="M2088" i="2" s="1"/>
  <c r="L2087" i="2"/>
  <c r="M2087" i="2" s="1"/>
  <c r="L2086" i="2"/>
  <c r="M2086" i="2" s="1"/>
  <c r="L2085" i="2"/>
  <c r="M2085" i="2" s="1"/>
  <c r="L2084" i="2"/>
  <c r="M2084" i="2" s="1"/>
  <c r="L2083" i="2"/>
  <c r="M2083" i="2" s="1"/>
  <c r="L2082" i="2"/>
  <c r="M2082" i="2" s="1"/>
  <c r="L2081" i="2"/>
  <c r="M2081" i="2" s="1"/>
  <c r="L2080" i="2"/>
  <c r="M2080" i="2" s="1"/>
  <c r="L2079" i="2"/>
  <c r="M2079" i="2" s="1"/>
  <c r="L2078" i="2"/>
  <c r="M2078" i="2" s="1"/>
  <c r="L2077" i="2"/>
  <c r="M2077" i="2" s="1"/>
  <c r="L2076" i="2"/>
  <c r="M2076" i="2" s="1"/>
  <c r="L2075" i="2"/>
  <c r="M2075" i="2" s="1"/>
  <c r="L2074" i="2"/>
  <c r="M2074" i="2" s="1"/>
  <c r="L2073" i="2"/>
  <c r="M2073" i="2" s="1"/>
  <c r="L2072" i="2"/>
  <c r="M2072" i="2" s="1"/>
  <c r="L2071" i="2"/>
  <c r="M2071" i="2" s="1"/>
  <c r="L2070" i="2"/>
  <c r="M2070" i="2" s="1"/>
  <c r="L2069" i="2"/>
  <c r="M2069" i="2" s="1"/>
  <c r="L2068" i="2"/>
  <c r="M2068" i="2" s="1"/>
  <c r="L2067" i="2"/>
  <c r="M2067" i="2" s="1"/>
  <c r="L2066" i="2"/>
  <c r="M2066" i="2" s="1"/>
  <c r="L2065" i="2"/>
  <c r="M2065" i="2" s="1"/>
  <c r="L2064" i="2"/>
  <c r="M2064" i="2" s="1"/>
  <c r="L2063" i="2"/>
  <c r="M2063" i="2" s="1"/>
  <c r="L2062" i="2"/>
  <c r="M2062" i="2" s="1"/>
  <c r="L2061" i="2"/>
  <c r="M2061" i="2" s="1"/>
  <c r="L2060" i="2"/>
  <c r="M2060" i="2" s="1"/>
  <c r="L2059" i="2"/>
  <c r="M2059" i="2" s="1"/>
  <c r="L2058" i="2"/>
  <c r="M2058" i="2" s="1"/>
  <c r="L2057" i="2"/>
  <c r="M2057" i="2" s="1"/>
  <c r="L2056" i="2"/>
  <c r="M2056" i="2" s="1"/>
  <c r="L2055" i="2"/>
  <c r="M2055" i="2" s="1"/>
  <c r="L2054" i="2"/>
  <c r="M2054" i="2" s="1"/>
  <c r="L2053" i="2"/>
  <c r="M2053" i="2" s="1"/>
  <c r="L2052" i="2"/>
  <c r="M2052" i="2" s="1"/>
  <c r="L2051" i="2"/>
  <c r="M2051" i="2" s="1"/>
  <c r="L2050" i="2"/>
  <c r="M2050" i="2" s="1"/>
  <c r="L2049" i="2"/>
  <c r="M2049" i="2" s="1"/>
  <c r="L2048" i="2"/>
  <c r="M2048" i="2" s="1"/>
  <c r="L2047" i="2"/>
  <c r="M2047" i="2" s="1"/>
  <c r="L2046" i="2"/>
  <c r="M2046" i="2" s="1"/>
  <c r="L2045" i="2"/>
  <c r="M2045" i="2" s="1"/>
  <c r="L2044" i="2"/>
  <c r="M2044" i="2" s="1"/>
  <c r="L2043" i="2"/>
  <c r="M2043" i="2" s="1"/>
  <c r="L2042" i="2"/>
  <c r="M2042" i="2" s="1"/>
  <c r="L2041" i="2"/>
  <c r="M2041" i="2" s="1"/>
  <c r="L2040" i="2"/>
  <c r="M2040" i="2" s="1"/>
  <c r="L2039" i="2"/>
  <c r="M2039" i="2" s="1"/>
  <c r="L2038" i="2"/>
  <c r="M2038" i="2" s="1"/>
  <c r="L2037" i="2"/>
  <c r="M2037" i="2" s="1"/>
  <c r="L2036" i="2"/>
  <c r="M2036" i="2" s="1"/>
  <c r="L2035" i="2"/>
  <c r="M2035" i="2" s="1"/>
  <c r="L2034" i="2"/>
  <c r="M2034" i="2" s="1"/>
  <c r="L2033" i="2"/>
  <c r="M2033" i="2" s="1"/>
  <c r="L2032" i="2"/>
  <c r="M2032" i="2" s="1"/>
  <c r="L2031" i="2"/>
  <c r="M2031" i="2" s="1"/>
  <c r="L2030" i="2"/>
  <c r="M2030" i="2" s="1"/>
  <c r="L2029" i="2"/>
  <c r="M2029" i="2" s="1"/>
  <c r="L2028" i="2"/>
  <c r="M2028" i="2" s="1"/>
  <c r="L2027" i="2"/>
  <c r="M2027" i="2" s="1"/>
  <c r="L2026" i="2"/>
  <c r="M2026" i="2" s="1"/>
  <c r="L2025" i="2"/>
  <c r="M2025" i="2" s="1"/>
  <c r="L2024" i="2"/>
  <c r="M2024" i="2" s="1"/>
  <c r="L2023" i="2"/>
  <c r="M2023" i="2" s="1"/>
  <c r="L2022" i="2"/>
  <c r="M2022" i="2" s="1"/>
  <c r="L2021" i="2"/>
  <c r="M2021" i="2" s="1"/>
  <c r="L2020" i="2"/>
  <c r="M2020" i="2" s="1"/>
  <c r="L2019" i="2"/>
  <c r="M2019" i="2" s="1"/>
  <c r="L2018" i="2"/>
  <c r="M2018" i="2" s="1"/>
  <c r="L2017" i="2"/>
  <c r="M2017" i="2" s="1"/>
  <c r="L2016" i="2"/>
  <c r="M2016" i="2" s="1"/>
  <c r="L2015" i="2"/>
  <c r="M2015" i="2" s="1"/>
  <c r="L2014" i="2"/>
  <c r="M2014" i="2" s="1"/>
  <c r="L2013" i="2"/>
  <c r="M2013" i="2" s="1"/>
  <c r="L2012" i="2"/>
  <c r="M2012" i="2" s="1"/>
  <c r="L2011" i="2"/>
  <c r="M2011" i="2" s="1"/>
  <c r="L2010" i="2"/>
  <c r="M2010" i="2" s="1"/>
  <c r="L2009" i="2"/>
  <c r="M2009" i="2" s="1"/>
  <c r="L2008" i="2"/>
  <c r="M2008" i="2" s="1"/>
  <c r="L2007" i="2"/>
  <c r="M2007" i="2" s="1"/>
  <c r="L2006" i="2"/>
  <c r="M2006" i="2" s="1"/>
  <c r="L2005" i="2"/>
  <c r="M2005" i="2" s="1"/>
  <c r="L2004" i="2"/>
  <c r="M2004" i="2" s="1"/>
  <c r="L2003" i="2"/>
  <c r="M2003" i="2" s="1"/>
  <c r="L2002" i="2"/>
  <c r="M2002" i="2" s="1"/>
  <c r="L2001" i="2"/>
  <c r="M2001" i="2" s="1"/>
  <c r="L2000" i="2"/>
  <c r="M2000" i="2" s="1"/>
  <c r="L1999" i="2"/>
  <c r="M1999" i="2" s="1"/>
  <c r="L1998" i="2"/>
  <c r="M1998" i="2" s="1"/>
  <c r="L1997" i="2"/>
  <c r="M1997" i="2" s="1"/>
  <c r="L1996" i="2"/>
  <c r="M1996" i="2" s="1"/>
  <c r="L1995" i="2"/>
  <c r="M1995" i="2" s="1"/>
  <c r="L1994" i="2"/>
  <c r="M1994" i="2" s="1"/>
  <c r="L1993" i="2"/>
  <c r="M1993" i="2" s="1"/>
  <c r="L1992" i="2"/>
  <c r="M1992" i="2" s="1"/>
  <c r="L1991" i="2"/>
  <c r="M1991" i="2" s="1"/>
  <c r="L1990" i="2"/>
  <c r="M1990" i="2" s="1"/>
  <c r="L1989" i="2"/>
  <c r="M1989" i="2" s="1"/>
  <c r="L1988" i="2"/>
  <c r="M1988" i="2" s="1"/>
  <c r="L1987" i="2"/>
  <c r="M1987" i="2" s="1"/>
  <c r="L1986" i="2"/>
  <c r="M1986" i="2" s="1"/>
  <c r="L1985" i="2"/>
  <c r="M1985" i="2" s="1"/>
  <c r="L1984" i="2"/>
  <c r="M1984" i="2" s="1"/>
  <c r="L1983" i="2"/>
  <c r="M1983" i="2" s="1"/>
  <c r="L1982" i="2"/>
  <c r="M1982" i="2" s="1"/>
  <c r="L1981" i="2"/>
  <c r="M1981" i="2" s="1"/>
  <c r="L1980" i="2"/>
  <c r="M1980" i="2" s="1"/>
  <c r="L1979" i="2"/>
  <c r="M1979" i="2" s="1"/>
  <c r="L1978" i="2"/>
  <c r="M1978" i="2" s="1"/>
  <c r="L1977" i="2"/>
  <c r="M1977" i="2" s="1"/>
  <c r="L1976" i="2"/>
  <c r="M1976" i="2" s="1"/>
  <c r="L1975" i="2"/>
  <c r="M1975" i="2" s="1"/>
  <c r="L1974" i="2"/>
  <c r="M1974" i="2" s="1"/>
  <c r="L1973" i="2"/>
  <c r="M1973" i="2" s="1"/>
  <c r="L1972" i="2"/>
  <c r="M1972" i="2" s="1"/>
  <c r="L1971" i="2"/>
  <c r="M1971" i="2" s="1"/>
  <c r="L1970" i="2"/>
  <c r="M1970" i="2" s="1"/>
  <c r="L1969" i="2"/>
  <c r="M1969" i="2" s="1"/>
  <c r="L1968" i="2"/>
  <c r="M1968" i="2" s="1"/>
  <c r="L1967" i="2"/>
  <c r="M1967" i="2" s="1"/>
  <c r="L1966" i="2"/>
  <c r="M1966" i="2" s="1"/>
  <c r="L1965" i="2"/>
  <c r="M1965" i="2" s="1"/>
  <c r="L1964" i="2"/>
  <c r="M1964" i="2" s="1"/>
  <c r="L1963" i="2"/>
  <c r="M1963" i="2" s="1"/>
  <c r="L1962" i="2"/>
  <c r="M1962" i="2" s="1"/>
  <c r="L1961" i="2"/>
  <c r="M1961" i="2" s="1"/>
  <c r="L1960" i="2"/>
  <c r="M1960" i="2" s="1"/>
  <c r="L1959" i="2"/>
  <c r="M1959" i="2" s="1"/>
  <c r="L1958" i="2"/>
  <c r="M1958" i="2" s="1"/>
  <c r="L1957" i="2"/>
  <c r="M1957" i="2" s="1"/>
  <c r="L1956" i="2"/>
  <c r="M1956" i="2" s="1"/>
  <c r="L1955" i="2"/>
  <c r="M1955" i="2" s="1"/>
  <c r="L1954" i="2"/>
  <c r="M1954" i="2" s="1"/>
  <c r="L1953" i="2"/>
  <c r="M1953" i="2" s="1"/>
  <c r="L1952" i="2"/>
  <c r="M1952" i="2" s="1"/>
  <c r="L1951" i="2"/>
  <c r="M1951" i="2" s="1"/>
  <c r="L1950" i="2"/>
  <c r="M1950" i="2" s="1"/>
  <c r="L1949" i="2"/>
  <c r="M1949" i="2" s="1"/>
  <c r="L1948" i="2"/>
  <c r="M1948" i="2" s="1"/>
  <c r="L1947" i="2"/>
  <c r="M1947" i="2" s="1"/>
  <c r="L1946" i="2"/>
  <c r="M1946" i="2" s="1"/>
  <c r="L1945" i="2"/>
  <c r="M1945" i="2" s="1"/>
  <c r="L1944" i="2"/>
  <c r="M1944" i="2" s="1"/>
  <c r="L1943" i="2"/>
  <c r="M1943" i="2" s="1"/>
  <c r="L1942" i="2"/>
  <c r="M1942" i="2" s="1"/>
  <c r="L1941" i="2"/>
  <c r="M1941" i="2" s="1"/>
  <c r="L1940" i="2"/>
  <c r="M1940" i="2" s="1"/>
  <c r="L1939" i="2"/>
  <c r="M1939" i="2" s="1"/>
  <c r="L1938" i="2"/>
  <c r="M1938" i="2" s="1"/>
  <c r="L1937" i="2"/>
  <c r="M1937" i="2" s="1"/>
  <c r="L1936" i="2"/>
  <c r="M1936" i="2" s="1"/>
  <c r="L1935" i="2"/>
  <c r="M1935" i="2" s="1"/>
  <c r="L1934" i="2"/>
  <c r="M1934" i="2" s="1"/>
  <c r="L1933" i="2"/>
  <c r="M1933" i="2" s="1"/>
  <c r="L1932" i="2"/>
  <c r="M1932" i="2" s="1"/>
  <c r="L1931" i="2"/>
  <c r="M1931" i="2" s="1"/>
  <c r="L1930" i="2"/>
  <c r="M1930" i="2" s="1"/>
  <c r="L1929" i="2"/>
  <c r="M1929" i="2" s="1"/>
  <c r="L1928" i="2"/>
  <c r="M1928" i="2" s="1"/>
  <c r="L1927" i="2"/>
  <c r="M1927" i="2" s="1"/>
  <c r="L1926" i="2"/>
  <c r="M1926" i="2" s="1"/>
  <c r="L1925" i="2"/>
  <c r="M1925" i="2" s="1"/>
  <c r="L1924" i="2"/>
  <c r="M1924" i="2" s="1"/>
  <c r="L1923" i="2"/>
  <c r="M1923" i="2" s="1"/>
  <c r="L1922" i="2"/>
  <c r="M1922" i="2" s="1"/>
  <c r="L1921" i="2"/>
  <c r="M1921" i="2" s="1"/>
  <c r="L1920" i="2"/>
  <c r="M1920" i="2" s="1"/>
  <c r="L1919" i="2"/>
  <c r="M1919" i="2" s="1"/>
  <c r="L1918" i="2"/>
  <c r="M1918" i="2" s="1"/>
  <c r="L1917" i="2"/>
  <c r="M1917" i="2" s="1"/>
  <c r="L1916" i="2"/>
  <c r="M1916" i="2" s="1"/>
  <c r="L1915" i="2"/>
  <c r="M1915" i="2" s="1"/>
  <c r="L1914" i="2"/>
  <c r="M1914" i="2" s="1"/>
  <c r="L1913" i="2"/>
  <c r="M1913" i="2" s="1"/>
  <c r="L1912" i="2"/>
  <c r="M1912" i="2" s="1"/>
  <c r="L1911" i="2"/>
  <c r="M1911" i="2" s="1"/>
  <c r="L1910" i="2"/>
  <c r="M1910" i="2" s="1"/>
  <c r="L1909" i="2"/>
  <c r="M1909" i="2" s="1"/>
  <c r="L1908" i="2"/>
  <c r="M1908" i="2" s="1"/>
  <c r="L1907" i="2"/>
  <c r="M1907" i="2" s="1"/>
  <c r="L1906" i="2"/>
  <c r="M1906" i="2" s="1"/>
  <c r="L1905" i="2"/>
  <c r="M1905" i="2" s="1"/>
  <c r="L1904" i="2"/>
  <c r="M1904" i="2" s="1"/>
  <c r="L1903" i="2"/>
  <c r="M1903" i="2" s="1"/>
  <c r="L1902" i="2"/>
  <c r="M1902" i="2" s="1"/>
  <c r="L1901" i="2"/>
  <c r="M1901" i="2" s="1"/>
  <c r="L1900" i="2"/>
  <c r="M1900" i="2" s="1"/>
  <c r="L1899" i="2"/>
  <c r="M1899" i="2" s="1"/>
  <c r="L1898" i="2"/>
  <c r="M1898" i="2" s="1"/>
  <c r="L1897" i="2"/>
  <c r="M1897" i="2" s="1"/>
  <c r="L1896" i="2"/>
  <c r="M1896" i="2" s="1"/>
  <c r="L1895" i="2"/>
  <c r="M1895" i="2" s="1"/>
  <c r="L1894" i="2"/>
  <c r="M1894" i="2" s="1"/>
  <c r="L1893" i="2"/>
  <c r="M1893" i="2" s="1"/>
  <c r="L1892" i="2"/>
  <c r="M1892" i="2" s="1"/>
  <c r="L1891" i="2"/>
  <c r="M1891" i="2" s="1"/>
  <c r="L1890" i="2"/>
  <c r="M1890" i="2" s="1"/>
  <c r="L1889" i="2"/>
  <c r="M1889" i="2" s="1"/>
  <c r="L1888" i="2"/>
  <c r="M1888" i="2" s="1"/>
  <c r="L1887" i="2"/>
  <c r="M1887" i="2" s="1"/>
  <c r="L1886" i="2"/>
  <c r="M1886" i="2" s="1"/>
  <c r="L1885" i="2"/>
  <c r="M1885" i="2" s="1"/>
  <c r="L1884" i="2"/>
  <c r="M1884" i="2" s="1"/>
  <c r="L1883" i="2"/>
  <c r="M1883" i="2" s="1"/>
  <c r="L1882" i="2"/>
  <c r="M1882" i="2" s="1"/>
  <c r="L1881" i="2"/>
  <c r="M1881" i="2" s="1"/>
  <c r="L1880" i="2"/>
  <c r="M1880" i="2" s="1"/>
  <c r="L1879" i="2"/>
  <c r="M1879" i="2" s="1"/>
  <c r="L1878" i="2"/>
  <c r="M1878" i="2" s="1"/>
  <c r="L1877" i="2"/>
  <c r="M1877" i="2" s="1"/>
  <c r="L1876" i="2"/>
  <c r="M1876" i="2" s="1"/>
  <c r="L1875" i="2"/>
  <c r="M1875" i="2" s="1"/>
  <c r="L1874" i="2"/>
  <c r="M1874" i="2" s="1"/>
  <c r="L1873" i="2"/>
  <c r="M1873" i="2" s="1"/>
  <c r="L1872" i="2"/>
  <c r="M1872" i="2" s="1"/>
  <c r="L1871" i="2"/>
  <c r="M1871" i="2" s="1"/>
  <c r="L1870" i="2"/>
  <c r="M1870" i="2" s="1"/>
  <c r="L1869" i="2"/>
  <c r="M1869" i="2" s="1"/>
  <c r="L1868" i="2"/>
  <c r="M1868" i="2" s="1"/>
  <c r="L1867" i="2"/>
  <c r="M1867" i="2" s="1"/>
  <c r="L1866" i="2"/>
  <c r="M1866" i="2" s="1"/>
  <c r="L1865" i="2"/>
  <c r="M1865" i="2" s="1"/>
  <c r="L1864" i="2"/>
  <c r="M1864" i="2" s="1"/>
  <c r="L1863" i="2"/>
  <c r="M1863" i="2" s="1"/>
  <c r="L1862" i="2"/>
  <c r="M1862" i="2" s="1"/>
  <c r="L1861" i="2"/>
  <c r="M1861" i="2" s="1"/>
  <c r="L1860" i="2"/>
  <c r="M1860" i="2" s="1"/>
  <c r="L1859" i="2"/>
  <c r="M1859" i="2" s="1"/>
  <c r="L1858" i="2"/>
  <c r="M1858" i="2" s="1"/>
  <c r="L1857" i="2"/>
  <c r="M1857" i="2" s="1"/>
  <c r="L1856" i="2"/>
  <c r="M1856" i="2" s="1"/>
  <c r="L1855" i="2"/>
  <c r="M1855" i="2" s="1"/>
  <c r="L1854" i="2"/>
  <c r="M1854" i="2" s="1"/>
  <c r="L1853" i="2"/>
  <c r="M1853" i="2" s="1"/>
  <c r="L1852" i="2"/>
  <c r="M1852" i="2" s="1"/>
  <c r="L1851" i="2"/>
  <c r="M1851" i="2" s="1"/>
  <c r="L1850" i="2"/>
  <c r="M1850" i="2" s="1"/>
  <c r="L1849" i="2"/>
  <c r="M1849" i="2" s="1"/>
  <c r="L1848" i="2"/>
  <c r="M1848" i="2" s="1"/>
  <c r="L1847" i="2"/>
  <c r="M1847" i="2" s="1"/>
  <c r="L1846" i="2"/>
  <c r="M1846" i="2" s="1"/>
  <c r="L1845" i="2"/>
  <c r="M1845" i="2" s="1"/>
  <c r="L1844" i="2"/>
  <c r="M1844" i="2" s="1"/>
  <c r="L1843" i="2"/>
  <c r="M1843" i="2" s="1"/>
  <c r="L1842" i="2"/>
  <c r="M1842" i="2" s="1"/>
  <c r="L1841" i="2"/>
  <c r="M1841" i="2" s="1"/>
  <c r="L1840" i="2"/>
  <c r="M1840" i="2" s="1"/>
  <c r="L1839" i="2"/>
  <c r="M1839" i="2" s="1"/>
  <c r="L1838" i="2"/>
  <c r="M1838" i="2" s="1"/>
  <c r="L1837" i="2"/>
  <c r="M1837" i="2" s="1"/>
  <c r="L1836" i="2"/>
  <c r="M1836" i="2" s="1"/>
  <c r="L1835" i="2"/>
  <c r="M1835" i="2" s="1"/>
  <c r="L1834" i="2"/>
  <c r="M1834" i="2" s="1"/>
  <c r="L1833" i="2"/>
  <c r="M1833" i="2" s="1"/>
  <c r="L1832" i="2"/>
  <c r="M1832" i="2" s="1"/>
  <c r="L1831" i="2"/>
  <c r="M1831" i="2" s="1"/>
  <c r="L1830" i="2"/>
  <c r="M1830" i="2" s="1"/>
  <c r="L1829" i="2"/>
  <c r="M1829" i="2" s="1"/>
  <c r="L1828" i="2"/>
  <c r="M1828" i="2" s="1"/>
  <c r="L1827" i="2"/>
  <c r="M1827" i="2" s="1"/>
  <c r="L1826" i="2"/>
  <c r="M1826" i="2" s="1"/>
  <c r="L1825" i="2"/>
  <c r="M1825" i="2" s="1"/>
  <c r="L1824" i="2"/>
  <c r="M1824" i="2" s="1"/>
  <c r="L1823" i="2"/>
  <c r="M1823" i="2" s="1"/>
  <c r="L1822" i="2"/>
  <c r="M1822" i="2" s="1"/>
  <c r="L1821" i="2"/>
  <c r="M1821" i="2" s="1"/>
  <c r="L1820" i="2"/>
  <c r="M1820" i="2" s="1"/>
  <c r="L1819" i="2"/>
  <c r="M1819" i="2" s="1"/>
  <c r="L1818" i="2"/>
  <c r="M1818" i="2" s="1"/>
  <c r="L1817" i="2"/>
  <c r="M1817" i="2" s="1"/>
  <c r="L1816" i="2"/>
  <c r="M1816" i="2" s="1"/>
  <c r="L1815" i="2"/>
  <c r="M1815" i="2" s="1"/>
  <c r="L1814" i="2"/>
  <c r="M1814" i="2" s="1"/>
  <c r="L1813" i="2"/>
  <c r="M1813" i="2" s="1"/>
  <c r="L1812" i="2"/>
  <c r="M1812" i="2" s="1"/>
  <c r="L1811" i="2"/>
  <c r="M1811" i="2" s="1"/>
  <c r="L1810" i="2"/>
  <c r="M1810" i="2" s="1"/>
  <c r="L1809" i="2"/>
  <c r="M1809" i="2" s="1"/>
  <c r="L1808" i="2"/>
  <c r="M1808" i="2" s="1"/>
  <c r="L1807" i="2"/>
  <c r="M1807" i="2" s="1"/>
  <c r="L1806" i="2"/>
  <c r="M1806" i="2" s="1"/>
  <c r="L1805" i="2"/>
  <c r="M1805" i="2" s="1"/>
  <c r="L1804" i="2"/>
  <c r="M1804" i="2" s="1"/>
  <c r="L1803" i="2"/>
  <c r="M1803" i="2" s="1"/>
  <c r="L1802" i="2"/>
  <c r="M1802" i="2" s="1"/>
  <c r="L1801" i="2"/>
  <c r="M1801" i="2" s="1"/>
  <c r="L1800" i="2"/>
  <c r="M1800" i="2" s="1"/>
  <c r="L1799" i="2"/>
  <c r="M1799" i="2" s="1"/>
  <c r="L1798" i="2"/>
  <c r="M1798" i="2" s="1"/>
  <c r="L1797" i="2"/>
  <c r="M1797" i="2" s="1"/>
  <c r="L1796" i="2"/>
  <c r="M1796" i="2" s="1"/>
  <c r="L1795" i="2"/>
  <c r="M1795" i="2" s="1"/>
  <c r="L1794" i="2"/>
  <c r="M1794" i="2" s="1"/>
  <c r="L1793" i="2"/>
  <c r="M1793" i="2" s="1"/>
  <c r="L1792" i="2"/>
  <c r="M1792" i="2" s="1"/>
  <c r="L1791" i="2"/>
  <c r="M1791" i="2" s="1"/>
  <c r="L1790" i="2"/>
  <c r="M1790" i="2" s="1"/>
  <c r="L1789" i="2"/>
  <c r="M1789" i="2" s="1"/>
  <c r="L1788" i="2"/>
  <c r="M1788" i="2" s="1"/>
  <c r="L1787" i="2"/>
  <c r="M1787" i="2" s="1"/>
  <c r="L1786" i="2"/>
  <c r="M1786" i="2" s="1"/>
  <c r="L1785" i="2"/>
  <c r="M1785" i="2" s="1"/>
  <c r="L1784" i="2"/>
  <c r="M1784" i="2" s="1"/>
  <c r="L1783" i="2"/>
  <c r="M1783" i="2" s="1"/>
  <c r="L1782" i="2"/>
  <c r="M1782" i="2" s="1"/>
  <c r="L1781" i="2"/>
  <c r="M1781" i="2" s="1"/>
  <c r="L1780" i="2"/>
  <c r="M1780" i="2" s="1"/>
  <c r="L1779" i="2"/>
  <c r="M1779" i="2" s="1"/>
  <c r="L1778" i="2"/>
  <c r="M1778" i="2" s="1"/>
  <c r="L1777" i="2"/>
  <c r="M1777" i="2" s="1"/>
  <c r="L1776" i="2"/>
  <c r="M1776" i="2" s="1"/>
  <c r="L1775" i="2"/>
  <c r="M1775" i="2" s="1"/>
  <c r="L1774" i="2"/>
  <c r="M1774" i="2" s="1"/>
  <c r="L1773" i="2"/>
  <c r="M1773" i="2" s="1"/>
  <c r="L1772" i="2"/>
  <c r="M1772" i="2" s="1"/>
  <c r="L1771" i="2"/>
  <c r="M1771" i="2" s="1"/>
  <c r="L1770" i="2"/>
  <c r="M1770" i="2" s="1"/>
  <c r="L1769" i="2"/>
  <c r="M1769" i="2" s="1"/>
  <c r="L1768" i="2"/>
  <c r="M1768" i="2" s="1"/>
  <c r="L1767" i="2"/>
  <c r="M1767" i="2" s="1"/>
  <c r="L1766" i="2"/>
  <c r="M1766" i="2" s="1"/>
  <c r="L1765" i="2"/>
  <c r="M1765" i="2" s="1"/>
  <c r="L1764" i="2"/>
  <c r="M1764" i="2" s="1"/>
  <c r="L1763" i="2"/>
  <c r="M1763" i="2" s="1"/>
  <c r="L1762" i="2"/>
  <c r="M1762" i="2" s="1"/>
  <c r="L1761" i="2"/>
  <c r="M1761" i="2" s="1"/>
  <c r="L1760" i="2"/>
  <c r="M1760" i="2" s="1"/>
  <c r="L1759" i="2"/>
  <c r="M1759" i="2" s="1"/>
  <c r="L1758" i="2"/>
  <c r="M1758" i="2" s="1"/>
  <c r="L1757" i="2"/>
  <c r="M1757" i="2" s="1"/>
  <c r="L1756" i="2"/>
  <c r="M1756" i="2" s="1"/>
  <c r="L1755" i="2"/>
  <c r="M1755" i="2" s="1"/>
  <c r="L1754" i="2"/>
  <c r="M1754" i="2" s="1"/>
  <c r="L1753" i="2"/>
  <c r="M1753" i="2" s="1"/>
  <c r="L1752" i="2"/>
  <c r="M1752" i="2" s="1"/>
  <c r="L1751" i="2"/>
  <c r="M1751" i="2" s="1"/>
  <c r="L1750" i="2"/>
  <c r="M1750" i="2" s="1"/>
  <c r="L1749" i="2"/>
  <c r="M1749" i="2" s="1"/>
  <c r="L1748" i="2"/>
  <c r="M1748" i="2" s="1"/>
  <c r="L1747" i="2"/>
  <c r="M1747" i="2" s="1"/>
  <c r="L1746" i="2"/>
  <c r="M1746" i="2" s="1"/>
  <c r="L1745" i="2"/>
  <c r="M1745" i="2" s="1"/>
  <c r="L1744" i="2"/>
  <c r="M1744" i="2" s="1"/>
  <c r="L1743" i="2"/>
  <c r="M1743" i="2" s="1"/>
  <c r="L1742" i="2"/>
  <c r="M1742" i="2" s="1"/>
  <c r="L1741" i="2"/>
  <c r="M1741" i="2" s="1"/>
  <c r="L1740" i="2"/>
  <c r="M1740" i="2" s="1"/>
  <c r="L1739" i="2"/>
  <c r="M1739" i="2" s="1"/>
  <c r="L1738" i="2"/>
  <c r="M1738" i="2" s="1"/>
  <c r="L1737" i="2"/>
  <c r="M1737" i="2" s="1"/>
  <c r="L1736" i="2"/>
  <c r="M1736" i="2" s="1"/>
  <c r="L1735" i="2"/>
  <c r="M1735" i="2" s="1"/>
  <c r="L1734" i="2"/>
  <c r="M1734" i="2" s="1"/>
  <c r="L1733" i="2"/>
  <c r="M1733" i="2" s="1"/>
  <c r="L1732" i="2"/>
  <c r="M1732" i="2" s="1"/>
  <c r="L1731" i="2"/>
  <c r="M1731" i="2" s="1"/>
  <c r="L1730" i="2"/>
  <c r="M1730" i="2" s="1"/>
  <c r="L1729" i="2"/>
  <c r="M1729" i="2" s="1"/>
  <c r="L1728" i="2"/>
  <c r="M1728" i="2" s="1"/>
  <c r="L1727" i="2"/>
  <c r="M1727" i="2" s="1"/>
  <c r="L1726" i="2"/>
  <c r="M1726" i="2" s="1"/>
  <c r="L1725" i="2"/>
  <c r="M1725" i="2" s="1"/>
  <c r="L1724" i="2"/>
  <c r="M1724" i="2" s="1"/>
  <c r="L1723" i="2"/>
  <c r="M1723" i="2" s="1"/>
  <c r="L1722" i="2"/>
  <c r="M1722" i="2" s="1"/>
  <c r="L1721" i="2"/>
  <c r="M1721" i="2" s="1"/>
  <c r="L1720" i="2"/>
  <c r="M1720" i="2" s="1"/>
  <c r="L1719" i="2"/>
  <c r="M1719" i="2" s="1"/>
  <c r="L1718" i="2"/>
  <c r="M1718" i="2" s="1"/>
  <c r="L1717" i="2"/>
  <c r="M1717" i="2" s="1"/>
  <c r="L1716" i="2"/>
  <c r="M1716" i="2" s="1"/>
  <c r="L1715" i="2"/>
  <c r="M1715" i="2" s="1"/>
  <c r="L1714" i="2"/>
  <c r="M1714" i="2" s="1"/>
  <c r="L1713" i="2"/>
  <c r="M1713" i="2" s="1"/>
  <c r="L1712" i="2"/>
  <c r="M1712" i="2" s="1"/>
  <c r="L1711" i="2"/>
  <c r="M1711" i="2" s="1"/>
  <c r="L1710" i="2"/>
  <c r="M1710" i="2" s="1"/>
  <c r="L1709" i="2"/>
  <c r="M1709" i="2" s="1"/>
  <c r="L1708" i="2"/>
  <c r="M1708" i="2" s="1"/>
  <c r="L1707" i="2"/>
  <c r="M1707" i="2" s="1"/>
  <c r="L1706" i="2"/>
  <c r="M1706" i="2" s="1"/>
  <c r="L1705" i="2"/>
  <c r="M1705" i="2" s="1"/>
  <c r="L1704" i="2"/>
  <c r="M1704" i="2" s="1"/>
  <c r="L1703" i="2"/>
  <c r="M1703" i="2" s="1"/>
  <c r="L1702" i="2"/>
  <c r="M1702" i="2" s="1"/>
  <c r="L1701" i="2"/>
  <c r="M1701" i="2" s="1"/>
  <c r="L1700" i="2"/>
  <c r="M1700" i="2" s="1"/>
  <c r="L1699" i="2"/>
  <c r="M1699" i="2" s="1"/>
  <c r="L1698" i="2"/>
  <c r="M1698" i="2" s="1"/>
  <c r="L1697" i="2"/>
  <c r="M1697" i="2" s="1"/>
  <c r="L1696" i="2"/>
  <c r="M1696" i="2" s="1"/>
  <c r="L1695" i="2"/>
  <c r="M1695" i="2" s="1"/>
  <c r="L1694" i="2"/>
  <c r="M1694" i="2" s="1"/>
  <c r="L1693" i="2"/>
  <c r="M1693" i="2" s="1"/>
  <c r="L1692" i="2"/>
  <c r="M1692" i="2" s="1"/>
  <c r="L1691" i="2"/>
  <c r="M1691" i="2" s="1"/>
  <c r="L1690" i="2"/>
  <c r="M1690" i="2" s="1"/>
  <c r="L1689" i="2"/>
  <c r="M1689" i="2" s="1"/>
  <c r="L1688" i="2"/>
  <c r="M1688" i="2" s="1"/>
  <c r="L1687" i="2"/>
  <c r="M1687" i="2" s="1"/>
  <c r="L1686" i="2"/>
  <c r="M1686" i="2" s="1"/>
  <c r="L1685" i="2"/>
  <c r="M1685" i="2" s="1"/>
  <c r="L1684" i="2"/>
  <c r="M1684" i="2" s="1"/>
  <c r="L1683" i="2"/>
  <c r="M1683" i="2" s="1"/>
  <c r="L1682" i="2"/>
  <c r="M1682" i="2" s="1"/>
  <c r="L1681" i="2"/>
  <c r="M1681" i="2" s="1"/>
  <c r="L1680" i="2"/>
  <c r="M1680" i="2" s="1"/>
  <c r="L1679" i="2"/>
  <c r="M1679" i="2" s="1"/>
  <c r="L1678" i="2"/>
  <c r="M1678" i="2" s="1"/>
  <c r="L1677" i="2"/>
  <c r="M1677" i="2" s="1"/>
  <c r="L1676" i="2"/>
  <c r="M1676" i="2" s="1"/>
  <c r="L1675" i="2"/>
  <c r="M1675" i="2" s="1"/>
  <c r="L1674" i="2"/>
  <c r="M1674" i="2" s="1"/>
  <c r="L1673" i="2"/>
  <c r="M1673" i="2" s="1"/>
  <c r="L1672" i="2"/>
  <c r="M1672" i="2" s="1"/>
  <c r="L1671" i="2"/>
  <c r="M1671" i="2" s="1"/>
  <c r="L1670" i="2"/>
  <c r="M1670" i="2" s="1"/>
  <c r="L1669" i="2"/>
  <c r="M1669" i="2" s="1"/>
  <c r="L1668" i="2"/>
  <c r="M1668" i="2" s="1"/>
  <c r="L1667" i="2"/>
  <c r="M1667" i="2" s="1"/>
  <c r="L1666" i="2"/>
  <c r="M1666" i="2" s="1"/>
  <c r="L1665" i="2"/>
  <c r="M1665" i="2" s="1"/>
  <c r="L1664" i="2"/>
  <c r="M1664" i="2" s="1"/>
  <c r="L1663" i="2"/>
  <c r="M1663" i="2" s="1"/>
  <c r="L1662" i="2"/>
  <c r="M1662" i="2" s="1"/>
  <c r="L1661" i="2"/>
  <c r="M1661" i="2" s="1"/>
  <c r="L1660" i="2"/>
  <c r="M1660" i="2" s="1"/>
  <c r="L1659" i="2"/>
  <c r="M1659" i="2" s="1"/>
  <c r="L1658" i="2"/>
  <c r="M1658" i="2" s="1"/>
  <c r="L1657" i="2"/>
  <c r="M1657" i="2" s="1"/>
  <c r="L1656" i="2"/>
  <c r="M1656" i="2" s="1"/>
  <c r="L1655" i="2"/>
  <c r="M1655" i="2" s="1"/>
  <c r="L1654" i="2"/>
  <c r="M1654" i="2" s="1"/>
  <c r="L1653" i="2"/>
  <c r="M1653" i="2" s="1"/>
  <c r="L1652" i="2"/>
  <c r="M1652" i="2" s="1"/>
  <c r="L1651" i="2"/>
  <c r="M1651" i="2" s="1"/>
  <c r="L1650" i="2"/>
  <c r="M1650" i="2" s="1"/>
  <c r="L1649" i="2"/>
  <c r="M1649" i="2" s="1"/>
  <c r="L1648" i="2"/>
  <c r="M1648" i="2" s="1"/>
  <c r="L1647" i="2"/>
  <c r="M1647" i="2" s="1"/>
  <c r="L1646" i="2"/>
  <c r="M1646" i="2" s="1"/>
  <c r="L1645" i="2"/>
  <c r="M1645" i="2" s="1"/>
  <c r="L1644" i="2"/>
  <c r="M1644" i="2" s="1"/>
  <c r="L1643" i="2"/>
  <c r="M1643" i="2" s="1"/>
  <c r="L1642" i="2"/>
  <c r="M1642" i="2" s="1"/>
  <c r="L1641" i="2"/>
  <c r="M1641" i="2" s="1"/>
  <c r="L1640" i="2"/>
  <c r="M1640" i="2" s="1"/>
  <c r="L1639" i="2"/>
  <c r="M1639" i="2" s="1"/>
  <c r="L1638" i="2"/>
  <c r="M1638" i="2" s="1"/>
  <c r="L1637" i="2"/>
  <c r="M1637" i="2" s="1"/>
  <c r="L1636" i="2"/>
  <c r="M1636" i="2" s="1"/>
  <c r="L1635" i="2"/>
  <c r="M1635" i="2" s="1"/>
  <c r="L1634" i="2"/>
  <c r="M1634" i="2" s="1"/>
  <c r="L1633" i="2"/>
  <c r="M1633" i="2" s="1"/>
  <c r="L1632" i="2"/>
  <c r="M1632" i="2" s="1"/>
  <c r="L1631" i="2"/>
  <c r="M1631" i="2" s="1"/>
  <c r="L1630" i="2"/>
  <c r="M1630" i="2" s="1"/>
  <c r="L1629" i="2"/>
  <c r="M1629" i="2" s="1"/>
  <c r="L1628" i="2"/>
  <c r="M1628" i="2" s="1"/>
  <c r="L1627" i="2"/>
  <c r="M1627" i="2" s="1"/>
  <c r="L1626" i="2"/>
  <c r="M1626" i="2" s="1"/>
  <c r="L1625" i="2"/>
  <c r="M1625" i="2" s="1"/>
  <c r="L1624" i="2"/>
  <c r="M1624" i="2" s="1"/>
  <c r="L1623" i="2"/>
  <c r="M1623" i="2" s="1"/>
  <c r="L1622" i="2"/>
  <c r="M1622" i="2" s="1"/>
  <c r="L1621" i="2"/>
  <c r="M1621" i="2" s="1"/>
  <c r="L1620" i="2"/>
  <c r="M1620" i="2" s="1"/>
  <c r="L1619" i="2"/>
  <c r="M1619" i="2" s="1"/>
  <c r="L1618" i="2"/>
  <c r="M1618" i="2" s="1"/>
  <c r="L1617" i="2"/>
  <c r="M1617" i="2" s="1"/>
  <c r="L1616" i="2"/>
  <c r="M1616" i="2" s="1"/>
  <c r="L1615" i="2"/>
  <c r="M1615" i="2" s="1"/>
  <c r="L1614" i="2"/>
  <c r="M1614" i="2" s="1"/>
  <c r="L1613" i="2"/>
  <c r="M1613" i="2" s="1"/>
  <c r="L1612" i="2"/>
  <c r="M1612" i="2" s="1"/>
  <c r="L1611" i="2"/>
  <c r="M1611" i="2" s="1"/>
  <c r="L1610" i="2"/>
  <c r="M1610" i="2" s="1"/>
  <c r="L1609" i="2"/>
  <c r="M1609" i="2" s="1"/>
  <c r="L1608" i="2"/>
  <c r="M1608" i="2" s="1"/>
  <c r="L1607" i="2"/>
  <c r="M1607" i="2" s="1"/>
  <c r="L1606" i="2"/>
  <c r="M1606" i="2" s="1"/>
  <c r="L1605" i="2"/>
  <c r="M1605" i="2" s="1"/>
  <c r="L1604" i="2"/>
  <c r="M1604" i="2" s="1"/>
  <c r="L1603" i="2"/>
  <c r="M1603" i="2" s="1"/>
  <c r="L1602" i="2"/>
  <c r="M1602" i="2" s="1"/>
  <c r="L1601" i="2"/>
  <c r="M1601" i="2" s="1"/>
  <c r="L1600" i="2"/>
  <c r="M1600" i="2" s="1"/>
  <c r="L1599" i="2"/>
  <c r="M1599" i="2" s="1"/>
  <c r="L1598" i="2"/>
  <c r="M1598" i="2" s="1"/>
  <c r="L1597" i="2"/>
  <c r="M1597" i="2" s="1"/>
  <c r="L1596" i="2"/>
  <c r="M1596" i="2" s="1"/>
  <c r="L1595" i="2"/>
  <c r="M1595" i="2" s="1"/>
  <c r="L1594" i="2"/>
  <c r="M1594" i="2" s="1"/>
  <c r="L1593" i="2"/>
  <c r="M1593" i="2" s="1"/>
  <c r="L1592" i="2"/>
  <c r="M1592" i="2" s="1"/>
  <c r="L1591" i="2"/>
  <c r="M1591" i="2" s="1"/>
  <c r="L1590" i="2"/>
  <c r="M1590" i="2" s="1"/>
  <c r="L1589" i="2"/>
  <c r="M1589" i="2" s="1"/>
  <c r="L1588" i="2"/>
  <c r="M1588" i="2" s="1"/>
  <c r="L1587" i="2"/>
  <c r="M1587" i="2" s="1"/>
  <c r="L1586" i="2"/>
  <c r="M1586" i="2" s="1"/>
  <c r="L1585" i="2"/>
  <c r="M1585" i="2" s="1"/>
  <c r="L1584" i="2"/>
  <c r="M1584" i="2" s="1"/>
  <c r="L1583" i="2"/>
  <c r="M1583" i="2" s="1"/>
  <c r="L1582" i="2"/>
  <c r="M1582" i="2" s="1"/>
  <c r="L1581" i="2"/>
  <c r="M1581" i="2" s="1"/>
  <c r="L1580" i="2"/>
  <c r="M1580" i="2" s="1"/>
  <c r="L1579" i="2"/>
  <c r="M1579" i="2" s="1"/>
  <c r="L1578" i="2"/>
  <c r="M1578" i="2" s="1"/>
  <c r="L1577" i="2"/>
  <c r="M1577" i="2" s="1"/>
  <c r="L1576" i="2"/>
  <c r="M1576" i="2" s="1"/>
  <c r="L1575" i="2"/>
  <c r="M1575" i="2" s="1"/>
  <c r="L1574" i="2"/>
  <c r="M1574" i="2" s="1"/>
  <c r="L1573" i="2"/>
  <c r="M1573" i="2" s="1"/>
  <c r="L1572" i="2"/>
  <c r="M1572" i="2" s="1"/>
  <c r="L1571" i="2"/>
  <c r="M1571" i="2" s="1"/>
  <c r="L1570" i="2"/>
  <c r="M1570" i="2" s="1"/>
  <c r="L1569" i="2"/>
  <c r="M1569" i="2" s="1"/>
  <c r="L1568" i="2"/>
  <c r="M1568" i="2" s="1"/>
  <c r="L1567" i="2"/>
  <c r="M1567" i="2" s="1"/>
  <c r="L1566" i="2"/>
  <c r="M1566" i="2" s="1"/>
  <c r="L1565" i="2"/>
  <c r="M1565" i="2" s="1"/>
  <c r="L1564" i="2"/>
  <c r="M1564" i="2" s="1"/>
  <c r="L1563" i="2"/>
  <c r="M1563" i="2" s="1"/>
  <c r="L1562" i="2"/>
  <c r="M1562" i="2" s="1"/>
  <c r="L1561" i="2"/>
  <c r="M1561" i="2" s="1"/>
  <c r="L1560" i="2"/>
  <c r="M1560" i="2" s="1"/>
  <c r="L1559" i="2"/>
  <c r="M1559" i="2" s="1"/>
  <c r="L1558" i="2"/>
  <c r="M1558" i="2" s="1"/>
  <c r="L1557" i="2"/>
  <c r="M1557" i="2" s="1"/>
  <c r="L1556" i="2"/>
  <c r="M1556" i="2" s="1"/>
  <c r="L1555" i="2"/>
  <c r="M1555" i="2" s="1"/>
  <c r="L1554" i="2"/>
  <c r="M1554" i="2" s="1"/>
  <c r="L1553" i="2"/>
  <c r="M1553" i="2" s="1"/>
  <c r="L1552" i="2"/>
  <c r="M1552" i="2" s="1"/>
  <c r="L1551" i="2"/>
  <c r="M1551" i="2" s="1"/>
  <c r="L1550" i="2"/>
  <c r="M1550" i="2" s="1"/>
  <c r="L1549" i="2"/>
  <c r="M1549" i="2" s="1"/>
  <c r="L1548" i="2"/>
  <c r="M1548" i="2" s="1"/>
  <c r="L1547" i="2"/>
  <c r="M1547" i="2" s="1"/>
  <c r="L1546" i="2"/>
  <c r="M1546" i="2" s="1"/>
  <c r="L1545" i="2"/>
  <c r="M1545" i="2" s="1"/>
  <c r="L1544" i="2"/>
  <c r="M1544" i="2" s="1"/>
  <c r="L1543" i="2"/>
  <c r="M1543" i="2" s="1"/>
  <c r="L1542" i="2"/>
  <c r="M1542" i="2" s="1"/>
  <c r="L1541" i="2"/>
  <c r="M1541" i="2" s="1"/>
  <c r="L1540" i="2"/>
  <c r="M1540" i="2" s="1"/>
  <c r="L1539" i="2"/>
  <c r="M1539" i="2" s="1"/>
  <c r="L1538" i="2"/>
  <c r="M1538" i="2" s="1"/>
  <c r="L1537" i="2"/>
  <c r="M1537" i="2" s="1"/>
  <c r="L1536" i="2"/>
  <c r="M1536" i="2" s="1"/>
  <c r="L1535" i="2"/>
  <c r="M1535" i="2" s="1"/>
  <c r="L1534" i="2"/>
  <c r="M1534" i="2" s="1"/>
  <c r="L1533" i="2"/>
  <c r="M1533" i="2" s="1"/>
  <c r="L1532" i="2"/>
  <c r="M1532" i="2" s="1"/>
  <c r="L1531" i="2"/>
  <c r="M1531" i="2" s="1"/>
  <c r="L1530" i="2"/>
  <c r="M1530" i="2" s="1"/>
  <c r="L1529" i="2"/>
  <c r="M1529" i="2" s="1"/>
  <c r="L1528" i="2"/>
  <c r="M1528" i="2" s="1"/>
  <c r="L1527" i="2"/>
  <c r="M1527" i="2" s="1"/>
  <c r="L1526" i="2"/>
  <c r="M1526" i="2" s="1"/>
  <c r="L1525" i="2"/>
  <c r="M1525" i="2" s="1"/>
  <c r="L1524" i="2"/>
  <c r="M1524" i="2" s="1"/>
  <c r="L1523" i="2"/>
  <c r="M1523" i="2" s="1"/>
  <c r="L1522" i="2"/>
  <c r="M1522" i="2" s="1"/>
  <c r="L1521" i="2"/>
  <c r="M1521" i="2" s="1"/>
  <c r="L1520" i="2"/>
  <c r="M1520" i="2" s="1"/>
  <c r="L1519" i="2"/>
  <c r="M1519" i="2" s="1"/>
  <c r="L1518" i="2"/>
  <c r="M1518" i="2" s="1"/>
  <c r="L1517" i="2"/>
  <c r="M1517" i="2" s="1"/>
  <c r="L1516" i="2"/>
  <c r="M1516" i="2" s="1"/>
  <c r="L1515" i="2"/>
  <c r="M1515" i="2" s="1"/>
  <c r="L1514" i="2"/>
  <c r="M1514" i="2" s="1"/>
  <c r="L1513" i="2"/>
  <c r="M1513" i="2" s="1"/>
  <c r="L1512" i="2"/>
  <c r="M1512" i="2" s="1"/>
  <c r="L1511" i="2"/>
  <c r="M1511" i="2" s="1"/>
  <c r="L1510" i="2"/>
  <c r="M1510" i="2" s="1"/>
  <c r="L1509" i="2"/>
  <c r="M1509" i="2" s="1"/>
  <c r="L1508" i="2"/>
  <c r="M1508" i="2" s="1"/>
  <c r="L1507" i="2"/>
  <c r="M1507" i="2" s="1"/>
  <c r="L1506" i="2"/>
  <c r="M1506" i="2" s="1"/>
  <c r="L1505" i="2"/>
  <c r="M1505" i="2" s="1"/>
  <c r="L1504" i="2"/>
  <c r="M1504" i="2" s="1"/>
  <c r="L1503" i="2"/>
  <c r="M1503" i="2" s="1"/>
  <c r="L1502" i="2"/>
  <c r="M1502" i="2" s="1"/>
  <c r="L1501" i="2"/>
  <c r="M1501" i="2" s="1"/>
  <c r="L1500" i="2"/>
  <c r="M1500" i="2" s="1"/>
  <c r="L1499" i="2"/>
  <c r="M1499" i="2" s="1"/>
  <c r="L1498" i="2"/>
  <c r="M1498" i="2" s="1"/>
  <c r="L1497" i="2"/>
  <c r="M1497" i="2" s="1"/>
  <c r="L1496" i="2"/>
  <c r="M1496" i="2" s="1"/>
  <c r="L1495" i="2"/>
  <c r="M1495" i="2" s="1"/>
  <c r="L1494" i="2"/>
  <c r="M1494" i="2" s="1"/>
  <c r="L1493" i="2"/>
  <c r="M1493" i="2" s="1"/>
  <c r="L1492" i="2"/>
  <c r="M1492" i="2" s="1"/>
  <c r="L1491" i="2"/>
  <c r="M1491" i="2" s="1"/>
  <c r="L1490" i="2"/>
  <c r="M1490" i="2" s="1"/>
  <c r="L1489" i="2"/>
  <c r="M1489" i="2" s="1"/>
  <c r="L1488" i="2"/>
  <c r="M1488" i="2" s="1"/>
  <c r="L1487" i="2"/>
  <c r="M1487" i="2" s="1"/>
  <c r="L1486" i="2"/>
  <c r="M1486" i="2" s="1"/>
  <c r="L1485" i="2"/>
  <c r="M1485" i="2" s="1"/>
  <c r="L1484" i="2"/>
  <c r="M1484" i="2" s="1"/>
  <c r="L1483" i="2"/>
  <c r="M1483" i="2" s="1"/>
  <c r="L1482" i="2"/>
  <c r="M1482" i="2" s="1"/>
  <c r="L1481" i="2"/>
  <c r="M1481" i="2" s="1"/>
  <c r="L1480" i="2"/>
  <c r="M1480" i="2" s="1"/>
  <c r="L1479" i="2"/>
  <c r="M1479" i="2" s="1"/>
  <c r="L1478" i="2"/>
  <c r="M1478" i="2" s="1"/>
  <c r="L1477" i="2"/>
  <c r="M1477" i="2" s="1"/>
  <c r="L1476" i="2"/>
  <c r="M1476" i="2" s="1"/>
  <c r="L1475" i="2"/>
  <c r="M1475" i="2" s="1"/>
  <c r="L1474" i="2"/>
  <c r="M1474" i="2" s="1"/>
  <c r="L1473" i="2"/>
  <c r="M1473" i="2" s="1"/>
  <c r="L1472" i="2"/>
  <c r="M1472" i="2" s="1"/>
  <c r="L1471" i="2"/>
  <c r="M1471" i="2" s="1"/>
  <c r="L1470" i="2"/>
  <c r="M1470" i="2" s="1"/>
  <c r="L1469" i="2"/>
  <c r="M1469" i="2" s="1"/>
  <c r="L1468" i="2"/>
  <c r="M1468" i="2" s="1"/>
  <c r="L1467" i="2"/>
  <c r="M1467" i="2" s="1"/>
  <c r="L1466" i="2"/>
  <c r="M1466" i="2" s="1"/>
  <c r="L1465" i="2"/>
  <c r="M1465" i="2" s="1"/>
  <c r="L1464" i="2"/>
  <c r="M1464" i="2" s="1"/>
  <c r="L1463" i="2"/>
  <c r="M1463" i="2" s="1"/>
  <c r="L1462" i="2"/>
  <c r="M1462" i="2" s="1"/>
  <c r="L1461" i="2"/>
  <c r="M1461" i="2" s="1"/>
  <c r="L1460" i="2"/>
  <c r="M1460" i="2" s="1"/>
  <c r="L1459" i="2"/>
  <c r="M1459" i="2" s="1"/>
  <c r="L1458" i="2"/>
  <c r="M1458" i="2" s="1"/>
  <c r="L1457" i="2"/>
  <c r="M1457" i="2" s="1"/>
  <c r="L1456" i="2"/>
  <c r="M1456" i="2" s="1"/>
  <c r="L1455" i="2"/>
  <c r="M1455" i="2" s="1"/>
  <c r="L1454" i="2"/>
  <c r="M1454" i="2" s="1"/>
  <c r="L1453" i="2"/>
  <c r="M1453" i="2" s="1"/>
  <c r="L1452" i="2"/>
  <c r="M1452" i="2" s="1"/>
  <c r="L1451" i="2"/>
  <c r="M1451" i="2" s="1"/>
  <c r="L1450" i="2"/>
  <c r="M1450" i="2" s="1"/>
  <c r="L1449" i="2"/>
  <c r="M1449" i="2" s="1"/>
  <c r="L1448" i="2"/>
  <c r="M1448" i="2" s="1"/>
  <c r="L1447" i="2"/>
  <c r="M1447" i="2" s="1"/>
  <c r="L1446" i="2"/>
  <c r="M1446" i="2" s="1"/>
  <c r="L1445" i="2"/>
  <c r="M1445" i="2" s="1"/>
  <c r="L1444" i="2"/>
  <c r="M1444" i="2" s="1"/>
  <c r="L1443" i="2"/>
  <c r="M1443" i="2" s="1"/>
  <c r="L1442" i="2"/>
  <c r="M1442" i="2" s="1"/>
  <c r="L1441" i="2"/>
  <c r="M1441" i="2" s="1"/>
  <c r="L1440" i="2"/>
  <c r="M1440" i="2" s="1"/>
  <c r="L1439" i="2"/>
  <c r="M1439" i="2" s="1"/>
  <c r="L1438" i="2"/>
  <c r="M1438" i="2" s="1"/>
  <c r="L1437" i="2"/>
  <c r="M1437" i="2" s="1"/>
  <c r="L1436" i="2"/>
  <c r="M1436" i="2" s="1"/>
  <c r="L1435" i="2"/>
  <c r="M1435" i="2" s="1"/>
  <c r="L1434" i="2"/>
  <c r="M1434" i="2" s="1"/>
  <c r="L1433" i="2"/>
  <c r="M1433" i="2" s="1"/>
  <c r="L1432" i="2"/>
  <c r="M1432" i="2" s="1"/>
  <c r="L1431" i="2"/>
  <c r="M1431" i="2" s="1"/>
  <c r="L1430" i="2"/>
  <c r="M1430" i="2" s="1"/>
  <c r="L1429" i="2"/>
  <c r="M1429" i="2" s="1"/>
  <c r="L1428" i="2"/>
  <c r="M1428" i="2" s="1"/>
  <c r="L1427" i="2"/>
  <c r="M1427" i="2" s="1"/>
  <c r="L1426" i="2"/>
  <c r="M1426" i="2" s="1"/>
  <c r="L1425" i="2"/>
  <c r="M1425" i="2" s="1"/>
  <c r="L1424" i="2"/>
  <c r="M1424" i="2" s="1"/>
  <c r="L1423" i="2"/>
  <c r="M1423" i="2" s="1"/>
  <c r="L1422" i="2"/>
  <c r="M1422" i="2" s="1"/>
  <c r="L1421" i="2"/>
  <c r="M1421" i="2" s="1"/>
  <c r="L1420" i="2"/>
  <c r="M1420" i="2" s="1"/>
  <c r="L1419" i="2"/>
  <c r="M1419" i="2" s="1"/>
  <c r="L1418" i="2"/>
  <c r="M1418" i="2" s="1"/>
  <c r="L1417" i="2"/>
  <c r="M1417" i="2" s="1"/>
  <c r="L1416" i="2"/>
  <c r="M1416" i="2" s="1"/>
  <c r="L1415" i="2"/>
  <c r="M1415" i="2" s="1"/>
  <c r="L1414" i="2"/>
  <c r="M1414" i="2" s="1"/>
  <c r="L1413" i="2"/>
  <c r="M1413" i="2" s="1"/>
  <c r="L1412" i="2"/>
  <c r="M1412" i="2" s="1"/>
  <c r="L1411" i="2"/>
  <c r="M1411" i="2" s="1"/>
  <c r="L1410" i="2"/>
  <c r="M1410" i="2" s="1"/>
  <c r="L1409" i="2"/>
  <c r="M1409" i="2" s="1"/>
  <c r="L1408" i="2"/>
  <c r="M1408" i="2" s="1"/>
  <c r="L1407" i="2"/>
  <c r="M1407" i="2" s="1"/>
  <c r="L1406" i="2"/>
  <c r="M1406" i="2" s="1"/>
  <c r="L1405" i="2"/>
  <c r="M1405" i="2" s="1"/>
  <c r="L1404" i="2"/>
  <c r="M1404" i="2" s="1"/>
  <c r="L1403" i="2"/>
  <c r="M1403" i="2" s="1"/>
  <c r="L1402" i="2"/>
  <c r="M1402" i="2" s="1"/>
  <c r="L1401" i="2"/>
  <c r="M1401" i="2" s="1"/>
  <c r="L1400" i="2"/>
  <c r="M1400" i="2" s="1"/>
  <c r="L1399" i="2"/>
  <c r="M1399" i="2" s="1"/>
  <c r="L1398" i="2"/>
  <c r="M1398" i="2" s="1"/>
  <c r="L1397" i="2"/>
  <c r="M1397" i="2" s="1"/>
  <c r="L1396" i="2"/>
  <c r="M1396" i="2" s="1"/>
  <c r="L1395" i="2"/>
  <c r="M1395" i="2" s="1"/>
  <c r="L1394" i="2"/>
  <c r="M1394" i="2" s="1"/>
  <c r="L1393" i="2"/>
  <c r="M1393" i="2" s="1"/>
  <c r="L1392" i="2"/>
  <c r="M1392" i="2" s="1"/>
  <c r="L1391" i="2"/>
  <c r="M1391" i="2" s="1"/>
  <c r="L1390" i="2"/>
  <c r="M1390" i="2" s="1"/>
  <c r="L1389" i="2"/>
  <c r="M1389" i="2" s="1"/>
  <c r="L1388" i="2"/>
  <c r="M1388" i="2" s="1"/>
  <c r="L1387" i="2"/>
  <c r="M1387" i="2" s="1"/>
  <c r="L1386" i="2"/>
  <c r="M1386" i="2" s="1"/>
  <c r="L1385" i="2"/>
  <c r="M1385" i="2" s="1"/>
  <c r="L1384" i="2"/>
  <c r="M1384" i="2" s="1"/>
  <c r="L1383" i="2"/>
  <c r="M1383" i="2" s="1"/>
  <c r="L1382" i="2"/>
  <c r="M1382" i="2" s="1"/>
  <c r="L1381" i="2"/>
  <c r="M1381" i="2" s="1"/>
  <c r="L1380" i="2"/>
  <c r="M1380" i="2" s="1"/>
  <c r="L1379" i="2"/>
  <c r="M1379" i="2" s="1"/>
  <c r="L1378" i="2"/>
  <c r="M1378" i="2" s="1"/>
  <c r="L1377" i="2"/>
  <c r="M1377" i="2" s="1"/>
  <c r="L1376" i="2"/>
  <c r="M1376" i="2" s="1"/>
  <c r="L1375" i="2"/>
  <c r="M1375" i="2" s="1"/>
  <c r="L1374" i="2"/>
  <c r="M1374" i="2" s="1"/>
  <c r="L1373" i="2"/>
  <c r="M1373" i="2" s="1"/>
  <c r="L1372" i="2"/>
  <c r="M1372" i="2" s="1"/>
  <c r="L1371" i="2"/>
  <c r="M1371" i="2" s="1"/>
  <c r="L1370" i="2"/>
  <c r="M1370" i="2" s="1"/>
  <c r="L1369" i="2"/>
  <c r="M1369" i="2" s="1"/>
  <c r="L1368" i="2"/>
  <c r="M1368" i="2" s="1"/>
  <c r="L1367" i="2"/>
  <c r="M1367" i="2" s="1"/>
  <c r="L1366" i="2"/>
  <c r="M1366" i="2" s="1"/>
  <c r="L1365" i="2"/>
  <c r="M1365" i="2" s="1"/>
  <c r="L1364" i="2"/>
  <c r="M1364" i="2" s="1"/>
  <c r="L1363" i="2"/>
  <c r="M1363" i="2" s="1"/>
  <c r="L1362" i="2"/>
  <c r="M1362" i="2" s="1"/>
  <c r="L1361" i="2"/>
  <c r="M1361" i="2" s="1"/>
  <c r="L1360" i="2"/>
  <c r="M1360" i="2" s="1"/>
  <c r="L1359" i="2"/>
  <c r="M1359" i="2" s="1"/>
  <c r="L1358" i="2"/>
  <c r="M1358" i="2" s="1"/>
  <c r="L1357" i="2"/>
  <c r="M1357" i="2" s="1"/>
  <c r="L1356" i="2"/>
  <c r="M1356" i="2" s="1"/>
  <c r="L1355" i="2"/>
  <c r="M1355" i="2" s="1"/>
  <c r="L1354" i="2"/>
  <c r="M1354" i="2" s="1"/>
  <c r="L1353" i="2"/>
  <c r="M1353" i="2" s="1"/>
  <c r="L1352" i="2"/>
  <c r="M1352" i="2" s="1"/>
  <c r="L1351" i="2"/>
  <c r="M1351" i="2" s="1"/>
  <c r="L1350" i="2"/>
  <c r="M1350" i="2" s="1"/>
  <c r="L1349" i="2"/>
  <c r="M1349" i="2" s="1"/>
  <c r="L1348" i="2"/>
  <c r="M1348" i="2" s="1"/>
  <c r="L1347" i="2"/>
  <c r="M1347" i="2" s="1"/>
  <c r="L1346" i="2"/>
  <c r="M1346" i="2" s="1"/>
  <c r="L1345" i="2"/>
  <c r="M1345" i="2" s="1"/>
  <c r="L1344" i="2"/>
  <c r="M1344" i="2" s="1"/>
  <c r="L1343" i="2"/>
  <c r="M1343" i="2" s="1"/>
  <c r="L1342" i="2"/>
  <c r="M1342" i="2" s="1"/>
  <c r="L1341" i="2"/>
  <c r="M1341" i="2" s="1"/>
  <c r="L1340" i="2"/>
  <c r="M1340" i="2" s="1"/>
  <c r="L1339" i="2"/>
  <c r="M1339" i="2" s="1"/>
  <c r="L1338" i="2"/>
  <c r="M1338" i="2" s="1"/>
  <c r="L1337" i="2"/>
  <c r="M1337" i="2" s="1"/>
  <c r="L1336" i="2"/>
  <c r="M1336" i="2" s="1"/>
  <c r="L1335" i="2"/>
  <c r="M1335" i="2" s="1"/>
  <c r="L1334" i="2"/>
  <c r="M1334" i="2" s="1"/>
  <c r="L1333" i="2"/>
  <c r="M1333" i="2" s="1"/>
  <c r="L1332" i="2"/>
  <c r="M1332" i="2" s="1"/>
  <c r="L1331" i="2"/>
  <c r="M1331" i="2" s="1"/>
  <c r="L1330" i="2"/>
  <c r="M1330" i="2" s="1"/>
  <c r="L1329" i="2"/>
  <c r="M1329" i="2" s="1"/>
  <c r="L1328" i="2"/>
  <c r="M1328" i="2" s="1"/>
  <c r="L1327" i="2"/>
  <c r="M1327" i="2" s="1"/>
  <c r="L1326" i="2"/>
  <c r="M1326" i="2" s="1"/>
  <c r="L1325" i="2"/>
  <c r="M1325" i="2" s="1"/>
  <c r="L1324" i="2"/>
  <c r="M1324" i="2" s="1"/>
  <c r="L1323" i="2"/>
  <c r="M1323" i="2" s="1"/>
  <c r="L1322" i="2"/>
  <c r="M1322" i="2" s="1"/>
  <c r="L1321" i="2"/>
  <c r="M1321" i="2" s="1"/>
  <c r="L1320" i="2"/>
  <c r="M1320" i="2" s="1"/>
  <c r="L1319" i="2"/>
  <c r="M1319" i="2" s="1"/>
  <c r="L1318" i="2"/>
  <c r="M1318" i="2" s="1"/>
  <c r="L1317" i="2"/>
  <c r="M1317" i="2" s="1"/>
  <c r="L1316" i="2"/>
  <c r="M1316" i="2" s="1"/>
  <c r="L1315" i="2"/>
  <c r="M1315" i="2" s="1"/>
  <c r="L1314" i="2"/>
  <c r="M1314" i="2" s="1"/>
  <c r="L1313" i="2"/>
  <c r="M1313" i="2" s="1"/>
  <c r="L1312" i="2"/>
  <c r="M1312" i="2" s="1"/>
  <c r="L1311" i="2"/>
  <c r="M1311" i="2" s="1"/>
  <c r="L1310" i="2"/>
  <c r="M1310" i="2" s="1"/>
  <c r="L1309" i="2"/>
  <c r="M1309" i="2" s="1"/>
  <c r="L1308" i="2"/>
  <c r="M1308" i="2" s="1"/>
  <c r="L1307" i="2"/>
  <c r="M1307" i="2" s="1"/>
  <c r="L1306" i="2"/>
  <c r="M1306" i="2" s="1"/>
  <c r="L1305" i="2"/>
  <c r="M1305" i="2" s="1"/>
  <c r="L1304" i="2"/>
  <c r="M1304" i="2" s="1"/>
  <c r="L1303" i="2"/>
  <c r="M1303" i="2" s="1"/>
  <c r="L1302" i="2"/>
  <c r="M1302" i="2" s="1"/>
  <c r="L1301" i="2"/>
  <c r="M1301" i="2" s="1"/>
  <c r="L1300" i="2"/>
  <c r="M1300" i="2" s="1"/>
  <c r="L1299" i="2"/>
  <c r="M1299" i="2" s="1"/>
  <c r="L1298" i="2"/>
  <c r="M1298" i="2" s="1"/>
  <c r="L1297" i="2"/>
  <c r="M1297" i="2" s="1"/>
  <c r="L1296" i="2"/>
  <c r="M1296" i="2" s="1"/>
  <c r="L1295" i="2"/>
  <c r="M1295" i="2" s="1"/>
  <c r="L1294" i="2"/>
  <c r="M1294" i="2" s="1"/>
  <c r="L1293" i="2"/>
  <c r="M1293" i="2" s="1"/>
  <c r="L1292" i="2"/>
  <c r="M1292" i="2" s="1"/>
  <c r="L1291" i="2"/>
  <c r="M1291" i="2" s="1"/>
  <c r="L1290" i="2"/>
  <c r="M1290" i="2" s="1"/>
  <c r="L1289" i="2"/>
  <c r="M1289" i="2" s="1"/>
  <c r="L1288" i="2"/>
  <c r="M1288" i="2" s="1"/>
  <c r="L1287" i="2"/>
  <c r="M1287" i="2" s="1"/>
  <c r="L1286" i="2"/>
  <c r="M1286" i="2" s="1"/>
  <c r="L1285" i="2"/>
  <c r="M1285" i="2" s="1"/>
  <c r="L1284" i="2"/>
  <c r="M1284" i="2" s="1"/>
  <c r="L1283" i="2"/>
  <c r="M1283" i="2" s="1"/>
  <c r="L1282" i="2"/>
  <c r="M1282" i="2" s="1"/>
  <c r="L1281" i="2"/>
  <c r="M1281" i="2" s="1"/>
  <c r="L1280" i="2"/>
  <c r="M1280" i="2" s="1"/>
  <c r="L1279" i="2"/>
  <c r="M1279" i="2" s="1"/>
  <c r="L1278" i="2"/>
  <c r="M1278" i="2" s="1"/>
  <c r="L1277" i="2"/>
  <c r="M1277" i="2" s="1"/>
  <c r="L1276" i="2"/>
  <c r="M1276" i="2" s="1"/>
  <c r="L1275" i="2"/>
  <c r="M1275" i="2" s="1"/>
  <c r="L1274" i="2"/>
  <c r="M1274" i="2" s="1"/>
  <c r="L1273" i="2"/>
  <c r="M1273" i="2" s="1"/>
  <c r="L1272" i="2"/>
  <c r="M1272" i="2" s="1"/>
  <c r="L1271" i="2"/>
  <c r="M1271" i="2" s="1"/>
  <c r="L1270" i="2"/>
  <c r="M1270" i="2" s="1"/>
  <c r="L1269" i="2"/>
  <c r="M1269" i="2" s="1"/>
  <c r="L1268" i="2"/>
  <c r="M1268" i="2" s="1"/>
  <c r="L1267" i="2"/>
  <c r="M1267" i="2" s="1"/>
  <c r="L1266" i="2"/>
  <c r="M1266" i="2" s="1"/>
  <c r="L1265" i="2"/>
  <c r="M1265" i="2" s="1"/>
  <c r="L1264" i="2"/>
  <c r="M1264" i="2" s="1"/>
  <c r="L1263" i="2"/>
  <c r="M1263" i="2" s="1"/>
  <c r="L1262" i="2"/>
  <c r="M1262" i="2" s="1"/>
  <c r="L1261" i="2"/>
  <c r="M1261" i="2" s="1"/>
  <c r="L1260" i="2"/>
  <c r="M1260" i="2" s="1"/>
  <c r="L1259" i="2"/>
  <c r="M1259" i="2" s="1"/>
  <c r="L1258" i="2"/>
  <c r="M1258" i="2" s="1"/>
  <c r="L1257" i="2"/>
  <c r="M1257" i="2" s="1"/>
  <c r="L1256" i="2"/>
  <c r="M1256" i="2" s="1"/>
  <c r="L1255" i="2"/>
  <c r="M1255" i="2" s="1"/>
  <c r="L1254" i="2"/>
  <c r="M1254" i="2" s="1"/>
  <c r="L1253" i="2"/>
  <c r="M1253" i="2" s="1"/>
  <c r="L1252" i="2"/>
  <c r="M1252" i="2" s="1"/>
  <c r="L1251" i="2"/>
  <c r="M1251" i="2" s="1"/>
  <c r="L1250" i="2"/>
  <c r="M1250" i="2" s="1"/>
  <c r="L1249" i="2"/>
  <c r="M1249" i="2" s="1"/>
  <c r="L1248" i="2"/>
  <c r="M1248" i="2" s="1"/>
  <c r="L1247" i="2"/>
  <c r="M1247" i="2" s="1"/>
  <c r="L1246" i="2"/>
  <c r="M1246" i="2" s="1"/>
  <c r="L1245" i="2"/>
  <c r="M1245" i="2" s="1"/>
  <c r="L1244" i="2"/>
  <c r="M1244" i="2" s="1"/>
  <c r="L1243" i="2"/>
  <c r="M1243" i="2" s="1"/>
  <c r="L1242" i="2"/>
  <c r="M1242" i="2" s="1"/>
  <c r="L1241" i="2"/>
  <c r="M1241" i="2" s="1"/>
  <c r="L1240" i="2"/>
  <c r="M1240" i="2" s="1"/>
  <c r="L1239" i="2"/>
  <c r="M1239" i="2" s="1"/>
  <c r="L1238" i="2"/>
  <c r="M1238" i="2" s="1"/>
  <c r="L1237" i="2"/>
  <c r="M1237" i="2" s="1"/>
  <c r="L1236" i="2"/>
  <c r="M1236" i="2" s="1"/>
  <c r="L1235" i="2"/>
  <c r="M1235" i="2" s="1"/>
  <c r="L1234" i="2"/>
  <c r="M1234" i="2" s="1"/>
  <c r="L1233" i="2"/>
  <c r="M1233" i="2" s="1"/>
  <c r="L1232" i="2"/>
  <c r="M1232" i="2" s="1"/>
  <c r="L1231" i="2"/>
  <c r="M1231" i="2" s="1"/>
  <c r="L1230" i="2"/>
  <c r="M1230" i="2" s="1"/>
  <c r="L1229" i="2"/>
  <c r="M1229" i="2" s="1"/>
  <c r="L1228" i="2"/>
  <c r="M1228" i="2" s="1"/>
  <c r="L1227" i="2"/>
  <c r="M1227" i="2" s="1"/>
  <c r="L1226" i="2"/>
  <c r="M1226" i="2" s="1"/>
  <c r="L1225" i="2"/>
  <c r="M1225" i="2" s="1"/>
  <c r="L1224" i="2"/>
  <c r="M1224" i="2" s="1"/>
  <c r="L1223" i="2"/>
  <c r="M1223" i="2" s="1"/>
  <c r="L1222" i="2"/>
  <c r="M1222" i="2" s="1"/>
  <c r="L1221" i="2"/>
  <c r="M1221" i="2" s="1"/>
  <c r="L1220" i="2"/>
  <c r="M1220" i="2" s="1"/>
  <c r="L1219" i="2"/>
  <c r="M1219" i="2" s="1"/>
  <c r="L1218" i="2"/>
  <c r="M1218" i="2" s="1"/>
  <c r="L1217" i="2"/>
  <c r="M1217" i="2" s="1"/>
  <c r="L1216" i="2"/>
  <c r="M1216" i="2" s="1"/>
  <c r="L1215" i="2"/>
  <c r="M1215" i="2" s="1"/>
  <c r="L1214" i="2"/>
  <c r="M1214" i="2" s="1"/>
  <c r="L1213" i="2"/>
  <c r="M1213" i="2" s="1"/>
  <c r="L1212" i="2"/>
  <c r="M1212" i="2" s="1"/>
  <c r="L1211" i="2"/>
  <c r="M1211" i="2" s="1"/>
  <c r="L1210" i="2"/>
  <c r="M1210" i="2" s="1"/>
  <c r="L1209" i="2"/>
  <c r="M1209" i="2" s="1"/>
  <c r="L1208" i="2"/>
  <c r="M1208" i="2" s="1"/>
  <c r="L1207" i="2"/>
  <c r="M1207" i="2" s="1"/>
  <c r="L1206" i="2"/>
  <c r="M1206" i="2" s="1"/>
  <c r="L1205" i="2"/>
  <c r="M1205" i="2" s="1"/>
  <c r="L1204" i="2"/>
  <c r="M1204" i="2" s="1"/>
  <c r="L1203" i="2"/>
  <c r="M1203" i="2" s="1"/>
  <c r="L1202" i="2"/>
  <c r="M1202" i="2" s="1"/>
  <c r="L1201" i="2"/>
  <c r="M1201" i="2" s="1"/>
  <c r="L1200" i="2"/>
  <c r="M1200" i="2" s="1"/>
  <c r="L1199" i="2"/>
  <c r="M1199" i="2" s="1"/>
  <c r="L1198" i="2"/>
  <c r="M1198" i="2" s="1"/>
  <c r="L1197" i="2"/>
  <c r="M1197" i="2" s="1"/>
  <c r="L1196" i="2"/>
  <c r="M1196" i="2" s="1"/>
  <c r="L1195" i="2"/>
  <c r="M1195" i="2" s="1"/>
  <c r="L1194" i="2"/>
  <c r="M1194" i="2" s="1"/>
  <c r="L1193" i="2"/>
  <c r="M1193" i="2" s="1"/>
  <c r="L1192" i="2"/>
  <c r="M1192" i="2" s="1"/>
  <c r="L1191" i="2"/>
  <c r="M1191" i="2" s="1"/>
  <c r="L1190" i="2"/>
  <c r="M1190" i="2" s="1"/>
  <c r="L1189" i="2"/>
  <c r="M1189" i="2" s="1"/>
  <c r="L1188" i="2"/>
  <c r="M1188" i="2" s="1"/>
  <c r="L1187" i="2"/>
  <c r="M1187" i="2" s="1"/>
  <c r="L1186" i="2"/>
  <c r="M1186" i="2" s="1"/>
  <c r="L1185" i="2"/>
  <c r="M1185" i="2" s="1"/>
  <c r="L1184" i="2"/>
  <c r="M1184" i="2" s="1"/>
  <c r="L1183" i="2"/>
  <c r="M1183" i="2" s="1"/>
  <c r="L1182" i="2"/>
  <c r="M1182" i="2" s="1"/>
  <c r="L1181" i="2"/>
  <c r="M1181" i="2" s="1"/>
  <c r="L1180" i="2"/>
  <c r="M1180" i="2" s="1"/>
  <c r="L1179" i="2"/>
  <c r="M1179" i="2" s="1"/>
  <c r="L1178" i="2"/>
  <c r="M1178" i="2" s="1"/>
  <c r="L1177" i="2"/>
  <c r="M1177" i="2" s="1"/>
  <c r="L1176" i="2"/>
  <c r="M1176" i="2" s="1"/>
  <c r="L1175" i="2"/>
  <c r="M1175" i="2" s="1"/>
  <c r="L1174" i="2"/>
  <c r="M1174" i="2" s="1"/>
  <c r="L1173" i="2"/>
  <c r="M1173" i="2" s="1"/>
  <c r="L1172" i="2"/>
  <c r="M1172" i="2" s="1"/>
  <c r="L1171" i="2"/>
  <c r="M1171" i="2" s="1"/>
  <c r="L1170" i="2"/>
  <c r="M1170" i="2" s="1"/>
  <c r="L1169" i="2"/>
  <c r="M1169" i="2" s="1"/>
  <c r="L1168" i="2"/>
  <c r="M1168" i="2" s="1"/>
  <c r="L1167" i="2"/>
  <c r="M1167" i="2" s="1"/>
  <c r="L1166" i="2"/>
  <c r="M1166" i="2" s="1"/>
  <c r="L1165" i="2"/>
  <c r="M1165" i="2" s="1"/>
  <c r="L1164" i="2"/>
  <c r="M1164" i="2" s="1"/>
  <c r="L1163" i="2"/>
  <c r="M1163" i="2" s="1"/>
  <c r="L1162" i="2"/>
  <c r="M1162" i="2" s="1"/>
  <c r="L1161" i="2"/>
  <c r="M1161" i="2" s="1"/>
  <c r="L1160" i="2"/>
  <c r="M1160" i="2" s="1"/>
  <c r="L1159" i="2"/>
  <c r="M1159" i="2" s="1"/>
  <c r="L1158" i="2"/>
  <c r="M1158" i="2" s="1"/>
  <c r="L1157" i="2"/>
  <c r="M1157" i="2" s="1"/>
  <c r="L1156" i="2"/>
  <c r="M1156" i="2" s="1"/>
  <c r="L1155" i="2"/>
  <c r="M1155" i="2" s="1"/>
  <c r="L1154" i="2"/>
  <c r="M1154" i="2" s="1"/>
  <c r="L1153" i="2"/>
  <c r="M1153" i="2" s="1"/>
  <c r="L1152" i="2"/>
  <c r="M1152" i="2" s="1"/>
  <c r="L1151" i="2"/>
  <c r="M1151" i="2" s="1"/>
  <c r="L1150" i="2"/>
  <c r="M1150" i="2" s="1"/>
  <c r="L1149" i="2"/>
  <c r="M1149" i="2" s="1"/>
  <c r="L1148" i="2"/>
  <c r="M1148" i="2" s="1"/>
  <c r="L1147" i="2"/>
  <c r="M1147" i="2" s="1"/>
  <c r="L1146" i="2"/>
  <c r="M1146" i="2" s="1"/>
  <c r="L1145" i="2"/>
  <c r="M1145" i="2" s="1"/>
  <c r="L1144" i="2"/>
  <c r="M1144" i="2" s="1"/>
  <c r="L1143" i="2"/>
  <c r="M1143" i="2" s="1"/>
  <c r="L1142" i="2"/>
  <c r="M1142" i="2" s="1"/>
  <c r="L1141" i="2"/>
  <c r="M1141" i="2" s="1"/>
  <c r="L1140" i="2"/>
  <c r="M1140" i="2" s="1"/>
  <c r="L1139" i="2"/>
  <c r="M1139" i="2" s="1"/>
  <c r="L1138" i="2"/>
  <c r="M1138" i="2" s="1"/>
  <c r="L1137" i="2"/>
  <c r="M1137" i="2" s="1"/>
  <c r="L1136" i="2"/>
  <c r="M1136" i="2" s="1"/>
  <c r="L1135" i="2"/>
  <c r="M1135" i="2" s="1"/>
  <c r="L1134" i="2"/>
  <c r="M1134" i="2" s="1"/>
  <c r="L1133" i="2"/>
  <c r="M1133" i="2" s="1"/>
  <c r="L1132" i="2"/>
  <c r="M1132" i="2" s="1"/>
  <c r="L1131" i="2"/>
  <c r="M1131" i="2" s="1"/>
  <c r="L1130" i="2"/>
  <c r="M1130" i="2" s="1"/>
  <c r="L1129" i="2"/>
  <c r="M1129" i="2" s="1"/>
  <c r="L1128" i="2"/>
  <c r="M1128" i="2" s="1"/>
  <c r="L1127" i="2"/>
  <c r="M1127" i="2" s="1"/>
  <c r="L1126" i="2"/>
  <c r="M1126" i="2" s="1"/>
  <c r="L1125" i="2"/>
  <c r="M1125" i="2" s="1"/>
  <c r="L1124" i="2"/>
  <c r="M1124" i="2" s="1"/>
  <c r="L1123" i="2"/>
  <c r="M1123" i="2" s="1"/>
  <c r="L1122" i="2"/>
  <c r="M1122" i="2" s="1"/>
  <c r="L1121" i="2"/>
  <c r="M1121" i="2" s="1"/>
  <c r="L1120" i="2"/>
  <c r="M1120" i="2" s="1"/>
  <c r="L1119" i="2"/>
  <c r="M1119" i="2" s="1"/>
  <c r="L1118" i="2"/>
  <c r="M1118" i="2" s="1"/>
  <c r="L1117" i="2"/>
  <c r="M1117" i="2" s="1"/>
  <c r="L1116" i="2"/>
  <c r="M1116" i="2" s="1"/>
  <c r="L1115" i="2"/>
  <c r="M1115" i="2" s="1"/>
  <c r="L1114" i="2"/>
  <c r="M1114" i="2" s="1"/>
  <c r="L1113" i="2"/>
  <c r="M1113" i="2" s="1"/>
  <c r="L1112" i="2"/>
  <c r="M1112" i="2" s="1"/>
  <c r="L1111" i="2"/>
  <c r="M1111" i="2" s="1"/>
  <c r="L1110" i="2"/>
  <c r="M1110" i="2" s="1"/>
  <c r="L1109" i="2"/>
  <c r="M1109" i="2" s="1"/>
  <c r="L1108" i="2"/>
  <c r="M1108" i="2" s="1"/>
  <c r="L1107" i="2"/>
  <c r="M1107" i="2" s="1"/>
  <c r="L1106" i="2"/>
  <c r="M1106" i="2" s="1"/>
  <c r="L1105" i="2"/>
  <c r="M1105" i="2" s="1"/>
  <c r="L1104" i="2"/>
  <c r="M1104" i="2" s="1"/>
  <c r="L1103" i="2"/>
  <c r="M1103" i="2" s="1"/>
  <c r="L1102" i="2"/>
  <c r="M1102" i="2" s="1"/>
  <c r="L1101" i="2"/>
  <c r="M1101" i="2" s="1"/>
  <c r="L1100" i="2"/>
  <c r="M1100" i="2" s="1"/>
  <c r="L1099" i="2"/>
  <c r="M1099" i="2" s="1"/>
  <c r="L1098" i="2"/>
  <c r="M1098" i="2" s="1"/>
  <c r="L1097" i="2"/>
  <c r="M1097" i="2" s="1"/>
  <c r="L1096" i="2"/>
  <c r="M1096" i="2" s="1"/>
  <c r="L1095" i="2"/>
  <c r="M1095" i="2" s="1"/>
  <c r="L1094" i="2"/>
  <c r="M1094" i="2" s="1"/>
  <c r="L1093" i="2"/>
  <c r="M1093" i="2" s="1"/>
  <c r="L1092" i="2"/>
  <c r="M1092" i="2" s="1"/>
  <c r="L1091" i="2"/>
  <c r="M1091" i="2" s="1"/>
  <c r="L1090" i="2"/>
  <c r="M1090" i="2" s="1"/>
  <c r="L1089" i="2"/>
  <c r="M1089" i="2" s="1"/>
  <c r="L1088" i="2"/>
  <c r="M1088" i="2" s="1"/>
  <c r="L1087" i="2"/>
  <c r="M1087" i="2" s="1"/>
  <c r="L1086" i="2"/>
  <c r="M1086" i="2" s="1"/>
  <c r="L1085" i="2"/>
  <c r="M1085" i="2" s="1"/>
  <c r="L1084" i="2"/>
  <c r="M1084" i="2" s="1"/>
  <c r="L1083" i="2"/>
  <c r="M1083" i="2" s="1"/>
  <c r="L1082" i="2"/>
  <c r="M1082" i="2" s="1"/>
  <c r="L1081" i="2"/>
  <c r="M1081" i="2" s="1"/>
  <c r="L1080" i="2"/>
  <c r="M1080" i="2" s="1"/>
  <c r="L1079" i="2"/>
  <c r="M1079" i="2" s="1"/>
  <c r="L1078" i="2"/>
  <c r="M1078" i="2" s="1"/>
  <c r="L1077" i="2"/>
  <c r="M1077" i="2" s="1"/>
  <c r="L1076" i="2"/>
  <c r="M1076" i="2" s="1"/>
  <c r="L1075" i="2"/>
  <c r="M1075" i="2" s="1"/>
  <c r="L1074" i="2"/>
  <c r="M1074" i="2" s="1"/>
  <c r="L1073" i="2"/>
  <c r="M1073" i="2" s="1"/>
  <c r="L1072" i="2"/>
  <c r="M1072" i="2" s="1"/>
  <c r="L1071" i="2"/>
  <c r="M1071" i="2" s="1"/>
  <c r="L1070" i="2"/>
  <c r="M1070" i="2" s="1"/>
  <c r="L1069" i="2"/>
  <c r="M1069" i="2" s="1"/>
  <c r="L1068" i="2"/>
  <c r="M1068" i="2" s="1"/>
  <c r="L1067" i="2"/>
  <c r="M1067" i="2" s="1"/>
  <c r="L1066" i="2"/>
  <c r="M1066" i="2" s="1"/>
  <c r="L1065" i="2"/>
  <c r="M1065" i="2" s="1"/>
  <c r="L1064" i="2"/>
  <c r="M1064" i="2" s="1"/>
  <c r="L1063" i="2"/>
  <c r="M1063" i="2" s="1"/>
  <c r="L1062" i="2"/>
  <c r="M1062" i="2" s="1"/>
  <c r="L1061" i="2"/>
  <c r="M1061" i="2" s="1"/>
  <c r="L1060" i="2"/>
  <c r="M1060" i="2" s="1"/>
  <c r="L1059" i="2"/>
  <c r="M1059" i="2" s="1"/>
  <c r="L1058" i="2"/>
  <c r="M1058" i="2" s="1"/>
  <c r="L1057" i="2"/>
  <c r="M1057" i="2" s="1"/>
  <c r="L1056" i="2"/>
  <c r="M1056" i="2" s="1"/>
  <c r="L1055" i="2"/>
  <c r="M1055" i="2" s="1"/>
  <c r="L1054" i="2"/>
  <c r="M1054" i="2" s="1"/>
  <c r="L1053" i="2"/>
  <c r="M1053" i="2" s="1"/>
  <c r="L1052" i="2"/>
  <c r="M1052" i="2" s="1"/>
  <c r="L1051" i="2"/>
  <c r="M1051" i="2" s="1"/>
  <c r="L1050" i="2"/>
  <c r="M1050" i="2" s="1"/>
  <c r="L1049" i="2"/>
  <c r="M1049" i="2" s="1"/>
  <c r="L1048" i="2"/>
  <c r="M1048" i="2" s="1"/>
  <c r="L1047" i="2"/>
  <c r="M1047" i="2" s="1"/>
  <c r="L1046" i="2"/>
  <c r="M1046" i="2" s="1"/>
  <c r="L1045" i="2"/>
  <c r="M1045" i="2" s="1"/>
  <c r="L1044" i="2"/>
  <c r="M1044" i="2" s="1"/>
  <c r="L1043" i="2"/>
  <c r="M1043" i="2" s="1"/>
  <c r="L1042" i="2"/>
  <c r="M1042" i="2" s="1"/>
  <c r="L1041" i="2"/>
  <c r="M1041" i="2" s="1"/>
  <c r="L1040" i="2"/>
  <c r="M1040" i="2" s="1"/>
  <c r="L1039" i="2"/>
  <c r="M1039" i="2" s="1"/>
  <c r="L1038" i="2"/>
  <c r="M1038" i="2" s="1"/>
  <c r="L1037" i="2"/>
  <c r="M1037" i="2" s="1"/>
  <c r="L1036" i="2"/>
  <c r="M1036" i="2" s="1"/>
  <c r="L1035" i="2"/>
  <c r="M1035" i="2" s="1"/>
  <c r="L1034" i="2"/>
  <c r="M1034" i="2" s="1"/>
  <c r="L1033" i="2"/>
  <c r="M1033" i="2" s="1"/>
  <c r="L1032" i="2"/>
  <c r="M1032" i="2" s="1"/>
  <c r="L1031" i="2"/>
  <c r="M1031" i="2" s="1"/>
  <c r="L1030" i="2"/>
  <c r="M1030" i="2" s="1"/>
  <c r="L1029" i="2"/>
  <c r="M1029" i="2" s="1"/>
  <c r="L1028" i="2"/>
  <c r="M1028" i="2" s="1"/>
  <c r="L1027" i="2"/>
  <c r="M1027" i="2" s="1"/>
  <c r="L1026" i="2"/>
  <c r="M1026" i="2" s="1"/>
  <c r="L1025" i="2"/>
  <c r="M1025" i="2" s="1"/>
  <c r="L1024" i="2"/>
  <c r="M1024" i="2" s="1"/>
  <c r="L1023" i="2"/>
  <c r="M1023" i="2" s="1"/>
  <c r="L1022" i="2"/>
  <c r="M1022" i="2" s="1"/>
  <c r="L1021" i="2"/>
  <c r="M1021" i="2" s="1"/>
  <c r="L1020" i="2"/>
  <c r="M1020" i="2" s="1"/>
  <c r="L1019" i="2"/>
  <c r="M1019" i="2" s="1"/>
  <c r="L1018" i="2"/>
  <c r="M1018" i="2" s="1"/>
  <c r="L1017" i="2"/>
  <c r="M1017" i="2" s="1"/>
  <c r="L1016" i="2"/>
  <c r="M1016" i="2" s="1"/>
  <c r="L1015" i="2"/>
  <c r="M1015" i="2" s="1"/>
  <c r="L1014" i="2"/>
  <c r="M1014" i="2" s="1"/>
  <c r="L1013" i="2"/>
  <c r="M1013" i="2" s="1"/>
  <c r="L1012" i="2"/>
  <c r="M1012" i="2" s="1"/>
  <c r="L1011" i="2"/>
  <c r="M1011" i="2" s="1"/>
  <c r="L1010" i="2"/>
  <c r="M1010" i="2" s="1"/>
  <c r="L1009" i="2"/>
  <c r="M1009" i="2" s="1"/>
  <c r="L1008" i="2"/>
  <c r="M1008" i="2" s="1"/>
  <c r="L1007" i="2"/>
  <c r="M1007" i="2" s="1"/>
  <c r="L1006" i="2"/>
  <c r="M1006" i="2" s="1"/>
  <c r="L1005" i="2"/>
  <c r="M1005" i="2" s="1"/>
  <c r="L1004" i="2"/>
  <c r="M1004" i="2" s="1"/>
  <c r="L1003" i="2"/>
  <c r="M1003" i="2" s="1"/>
  <c r="L1002" i="2"/>
  <c r="M1002" i="2" s="1"/>
  <c r="L1001" i="2"/>
  <c r="M1001" i="2" s="1"/>
  <c r="L1000" i="2"/>
  <c r="M1000" i="2" s="1"/>
  <c r="L999" i="2"/>
  <c r="M999" i="2" s="1"/>
  <c r="L998" i="2"/>
  <c r="M998" i="2" s="1"/>
  <c r="L997" i="2"/>
  <c r="M997" i="2" s="1"/>
  <c r="L996" i="2"/>
  <c r="M996" i="2" s="1"/>
  <c r="L995" i="2"/>
  <c r="M995" i="2" s="1"/>
  <c r="L994" i="2"/>
  <c r="M994" i="2" s="1"/>
  <c r="L993" i="2"/>
  <c r="M993" i="2" s="1"/>
  <c r="L992" i="2"/>
  <c r="M992" i="2" s="1"/>
  <c r="L991" i="2"/>
  <c r="M991" i="2" s="1"/>
  <c r="L990" i="2"/>
  <c r="M990" i="2" s="1"/>
  <c r="L989" i="2"/>
  <c r="M989" i="2" s="1"/>
  <c r="L988" i="2"/>
  <c r="M988" i="2" s="1"/>
  <c r="L987" i="2"/>
  <c r="M987" i="2" s="1"/>
  <c r="L986" i="2"/>
  <c r="M986" i="2" s="1"/>
  <c r="L985" i="2"/>
  <c r="M985" i="2" s="1"/>
  <c r="L984" i="2"/>
  <c r="M984" i="2" s="1"/>
  <c r="L983" i="2"/>
  <c r="M983" i="2" s="1"/>
  <c r="L982" i="2"/>
  <c r="M982" i="2" s="1"/>
  <c r="L981" i="2"/>
  <c r="M981" i="2" s="1"/>
  <c r="L980" i="2"/>
  <c r="M980" i="2" s="1"/>
  <c r="L979" i="2"/>
  <c r="M979" i="2" s="1"/>
  <c r="L978" i="2"/>
  <c r="M978" i="2" s="1"/>
  <c r="L977" i="2"/>
  <c r="M977" i="2" s="1"/>
  <c r="L976" i="2"/>
  <c r="M976" i="2" s="1"/>
  <c r="L975" i="2"/>
  <c r="M975" i="2" s="1"/>
  <c r="L974" i="2"/>
  <c r="M974" i="2" s="1"/>
  <c r="L973" i="2"/>
  <c r="M973" i="2" s="1"/>
  <c r="L972" i="2"/>
  <c r="M972" i="2" s="1"/>
  <c r="L971" i="2"/>
  <c r="M971" i="2" s="1"/>
  <c r="L970" i="2"/>
  <c r="M970" i="2" s="1"/>
  <c r="L969" i="2"/>
  <c r="M969" i="2" s="1"/>
  <c r="L968" i="2"/>
  <c r="M968" i="2" s="1"/>
  <c r="L967" i="2"/>
  <c r="M967" i="2" s="1"/>
  <c r="L966" i="2"/>
  <c r="M966" i="2" s="1"/>
  <c r="L965" i="2"/>
  <c r="M965" i="2" s="1"/>
  <c r="L964" i="2"/>
  <c r="M964" i="2" s="1"/>
  <c r="L963" i="2"/>
  <c r="M963" i="2" s="1"/>
  <c r="L962" i="2"/>
  <c r="M962" i="2" s="1"/>
  <c r="L961" i="2"/>
  <c r="M961" i="2" s="1"/>
  <c r="L960" i="2"/>
  <c r="M960" i="2" s="1"/>
  <c r="L959" i="2"/>
  <c r="M959" i="2" s="1"/>
  <c r="L958" i="2"/>
  <c r="M958" i="2" s="1"/>
  <c r="L957" i="2"/>
  <c r="M957" i="2" s="1"/>
  <c r="L956" i="2"/>
  <c r="M956" i="2" s="1"/>
  <c r="L955" i="2"/>
  <c r="M955" i="2" s="1"/>
  <c r="L954" i="2"/>
  <c r="M954" i="2" s="1"/>
  <c r="L953" i="2"/>
  <c r="M953" i="2" s="1"/>
  <c r="L952" i="2"/>
  <c r="M952" i="2" s="1"/>
  <c r="L951" i="2"/>
  <c r="M951" i="2" s="1"/>
  <c r="L950" i="2"/>
  <c r="M950" i="2" s="1"/>
  <c r="L949" i="2"/>
  <c r="M949" i="2" s="1"/>
  <c r="L948" i="2"/>
  <c r="M948" i="2" s="1"/>
  <c r="L947" i="2"/>
  <c r="M947" i="2" s="1"/>
  <c r="L946" i="2"/>
  <c r="M946" i="2" s="1"/>
  <c r="L945" i="2"/>
  <c r="M945" i="2" s="1"/>
  <c r="L944" i="2"/>
  <c r="M944" i="2" s="1"/>
  <c r="L943" i="2"/>
  <c r="M943" i="2" s="1"/>
  <c r="L942" i="2"/>
  <c r="M942" i="2" s="1"/>
  <c r="L941" i="2"/>
  <c r="M941" i="2" s="1"/>
  <c r="L940" i="2"/>
  <c r="M940" i="2" s="1"/>
  <c r="L939" i="2"/>
  <c r="M939" i="2" s="1"/>
  <c r="L938" i="2"/>
  <c r="M938" i="2" s="1"/>
  <c r="L937" i="2"/>
  <c r="M937" i="2" s="1"/>
  <c r="L936" i="2"/>
  <c r="M936" i="2" s="1"/>
  <c r="L935" i="2"/>
  <c r="M935" i="2" s="1"/>
  <c r="L934" i="2"/>
  <c r="M934" i="2" s="1"/>
  <c r="L933" i="2"/>
  <c r="M933" i="2" s="1"/>
  <c r="L932" i="2"/>
  <c r="M932" i="2" s="1"/>
  <c r="L931" i="2"/>
  <c r="M931" i="2" s="1"/>
  <c r="L930" i="2"/>
  <c r="M930" i="2" s="1"/>
  <c r="L929" i="2"/>
  <c r="M929" i="2" s="1"/>
  <c r="L928" i="2"/>
  <c r="M928" i="2" s="1"/>
  <c r="L927" i="2"/>
  <c r="M927" i="2" s="1"/>
  <c r="L926" i="2"/>
  <c r="M926" i="2" s="1"/>
  <c r="L925" i="2"/>
  <c r="M925" i="2" s="1"/>
  <c r="L924" i="2"/>
  <c r="M924" i="2" s="1"/>
  <c r="L923" i="2"/>
  <c r="M923" i="2" s="1"/>
  <c r="L922" i="2"/>
  <c r="M922" i="2" s="1"/>
  <c r="L921" i="2"/>
  <c r="M921" i="2" s="1"/>
  <c r="L920" i="2"/>
  <c r="M920" i="2" s="1"/>
  <c r="L919" i="2"/>
  <c r="M919" i="2" s="1"/>
  <c r="L918" i="2"/>
  <c r="M918" i="2" s="1"/>
  <c r="L917" i="2"/>
  <c r="M917" i="2" s="1"/>
  <c r="L916" i="2"/>
  <c r="M916" i="2" s="1"/>
  <c r="L915" i="2"/>
  <c r="M915" i="2" s="1"/>
  <c r="L914" i="2"/>
  <c r="M914" i="2" s="1"/>
  <c r="L913" i="2"/>
  <c r="M913" i="2" s="1"/>
  <c r="L912" i="2"/>
  <c r="M912" i="2" s="1"/>
  <c r="L911" i="2"/>
  <c r="M911" i="2" s="1"/>
  <c r="L910" i="2"/>
  <c r="M910" i="2" s="1"/>
  <c r="L909" i="2"/>
  <c r="M909" i="2" s="1"/>
  <c r="L908" i="2"/>
  <c r="M908" i="2" s="1"/>
  <c r="L907" i="2"/>
  <c r="M907" i="2" s="1"/>
  <c r="L906" i="2"/>
  <c r="M906" i="2" s="1"/>
  <c r="L905" i="2"/>
  <c r="M905" i="2" s="1"/>
  <c r="L904" i="2"/>
  <c r="M904" i="2" s="1"/>
  <c r="L903" i="2"/>
  <c r="M903" i="2" s="1"/>
  <c r="L902" i="2"/>
  <c r="M902" i="2" s="1"/>
  <c r="L901" i="2"/>
  <c r="M901" i="2" s="1"/>
  <c r="L900" i="2"/>
  <c r="M900" i="2" s="1"/>
  <c r="L899" i="2"/>
  <c r="M899" i="2" s="1"/>
  <c r="L898" i="2"/>
  <c r="M898" i="2" s="1"/>
  <c r="L897" i="2"/>
  <c r="M897" i="2" s="1"/>
  <c r="L896" i="2"/>
  <c r="M896" i="2" s="1"/>
  <c r="L895" i="2"/>
  <c r="M895" i="2" s="1"/>
  <c r="L894" i="2"/>
  <c r="M894" i="2" s="1"/>
  <c r="L893" i="2"/>
  <c r="M893" i="2" s="1"/>
  <c r="L892" i="2"/>
  <c r="M892" i="2" s="1"/>
  <c r="L891" i="2"/>
  <c r="M891" i="2" s="1"/>
  <c r="L890" i="2"/>
  <c r="M890" i="2" s="1"/>
  <c r="L889" i="2"/>
  <c r="M889" i="2" s="1"/>
  <c r="L888" i="2"/>
  <c r="M888" i="2" s="1"/>
  <c r="L887" i="2"/>
  <c r="M887" i="2" s="1"/>
  <c r="L886" i="2"/>
  <c r="M886" i="2" s="1"/>
  <c r="L885" i="2"/>
  <c r="M885" i="2" s="1"/>
  <c r="L884" i="2"/>
  <c r="M884" i="2" s="1"/>
  <c r="L883" i="2"/>
  <c r="M883" i="2" s="1"/>
  <c r="L882" i="2"/>
  <c r="M882" i="2" s="1"/>
  <c r="L881" i="2"/>
  <c r="M881" i="2" s="1"/>
  <c r="L880" i="2"/>
  <c r="M880" i="2" s="1"/>
  <c r="L879" i="2"/>
  <c r="M879" i="2" s="1"/>
  <c r="L878" i="2"/>
  <c r="M878" i="2" s="1"/>
  <c r="L877" i="2"/>
  <c r="M877" i="2" s="1"/>
  <c r="L876" i="2"/>
  <c r="M876" i="2" s="1"/>
  <c r="L875" i="2"/>
  <c r="M875" i="2" s="1"/>
  <c r="L874" i="2"/>
  <c r="M874" i="2" s="1"/>
  <c r="L873" i="2"/>
  <c r="M873" i="2" s="1"/>
  <c r="L872" i="2"/>
  <c r="M872" i="2" s="1"/>
  <c r="L871" i="2"/>
  <c r="M871" i="2" s="1"/>
  <c r="L870" i="2"/>
  <c r="M870" i="2" s="1"/>
  <c r="L869" i="2"/>
  <c r="M869" i="2" s="1"/>
  <c r="L868" i="2"/>
  <c r="M868" i="2" s="1"/>
  <c r="L867" i="2"/>
  <c r="M867" i="2" s="1"/>
  <c r="L866" i="2"/>
  <c r="M866" i="2" s="1"/>
  <c r="L865" i="2"/>
  <c r="M865" i="2" s="1"/>
  <c r="L864" i="2"/>
  <c r="M864" i="2" s="1"/>
  <c r="L863" i="2"/>
  <c r="M863" i="2" s="1"/>
  <c r="L862" i="2"/>
  <c r="M862" i="2" s="1"/>
  <c r="L861" i="2"/>
  <c r="M861" i="2" s="1"/>
  <c r="L860" i="2"/>
  <c r="M860" i="2" s="1"/>
  <c r="L859" i="2"/>
  <c r="M859" i="2" s="1"/>
  <c r="L858" i="2"/>
  <c r="M858" i="2" s="1"/>
  <c r="L857" i="2"/>
  <c r="M857" i="2" s="1"/>
  <c r="L856" i="2"/>
  <c r="M856" i="2" s="1"/>
  <c r="L855" i="2"/>
  <c r="M855" i="2" s="1"/>
  <c r="L854" i="2"/>
  <c r="M854" i="2" s="1"/>
  <c r="L853" i="2"/>
  <c r="M853" i="2" s="1"/>
  <c r="L852" i="2"/>
  <c r="M852" i="2" s="1"/>
  <c r="L851" i="2"/>
  <c r="M851" i="2" s="1"/>
  <c r="L850" i="2"/>
  <c r="M850" i="2" s="1"/>
  <c r="L849" i="2"/>
  <c r="M849" i="2" s="1"/>
  <c r="L848" i="2"/>
  <c r="M848" i="2" s="1"/>
  <c r="L847" i="2"/>
  <c r="M847" i="2" s="1"/>
  <c r="L846" i="2"/>
  <c r="M846" i="2" s="1"/>
  <c r="L845" i="2"/>
  <c r="M845" i="2" s="1"/>
  <c r="L844" i="2"/>
  <c r="M844" i="2" s="1"/>
  <c r="L843" i="2"/>
  <c r="M843" i="2" s="1"/>
  <c r="L842" i="2"/>
  <c r="M842" i="2" s="1"/>
  <c r="L841" i="2"/>
  <c r="M841" i="2" s="1"/>
  <c r="L840" i="2"/>
  <c r="M840" i="2" s="1"/>
  <c r="L839" i="2"/>
  <c r="M839" i="2" s="1"/>
  <c r="L838" i="2"/>
  <c r="M838" i="2" s="1"/>
  <c r="L837" i="2"/>
  <c r="M837" i="2" s="1"/>
  <c r="L836" i="2"/>
  <c r="M836" i="2" s="1"/>
  <c r="L835" i="2"/>
  <c r="M835" i="2" s="1"/>
  <c r="L834" i="2"/>
  <c r="M834" i="2" s="1"/>
  <c r="L833" i="2"/>
  <c r="M833" i="2" s="1"/>
  <c r="L832" i="2"/>
  <c r="M832" i="2" s="1"/>
  <c r="L831" i="2"/>
  <c r="M831" i="2" s="1"/>
  <c r="L830" i="2"/>
  <c r="M830" i="2" s="1"/>
  <c r="L829" i="2"/>
  <c r="M829" i="2" s="1"/>
  <c r="L828" i="2"/>
  <c r="M828" i="2" s="1"/>
  <c r="L827" i="2"/>
  <c r="M827" i="2" s="1"/>
  <c r="L826" i="2"/>
  <c r="M826" i="2" s="1"/>
  <c r="L825" i="2"/>
  <c r="M825" i="2" s="1"/>
  <c r="L824" i="2"/>
  <c r="M824" i="2" s="1"/>
  <c r="L823" i="2"/>
  <c r="M823" i="2" s="1"/>
  <c r="L822" i="2"/>
  <c r="M822" i="2" s="1"/>
  <c r="L821" i="2"/>
  <c r="M821" i="2" s="1"/>
  <c r="L820" i="2"/>
  <c r="M820" i="2" s="1"/>
  <c r="L819" i="2"/>
  <c r="M819" i="2" s="1"/>
  <c r="L818" i="2"/>
  <c r="M818" i="2" s="1"/>
  <c r="L817" i="2"/>
  <c r="M817" i="2" s="1"/>
  <c r="L816" i="2"/>
  <c r="M816" i="2" s="1"/>
  <c r="L815" i="2"/>
  <c r="M815" i="2" s="1"/>
  <c r="L814" i="2"/>
  <c r="M814" i="2" s="1"/>
  <c r="L813" i="2"/>
  <c r="M813" i="2" s="1"/>
  <c r="L812" i="2"/>
  <c r="M812" i="2" s="1"/>
  <c r="L811" i="2"/>
  <c r="M811" i="2" s="1"/>
  <c r="L810" i="2"/>
  <c r="M810" i="2" s="1"/>
  <c r="L809" i="2"/>
  <c r="M809" i="2" s="1"/>
  <c r="L808" i="2"/>
  <c r="M808" i="2" s="1"/>
  <c r="L807" i="2"/>
  <c r="M807" i="2" s="1"/>
  <c r="L806" i="2"/>
  <c r="M806" i="2" s="1"/>
  <c r="L805" i="2"/>
  <c r="M805" i="2" s="1"/>
  <c r="L804" i="2"/>
  <c r="M804" i="2" s="1"/>
  <c r="L803" i="2"/>
  <c r="M803" i="2" s="1"/>
  <c r="L802" i="2"/>
  <c r="M802" i="2" s="1"/>
  <c r="L801" i="2"/>
  <c r="M801" i="2" s="1"/>
  <c r="L800" i="2"/>
  <c r="M800" i="2" s="1"/>
  <c r="L799" i="2"/>
  <c r="M799" i="2" s="1"/>
  <c r="L798" i="2"/>
  <c r="M798" i="2" s="1"/>
  <c r="L797" i="2"/>
  <c r="M797" i="2" s="1"/>
  <c r="L796" i="2"/>
  <c r="M796" i="2" s="1"/>
  <c r="L795" i="2"/>
  <c r="M795" i="2" s="1"/>
  <c r="L794" i="2"/>
  <c r="M794" i="2" s="1"/>
  <c r="L793" i="2"/>
  <c r="M793" i="2" s="1"/>
  <c r="L792" i="2"/>
  <c r="M792" i="2" s="1"/>
  <c r="L791" i="2"/>
  <c r="M791" i="2" s="1"/>
  <c r="L790" i="2"/>
  <c r="M790" i="2" s="1"/>
  <c r="L789" i="2"/>
  <c r="M789" i="2" s="1"/>
  <c r="L788" i="2"/>
  <c r="M788" i="2" s="1"/>
  <c r="L787" i="2"/>
  <c r="M787" i="2" s="1"/>
  <c r="L786" i="2"/>
  <c r="M786" i="2" s="1"/>
  <c r="L785" i="2"/>
  <c r="M785" i="2" s="1"/>
  <c r="L784" i="2"/>
  <c r="M784" i="2" s="1"/>
  <c r="L783" i="2"/>
  <c r="M783" i="2" s="1"/>
  <c r="L782" i="2"/>
  <c r="M782" i="2" s="1"/>
  <c r="L781" i="2"/>
  <c r="M781" i="2" s="1"/>
  <c r="L780" i="2"/>
  <c r="M780" i="2" s="1"/>
  <c r="L779" i="2"/>
  <c r="M779" i="2" s="1"/>
  <c r="L778" i="2"/>
  <c r="M778" i="2" s="1"/>
  <c r="L777" i="2"/>
  <c r="M777" i="2" s="1"/>
  <c r="L776" i="2"/>
  <c r="M776" i="2" s="1"/>
  <c r="L775" i="2"/>
  <c r="M775" i="2" s="1"/>
  <c r="L774" i="2"/>
  <c r="M774" i="2" s="1"/>
  <c r="L773" i="2"/>
  <c r="M773" i="2" s="1"/>
  <c r="L772" i="2"/>
  <c r="M772" i="2" s="1"/>
  <c r="L771" i="2"/>
  <c r="M771" i="2" s="1"/>
  <c r="L770" i="2"/>
  <c r="M770" i="2" s="1"/>
  <c r="L769" i="2"/>
  <c r="M769" i="2" s="1"/>
  <c r="L768" i="2"/>
  <c r="M768" i="2" s="1"/>
  <c r="L767" i="2"/>
  <c r="M767" i="2" s="1"/>
  <c r="L766" i="2"/>
  <c r="M766" i="2" s="1"/>
  <c r="L765" i="2"/>
  <c r="M765" i="2" s="1"/>
  <c r="L764" i="2"/>
  <c r="M764" i="2" s="1"/>
  <c r="L763" i="2"/>
  <c r="M763" i="2" s="1"/>
  <c r="L762" i="2"/>
  <c r="M762" i="2" s="1"/>
  <c r="L761" i="2"/>
  <c r="M761" i="2" s="1"/>
  <c r="L760" i="2"/>
  <c r="M760" i="2" s="1"/>
  <c r="L759" i="2"/>
  <c r="M759" i="2" s="1"/>
  <c r="L758" i="2"/>
  <c r="M758" i="2" s="1"/>
  <c r="L757" i="2"/>
  <c r="M757" i="2" s="1"/>
  <c r="L756" i="2"/>
  <c r="M756" i="2" s="1"/>
  <c r="L755" i="2"/>
  <c r="M755" i="2" s="1"/>
  <c r="L754" i="2"/>
  <c r="M754" i="2" s="1"/>
  <c r="L753" i="2"/>
  <c r="M753" i="2" s="1"/>
  <c r="L752" i="2"/>
  <c r="M752" i="2" s="1"/>
  <c r="L751" i="2"/>
  <c r="M751" i="2" s="1"/>
  <c r="L750" i="2"/>
  <c r="M750" i="2" s="1"/>
  <c r="L749" i="2"/>
  <c r="M749" i="2" s="1"/>
  <c r="L748" i="2"/>
  <c r="M748" i="2" s="1"/>
  <c r="L747" i="2"/>
  <c r="M747" i="2" s="1"/>
  <c r="L746" i="2"/>
  <c r="M746" i="2" s="1"/>
  <c r="L745" i="2"/>
  <c r="M745" i="2" s="1"/>
  <c r="L744" i="2"/>
  <c r="M744" i="2" s="1"/>
  <c r="L743" i="2"/>
  <c r="M743" i="2" s="1"/>
  <c r="L742" i="2"/>
  <c r="M742" i="2" s="1"/>
  <c r="L741" i="2"/>
  <c r="M741" i="2" s="1"/>
  <c r="L740" i="2"/>
  <c r="M740" i="2" s="1"/>
  <c r="L739" i="2"/>
  <c r="M739" i="2" s="1"/>
  <c r="L738" i="2"/>
  <c r="M738" i="2" s="1"/>
  <c r="L737" i="2"/>
  <c r="M737" i="2" s="1"/>
  <c r="L736" i="2"/>
  <c r="M736" i="2" s="1"/>
  <c r="L735" i="2"/>
  <c r="M735" i="2" s="1"/>
  <c r="L734" i="2"/>
  <c r="M734" i="2" s="1"/>
  <c r="L733" i="2"/>
  <c r="M733" i="2" s="1"/>
  <c r="L732" i="2"/>
  <c r="M732" i="2" s="1"/>
  <c r="L731" i="2"/>
  <c r="M731" i="2" s="1"/>
  <c r="L730" i="2"/>
  <c r="M730" i="2" s="1"/>
  <c r="L729" i="2"/>
  <c r="M729" i="2" s="1"/>
  <c r="L728" i="2"/>
  <c r="M728" i="2" s="1"/>
  <c r="L727" i="2"/>
  <c r="M727" i="2" s="1"/>
  <c r="L726" i="2"/>
  <c r="M726" i="2" s="1"/>
  <c r="L725" i="2"/>
  <c r="M725" i="2" s="1"/>
  <c r="L724" i="2"/>
  <c r="M724" i="2" s="1"/>
  <c r="L723" i="2"/>
  <c r="M723" i="2" s="1"/>
  <c r="L722" i="2"/>
  <c r="M722" i="2" s="1"/>
  <c r="L721" i="2"/>
  <c r="M721" i="2" s="1"/>
  <c r="L720" i="2"/>
  <c r="M720" i="2" s="1"/>
  <c r="L719" i="2"/>
  <c r="M719" i="2" s="1"/>
  <c r="L718" i="2"/>
  <c r="M718" i="2" s="1"/>
  <c r="L717" i="2"/>
  <c r="M717" i="2" s="1"/>
  <c r="L716" i="2"/>
  <c r="M716" i="2" s="1"/>
  <c r="L715" i="2"/>
  <c r="M715" i="2" s="1"/>
  <c r="L714" i="2"/>
  <c r="M714" i="2" s="1"/>
  <c r="L713" i="2"/>
  <c r="M713" i="2" s="1"/>
  <c r="L712" i="2"/>
  <c r="M712" i="2" s="1"/>
  <c r="L711" i="2"/>
  <c r="M711" i="2" s="1"/>
  <c r="L710" i="2"/>
  <c r="M710" i="2" s="1"/>
  <c r="L709" i="2"/>
  <c r="M709" i="2" s="1"/>
  <c r="L708" i="2"/>
  <c r="M708" i="2" s="1"/>
  <c r="L707" i="2"/>
  <c r="M707" i="2" s="1"/>
  <c r="L706" i="2"/>
  <c r="M706" i="2" s="1"/>
  <c r="L705" i="2"/>
  <c r="M705" i="2" s="1"/>
  <c r="L704" i="2"/>
  <c r="M704" i="2" s="1"/>
  <c r="L703" i="2"/>
  <c r="M703" i="2" s="1"/>
  <c r="L702" i="2"/>
  <c r="M702" i="2" s="1"/>
  <c r="L701" i="2"/>
  <c r="M701" i="2" s="1"/>
  <c r="L700" i="2"/>
  <c r="M700" i="2" s="1"/>
  <c r="L699" i="2"/>
  <c r="M699" i="2" s="1"/>
  <c r="L698" i="2"/>
  <c r="M698" i="2" s="1"/>
  <c r="L697" i="2"/>
  <c r="M697" i="2" s="1"/>
  <c r="L696" i="2"/>
  <c r="M696" i="2" s="1"/>
  <c r="L695" i="2"/>
  <c r="M695" i="2" s="1"/>
  <c r="L694" i="2"/>
  <c r="M694" i="2" s="1"/>
  <c r="L693" i="2"/>
  <c r="M693" i="2" s="1"/>
  <c r="L692" i="2"/>
  <c r="M692" i="2" s="1"/>
  <c r="L691" i="2"/>
  <c r="M691" i="2" s="1"/>
  <c r="L690" i="2"/>
  <c r="M690" i="2" s="1"/>
  <c r="L689" i="2"/>
  <c r="M689" i="2" s="1"/>
  <c r="L688" i="2"/>
  <c r="M688" i="2" s="1"/>
  <c r="L687" i="2"/>
  <c r="M687" i="2" s="1"/>
  <c r="L686" i="2"/>
  <c r="M686" i="2" s="1"/>
  <c r="L685" i="2"/>
  <c r="M685" i="2" s="1"/>
  <c r="L684" i="2"/>
  <c r="M684" i="2" s="1"/>
  <c r="L683" i="2"/>
  <c r="M683" i="2" s="1"/>
  <c r="L682" i="2"/>
  <c r="M682" i="2" s="1"/>
  <c r="L681" i="2"/>
  <c r="M681" i="2" s="1"/>
  <c r="L680" i="2"/>
  <c r="M680" i="2" s="1"/>
  <c r="L679" i="2"/>
  <c r="M679" i="2" s="1"/>
  <c r="L678" i="2"/>
  <c r="M678" i="2" s="1"/>
  <c r="L677" i="2"/>
  <c r="M677" i="2" s="1"/>
  <c r="L676" i="2"/>
  <c r="M676" i="2" s="1"/>
  <c r="L675" i="2"/>
  <c r="M675" i="2" s="1"/>
  <c r="L674" i="2"/>
  <c r="M674" i="2" s="1"/>
  <c r="L673" i="2"/>
  <c r="M673" i="2" s="1"/>
  <c r="L672" i="2"/>
  <c r="M672" i="2" s="1"/>
  <c r="L671" i="2"/>
  <c r="M671" i="2" s="1"/>
  <c r="L670" i="2"/>
  <c r="M670" i="2" s="1"/>
  <c r="L669" i="2"/>
  <c r="M669" i="2" s="1"/>
  <c r="L668" i="2"/>
  <c r="M668" i="2" s="1"/>
  <c r="L667" i="2"/>
  <c r="M667" i="2" s="1"/>
  <c r="L666" i="2"/>
  <c r="M666" i="2" s="1"/>
  <c r="L665" i="2"/>
  <c r="M665" i="2" s="1"/>
  <c r="L664" i="2"/>
  <c r="M664" i="2" s="1"/>
  <c r="L663" i="2"/>
  <c r="M663" i="2" s="1"/>
  <c r="L662" i="2"/>
  <c r="M662" i="2" s="1"/>
  <c r="L661" i="2"/>
  <c r="M661" i="2" s="1"/>
  <c r="L660" i="2"/>
  <c r="M660" i="2" s="1"/>
  <c r="L659" i="2"/>
  <c r="M659" i="2" s="1"/>
  <c r="L658" i="2"/>
  <c r="M658" i="2" s="1"/>
  <c r="L657" i="2"/>
  <c r="M657" i="2" s="1"/>
  <c r="L656" i="2"/>
  <c r="M656" i="2" s="1"/>
  <c r="L655" i="2"/>
  <c r="M655" i="2" s="1"/>
  <c r="L654" i="2"/>
  <c r="M654" i="2" s="1"/>
  <c r="L653" i="2"/>
  <c r="M653" i="2" s="1"/>
  <c r="L652" i="2"/>
  <c r="M652" i="2" s="1"/>
  <c r="L651" i="2"/>
  <c r="M651" i="2" s="1"/>
  <c r="L650" i="2"/>
  <c r="M650" i="2" s="1"/>
  <c r="L649" i="2"/>
  <c r="M649" i="2" s="1"/>
  <c r="L648" i="2"/>
  <c r="M648" i="2" s="1"/>
  <c r="L647" i="2"/>
  <c r="M647" i="2" s="1"/>
  <c r="L646" i="2"/>
  <c r="M646" i="2" s="1"/>
  <c r="L645" i="2"/>
  <c r="M645" i="2" s="1"/>
  <c r="L644" i="2"/>
  <c r="M644" i="2" s="1"/>
  <c r="L643" i="2"/>
  <c r="M643" i="2" s="1"/>
  <c r="L642" i="2"/>
  <c r="M642" i="2" s="1"/>
  <c r="L641" i="2"/>
  <c r="M641" i="2" s="1"/>
  <c r="L640" i="2"/>
  <c r="M640" i="2" s="1"/>
  <c r="L639" i="2"/>
  <c r="M639" i="2" s="1"/>
  <c r="L638" i="2"/>
  <c r="M638" i="2" s="1"/>
  <c r="L637" i="2"/>
  <c r="M637" i="2" s="1"/>
  <c r="L636" i="2"/>
  <c r="M636" i="2" s="1"/>
  <c r="L635" i="2"/>
  <c r="M635" i="2" s="1"/>
  <c r="L634" i="2"/>
  <c r="M634" i="2" s="1"/>
  <c r="L633" i="2"/>
  <c r="M633" i="2" s="1"/>
  <c r="L632" i="2"/>
  <c r="M632" i="2" s="1"/>
  <c r="L631" i="2"/>
  <c r="M631" i="2" s="1"/>
  <c r="L630" i="2"/>
  <c r="M630" i="2" s="1"/>
  <c r="L629" i="2"/>
  <c r="M629" i="2" s="1"/>
  <c r="L628" i="2"/>
  <c r="M628" i="2" s="1"/>
  <c r="L627" i="2"/>
  <c r="M627" i="2" s="1"/>
  <c r="L626" i="2"/>
  <c r="M626" i="2" s="1"/>
  <c r="L625" i="2"/>
  <c r="M625" i="2" s="1"/>
  <c r="L624" i="2"/>
  <c r="M624" i="2" s="1"/>
  <c r="L623" i="2"/>
  <c r="M623" i="2" s="1"/>
  <c r="L622" i="2"/>
  <c r="M622" i="2" s="1"/>
  <c r="L621" i="2"/>
  <c r="M621" i="2" s="1"/>
  <c r="L620" i="2"/>
  <c r="M620" i="2" s="1"/>
  <c r="L619" i="2"/>
  <c r="M619" i="2" s="1"/>
  <c r="L618" i="2"/>
  <c r="M618" i="2" s="1"/>
  <c r="L617" i="2"/>
  <c r="M617" i="2" s="1"/>
  <c r="L616" i="2"/>
  <c r="M616" i="2" s="1"/>
  <c r="L615" i="2"/>
  <c r="M615" i="2" s="1"/>
  <c r="L614" i="2"/>
  <c r="M614" i="2" s="1"/>
  <c r="L613" i="2"/>
  <c r="M613" i="2" s="1"/>
  <c r="L612" i="2"/>
  <c r="M612" i="2" s="1"/>
  <c r="L611" i="2"/>
  <c r="M611" i="2" s="1"/>
  <c r="L610" i="2"/>
  <c r="M610" i="2" s="1"/>
  <c r="L609" i="2"/>
  <c r="M609" i="2" s="1"/>
  <c r="L608" i="2"/>
  <c r="M608" i="2" s="1"/>
  <c r="L607" i="2"/>
  <c r="M607" i="2" s="1"/>
  <c r="L606" i="2"/>
  <c r="M606" i="2" s="1"/>
  <c r="L605" i="2"/>
  <c r="M605" i="2" s="1"/>
  <c r="L604" i="2"/>
  <c r="M604" i="2" s="1"/>
  <c r="L603" i="2"/>
  <c r="M603" i="2" s="1"/>
  <c r="L602" i="2"/>
  <c r="M602" i="2" s="1"/>
  <c r="L601" i="2"/>
  <c r="M601" i="2" s="1"/>
  <c r="L600" i="2"/>
  <c r="M600" i="2" s="1"/>
  <c r="L599" i="2"/>
  <c r="M599" i="2" s="1"/>
  <c r="L598" i="2"/>
  <c r="M598" i="2" s="1"/>
  <c r="L597" i="2"/>
  <c r="M597" i="2" s="1"/>
  <c r="L596" i="2"/>
  <c r="M596" i="2" s="1"/>
  <c r="L595" i="2"/>
  <c r="M595" i="2" s="1"/>
  <c r="L594" i="2"/>
  <c r="M594" i="2" s="1"/>
  <c r="L593" i="2"/>
  <c r="M593" i="2" s="1"/>
  <c r="L592" i="2"/>
  <c r="M592" i="2" s="1"/>
  <c r="L591" i="2"/>
  <c r="M591" i="2" s="1"/>
  <c r="L590" i="2"/>
  <c r="M590" i="2" s="1"/>
  <c r="L589" i="2"/>
  <c r="M589" i="2" s="1"/>
  <c r="L588" i="2"/>
  <c r="M588" i="2" s="1"/>
  <c r="L587" i="2"/>
  <c r="M587" i="2" s="1"/>
  <c r="L586" i="2"/>
  <c r="M586" i="2" s="1"/>
  <c r="L585" i="2"/>
  <c r="M585" i="2" s="1"/>
  <c r="L584" i="2"/>
  <c r="M584" i="2" s="1"/>
  <c r="L583" i="2"/>
  <c r="M583" i="2" s="1"/>
  <c r="L582" i="2"/>
  <c r="M582" i="2" s="1"/>
  <c r="L581" i="2"/>
  <c r="M581" i="2" s="1"/>
  <c r="L580" i="2"/>
  <c r="M580" i="2" s="1"/>
  <c r="L579" i="2"/>
  <c r="M579" i="2" s="1"/>
  <c r="L578" i="2"/>
  <c r="M578" i="2" s="1"/>
  <c r="L577" i="2"/>
  <c r="M577" i="2" s="1"/>
  <c r="L576" i="2"/>
  <c r="M576" i="2" s="1"/>
  <c r="L575" i="2"/>
  <c r="M575" i="2" s="1"/>
  <c r="L574" i="2"/>
  <c r="M574" i="2" s="1"/>
  <c r="L573" i="2"/>
  <c r="M573" i="2" s="1"/>
  <c r="L572" i="2"/>
  <c r="M572" i="2" s="1"/>
  <c r="L571" i="2"/>
  <c r="M571" i="2" s="1"/>
  <c r="L570" i="2"/>
  <c r="M570" i="2" s="1"/>
  <c r="L569" i="2"/>
  <c r="M569" i="2" s="1"/>
  <c r="L568" i="2"/>
  <c r="M568" i="2" s="1"/>
  <c r="L567" i="2"/>
  <c r="M567" i="2" s="1"/>
  <c r="L566" i="2"/>
  <c r="M566" i="2" s="1"/>
  <c r="L565" i="2"/>
  <c r="M565" i="2" s="1"/>
  <c r="L564" i="2"/>
  <c r="M564" i="2" s="1"/>
  <c r="L563" i="2"/>
  <c r="M563" i="2" s="1"/>
  <c r="L562" i="2"/>
  <c r="M562" i="2" s="1"/>
  <c r="L561" i="2"/>
  <c r="M561" i="2" s="1"/>
  <c r="L560" i="2"/>
  <c r="M560" i="2" s="1"/>
  <c r="L559" i="2"/>
  <c r="M559" i="2" s="1"/>
  <c r="L558" i="2"/>
  <c r="M558" i="2" s="1"/>
  <c r="L557" i="2"/>
  <c r="M557" i="2" s="1"/>
  <c r="L556" i="2"/>
  <c r="M556" i="2" s="1"/>
  <c r="L555" i="2"/>
  <c r="M555" i="2" s="1"/>
  <c r="L554" i="2"/>
  <c r="M554" i="2" s="1"/>
  <c r="L553" i="2"/>
  <c r="M553" i="2" s="1"/>
  <c r="L552" i="2"/>
  <c r="M552" i="2" s="1"/>
  <c r="L551" i="2"/>
  <c r="M551" i="2" s="1"/>
  <c r="L550" i="2"/>
  <c r="M550" i="2" s="1"/>
  <c r="L549" i="2"/>
  <c r="M549" i="2" s="1"/>
  <c r="L548" i="2"/>
  <c r="M548" i="2" s="1"/>
  <c r="L547" i="2"/>
  <c r="M547" i="2" s="1"/>
  <c r="L546" i="2"/>
  <c r="M546" i="2" s="1"/>
  <c r="L545" i="2"/>
  <c r="M545" i="2" s="1"/>
  <c r="L544" i="2"/>
  <c r="M544" i="2" s="1"/>
  <c r="L543" i="2"/>
  <c r="M543" i="2" s="1"/>
  <c r="L542" i="2"/>
  <c r="M542" i="2" s="1"/>
  <c r="L541" i="2"/>
  <c r="M541" i="2" s="1"/>
  <c r="L540" i="2"/>
  <c r="M540" i="2" s="1"/>
  <c r="L539" i="2"/>
  <c r="M539" i="2" s="1"/>
  <c r="L538" i="2"/>
  <c r="M538" i="2" s="1"/>
  <c r="L537" i="2"/>
  <c r="M537" i="2" s="1"/>
  <c r="L536" i="2"/>
  <c r="M536" i="2" s="1"/>
  <c r="L535" i="2"/>
  <c r="M535" i="2" s="1"/>
  <c r="L534" i="2"/>
  <c r="M534" i="2" s="1"/>
  <c r="L533" i="2"/>
  <c r="M533" i="2" s="1"/>
  <c r="L532" i="2"/>
  <c r="M532" i="2" s="1"/>
  <c r="L531" i="2"/>
  <c r="M531" i="2" s="1"/>
  <c r="L530" i="2"/>
  <c r="M530" i="2" s="1"/>
  <c r="L529" i="2"/>
  <c r="M529" i="2" s="1"/>
  <c r="L528" i="2"/>
  <c r="M528" i="2" s="1"/>
  <c r="L527" i="2"/>
  <c r="M527" i="2" s="1"/>
  <c r="L526" i="2"/>
  <c r="M526" i="2" s="1"/>
  <c r="L525" i="2"/>
  <c r="M525" i="2" s="1"/>
  <c r="L524" i="2"/>
  <c r="M524" i="2" s="1"/>
  <c r="L523" i="2"/>
  <c r="M523" i="2" s="1"/>
  <c r="L522" i="2"/>
  <c r="M522" i="2" s="1"/>
  <c r="L521" i="2"/>
  <c r="M521" i="2" s="1"/>
  <c r="L520" i="2"/>
  <c r="M520" i="2" s="1"/>
  <c r="L519" i="2"/>
  <c r="M519" i="2" s="1"/>
  <c r="L518" i="2"/>
  <c r="M518" i="2" s="1"/>
  <c r="L517" i="2"/>
  <c r="M517" i="2" s="1"/>
  <c r="L516" i="2"/>
  <c r="M516" i="2" s="1"/>
  <c r="L515" i="2"/>
  <c r="M515" i="2" s="1"/>
  <c r="L514" i="2"/>
  <c r="M514" i="2" s="1"/>
  <c r="L513" i="2"/>
  <c r="M513" i="2" s="1"/>
  <c r="L512" i="2"/>
  <c r="M512" i="2" s="1"/>
  <c r="L511" i="2"/>
  <c r="M511" i="2" s="1"/>
  <c r="L510" i="2"/>
  <c r="M510" i="2" s="1"/>
  <c r="L509" i="2"/>
  <c r="M509" i="2" s="1"/>
  <c r="L508" i="2"/>
  <c r="M508" i="2" s="1"/>
  <c r="L507" i="2"/>
  <c r="M507" i="2" s="1"/>
  <c r="L506" i="2"/>
  <c r="M506" i="2" s="1"/>
  <c r="L505" i="2"/>
  <c r="M505" i="2" s="1"/>
  <c r="L504" i="2"/>
  <c r="M504" i="2" s="1"/>
  <c r="L503" i="2"/>
  <c r="M503" i="2" s="1"/>
  <c r="L502" i="2"/>
  <c r="M502" i="2" s="1"/>
  <c r="L501" i="2"/>
  <c r="M501" i="2" s="1"/>
  <c r="L500" i="2"/>
  <c r="M500" i="2" s="1"/>
  <c r="L499" i="2"/>
  <c r="M499" i="2" s="1"/>
  <c r="L498" i="2"/>
  <c r="M498" i="2" s="1"/>
  <c r="L497" i="2"/>
  <c r="M497" i="2" s="1"/>
  <c r="L496" i="2"/>
  <c r="M496" i="2" s="1"/>
  <c r="L495" i="2"/>
  <c r="M495" i="2" s="1"/>
  <c r="L494" i="2"/>
  <c r="M494" i="2" s="1"/>
  <c r="L493" i="2"/>
  <c r="M493" i="2" s="1"/>
  <c r="L492" i="2"/>
  <c r="M492" i="2" s="1"/>
  <c r="L491" i="2"/>
  <c r="M491" i="2" s="1"/>
  <c r="L490" i="2"/>
  <c r="M490" i="2" s="1"/>
  <c r="L489" i="2"/>
  <c r="M489" i="2" s="1"/>
  <c r="L488" i="2"/>
  <c r="M488" i="2" s="1"/>
  <c r="L487" i="2"/>
  <c r="M487" i="2" s="1"/>
  <c r="L486" i="2"/>
  <c r="M486" i="2" s="1"/>
  <c r="L485" i="2"/>
  <c r="M485" i="2" s="1"/>
  <c r="L484" i="2"/>
  <c r="M484" i="2" s="1"/>
  <c r="L483" i="2"/>
  <c r="M483" i="2" s="1"/>
  <c r="L482" i="2"/>
  <c r="M482" i="2" s="1"/>
  <c r="L481" i="2"/>
  <c r="M481" i="2" s="1"/>
  <c r="L480" i="2"/>
  <c r="M480" i="2" s="1"/>
  <c r="L479" i="2"/>
  <c r="M479" i="2" s="1"/>
  <c r="L478" i="2"/>
  <c r="M478" i="2" s="1"/>
  <c r="L477" i="2"/>
  <c r="M477" i="2" s="1"/>
  <c r="L476" i="2"/>
  <c r="M476" i="2" s="1"/>
  <c r="L475" i="2"/>
  <c r="M475" i="2" s="1"/>
  <c r="L474" i="2"/>
  <c r="M474" i="2" s="1"/>
  <c r="L473" i="2"/>
  <c r="M473" i="2" s="1"/>
  <c r="L472" i="2"/>
  <c r="M472" i="2" s="1"/>
  <c r="L471" i="2"/>
  <c r="M471" i="2" s="1"/>
  <c r="L470" i="2"/>
  <c r="M470" i="2" s="1"/>
  <c r="L469" i="2"/>
  <c r="M469" i="2" s="1"/>
  <c r="L468" i="2"/>
  <c r="M468" i="2" s="1"/>
  <c r="L467" i="2"/>
  <c r="M467" i="2" s="1"/>
  <c r="L466" i="2"/>
  <c r="M466" i="2" s="1"/>
  <c r="L465" i="2"/>
  <c r="M465" i="2" s="1"/>
  <c r="L464" i="2"/>
  <c r="M464" i="2" s="1"/>
  <c r="L463" i="2"/>
  <c r="M463" i="2" s="1"/>
  <c r="L462" i="2"/>
  <c r="M462" i="2" s="1"/>
  <c r="L461" i="2"/>
  <c r="M461" i="2" s="1"/>
  <c r="L460" i="2"/>
  <c r="M460" i="2" s="1"/>
  <c r="L459" i="2"/>
  <c r="M459" i="2" s="1"/>
  <c r="L458" i="2"/>
  <c r="M458" i="2" s="1"/>
  <c r="L457" i="2"/>
  <c r="M457" i="2" s="1"/>
  <c r="L456" i="2"/>
  <c r="M456" i="2" s="1"/>
  <c r="L455" i="2"/>
  <c r="M455" i="2" s="1"/>
  <c r="L454" i="2"/>
  <c r="M454" i="2" s="1"/>
  <c r="L453" i="2"/>
  <c r="M453" i="2" s="1"/>
  <c r="L452" i="2"/>
  <c r="M452" i="2" s="1"/>
  <c r="L451" i="2"/>
  <c r="M451" i="2" s="1"/>
  <c r="L450" i="2"/>
  <c r="M450" i="2" s="1"/>
  <c r="L449" i="2"/>
  <c r="M449" i="2" s="1"/>
  <c r="L448" i="2"/>
  <c r="M448" i="2" s="1"/>
  <c r="L447" i="2"/>
  <c r="M447" i="2" s="1"/>
  <c r="L446" i="2"/>
  <c r="M446" i="2" s="1"/>
  <c r="L445" i="2"/>
  <c r="M445" i="2" s="1"/>
  <c r="L444" i="2"/>
  <c r="M444" i="2" s="1"/>
  <c r="L443" i="2"/>
  <c r="M443" i="2" s="1"/>
  <c r="L442" i="2"/>
  <c r="M442" i="2" s="1"/>
  <c r="L441" i="2"/>
  <c r="M441" i="2" s="1"/>
  <c r="L440" i="2"/>
  <c r="M440" i="2" s="1"/>
  <c r="L439" i="2"/>
  <c r="M439" i="2" s="1"/>
  <c r="L438" i="2"/>
  <c r="M438" i="2" s="1"/>
  <c r="L437" i="2"/>
  <c r="M437" i="2" s="1"/>
  <c r="L436" i="2"/>
  <c r="M436" i="2" s="1"/>
  <c r="L435" i="2"/>
  <c r="M435" i="2" s="1"/>
  <c r="L434" i="2"/>
  <c r="M434" i="2" s="1"/>
  <c r="L433" i="2"/>
  <c r="M433" i="2" s="1"/>
  <c r="L432" i="2"/>
  <c r="M432" i="2" s="1"/>
  <c r="L431" i="2"/>
  <c r="M431" i="2" s="1"/>
  <c r="L430" i="2"/>
  <c r="M430" i="2" s="1"/>
  <c r="L429" i="2"/>
  <c r="M429" i="2" s="1"/>
  <c r="L428" i="2"/>
  <c r="M428" i="2" s="1"/>
  <c r="L427" i="2"/>
  <c r="M427" i="2" s="1"/>
  <c r="L426" i="2"/>
  <c r="M426" i="2" s="1"/>
  <c r="L425" i="2"/>
  <c r="M425" i="2" s="1"/>
  <c r="L424" i="2"/>
  <c r="M424" i="2" s="1"/>
  <c r="L423" i="2"/>
  <c r="M423" i="2" s="1"/>
  <c r="L422" i="2"/>
  <c r="M422" i="2" s="1"/>
  <c r="L421" i="2"/>
  <c r="M421" i="2" s="1"/>
  <c r="L420" i="2"/>
  <c r="M420" i="2" s="1"/>
  <c r="L419" i="2"/>
  <c r="M419" i="2" s="1"/>
  <c r="L418" i="2"/>
  <c r="M418" i="2" s="1"/>
  <c r="L417" i="2"/>
  <c r="M417" i="2" s="1"/>
  <c r="L416" i="2"/>
  <c r="M416" i="2" s="1"/>
  <c r="L415" i="2"/>
  <c r="M415" i="2" s="1"/>
  <c r="L414" i="2"/>
  <c r="M414" i="2" s="1"/>
  <c r="L413" i="2"/>
  <c r="M413" i="2" s="1"/>
  <c r="L412" i="2"/>
  <c r="M412" i="2" s="1"/>
  <c r="L411" i="2"/>
  <c r="M411" i="2" s="1"/>
  <c r="L410" i="2"/>
  <c r="M410" i="2" s="1"/>
  <c r="L409" i="2"/>
  <c r="M409" i="2" s="1"/>
  <c r="L408" i="2"/>
  <c r="M408" i="2" s="1"/>
  <c r="L407" i="2"/>
  <c r="M407" i="2" s="1"/>
  <c r="L406" i="2"/>
  <c r="M406" i="2" s="1"/>
  <c r="L405" i="2"/>
  <c r="M405" i="2" s="1"/>
  <c r="L404" i="2"/>
  <c r="M404" i="2" s="1"/>
  <c r="L403" i="2"/>
  <c r="M403" i="2" s="1"/>
  <c r="L402" i="2"/>
  <c r="M402" i="2" s="1"/>
  <c r="L401" i="2"/>
  <c r="M401" i="2" s="1"/>
  <c r="L400" i="2"/>
  <c r="M400" i="2" s="1"/>
  <c r="L399" i="2"/>
  <c r="M399" i="2" s="1"/>
  <c r="L398" i="2"/>
  <c r="M398" i="2" s="1"/>
  <c r="L397" i="2"/>
  <c r="M397" i="2" s="1"/>
  <c r="L396" i="2"/>
  <c r="M396" i="2" s="1"/>
  <c r="L395" i="2"/>
  <c r="M395" i="2" s="1"/>
  <c r="L394" i="2"/>
  <c r="M394" i="2" s="1"/>
  <c r="L393" i="2"/>
  <c r="M393" i="2" s="1"/>
  <c r="L392" i="2"/>
  <c r="M392" i="2" s="1"/>
  <c r="L391" i="2"/>
  <c r="M391" i="2" s="1"/>
  <c r="L390" i="2"/>
  <c r="M390" i="2" s="1"/>
  <c r="L389" i="2"/>
  <c r="M389" i="2" s="1"/>
  <c r="L388" i="2"/>
  <c r="M388" i="2" s="1"/>
  <c r="L387" i="2"/>
  <c r="M387" i="2" s="1"/>
  <c r="L386" i="2"/>
  <c r="M386" i="2" s="1"/>
  <c r="L385" i="2"/>
  <c r="M385" i="2" s="1"/>
  <c r="L384" i="2"/>
  <c r="M384" i="2" s="1"/>
  <c r="L383" i="2"/>
  <c r="M383" i="2" s="1"/>
  <c r="L382" i="2"/>
  <c r="M382" i="2" s="1"/>
  <c r="L381" i="2"/>
  <c r="M381" i="2" s="1"/>
  <c r="L380" i="2"/>
  <c r="M380" i="2" s="1"/>
  <c r="L379" i="2"/>
  <c r="M379" i="2" s="1"/>
  <c r="L378" i="2"/>
  <c r="M378" i="2" s="1"/>
  <c r="L377" i="2"/>
  <c r="M377" i="2" s="1"/>
  <c r="L376" i="2"/>
  <c r="M376" i="2" s="1"/>
  <c r="L375" i="2"/>
  <c r="M375" i="2" s="1"/>
  <c r="L374" i="2"/>
  <c r="M374" i="2" s="1"/>
  <c r="L373" i="2"/>
  <c r="M373" i="2" s="1"/>
  <c r="L372" i="2"/>
  <c r="M372" i="2" s="1"/>
  <c r="L371" i="2"/>
  <c r="M371" i="2" s="1"/>
  <c r="L370" i="2"/>
  <c r="M370" i="2" s="1"/>
  <c r="L369" i="2"/>
  <c r="M369" i="2" s="1"/>
  <c r="L368" i="2"/>
  <c r="M368" i="2" s="1"/>
  <c r="L367" i="2"/>
  <c r="M367" i="2" s="1"/>
  <c r="L366" i="2"/>
  <c r="M366" i="2" s="1"/>
  <c r="L365" i="2"/>
  <c r="M365" i="2" s="1"/>
  <c r="L364" i="2"/>
  <c r="M364" i="2" s="1"/>
  <c r="L363" i="2"/>
  <c r="M363" i="2" s="1"/>
  <c r="L362" i="2"/>
  <c r="M362" i="2" s="1"/>
  <c r="L361" i="2"/>
  <c r="M361" i="2" s="1"/>
  <c r="L360" i="2"/>
  <c r="M360" i="2" s="1"/>
  <c r="L359" i="2"/>
  <c r="M359" i="2" s="1"/>
  <c r="L358" i="2"/>
  <c r="M358" i="2" s="1"/>
  <c r="L357" i="2"/>
  <c r="M357" i="2" s="1"/>
  <c r="L356" i="2"/>
  <c r="M356" i="2" s="1"/>
  <c r="L355" i="2"/>
  <c r="M355" i="2" s="1"/>
  <c r="L354" i="2"/>
  <c r="M354" i="2" s="1"/>
  <c r="L353" i="2"/>
  <c r="M353" i="2" s="1"/>
  <c r="L352" i="2"/>
  <c r="M352" i="2" s="1"/>
  <c r="L351" i="2"/>
  <c r="M351" i="2" s="1"/>
  <c r="L350" i="2"/>
  <c r="M350" i="2" s="1"/>
  <c r="L349" i="2"/>
  <c r="M349" i="2" s="1"/>
  <c r="L348" i="2"/>
  <c r="M348" i="2" s="1"/>
  <c r="L347" i="2"/>
  <c r="M347" i="2" s="1"/>
  <c r="L346" i="2"/>
  <c r="M346" i="2" s="1"/>
  <c r="L345" i="2"/>
  <c r="M345" i="2" s="1"/>
  <c r="L344" i="2"/>
  <c r="M344" i="2" s="1"/>
  <c r="L343" i="2"/>
  <c r="M343" i="2" s="1"/>
  <c r="L342" i="2"/>
  <c r="M342" i="2" s="1"/>
  <c r="L341" i="2"/>
  <c r="M341" i="2" s="1"/>
  <c r="L340" i="2"/>
  <c r="M340" i="2" s="1"/>
  <c r="L339" i="2"/>
  <c r="M339" i="2" s="1"/>
  <c r="L338" i="2"/>
  <c r="M338" i="2" s="1"/>
  <c r="L337" i="2"/>
  <c r="M337" i="2" s="1"/>
  <c r="L336" i="2"/>
  <c r="M336" i="2" s="1"/>
  <c r="L335" i="2"/>
  <c r="M335" i="2" s="1"/>
  <c r="L334" i="2"/>
  <c r="M334" i="2" s="1"/>
  <c r="L333" i="2"/>
  <c r="M333" i="2" s="1"/>
  <c r="L332" i="2"/>
  <c r="M332" i="2" s="1"/>
  <c r="L331" i="2"/>
  <c r="M331" i="2" s="1"/>
  <c r="L330" i="2"/>
  <c r="M330" i="2" s="1"/>
  <c r="L329" i="2"/>
  <c r="M329" i="2" s="1"/>
  <c r="L328" i="2"/>
  <c r="M328" i="2" s="1"/>
  <c r="L327" i="2"/>
  <c r="M327" i="2" s="1"/>
  <c r="L326" i="2"/>
  <c r="M326" i="2" s="1"/>
  <c r="L325" i="2"/>
  <c r="M325" i="2" s="1"/>
  <c r="L324" i="2"/>
  <c r="M324" i="2" s="1"/>
  <c r="L323" i="2"/>
  <c r="M323" i="2" s="1"/>
  <c r="L322" i="2"/>
  <c r="M322" i="2" s="1"/>
  <c r="L321" i="2"/>
  <c r="M321" i="2" s="1"/>
  <c r="L320" i="2"/>
  <c r="M320" i="2" s="1"/>
  <c r="L319" i="2"/>
  <c r="M319" i="2" s="1"/>
  <c r="L318" i="2"/>
  <c r="M318" i="2" s="1"/>
  <c r="L317" i="2"/>
  <c r="M317" i="2" s="1"/>
  <c r="L316" i="2"/>
  <c r="M316" i="2" s="1"/>
  <c r="L315" i="2"/>
  <c r="M315" i="2" s="1"/>
  <c r="L314" i="2"/>
  <c r="M314" i="2" s="1"/>
  <c r="L313" i="2"/>
  <c r="M313" i="2" s="1"/>
  <c r="L312" i="2"/>
  <c r="M312" i="2" s="1"/>
  <c r="L311" i="2"/>
  <c r="M311" i="2" s="1"/>
  <c r="L310" i="2"/>
  <c r="M310" i="2" s="1"/>
  <c r="L309" i="2"/>
  <c r="M309" i="2" s="1"/>
  <c r="L308" i="2"/>
  <c r="M308" i="2" s="1"/>
  <c r="L307" i="2"/>
  <c r="M307" i="2" s="1"/>
  <c r="L306" i="2"/>
  <c r="M306" i="2" s="1"/>
  <c r="L305" i="2"/>
  <c r="M305" i="2" s="1"/>
  <c r="L304" i="2"/>
  <c r="M304" i="2" s="1"/>
  <c r="L303" i="2"/>
  <c r="M303" i="2" s="1"/>
  <c r="L302" i="2"/>
  <c r="M302" i="2" s="1"/>
  <c r="L301" i="2"/>
  <c r="M301" i="2" s="1"/>
  <c r="L300" i="2"/>
  <c r="M300" i="2" s="1"/>
  <c r="L299" i="2"/>
  <c r="M299" i="2" s="1"/>
  <c r="L298" i="2"/>
  <c r="M298" i="2" s="1"/>
  <c r="L297" i="2"/>
  <c r="M297" i="2" s="1"/>
  <c r="L296" i="2"/>
  <c r="M296" i="2" s="1"/>
  <c r="L295" i="2"/>
  <c r="M295" i="2" s="1"/>
  <c r="L294" i="2"/>
  <c r="M294" i="2" s="1"/>
  <c r="L293" i="2"/>
  <c r="M293" i="2" s="1"/>
  <c r="L292" i="2"/>
  <c r="M292" i="2" s="1"/>
  <c r="L291" i="2"/>
  <c r="M291" i="2" s="1"/>
  <c r="L290" i="2"/>
  <c r="M290" i="2" s="1"/>
  <c r="L289" i="2"/>
  <c r="M289" i="2" s="1"/>
  <c r="L288" i="2"/>
  <c r="M288" i="2" s="1"/>
  <c r="L287" i="2"/>
  <c r="M287" i="2" s="1"/>
  <c r="L286" i="2"/>
  <c r="M286" i="2" s="1"/>
  <c r="L285" i="2"/>
  <c r="M285" i="2" s="1"/>
  <c r="L284" i="2"/>
  <c r="M284" i="2" s="1"/>
  <c r="L283" i="2"/>
  <c r="M283" i="2" s="1"/>
  <c r="L282" i="2"/>
  <c r="M282" i="2" s="1"/>
  <c r="L281" i="2"/>
  <c r="M281" i="2" s="1"/>
  <c r="L280" i="2"/>
  <c r="M280" i="2" s="1"/>
  <c r="L279" i="2"/>
  <c r="M279" i="2" s="1"/>
  <c r="L278" i="2"/>
  <c r="M278" i="2" s="1"/>
  <c r="L277" i="2"/>
  <c r="M277" i="2" s="1"/>
  <c r="L276" i="2"/>
  <c r="M276" i="2" s="1"/>
  <c r="L275" i="2"/>
  <c r="M275" i="2" s="1"/>
  <c r="L274" i="2"/>
  <c r="M274" i="2" s="1"/>
  <c r="L273" i="2"/>
  <c r="M273" i="2" s="1"/>
  <c r="L272" i="2"/>
  <c r="M272" i="2" s="1"/>
  <c r="L271" i="2"/>
  <c r="M271" i="2" s="1"/>
  <c r="L270" i="2"/>
  <c r="M270" i="2" s="1"/>
  <c r="L269" i="2"/>
  <c r="M269" i="2" s="1"/>
  <c r="L268" i="2"/>
  <c r="M268" i="2" s="1"/>
  <c r="L267" i="2"/>
  <c r="M267" i="2" s="1"/>
  <c r="L266" i="2"/>
  <c r="M266" i="2" s="1"/>
  <c r="L265" i="2"/>
  <c r="M265" i="2" s="1"/>
  <c r="L264" i="2"/>
  <c r="M264" i="2" s="1"/>
  <c r="L263" i="2"/>
  <c r="M263" i="2" s="1"/>
  <c r="L262" i="2"/>
  <c r="M262" i="2" s="1"/>
  <c r="L261" i="2"/>
  <c r="M261" i="2" s="1"/>
  <c r="L260" i="2"/>
  <c r="M260" i="2" s="1"/>
  <c r="L259" i="2"/>
  <c r="M259" i="2" s="1"/>
  <c r="L258" i="2"/>
  <c r="M258" i="2" s="1"/>
  <c r="L257" i="2"/>
  <c r="M257" i="2" s="1"/>
  <c r="L256" i="2"/>
  <c r="M256" i="2" s="1"/>
  <c r="L255" i="2"/>
  <c r="M255" i="2" s="1"/>
  <c r="L254" i="2"/>
  <c r="M254" i="2" s="1"/>
  <c r="L253" i="2"/>
  <c r="M253" i="2" s="1"/>
  <c r="L252" i="2"/>
  <c r="M252" i="2" s="1"/>
  <c r="L251" i="2"/>
  <c r="M251" i="2" s="1"/>
  <c r="L250" i="2"/>
  <c r="M250" i="2" s="1"/>
  <c r="L249" i="2"/>
  <c r="M249" i="2" s="1"/>
  <c r="L248" i="2"/>
  <c r="M248" i="2" s="1"/>
  <c r="L247" i="2"/>
  <c r="M247" i="2" s="1"/>
  <c r="L246" i="2"/>
  <c r="M246" i="2" s="1"/>
  <c r="L245" i="2"/>
  <c r="M245" i="2" s="1"/>
  <c r="L244" i="2"/>
  <c r="M244" i="2" s="1"/>
  <c r="L243" i="2"/>
  <c r="M243" i="2" s="1"/>
  <c r="L242" i="2"/>
  <c r="M242" i="2" s="1"/>
  <c r="L241" i="2"/>
  <c r="M241" i="2" s="1"/>
  <c r="L240" i="2"/>
  <c r="M240" i="2" s="1"/>
  <c r="L239" i="2"/>
  <c r="M239" i="2" s="1"/>
  <c r="L238" i="2"/>
  <c r="M238" i="2" s="1"/>
  <c r="L237" i="2"/>
  <c r="M237" i="2" s="1"/>
  <c r="L236" i="2"/>
  <c r="M236" i="2" s="1"/>
  <c r="L235" i="2"/>
  <c r="M235" i="2" s="1"/>
  <c r="L234" i="2"/>
  <c r="M234" i="2" s="1"/>
  <c r="L233" i="2"/>
  <c r="M233" i="2" s="1"/>
  <c r="L232" i="2"/>
  <c r="M232" i="2" s="1"/>
  <c r="L231" i="2"/>
  <c r="M231" i="2" s="1"/>
  <c r="L230" i="2"/>
  <c r="M230" i="2" s="1"/>
  <c r="L229" i="2"/>
  <c r="M229" i="2" s="1"/>
  <c r="L228" i="2"/>
  <c r="M228" i="2" s="1"/>
  <c r="L227" i="2"/>
  <c r="M227" i="2" s="1"/>
  <c r="L226" i="2"/>
  <c r="M226" i="2" s="1"/>
  <c r="L225" i="2"/>
  <c r="M225" i="2" s="1"/>
  <c r="L224" i="2"/>
  <c r="M224" i="2" s="1"/>
  <c r="L223" i="2"/>
  <c r="M223" i="2" s="1"/>
  <c r="L222" i="2"/>
  <c r="M222" i="2" s="1"/>
  <c r="L221" i="2"/>
  <c r="M221" i="2" s="1"/>
  <c r="L220" i="2"/>
  <c r="M220" i="2" s="1"/>
  <c r="L219" i="2"/>
  <c r="M219" i="2" s="1"/>
  <c r="L218" i="2"/>
  <c r="M218" i="2" s="1"/>
  <c r="L217" i="2"/>
  <c r="M217" i="2" s="1"/>
  <c r="L216" i="2"/>
  <c r="M216" i="2" s="1"/>
  <c r="L215" i="2"/>
  <c r="M215" i="2" s="1"/>
  <c r="L214" i="2"/>
  <c r="M214" i="2" s="1"/>
  <c r="L213" i="2"/>
  <c r="M213" i="2" s="1"/>
  <c r="L212" i="2"/>
  <c r="M212" i="2" s="1"/>
  <c r="L211" i="2"/>
  <c r="M211" i="2" s="1"/>
  <c r="L210" i="2"/>
  <c r="M210" i="2" s="1"/>
  <c r="L209" i="2"/>
  <c r="M209" i="2" s="1"/>
  <c r="L208" i="2"/>
  <c r="M208" i="2" s="1"/>
  <c r="L207" i="2"/>
  <c r="M207" i="2" s="1"/>
  <c r="L206" i="2"/>
  <c r="M206" i="2" s="1"/>
  <c r="L205" i="2"/>
  <c r="M205" i="2" s="1"/>
  <c r="L204" i="2"/>
  <c r="M204" i="2" s="1"/>
  <c r="L203" i="2"/>
  <c r="M203" i="2" s="1"/>
  <c r="L202" i="2"/>
  <c r="M202" i="2" s="1"/>
  <c r="L201" i="2"/>
  <c r="M201" i="2" s="1"/>
  <c r="L200" i="2"/>
  <c r="M200" i="2" s="1"/>
  <c r="L199" i="2"/>
  <c r="M199" i="2" s="1"/>
  <c r="L198" i="2"/>
  <c r="M198" i="2" s="1"/>
  <c r="L197" i="2"/>
  <c r="M197" i="2" s="1"/>
  <c r="L196" i="2"/>
  <c r="M196" i="2" s="1"/>
  <c r="L195" i="2"/>
  <c r="M195" i="2" s="1"/>
  <c r="L194" i="2"/>
  <c r="M194" i="2" s="1"/>
  <c r="L193" i="2"/>
  <c r="M193" i="2" s="1"/>
  <c r="L192" i="2"/>
  <c r="M192" i="2" s="1"/>
  <c r="L191" i="2"/>
  <c r="M191" i="2" s="1"/>
  <c r="L190" i="2"/>
  <c r="M190" i="2" s="1"/>
  <c r="L189" i="2"/>
  <c r="M189" i="2" s="1"/>
  <c r="L188" i="2"/>
  <c r="M188" i="2" s="1"/>
  <c r="L187" i="2"/>
  <c r="M187" i="2" s="1"/>
  <c r="L186" i="2"/>
  <c r="M186" i="2" s="1"/>
  <c r="L185" i="2"/>
  <c r="M185" i="2" s="1"/>
  <c r="L184" i="2"/>
  <c r="M184" i="2" s="1"/>
  <c r="L183" i="2"/>
  <c r="M183" i="2" s="1"/>
  <c r="L182" i="2"/>
  <c r="M182" i="2" s="1"/>
  <c r="L181" i="2"/>
  <c r="M181" i="2" s="1"/>
  <c r="L180" i="2"/>
  <c r="M180" i="2" s="1"/>
  <c r="L179" i="2"/>
  <c r="M179" i="2" s="1"/>
  <c r="L178" i="2"/>
  <c r="M178" i="2" s="1"/>
  <c r="L177" i="2"/>
  <c r="M177" i="2" s="1"/>
  <c r="L176" i="2"/>
  <c r="M176" i="2" s="1"/>
  <c r="L175" i="2"/>
  <c r="M175" i="2" s="1"/>
  <c r="L174" i="2"/>
  <c r="M174" i="2" s="1"/>
  <c r="L173" i="2"/>
  <c r="M173" i="2" s="1"/>
  <c r="L172" i="2"/>
  <c r="M172" i="2" s="1"/>
  <c r="L171" i="2"/>
  <c r="M171" i="2" s="1"/>
  <c r="L170" i="2"/>
  <c r="M170" i="2" s="1"/>
  <c r="L169" i="2"/>
  <c r="M169" i="2" s="1"/>
  <c r="L168" i="2"/>
  <c r="M168" i="2" s="1"/>
  <c r="L167" i="2"/>
  <c r="M167" i="2" s="1"/>
  <c r="L166" i="2"/>
  <c r="M166" i="2" s="1"/>
  <c r="L165" i="2"/>
  <c r="M165" i="2" s="1"/>
  <c r="L164" i="2"/>
  <c r="M164" i="2" s="1"/>
  <c r="L163" i="2"/>
  <c r="M163" i="2" s="1"/>
  <c r="L162" i="2"/>
  <c r="M162" i="2" s="1"/>
  <c r="L161" i="2"/>
  <c r="M161" i="2" s="1"/>
  <c r="L160" i="2"/>
  <c r="M160" i="2" s="1"/>
  <c r="L159" i="2"/>
  <c r="M159" i="2" s="1"/>
  <c r="L158" i="2"/>
  <c r="M158" i="2" s="1"/>
  <c r="L157" i="2"/>
  <c r="M157" i="2" s="1"/>
  <c r="L156" i="2"/>
  <c r="M156" i="2" s="1"/>
  <c r="L155" i="2"/>
  <c r="M155" i="2" s="1"/>
  <c r="L154" i="2"/>
  <c r="M154" i="2" s="1"/>
  <c r="L153" i="2"/>
  <c r="M153" i="2" s="1"/>
  <c r="L152" i="2"/>
  <c r="M152" i="2" s="1"/>
  <c r="L151" i="2"/>
  <c r="M151" i="2" s="1"/>
  <c r="L150" i="2"/>
  <c r="M150" i="2" s="1"/>
  <c r="L149" i="2"/>
  <c r="M149" i="2" s="1"/>
  <c r="L148" i="2"/>
  <c r="M148" i="2" s="1"/>
  <c r="L147" i="2"/>
  <c r="M147" i="2" s="1"/>
  <c r="L146" i="2"/>
  <c r="M146" i="2" s="1"/>
  <c r="L145" i="2"/>
  <c r="M145" i="2" s="1"/>
  <c r="L144" i="2"/>
  <c r="M144" i="2" s="1"/>
  <c r="L143" i="2"/>
  <c r="M143" i="2" s="1"/>
  <c r="L142" i="2"/>
  <c r="M142" i="2" s="1"/>
  <c r="L141" i="2"/>
  <c r="M141" i="2" s="1"/>
  <c r="L140" i="2"/>
  <c r="M140" i="2" s="1"/>
  <c r="L139" i="2"/>
  <c r="M139" i="2" s="1"/>
  <c r="L138" i="2"/>
  <c r="M138" i="2" s="1"/>
  <c r="L137" i="2"/>
  <c r="M137" i="2" s="1"/>
  <c r="L136" i="2"/>
  <c r="M136" i="2" s="1"/>
  <c r="L135" i="2"/>
  <c r="M135" i="2" s="1"/>
  <c r="L134" i="2"/>
  <c r="M134" i="2" s="1"/>
  <c r="L133" i="2"/>
  <c r="M133" i="2" s="1"/>
  <c r="L132" i="2"/>
  <c r="M132" i="2" s="1"/>
  <c r="L131" i="2"/>
  <c r="M131" i="2" s="1"/>
  <c r="L130" i="2"/>
  <c r="M130" i="2" s="1"/>
  <c r="L129" i="2"/>
  <c r="M129" i="2" s="1"/>
  <c r="L128" i="2"/>
  <c r="M128" i="2" s="1"/>
  <c r="L127" i="2"/>
  <c r="M127" i="2" s="1"/>
  <c r="L126" i="2"/>
  <c r="M126" i="2" s="1"/>
  <c r="L125" i="2"/>
  <c r="M125" i="2" s="1"/>
  <c r="L124" i="2"/>
  <c r="M124" i="2" s="1"/>
  <c r="L123" i="2"/>
  <c r="M123" i="2" s="1"/>
  <c r="L122" i="2"/>
  <c r="M122" i="2" s="1"/>
  <c r="L121" i="2"/>
  <c r="M121" i="2" s="1"/>
  <c r="L120" i="2"/>
  <c r="M120" i="2" s="1"/>
  <c r="L119" i="2"/>
  <c r="M119" i="2" s="1"/>
  <c r="L118" i="2"/>
  <c r="M118" i="2" s="1"/>
  <c r="L117" i="2"/>
  <c r="M117" i="2" s="1"/>
  <c r="L116" i="2"/>
  <c r="M116" i="2" s="1"/>
  <c r="L115" i="2"/>
  <c r="M115" i="2" s="1"/>
  <c r="L114" i="2"/>
  <c r="M114" i="2" s="1"/>
  <c r="L113" i="2"/>
  <c r="M113" i="2" s="1"/>
  <c r="L112" i="2"/>
  <c r="M112" i="2" s="1"/>
  <c r="L111" i="2"/>
  <c r="M111" i="2" s="1"/>
  <c r="L110" i="2"/>
  <c r="M110" i="2" s="1"/>
  <c r="L109" i="2"/>
  <c r="M109" i="2" s="1"/>
  <c r="L108" i="2"/>
  <c r="M108" i="2" s="1"/>
  <c r="L107" i="2"/>
  <c r="M107" i="2" s="1"/>
  <c r="L106" i="2"/>
  <c r="M106" i="2" s="1"/>
  <c r="L105" i="2"/>
  <c r="M105" i="2" s="1"/>
  <c r="L104" i="2"/>
  <c r="M104" i="2" s="1"/>
  <c r="L103" i="2"/>
  <c r="M103" i="2" s="1"/>
  <c r="L102" i="2"/>
  <c r="M102" i="2" s="1"/>
  <c r="L101" i="2"/>
  <c r="M101" i="2" s="1"/>
  <c r="L100" i="2"/>
  <c r="M100" i="2" s="1"/>
  <c r="L99" i="2"/>
  <c r="M99" i="2" s="1"/>
  <c r="L98" i="2"/>
  <c r="M98" i="2" s="1"/>
  <c r="L97" i="2"/>
  <c r="M97" i="2" s="1"/>
  <c r="L96" i="2"/>
  <c r="M96" i="2" s="1"/>
  <c r="L95" i="2"/>
  <c r="M95" i="2" s="1"/>
  <c r="L94" i="2"/>
  <c r="M94" i="2" s="1"/>
  <c r="L93" i="2"/>
  <c r="M93" i="2" s="1"/>
  <c r="L92" i="2"/>
  <c r="M92" i="2" s="1"/>
  <c r="L91" i="2"/>
  <c r="M91" i="2" s="1"/>
  <c r="L90" i="2"/>
  <c r="M90" i="2" s="1"/>
  <c r="L89" i="2"/>
  <c r="M89" i="2" s="1"/>
  <c r="L88" i="2"/>
  <c r="M88" i="2" s="1"/>
  <c r="L87" i="2"/>
  <c r="M87" i="2" s="1"/>
  <c r="L86" i="2"/>
  <c r="M86" i="2" s="1"/>
  <c r="L85" i="2"/>
  <c r="M85" i="2" s="1"/>
  <c r="L84" i="2"/>
  <c r="M84" i="2" s="1"/>
  <c r="L83" i="2"/>
  <c r="M83" i="2" s="1"/>
  <c r="L82" i="2"/>
  <c r="M82" i="2" s="1"/>
  <c r="L81" i="2"/>
  <c r="M81" i="2" s="1"/>
  <c r="L80" i="2"/>
  <c r="M80" i="2" s="1"/>
  <c r="L79" i="2"/>
  <c r="M79" i="2" s="1"/>
  <c r="L78" i="2"/>
  <c r="M78" i="2" s="1"/>
  <c r="L77" i="2"/>
  <c r="M77" i="2" s="1"/>
  <c r="L76" i="2"/>
  <c r="M76" i="2" s="1"/>
  <c r="L75" i="2"/>
  <c r="M75" i="2" s="1"/>
  <c r="L74" i="2"/>
  <c r="M74" i="2" s="1"/>
  <c r="L73" i="2"/>
  <c r="M73" i="2" s="1"/>
  <c r="L72" i="2"/>
  <c r="M72" i="2" s="1"/>
  <c r="L71" i="2"/>
  <c r="M71" i="2" s="1"/>
  <c r="L70" i="2"/>
  <c r="M70" i="2" s="1"/>
  <c r="L69" i="2"/>
  <c r="M69" i="2" s="1"/>
  <c r="L68" i="2"/>
  <c r="M68" i="2" s="1"/>
  <c r="L67" i="2"/>
  <c r="M67" i="2" s="1"/>
  <c r="L66" i="2"/>
  <c r="M66" i="2" s="1"/>
  <c r="L65" i="2"/>
  <c r="M65" i="2" s="1"/>
  <c r="L64" i="2"/>
  <c r="M64" i="2" s="1"/>
  <c r="L63" i="2"/>
  <c r="M63" i="2" s="1"/>
  <c r="L62" i="2"/>
  <c r="M62" i="2" s="1"/>
  <c r="L61" i="2"/>
  <c r="M61" i="2" s="1"/>
  <c r="L60" i="2"/>
  <c r="M60" i="2" s="1"/>
  <c r="L59" i="2"/>
  <c r="M59" i="2" s="1"/>
  <c r="L58" i="2"/>
  <c r="M58" i="2" s="1"/>
  <c r="L57" i="2"/>
  <c r="M57" i="2" s="1"/>
  <c r="L56" i="2"/>
  <c r="M56" i="2" s="1"/>
  <c r="L55" i="2"/>
  <c r="M55" i="2" s="1"/>
  <c r="L54" i="2"/>
  <c r="M54" i="2" s="1"/>
  <c r="L53" i="2"/>
  <c r="M53" i="2" s="1"/>
  <c r="L52" i="2"/>
  <c r="M52" i="2" s="1"/>
  <c r="L51" i="2"/>
  <c r="M51" i="2" s="1"/>
  <c r="L50" i="2"/>
  <c r="M50" i="2" s="1"/>
  <c r="L49" i="2"/>
  <c r="M49" i="2" s="1"/>
  <c r="L48" i="2"/>
  <c r="M48" i="2" s="1"/>
  <c r="L47" i="2"/>
  <c r="M47" i="2" s="1"/>
  <c r="L46" i="2"/>
  <c r="M46" i="2" s="1"/>
  <c r="L45" i="2"/>
  <c r="M45" i="2" s="1"/>
  <c r="L44" i="2"/>
  <c r="M44" i="2" s="1"/>
  <c r="L43" i="2"/>
  <c r="M43" i="2" s="1"/>
  <c r="L42" i="2"/>
  <c r="M42" i="2" s="1"/>
  <c r="L41" i="2"/>
  <c r="M41" i="2" s="1"/>
  <c r="L40" i="2"/>
  <c r="M40" i="2" s="1"/>
  <c r="L39" i="2"/>
  <c r="M39" i="2" s="1"/>
  <c r="L38" i="2"/>
  <c r="M38" i="2" s="1"/>
  <c r="L37" i="2"/>
  <c r="M37" i="2" s="1"/>
  <c r="L36" i="2"/>
  <c r="M36" i="2" s="1"/>
  <c r="L35" i="2"/>
  <c r="M35" i="2" s="1"/>
  <c r="L34" i="2"/>
  <c r="M34" i="2" s="1"/>
  <c r="L33" i="2"/>
  <c r="M33" i="2" s="1"/>
  <c r="L32" i="2"/>
  <c r="M32" i="2" s="1"/>
  <c r="L31" i="2"/>
  <c r="M31" i="2" s="1"/>
  <c r="L30" i="2"/>
  <c r="M30" i="2" s="1"/>
  <c r="L29" i="2"/>
  <c r="M29" i="2" s="1"/>
  <c r="L28" i="2"/>
  <c r="M28" i="2" s="1"/>
  <c r="L27" i="2"/>
  <c r="M27" i="2" s="1"/>
  <c r="L26" i="2"/>
  <c r="M26" i="2" s="1"/>
  <c r="L25" i="2"/>
  <c r="M25" i="2" s="1"/>
  <c r="L24" i="2"/>
  <c r="M24" i="2" s="1"/>
  <c r="L23" i="2"/>
  <c r="M23" i="2" s="1"/>
  <c r="L22" i="2"/>
  <c r="M22" i="2" s="1"/>
  <c r="L21" i="2"/>
  <c r="M21" i="2" s="1"/>
  <c r="L20" i="2"/>
  <c r="M20" i="2" s="1"/>
  <c r="L19" i="2"/>
  <c r="M19" i="2" s="1"/>
  <c r="L18" i="2"/>
  <c r="M18" i="2" s="1"/>
  <c r="L17" i="2"/>
  <c r="M17" i="2" s="1"/>
  <c r="L16" i="2"/>
  <c r="M16" i="2" s="1"/>
  <c r="L15" i="2"/>
  <c r="M15" i="2" s="1"/>
  <c r="L14" i="2"/>
  <c r="M14" i="2" s="1"/>
  <c r="L13" i="2"/>
  <c r="M13" i="2" s="1"/>
  <c r="L12" i="2"/>
  <c r="M12" i="2" s="1"/>
  <c r="L11" i="2"/>
  <c r="M11" i="2" s="1"/>
  <c r="L10" i="2"/>
  <c r="M10" i="2" s="1"/>
  <c r="L9" i="2"/>
  <c r="M9" i="2" s="1"/>
  <c r="L8" i="2"/>
  <c r="M8" i="2" s="1"/>
  <c r="L7" i="2"/>
  <c r="M7" i="2" s="1"/>
  <c r="L6" i="2"/>
  <c r="M6" i="2" s="1"/>
  <c r="L5" i="2"/>
  <c r="M5" i="2" s="1"/>
  <c r="L4" i="2"/>
  <c r="M4" i="2" s="1"/>
  <c r="L3" i="2"/>
  <c r="M3" i="2" s="1"/>
  <c r="L2" i="2"/>
  <c r="M2"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48230DD-4B74-4335-8CBF-6CA8619FCD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14A97F6-6972-42A3-B104-45FCD2F28247}" name="WorksheetConnection_data.xlsx!Table1" type="102" refreshedVersion="8" minRefreshableVersion="5">
    <extLst>
      <ext xmlns:x15="http://schemas.microsoft.com/office/spreadsheetml/2010/11/main" uri="{DE250136-89BD-433C-8126-D09CA5730AF9}">
        <x15:connection id="Table1" autoDelete="1">
          <x15:rangePr sourceName="_xlcn.WorksheetConnection_data.xlsxTable11"/>
        </x15:connection>
      </ext>
    </extLst>
  </connection>
</connections>
</file>

<file path=xl/sharedStrings.xml><?xml version="1.0" encoding="utf-8"?>
<sst xmlns="http://schemas.openxmlformats.org/spreadsheetml/2006/main" count="22619" uniqueCount="148">
  <si>
    <t>Retailer</t>
  </si>
  <si>
    <t>Retailer ID</t>
  </si>
  <si>
    <t>Invoice Date</t>
  </si>
  <si>
    <t>Region</t>
  </si>
  <si>
    <t>State</t>
  </si>
  <si>
    <t>City</t>
  </si>
  <si>
    <t>Beverage Brand</t>
  </si>
  <si>
    <t>Units Sold</t>
  </si>
  <si>
    <t>Total Sales</t>
  </si>
  <si>
    <t>Operating Profit</t>
  </si>
  <si>
    <t>Operating Margin</t>
  </si>
  <si>
    <t>Northeast</t>
  </si>
  <si>
    <t>New York</t>
  </si>
  <si>
    <t>Coca-Cola</t>
  </si>
  <si>
    <t>Diet Coke</t>
  </si>
  <si>
    <t>Sprite</t>
  </si>
  <si>
    <t>Fanta</t>
  </si>
  <si>
    <t>Powerade</t>
  </si>
  <si>
    <t>Dasani Water</t>
  </si>
  <si>
    <t>South</t>
  </si>
  <si>
    <t>Texas</t>
  </si>
  <si>
    <t>Houston</t>
  </si>
  <si>
    <t>West</t>
  </si>
  <si>
    <t>California</t>
  </si>
  <si>
    <t>San Francisco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</si>
  <si>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</si>
  <si>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</si>
  <si>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</si>
  <si>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</si>
  <si>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</si>
  <si>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</si>
  <si>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</si>
  <si>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</si>
  <si>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</si>
  <si>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</si>
  <si>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</si>
  <si>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</si>
  <si>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</si>
  <si>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</si>
  <si>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</si>
  <si>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</si>
  <si>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</si>
  <si>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</si>
  <si>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</si>
  <si>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</si>
  <si>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</si>
  <si>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</si>
  <si>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</si>
  <si>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</si>
  <si>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</si>
  <si>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</si>
  <si>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</si>
  <si>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</si>
  <si>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</si>
  <si>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</si>
  <si>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</si>
  <si>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</si>
  <si>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</si>
  <si>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</si>
  <si>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</si>
  <si>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</si>
  <si>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</si>
  <si>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</si>
  <si>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</si>
  <si>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</si>
  <si>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</si>
  <si>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</si>
  <si>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</si>
  <si>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</si>
  <si>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</si>
  <si>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</si>
  <si>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</si>
  <si>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</si>
  <si>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</si>
  <si>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</si>
  <si>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</si>
  <si>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</si>
  <si>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</si>
  <si>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</si>
  <si>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</si>
  <si>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</si>
  <si>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</si>
  <si>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</si>
  <si>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</si>
  <si>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</si>
  <si>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</si>
  <si>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</si>
  <si>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</si>
  <si>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</si>
  <si>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</si>
  <si>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</si>
  <si>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</si>
  <si>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</si>
  <si>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</si>
  <si>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</si>
  <si>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</si>
  <si>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</si>
  <si>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</si>
  <si>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</si>
  <si>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</si>
  <si>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</si>
  <si>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</si>
  <si>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</si>
  <si>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</si>
  <si>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</si>
  <si>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</si>
  <si>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</si>
  <si>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</si>
  <si>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</si>
  <si>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</si>
  <si>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</si>
  <si>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</si>
  <si>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</si>
  <si>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</si>
  <si>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</si>
  <si>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</si>
  <si>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</si>
  <si>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</si>
  <si>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</si>
  <si>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Walmart</t>
  </si>
  <si>
    <t>Costco</t>
  </si>
  <si>
    <t>CVS</t>
  </si>
  <si>
    <t>Target</t>
  </si>
  <si>
    <t>FedEx</t>
  </si>
  <si>
    <t>USPS</t>
  </si>
  <si>
    <t>DHL</t>
  </si>
  <si>
    <t>UPS</t>
  </si>
  <si>
    <t>Days to 
Deliver</t>
  </si>
  <si>
    <t>Delivery 
Company</t>
  </si>
  <si>
    <t>Price per 
Unit</t>
  </si>
  <si>
    <t>Row Labels</t>
  </si>
  <si>
    <t>Grand Total</t>
  </si>
  <si>
    <t>Sum of Total Sales</t>
  </si>
  <si>
    <t>Sum of Units Sold</t>
  </si>
  <si>
    <t>Sum of Operating Profit</t>
  </si>
  <si>
    <t>States</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</si>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</sst>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0_);[Red]\(&quot;$&quot;#,##0.00\)"/>
    <numFmt numFmtId="165" formatCode="&quot;$&quot;#,##0_);[Red]\(&quot;$&quot;#,##0\)"/>
    <numFmt numFmtId="167" formatCode="&quot;₹&quot;\ #,##0.00"/>
    <numFmt numFmtId="170" formatCode="&quot;₹&quot;\ #,##0"/>
  </numFmts>
  <fonts count="5" x14ac:knownFonts="1">
    <font>
      <sz val="11"/>
      <color theme="1"/>
      <name val="Calibri"/>
      <scheme val="minor"/>
    </font>
    <font>
      <sz val="11"/>
      <color theme="1"/>
      <name val="Calibri"/>
      <family val="2"/>
      <scheme val="minor"/>
    </font>
    <font>
      <sz val="12"/>
      <color theme="1"/>
      <name val="Calibri"/>
      <family val="2"/>
      <scheme val="minor"/>
    </font>
    <font>
      <sz val="11"/>
      <color theme="1"/>
      <name val="Calibri"/>
      <family val="2"/>
    </font>
    <font>
      <b/>
      <sz val="11"/>
      <color theme="0"/>
      <name val="Calibri"/>
      <family val="2"/>
    </font>
  </fonts>
  <fills count="6">
    <fill>
      <patternFill patternType="none"/>
    </fill>
    <fill>
      <patternFill patternType="gray125"/>
    </fill>
    <fill>
      <patternFill patternType="solid">
        <fgColor theme="9"/>
        <bgColor rgb="FF2A3E68"/>
      </patternFill>
    </fill>
    <fill>
      <patternFill patternType="solid">
        <fgColor theme="9"/>
        <bgColor indexed="64"/>
      </patternFill>
    </fill>
    <fill>
      <patternFill patternType="solid">
        <fgColor theme="0" tint="-0.499984740745262"/>
        <bgColor indexed="64"/>
      </patternFill>
    </fill>
    <fill>
      <patternFill patternType="solid">
        <fgColor theme="9" tint="0.79998168889431442"/>
        <bgColor indexed="64"/>
      </patternFill>
    </fill>
  </fills>
  <borders count="3">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1"/>
  </cellStyleXfs>
  <cellXfs count="19">
    <xf numFmtId="0" fontId="0" fillId="0" borderId="0" xfId="0"/>
    <xf numFmtId="0" fontId="3" fillId="0" borderId="0" xfId="0" applyFont="1" applyAlignment="1">
      <alignment horizontal="center"/>
    </xf>
    <xf numFmtId="14" fontId="3" fillId="0" borderId="0" xfId="0" applyNumberFormat="1" applyFont="1" applyAlignment="1">
      <alignment horizontal="center"/>
    </xf>
    <xf numFmtId="164" fontId="3" fillId="0" borderId="0" xfId="0" applyNumberFormat="1" applyFont="1" applyAlignment="1">
      <alignment horizontal="center"/>
    </xf>
    <xf numFmtId="3" fontId="3" fillId="0" borderId="0" xfId="0" applyNumberFormat="1" applyFont="1" applyAlignment="1">
      <alignment horizontal="center"/>
    </xf>
    <xf numFmtId="165" fontId="3" fillId="0" borderId="0" xfId="0" applyNumberFormat="1" applyFont="1" applyAlignment="1">
      <alignment horizontal="center"/>
    </xf>
    <xf numFmtId="9" fontId="3" fillId="0" borderId="0" xfId="0" applyNumberFormat="1" applyFont="1" applyAlignment="1">
      <alignment horizontal="center"/>
    </xf>
    <xf numFmtId="0" fontId="4"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0" fillId="3" borderId="0" xfId="0" applyFill="1"/>
    <xf numFmtId="0" fontId="0" fillId="0" borderId="0" xfId="0" pivotButton="1"/>
    <xf numFmtId="0" fontId="0" fillId="0" borderId="0" xfId="0" applyAlignment="1">
      <alignment horizontal="left"/>
    </xf>
    <xf numFmtId="0" fontId="0" fillId="0" borderId="0" xfId="0" applyNumberFormat="1"/>
    <xf numFmtId="167" fontId="0" fillId="0" borderId="0" xfId="0" applyNumberFormat="1"/>
    <xf numFmtId="170" fontId="0" fillId="0" borderId="0" xfId="0" applyNumberFormat="1"/>
    <xf numFmtId="0" fontId="1" fillId="4" borderId="0" xfId="0" applyFont="1" applyFill="1"/>
    <xf numFmtId="0" fontId="0" fillId="4" borderId="0" xfId="0" applyFill="1"/>
    <xf numFmtId="0" fontId="0" fillId="5" borderId="2" xfId="0" applyFill="1" applyBorder="1" applyAlignment="1"/>
    <xf numFmtId="0" fontId="2" fillId="3" borderId="0" xfId="0" applyFont="1" applyFill="1" applyAlignment="1">
      <alignment horizontal="center" vertical="center"/>
    </xf>
  </cellXfs>
  <cellStyles count="2">
    <cellStyle name="Normal" xfId="0" builtinId="0"/>
    <cellStyle name="Normal 2" xfId="1" xr:uid="{E86504DD-CE9A-F24B-8D47-52F98768B3AE}"/>
  </cellStyles>
  <dxfs count="21">
    <dxf>
      <numFmt numFmtId="167" formatCode="&quot;₹&quot;\ #,##0.00"/>
    </dxf>
    <dxf>
      <numFmt numFmtId="167" formatCode="&quot;₹&quot;\ #,##0.00"/>
    </dxf>
    <dxf>
      <numFmt numFmtId="167" formatCode="&quot;₹&quot;\ #,##0.00"/>
    </dxf>
    <dxf>
      <numFmt numFmtId="167" formatCode="&quot;₹&quot;\ #,##0.00"/>
    </dxf>
    <dxf>
      <fill>
        <patternFill>
          <bgColor theme="9"/>
        </patternFill>
      </fill>
    </dxf>
    <dxf>
      <font>
        <b val="0"/>
        <i val="0"/>
        <strike val="0"/>
        <condense val="0"/>
        <extend val="0"/>
        <outline val="0"/>
        <shadow val="0"/>
        <u val="none"/>
        <vertAlign val="baseline"/>
        <sz val="11"/>
        <color theme="1"/>
        <name val="Calibri"/>
        <family val="2"/>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4"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rgb="FF2A3E68"/>
          <bgColor theme="9"/>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customschemas.google.com/relationships/workbookmetadata" Target="metadata"/><Relationship Id="rId5" Type="http://schemas.openxmlformats.org/officeDocument/2006/relationships/pivotCacheDefinition" Target="pivotCache/pivotCacheDefinition2.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[data.xlsx]pivots!PivotTable1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Sum</a:t>
            </a:r>
            <a:r>
              <a:rPr lang="en-IN" baseline="0"/>
              <a:t> of Total Sales by Retailer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5F1-4108-B723-46733F5EE98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5F1-4108-B723-46733F5EE98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5F1-4108-B723-46733F5EE98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5F1-4108-B723-46733F5EE984}"/>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pivots!$A$4:$A$8</c:f>
              <c:strCache>
                <c:ptCount val="4"/>
                <c:pt idx="0">
                  <c:v>Costco</c:v>
                </c:pt>
                <c:pt idx="1">
                  <c:v>CVS</c:v>
                </c:pt>
                <c:pt idx="2">
                  <c:v>Target</c:v>
                </c:pt>
                <c:pt idx="3">
                  <c:v>Walmart</c:v>
                </c:pt>
              </c:strCache>
            </c:strRef>
          </c:cat>
          <c:val>
            <c:numRef>
              <c:f>pivots!$B$4:$B$8</c:f>
              <c:numCache>
                <c:formatCode>"₹"\ #,##0.00</c:formatCode>
                <c:ptCount val="4"/>
                <c:pt idx="0">
                  <c:v>1291535</c:v>
                </c:pt>
                <c:pt idx="1">
                  <c:v>2115587.5</c:v>
                </c:pt>
                <c:pt idx="2">
                  <c:v>404412.5</c:v>
                </c:pt>
                <c:pt idx="3">
                  <c:v>4403630</c:v>
                </c:pt>
              </c:numCache>
            </c:numRef>
          </c:val>
          <c:extLst>
            <c:ext xmlns:c16="http://schemas.microsoft.com/office/drawing/2014/chart" uri="{C3380CC4-5D6E-409C-BE32-E72D297353CC}">
              <c16:uniqueId val="{00000008-55F1-4108-B723-46733F5EE984}"/>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[data.xlsx]pivots!PivotTable3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Sum</a:t>
            </a:r>
            <a:r>
              <a:rPr lang="en-IN" baseline="0"/>
              <a:t> of  Units Sold by Month</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diamond"/>
          <c:size val="5"/>
          <c:spPr>
            <a:solidFill>
              <a:srgbClr val="FFFFFF"/>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pivots!$B$37</c:f>
              <c:strCache>
                <c:ptCount val="1"/>
                <c:pt idx="0">
                  <c:v>Total</c:v>
                </c:pt>
              </c:strCache>
            </c:strRef>
          </c:tx>
          <c:spPr>
            <a:ln w="28575" cap="rnd">
              <a:solidFill>
                <a:schemeClr val="accent1"/>
              </a:solidFill>
              <a:round/>
            </a:ln>
            <a:effectLst/>
          </c:spPr>
          <c:marker>
            <c:symbol val="diamond"/>
            <c:size val="5"/>
            <c:spPr>
              <a:solidFill>
                <a:srgbClr val="FFFFFF"/>
              </a:solidFill>
              <a:ln w="9525">
                <a:solidFill>
                  <a:schemeClr val="tx1"/>
                </a:solidFill>
              </a:ln>
              <a:effectLst/>
            </c:spPr>
          </c:marker>
          <c:cat>
            <c:strRef>
              <c:f>pivots!$A$38:$A$50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pivots!$B$38:$B$50</c:f>
              <c:numCache>
                <c:formatCode>General</c:formatCode>
                <c:ptCount val="12"/>
                <c:pt idx="0">
                  <c:v>1305750</c:v>
                </c:pt>
                <c:pt idx="1">
                  <c:v>1232250</c:v>
                </c:pt>
                <c:pt idx="2">
                  <c:v>1162250</c:v>
                </c:pt>
                <c:pt idx="3">
                  <c:v>1135250</c:v>
                </c:pt>
                <c:pt idx="4">
                  <c:v>1307500</c:v>
                </c:pt>
                <c:pt idx="5">
                  <c:v>1550750</c:v>
                </c:pt>
                <c:pt idx="6">
                  <c:v>1683500</c:v>
                </c:pt>
                <c:pt idx="7">
                  <c:v>1583000</c:v>
                </c:pt>
                <c:pt idx="8">
                  <c:v>1330750</c:v>
                </c:pt>
                <c:pt idx="9">
                  <c:v>1207500</c:v>
                </c:pt>
                <c:pt idx="10">
                  <c:v>1380000</c:v>
                </c:pt>
                <c:pt idx="11">
                  <c:v>1604000</c:v>
                </c:pt>
              </c:numCache>
            </c:numRef>
          </c:val>
          <c:smooth val="0"/>
          <c:extLst>
            <c:ext xmlns:c16="http://schemas.microsoft.com/office/drawing/2014/chart" uri="{C3380CC4-5D6E-409C-BE32-E72D297353CC}">
              <c16:uniqueId val="{00000000-F0B2-4C64-BB77-2CE11D72A7BF}"/>
            </c:ext>
          </c:extLst>
        </c:ser>
        <c:dLbls>
          <c:showLegendKey val="0"/>
          <c:showVal val="0"/>
          <c:showCatName val="0"/>
          <c:showSerName val="0"/>
          <c:showPercent val="0"/>
          <c:showBubbleSize val="0"/>
        </c:dLbls>
        <c:marker val="1"/>
        <c:smooth val="0"/>
        <c:axId val="27243919"/>
        <c:axId val="27254479"/>
      </c:lineChart>
      <c:catAx>
        <c:axId val="272439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54479"/>
        <c:crosses val="autoZero"/>
        <c:auto val="1"/>
        <c:lblAlgn val="ctr"/>
        <c:lblOffset val="100"/>
        <c:noMultiLvlLbl val="0"/>
      </c:catAx>
      <c:valAx>
        <c:axId val="27254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43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olorStr">
        <cx:f>_xlchart.v5.9</cx:f>
        <cx:nf>_xlchart.v5.8</cx:nf>
      </cx:strDim>
      <cx:strDim type="cat">
        <cx:f>_xlchart.v5.7</cx:f>
        <cx:nf>_xlchart.v5.6</cx:nf>
      </cx:strDim>
    </cx:data>
    <cx:data id="1">
      <cx:strDim type="colorStr">
        <cx:f>_xlchart.v5.11</cx:f>
        <cx:nf>_xlchart.v5.10</cx:nf>
      </cx:strDim>
      <cx:strDim type="cat">
        <cx:f>_xlchart.v5.7</cx:f>
        <cx:nf>_xlchart.v5.6</cx:nf>
      </cx:strDim>
    </cx:data>
  </cx:chartData>
  <cx:chart>
    <cx:title pos="t" align="ctr" overlay="0">
      <cx:tx>
        <cx:txData>
          <cx:v>Sum of Total Sales sold by Region</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Calibri"/>
              <a:ea typeface="Calibri"/>
              <a:cs typeface="Calibri"/>
            </a:rPr>
            <a:t>Sum of Total Sales sold by Region</a:t>
          </a:r>
        </a:p>
      </cx:txPr>
    </cx:title>
    <cx:plotArea>
      <cx:plotAreaRegion>
        <cx:series layoutId="regionMap" uniqueId="{B43D4608-449A-4631-9FE9-AA8D127E0BBF}" formatIdx="0">
          <cx:dataLabels>
            <cx:visibility seriesName="0" categoryName="0" value="1"/>
          </cx:dataLabels>
          <cx:dataId val="0"/>
          <cx:layoutPr>
            <cx:geography cultureLanguage="en-US" cultureRegion="IN" attribution="Powered by Bing">
              <cx:geoCache provider="{E9337A44-BEBE-4D9F-B70C-5C5E7DAFC167}">
                <cx:binary>7H1pb9y4Eu1fCfL5yUOKm3hx5wIj9ep9i7N8ETq2I1ELqX379a/a3U5sTTv2xfjioYHXCWDYarZK
PKyqUwvZ/77t/nWb3K+KD12a6PJft92fH8Oqyv71xx/lbXifrsqDVN0WpjQ/qoNbk/5hfvxQt/d/
3BWrVungDxth+sdtuCqq++7jf/4Nnxbcm2Nzu6qU0Rf1fdFf3pd1UpW/ubbz0ofVXar0RJVVoW4r
/OfHv4p4pctV+fHDva5U1V/32f2fH5+96+OHP8af9bf7fkhAtKq+g7GEHjhSOohgJh9ezscPidHB
9rIl7QNKJGaMOejhxR7vfbpKYfxbJHqQZ3V3V9yXJTzSw8+nI5/JDxcuP364NbWu1vMWwBT++fGT
VtX93YeralXdw8Or0nibN3hm/RCfrh6e+o/nM/+ff4/+APMw+ssTcMaT9tqlv2GzkfVxdl5C5n8o
wF/J6vsqXb0mwfNJ+u3asA8E59S2bfF8UTj8wKGIEBvZm0UjH2+6XRSvS/LCmngcOF4Sx3u5JP4q
1GD0eyJCD2xJbNvBdDPxI2AwxgeAGJOc8QdtxSNgXhfoBWAeB46B+baXwEzuk1W7Ku4fZ+clbf0v
dEUeIOQIbpOtHQWVeGpHBTug3OGUYDC369fIjr5Fot3Q/Bo5wmYy3UtsvFWifphCq/fUG3FgM8q5
xHLjxUAvnqKDsTzgWNgCU7yB53FlbAza22Tajc/TsSOEvL/2EyGTmGJ1Zx7n6B20xzkAEsIYovZu
fBA7YFQ4hJPHm26BeYMoL8Dyc+QYlLM9BUXr+9tK3dbV4xT9c1woPmCCYUYI24mLAIZAHHBH9sic
eeZN0rwEzZPBY3Su9xKd6/vuXVk7Bm9CHOpgvBMXKQ8I0DMpxJagAavfRAwbtXlVnN3AbIeNILn+
speQzMCIqbt3dDK2c8AkY5iSDSZo5GQcCKUcQajtbN8wsmVvEGg3LD8HjoCZ7SdrPr/XuuyTZvWu
FIAiCHSBAWzDWDRGR4gDhzgOqAzaMICRyrxVqt0QPR89wul8P2nA0rTvqD3UPkCCciYo3agPaMdT
iibJwdoHcYy21/lzk/aaNLtx2Ywa4bHcTzzm96YI3pU12wecgnencreXccgBpZQIirZKNTJobxBo
Nyo/B46Ame8nMMu7VfiOZJnSA+JIJOzHWGWUssOYHnAmiXDQiJW9KshuOLbDRmAsJ3vp9s/iBNB4
1zQZxCYOoWC7dvt9KcByrX2+EBvPMsqWvUWi3cD8GjnC5uxoL7FZJonSRpWPlv0dAhh0gEFPIHDc
JsxGaRlHHmDqcMKcX2mbp0T5LRLtxubXyBE2y/1kZUt9p1bvmsuUB5COkdR5rCyMHD4kmSGwBJWB
NPPDa2zMXhfoBWQeB46BOd1LpTl674qQA2EKhcARmPDDC4+ImAPuB2EoGW1VBnLQT1XmdXl2w/I4
boTK0dV+ogJTUt/G/ePc/HNTRsCN2MJ2OPsV0z8lyA4DfRFCELwNL0f6cvQGiV5A5ufIMTZf9xKb
z/dl9eFGAVl+1wiTOECXbSYgG7bx86PijIMgx0wEkWhLp0d0+c1i7UZpNHwE1eebvYTq2NSqfGe/
gw6kAwhwvk31jyiBxJAowA4U2baJAPqow5vc2ZtE2g3Rk6EjeI73M7I5vW8/fDVF/DhD/9zKQRpA
EmnTdXH54TViBVBH43CF8ccK6CgN8BaJdoPza+QIm9P9tHInK6Xv3xEYdkCggkbZE7f/1P1weWBj
QAWSOBvrN1KbV8XZjcp22AiSk+leWrOTVdEnK333fqiAz5HACgCT5yRN8AOBwA8RuUVj5GveIslL
gDw+wxiT/cwHnKzKcnUb1uV9VZXvBwzYMagnE0gm/0onP1UXAY0aiEEPjTOiz2+W5yV4nj3OGKP9
dDMn6jZUwUq/IzzQ9iaokEDWfmb7n8IDZFoQJCH63F4fuZm3SPQCQD+fZYzNci9t2qkpqvCDtyoM
5G5W74cQgawagSQmAxgeXiM2LSBz4zDicL7pdEIjhN4u126cxuNHaJ16e4nWiYLSemmqdwSKciAG
Eqqej6U1/NwVSXqAJaQ/oW3tcXVsiPSbZNkNzpOhI1xO9iOJ8/v+1k06ZUOmn73zv23ulZB5JlBS
Az+0i0xDmwAkcqCp5pEljDjbqO32ZbF2ozQa/uxJ9qOn90SV5fp/lqnHtfvPQxwCTTM29Ar+TDmP
uBvkpKF904ZeqG0INLJsbxRqNybPBo9152pPbVpZmrp4T4QgxckF5KXpNlMDluspO1g3xUOiTWB7
yw5Gqbb1JL8m0cvwbEaOsdnPrrTPvYEdDMH7Kc86PyAlt22ybQMYQYMRpEmhB4dCMW7DGx7vvXE6
bxBoNzI/B46A+fx1L5VmQ28mq/h9uYCAjgBOkIPJZvJHpg3UCRrX1h3sv3JvG6+yQeetUu2G6Pno
EU6nexqeGl29a9mNigOIOhmW0LaxixNgBO6HMmxzMmIDJ6+LshuXnwNHkJxc76fq3H8vVmX8nhQa
2myh95wIsY1lRkYNeBpkrAUYvW2LwYgRnL5Bot3Q/Bo5wuZ0PzNsp/fN6j17Ogk00jIO3uQxCv1b
rw0HsgZhqHA2PVAQ/DwzaK/K8xIum+cYo3KzpxrTflis0qwM1XvuuaHkgDtQCZCPagFJzqc0DXJs
DFTKhhTcxtSNAtB1xv9NYr2E0bPhY6gWewvV4X1R3vePC/mfBzzQegt8AElGdtNpAf1qEA3BNtot
aRg5njVOr8v0MkiPY8cIHe4tQif3nbp9x5ZC2AVMbfA/mG4d0EiTMOIHGHrYJDC7x3WxZWyAzevS
vIzN49gxNid7ic1ZqN4RFdAbCjuvgartriHAhgK4Ah0F9Fd656nzeU2a3ahsRo3wONtPa3ZW3Afm
PcsGBKrTDuzjJHx3fGMjiD6Bq8Fmted68rokL6CxfYIxHpd7qR//g6YbCPex7UjI12wQGRE0AU05
kJhm0C+9uQ6W7amOvEWi3cj8GjnC5uavvcTmMoSzFD4sy/ctUMMOQm47tmTbbc9yjA9wNAzceb1p
/eE1wuetUu3G6PnoEU6Xy73E6crU/5uCG9g2BJUA+3FP4YgDQPuaI2GrB5wxsEFqFIS+Xa7dWI3H
j9C68vYYrXfPswFfI9BsA+HNBotRcXSdZ7MJgrIcH3HpzSy/Ls/vMHocPUZospcIfV5BWKqD6l15
AuRBMYbKm/MCPg88ATZXPVYYRqz6bTLtxujp2BFCn/fTM13DhlA4Ouj+HbvZoLvAodCmi7ZpGzTK
uMHmA0KJvT4TYpM6GAH0JpF24/Nk6Aie6/2oXT+TGg6l+lStwkdS9c+TBeuMG/RNQdpmm+scIfNw
xI2A9lybjxzQa3LshmMz6tkzwSPtZ2b65r5IIUn/fmDAVkMkmA3/RmQADn7g3OaSQ07g4TWqgL5B
kt1w/Bw4QuRmPxH5rMpbo0v1njEoZMtg0hnh26zAqMYG7QMCjn5gsAP0Z4HnacTzJpF2g/Nk6Aie
z/+PuPTLx6n9PNhssqpW04fT8p4c6fb7qw9PD2f4jYZuA8edNm4zw8s7OFEPzhCCIOfnKXzrD3kW
cu6iYE8G3q/K6s+PluRQSnUwh8CJMDi7yIHPbGHjClyCLfAHEDDBnlMmYaMWNIt8/KDXbXh/fqTs
QILfgn4raMeCth9Qy3IdL8CV9ekTzOYCFg/mCMOgx8c8N0kPaZKfc7L9/YOu03OjdFX++RHI5McP
2eZ9a1kZpNQxZGwRhp5vaSOGgYFmt6tLYFLwdvx/JCp15fu5dUQpbi4cRtPpQAu2TJMhnoqsLido
aOxLkvBm7hg6THHTy6WDnXASxKa97mOeHpHSTj2cV84iVqhhrh9F2tMGR57gOpzGVXAZZGRB46px
fVokHqX6pq3j89amlRu3geNZsR26mEed55dUujLViVvSGAVuThP7qtJ56GaZLbyBBOkpbZvyWhMZ
uqWo6KSvi+QOWbXbO+RTZKIfJKtyV/j1RS/76jIynM3zllHtkqhOL1U01Icmc/KjXoRN5XZ5Gs8b
MqhJlOjuuG+5WKZBl06jaKgOaeHLWVXWxItiM/BJANN5WnDL7tyW9v6k6bosdUWXk9Dtke4XAyrQ
FGXU9zKWs2NUOIsksS8zhIVLKolP0hgfab9LJ1EnazdwKnsah3Hv5rnjzyqUpR4sGDN1NC7cPIhb
V7W5F8Sk8ACs9GioaDwTzBKHaRRxzzd+6tZUZLPODjq96DQcEumxsgumcTJc5Uznk7YPb2SP7U9t
yviyo6L5qrGx3bDM5QT1xPinWdHbaJoYqP1IL7dCjI4a7ZPhShckjuupao1j3cZJh8XgmqS2hlnN
y6hwa23KwUPM0Ma1aJVXbsWi/jIn2jmVgUTWtHVy0rlF3+TtPLXLYmEL1s1FqrV2FabirEt1dWmJ
ClVur6w0rFxnKEnjVoFixyIukBfhTsVTKx6s2K0amSZuVNP41OoVyayJlXZdMMxNVgxFcWKiRFlh
4sbGcQRz4YNKIb2s6fSgD4WvK158NbbPLosha1XsytIoK4rdojJF1F74VZzOdW4cEZwRMTRNO5N+
iOphToesqC5l2ds9/9SiukRXVtNzJ5haMkpS6dlBWnf2DDHH6RQIwA1D3QkcPtpn+SwvfV17OEH4
s3Gy7qLt8iF1+0jn9sxWODJebAXdRMEJn75n1WUpp6pvrJswZiqe2INIe7fiaXcSQ9jouFrmd2wI
8mFictu/1EloZR5YkjxzozgLb3ym4/TUinobe2nWo7OhaXkzSyzR+l6dh0a7uNL6sI9wuDA6saZq
ECTwWqfurwo/FIFLrKL7HKtExi7LOfmWh9SeJEEanOVhn5/xXDnTqskyj4dYt3MQAJ0MqGTTNMjR
tNPJsFC9zs55Wegb2eVd7Yoc08GlfVQmLpa4WNpR5C9Dh/tLJxNW67KyErEbVB2bYAtXg4uwFgD5
EKduxEjVu7gJ7WmIyuqyboQ+z50smIucuiFu2JmMmuDaT7LuKEsym7m5FQxfn546+syI3pqsL1QQ
bo98/fnrf65NCv8fjiH99cf1ibG/foPW8s1Rs799FxyRsS7AlOM3rR3iz88Ci751kGsn9OyXv3nE
R2cw8nmbk2tfuPg2h4glg+jpZX84PkJ27V82Y7aucN0QSeFAS8i5U0gmynWr99YVQnMxx0BDuU0F
JN7BvP10hYRD8yuXNuxHQtAt9tQXEgJ9r9A9LsG3CunAESf/jS9kDoQkT30hJMzgP0FMYCjXgKQg
xFNfmKvcppld0yVLHMermdWcFrpq5oMfdodJkLPFYJmo90zb9nfMlOKYxTQPXMi1tZfG1Mity8xa
JSJBJzGj8nQAA3rNo0gFLs+4ngQlFadh0pSXfdSo67RkyTyuGwXehuNvJvOdaRKJ6NCx+bTqy/x7
U0bRorOcQrkqarvCLetsuEVZbHnKD7jt+V1sXxWlig+lTvSRL0gyr0npkq7SJ4bZypOJn06sKA0P
cVO2S63SNPVSi5OJbQXgQvI6S1w/6c7AISbzLHHkcV8GTeQK3tkXnVXLU6FidIJ7hU560luN2xiS
z6ARJpmDDwm+YKnkKbbic9zx+sS38fWAejPB3K9dnVNpuSjPyA/S96Hbpj33HNxo2yvSojoHp0Rd
HAkyBZbUlW6RqHrOEpTdtS3chIDvcXNVJHNdm/hTTiOeu11Co3mWdtFCllU1aWmbTpDosVdhuwbb
qvyzqg7bi8qo4Vb2bf9FFzW5CGKnX5A+Kk45iboLaN1VHrJtNct9Vh+hjuffU1J3k0YHYpY1STMX
OIbHCLrOpbFOFo1ubTePaX1nSeKqgvUekdmRrYMl9a1uWqsEuTEyelIyH5x8li4tx1omsYgnQW6G
z7Qp8nmeN+xHICPjllGljipO2zmECP7STsP0HA9isGcS3NFh2Je+NSVDVB9lYDBvgl7JryLnQEsU
zw79jLdXWdPm19KnCuwuRydtibrGrQuiPvsVLY+jGiVX1NBsnsIBQdJtc4MWrEtE5MYJIRdDL9RJ
ENBh1guRJK6VOeJSqww3rq5yB060Js0xbxU6lwWsFRNU3PeigSa3NZCeU5/zZNF3NTniVZbM04yr
r7Uj1Jc8C/GpDjJ2kTrgBLqw706R1ZAju2VmUdQmOKuoKa+jgUivS8tkmVr1MtN+67tSM+fUzjP7
qwYCfJIHNF4qnGSLKEpo6qZxmcxaGrKzJGuP7LClsBzzYmGhalqHAeQ4agf1bt/FeGpnvljlpL1n
eZcugz5r3LRP2dLkPp0JJ3MmvdD2DaHxbd+SLPCsgNpfhaOvDbDBm7LM+vmANLowIefa7ULfOmRW
iUIXqovoNGwww15r8XxV+kV0LoI4T1zYEitvle+Ec93AoGBQySdHodRrwJ1OUROnR1EAILaEqCWv
Ez5xaJJeCVJW3+G8oKZwqxhfQ5pzGdgtPzRtPtfa4d7AgTC5KoniC4Jxcsn8ZMH7tjrk/qCXNE7N
pMzq2K3BWH6tjFRLwVJ/BgQpn4iy6lxfd9FlViJ6P3S58Ugchd4Q9rEbZSz+IpDVfRI6sy4yOzUe
ACqQW4SxPck5zs6BCczahOdHedE4kSfljFVROvfLFp3AaWzJPE8uGt9vvlh+ayYxJ/giQgFZaDiA
ovSSFjWnGjXFLThwkISiSYs6MTe47aZNgmtrGsIBlV8q0QN9ydCQKLcVvZnqoQ/OhtLEc6urBuX2
PRNe0XRceo7VGjfw+2mth7J0B1PXzkTK5lMw9DRyk1hmk6QIcjBzJXAxmRXoKMjy7KTXPppibH2J
7Lhw3CAYyBQ4jnDBAiBPFpp7iaU+x06Llgkq0dSgKHdtIP/fEx4OR74J5QVLHb4sS9al7hBY1YWq
rHgihPaYzsoVj0Q3j4AGnqOSp5WXpQSdNo5BnuOnQ+LaTsKnKTHyRoLXOB1oGH4uHKqO06H5JoeK
L8AjDh6wpOa0DKiCpdRGx2XEtVf1ljxOa1qcV5Gfn0SozW8sXyWnZZxmU4PLYIalCSaDHWZTVubk
c9ym9oJX8JSF75hZ2EX2/SCC+qRlMltRkq+dSz3QL2GaqE+VjZvE5SqWMxLJYF4PYTw1fdB6FvbD
c4wVGHFJmdsEeXcFHLh0dciGSd9X2bTsbOcIziFj0aSDSALoc9TCQsOtJy3KckAWWHQfkHquVVct
Yzlkn5LanyucRdO494fzuCF0mjUNyty+QkPk1ZamLgu6Gc9Nc4qbwD6UOIi/tbkdT1qbO24DlPpE
gYoflb6dLQR2OuPGeSG/xpyrSapb9CXxC38Blilc+pU96SEWPx/qyLrNoCXjMKsca5YGojzDSidL
Ri1/xmlQXiR963wKWgjKMMrRVdgo4N2N8C2v7y0+I6EoTos+/67Lob9FQw3mvy6qoXSTjgbzjrR4
MhCHuHZpHTGNbAg1daG63K1Ny1LLxbpGCiyaQhew8aoA3x9FwXXNgIhAeJMnvQchbnWRB3myMCGo
tNtlIo7doSxaDeGtk/+QRRYvmyS0Xdq11rGy02nv6PS8aXS8qFj9lRUscMHWQvjs1G39Pa74V6bC
FfLrHyIZvjqmu9R4SD1raDO4X54uCy36aZGrazsPssMsFOK6yWL7Jo5afUsk7z4XPgxsNLdgqau+
KuLDLICnqA+zvMybap5wiG34CVAtHXB3sGPEpso2FZ1yo8LjDk7fmNRtVzvneZX3/EvJ/R+16gkE
yk0LwFl9aGczqxkaiG7RvO6B9czTMDMnKsst8zUDAwrcSzYT3PnxLI/7ID10rLiYlG1kT4DkxUc4
6PUhbDcRX1nP8m9I+EF07ndhciRChovrOhxCfw5ZjmTQXle2gykh7GDRnRN2pfWJ5X7HpjhsfO0a
S8VmmQtFJtpC/byQRs8aXn4uRdC6RRckEEMDklVAP3eW3S64yoTXp1V9Cu/sZjIRQCeT8FAV9LiW
thO4yDLMjQPwMpZorAVwkU96CJNpyG1xCB7EugotFRx3IsFeoHF/2oRBfloAmodD1bpVqNoVjWV/
WEhuQaLEqudYd72r6zXdIoNdu5B6LI6UWsb+LBa8nzTGrxZOQqgX546al3AOmtf79CIdwnISQaC0
HGhQLWvf9w+L1FaHFQqOOU4SDwmcHYc+ryZ9IPJvNeGJ53Ssn6u8UbOogkjVCpA/LVRipq1Ps841
YQyOzM9KjwHMixpltlsldjpnyEc/aO0Djc7iTHXKhSQYvuOO5s7nEtValLeQzMhj9snPKTAOT+WJ
gnj//wdxT75K5Pbp92481hHWAZlNIah5OYYbbfX7lQ19GLeN4zg/kIIQOOMT9hzCjtFfcRyU2dZt
PFCO+5Xs3GY0oYmXQDcVbFLcHjO9zWdiOPmA2NAcJzFEDBLObv9vYjgC9YwnIdw6vYptJOF8HlvA
/pR1RPgshEtwVGjcxuzewX5VS6CANLNgBWeNGm4Yq7N4Ra2ClTOd92VPJ5XdsbDzLOOj74EuqLY8
Y3exOJQh6+tJLC2dL1rIN5UnCUszq3dN3LHsO4urqDMTCxhwRLxACIrvRWf6+jIJQWlXjsMy/5ak
JOenAVcQ/7gpViWIQjNWpGeQXqtaCAgTVsSZu3YH6TEG9gMiB2mK+yM7JTr6YZWNgTFPIN3mL54m
fdcp3V8pX9i3g+BgFgnh7focXZiuUZgrcKrqkIfOPVA1HeWLKqUJXSS0KQuxGMqgUq03qAyO90+Q
r2x/9vvb4+dhNtx/veeOwNkwUHTisE9lff1JynmIiFNClkDdRTgmsfIqQxjkTqW0rTyaFV0bFNWk
CMGahpBQtIZMn7eU9KXtQe6It+Sw4qEuY9eYnBT4FHqWcrj2eyEhFfF0jgTsrSFwoCD0o8EBNetl
+VzGLlSWHRbEuuNW0SB7EgBjEvkscWhFEHjxivNvMdiyCgoqP9XtdWzW96XrYgBUTdfZ//F9s7o3
wljEuQt6WHPcBSKUlF9C6kOU6baRqtWZ9uFLjyo3DA3UVjdmcfP9FztuDzWn0WMLKFasY0EK6RHQ
oeePHbBGWagLyZ0lEpETj7WIsxUoklUtzaBEcqosbPAJifO+vopLhAZIwYcqgUn5/UT8XRLYi8Hh
ME44vmndzrSuWzxZJKEI/STqUXFHeQsqN+sxH3A8Y0Vbl3SqHJ/ybxBI2nbulhzK0N8M6ptCThtl
UNa+ggqUW55PCxRcoOrC4NA22LLIyGg1VFyhqI+1f+vLQbNibvIshcjD8tNS9vPeKTpYIr9/fjyy
ZGLd6wgloLWiQtgH8eTzCQjkEAE/r6zvkJAXqbXoqnCtEGlnQvhapbqN6EA9lUIyOnM7aROYCKZQ
WF9BGA7OVVu40FcScgqFnuTMFPZl2ihdfv+9mGt7+sSWQKYM2pMogo1m8P0CoC0jW1K3vlOgfOi+
d0VVwCJAdYwAH9S1hFluV5DGusrsOF8rTdWa9Q+VBfUr+PxtsqB8BYdOE4iKoFr298ydk9sl5Mu4
+a4TZoENj8B6Da3b9Kjq2RHxGdj9Mqjha7nSiGmwqEWWFpgtHCuyGsgwhWBt15a/D2GUVkPSHNEu
zkz6ilnB42UNTXfQ4grlO8cGhDkf+SeICXQm9UC+Q6zCLUjlVGWW1Of5UKlMe23e5yCcJdIGrpk+
T00/ceKht67aLPOXpSySKPDSARJsR2mYQ+kO6gCI+xVkK5GVXPJUBsDlbSI7MIk2ZP+xPkSDTOBT
Y+W3ef6KmmJIAT9bANBbA+exS6hEwgYrODd/ZDFgZeq80U32TTDDIuZlCKqXuev7tZSFB+ksC0y7
32+sZ1JTuFY/mJMM+w5c6tqK8HxWt+R1HaJjKw6bH4GMMImxDe3ef0voxl1cpn5osm9ZAVqUT0kZ
O/TExiHpoWZZ9zAd0m+S4SYNu74Xbh0WbR56YPBbfgmlFd9aFCmNhpsC6jH81FF8TRA62qSJhMQt
W8NjSiJhCfWNYM1lVkTxcDMkPG5jFyXJ2mkpmH0AyGgZwh8JFByGGwcKVoAdgUIZ/CgHFFTOJGMl
KWdc1Gvs4i5QQDDyh9tLJ7D61oVYLYKPMEAeQHJl6TU3qDKWxquu5DrPZpA+ws0VJWaojosi9gs3
SdICirNW4KfdIoAgMfiqHe3TmwY1GBaZcALgGU2uDVCU39uGsdWE2RdwWDKcTEEFh01Do6VB/F4H
WGbJtwGnZRG4nY1EVrqtiUyyJHXegqH4/R3H1giKBBTZGPw27ICRf7tjWaAybFPSfiVDvV6MbU3X
5s8uRQzOmzc549/8CKKj3G3tuiqDEwGGBdbp78VYf2vKM6Ug8H1rUMOE3if4ajUo8I+efCBNnUNn
QHqTUp1WxK0MFBPuTR7mYI3CuNQYcjHCqPOmdAKwOFnITDBdF4Ib48LhoG0CtU87yI8S3+FXHSkS
p3fLFvPmEnIVSHk5GzpzBIsIcpERor7KXOpzvFb2EME6NE0I7GLpR3G11vwGNkaerb8fLutdEhek
a+a/f+KxXYM+BQdy5eunhqclEBM891Yx90Pd5qX41NQaAYllRWEDiW2G9bqlQLLoIoRkHyzbLpYE
fgTVA7O1eLZe0qSOWtu/8ju+XtJ2roa0WKjMJmsTmQ8lwrM8abJSzQfWx6B1fpuuOTXunRS0U0Dv
gf/K6rVHls0BBuSA2wSrBghCYWhkqqF+nQ4m0vYnpwoJ6FaVBWsBKovUa9V90GNoBehBNqgPrVUc
bOXapBRZDo4GKuhA4zGEyfAnk8ewEzmRkaAL1Sbrecj71vBTP+/gXSok60eELAYvZ7ElCjLLnKIh
pdeDv4DH/T1a6+/9e7o+4dEkhi8wgXMvHNjiAnzvOVoVJMdFUpv+EwmataWqihyW1pAMytxWyIlt
Ddk3kw83wtZr/5haBgMgHU+ToJ8OKcdVMJPEqttPwFILmI5WRARWH2kGsCZaWRKWGG2TbG3dajCb
C2VnLZi1ChgJ3FBVPoLfIMbCMBVpQGEqqkqEVuWxpI5AJUJpR/DbZn7WpnC9kft3THukow7QBWBX
wmYOhJ3ob1QXtwPlPc+t6yYVBqzDht7aodM1sQeRZRjo18zCyB2tb0lhj6uNwC1B48848EKRAdaa
deK6rDGskKqHo+zUHHw/zA+NMmrY1G8tA2UwnpAeJjyB7BNQFjB6MEtt0SXVueCl40czKO84YAxA
IZvLAjbTggdILVD8qtPgqLawBXmrYSq7xNGgK6BFaziCuFsDYUUKww/ZR7K5RCY1IAmLY/BNMa/W
cervZ5tKMl5z0LIE26/hyAhorPp7RAV0sIQkUddfh2HPE9+t6phknt8iPzrlNvQc9dM8LHjmuNK2
ZRS6BaQg80OU1KRjbgZsxzoqgtSiJ34KxQIvb00X3CKouS1av6Z8EgttkjsaJUNxmRqewre+Djhp
z2iDUTdMnEhLlnk58MeynrUtc6C6m4c+JIt5ilJ8DBlYLCdaFxJ7UVfVhe+azsmHyA11U9DOC7q4
AWVohqLtE7ezWESjmbRxTa94UvU08FCHIcc6z2QbYh/4mw/5tP9L3pd1x4lz7f4izmIQg26BqnJ5
HmK3kxutOElrYJAQCAG//nuI3d/bybtW9znX58a1bFcVIKStvZ9hMwlQK22Vb63fNpS1mIrmvADs
duUwGpUdZ5rzpAYevGyffKZj+eJIy1mdEGDxFfhRqtcy40DZaipj31Q8bfkFmhZONeg8D0KC9mF4
inwk4iMPxkKEB9Pojjyv6cyb4JnqcFk+LdOSTDfBOPXBI3aM3H1PbZbZ5y2fea9Lo3Ukxge6bG1z
YhLoxnHTpOh0SRudxKLK7TYOxVvUqaL/DnhWzwt4nmkdflA3eR9WTevHSF1MrB/SokYdkLbZiXVB
k93SKA8aSKwyE4+t+CGKPoEOqlqipLDkZkv0jCm9RXY04gF6ySkLD31PjMnPjjIp2us+XZqBHyDu
mPx87VPGpTwy0nmXPrI+ToZzpojgxRFzJQNlbOYtxLbejoX0tOQByYapFsxuaj17PgZCnrzssNtU
DfUEAXY20qWvOnBZOp4xOXzAKp8gbYlunUHWRcsJ8PSS3bVxnuNlev9jIGWL/8HdSXA4QMhkeNvc
QOP5UmXW8PgiWoIgBxis0sblp6VXEbDMlMz7vhimgcTl8CTFpvJ1YSt44Eqlgqb8bvXGm/xesUD5
9pg3SRCbc+NWWsx3mUpSScuB0h2TyO2UiuYl54wFG2R87YiRCtYBIfsGUXsQ6VWQMJu315EcwKTe
K+VVwQ5eIRDwg5YwfdsKIWs/JQiO2jA+hFyscqghNFC2qPspDNL+NeZxj+N1qqX02fFiGCqL0hsj
GxdOYgepokzsX4LzR8oCORvdc3oiRlx9BUq4T7KjEn4fsaSdGrzoUUzBU9/le8gn88SLvKJ+0pgA
W4984zRR2+F95v1SxZRuGL5BoX96jr1kZDhaKyIUmX0k99sTGSLi9I8IMjW8sSdUAUsKXGBxK4K+
KQT5AZUdRcVhpUSmBblTtOZDJQuRugB3kLjBvUyqd7LHeAVi0ycBcixabgqV76cscafN9pRhZuEI
Cf41vIH93ydYZvEc5vkyXQP8raXdPjTzHOGt2GKLweMcZoiMcY0f12NtkgxvANwE/pYuRmdP0I0w
mlTEUwBApckFRKCHj9nDtpHiK3MV7BfHpvXnYDjMGlt95Lg03dL9t2RMG/Av0gZPH0MdvL/9r0F+
fx+Qgri5yWPT4QSiPhDzWwNxgbQn2ScrLnqINzxsu+RxwmX4hAKca1qm7zdKb/OEqYbK21l+7iO6
srSMGgFJ3B3tnMYozXHX4i2xAcZmK8AcbKaQSKx70ss7dMjHGs15OLzR9xHUBisIce39mkQsUaNV
RveZjy5WV+zVefh+a9+nR8aaFuOTEYlPHNK83S9+yVaBecojux9GEJHhj6sewlw8b4EkbrrElSb7
8L5PpA0EE84SF7l/SyTtiM/BFZRgdo2T2E/9fUDBkW34RbeJJvkhAL3VqPMGNmsxJx4CRAoPXoLc
m6+p4jvyMULE8ibnPB7eooz3mD5jiowVF29nJLt3I7Ds/QvjeX8hMy/w0vbhvhy6Ld3Pv3cZF/7Z
tbzl8tjzAt8rhiQCud6Max5NV8n7XJFqpFN++hhyCOEsTmeRSYMvwQ6gcXBlZIN9fo7AzoXPyNxU
Mddg1KYeUpiRMxw8VQIPda2n1gDbbAEYALLBbRLunGu+L2eH/RV/a1aXqeLYIFlc1suEju2iLyDq
CKEuailpOyh9RzDjZ6j8HN4vpmHEC5LGtL2F6Ag/184Dt0tDHwEqGoDlt7dzMzGAAt4qHD0SXM8v
GZSyqALYuu1zH9RzBpB4SYYYEaawonXQTHXYYrvDEvSMjueUYqtaPofZohBveKt101x8wMlqaoVV
Ryda1LvfVjJCrXFhlMBwnJKfawa6zxYDNjLfsO0lEYX20zM0JMJnF9P7pS+UQ9BYJ2bZGlxRwz0k
j9kWRohykyX78EWL2WcN8Kp9ir/jp8XYeIxA5OL9eicpY7xYTHC8H0rKFL/JdgOuDG9n01OIL+Sa
dTeJiSzeka3RXsPOqRsxr95Bli1KW8uOrh8si8+cDRu+Y3uH3hjKcqCGQ7qzhCcWNSh9uw61EyQE
LYCJ9KproGYAlUiggZWQFxcTQmWSsRV73rgi0qgjar198JxMdqggdkUDLB4aaY6Po700rvKzR3oG
WYxno7XyliZqBym1w3Z3kzcsyaYHAhhrZYeFKdC6x8ybtB1rQBfwPJY5QKDsC+FJhJIcmyHFzd8C
suGqsr7bt40uZft0s7GNMPneR1JNGkh0IkOZzJd+g8wlf2g254Mni2QaqMJmBpp9QbzF/Aq82TAC
ioT7NTDTQ69zRHm5o1StRL6KzJp22psvGV3FEL2Rpc3a2ywbzMqOJNbjFPzpoc9d2AE7WtJCUdwC
/w6qoo1y+wJE0jfTp5APivOKpWsilkefI7cZvtNZzkP8eWQFoImThdQPIuEg3sbmZSMuJrp02B0g
2ZqiSCOnzPOUushhlneKxtWMP4IeLnMPZmqpP67k/V4ORgEgrtDTaN0v62e4adt5j3905Xs0Qfa/
L145dvs7+p/oPVPx/rc0CgO8Y+Xr/kaWAJ3oDqjcd25DtsxgKXNki+x2m9bIHBQW6r4qabf/52PK
IqdEJKKwtuJf7xD8Hk4DXtlltUleRrENi3sHITGEOj7sAdiTdWM0PvsBukiBtGzb4cARPBFeILhA
tBigHw6eSAj+4Ra45X7mjYSt4svHgVJLsaUNmCrB03vF1kPNn0PE1BtHHpr3gNW8A40DOjxgNgTt
sIOQo80sIXXHu0GzUgyZC56cTA2uefJg8eZLGfM9jRNkwTHyud1Py/1ccIFusI+UEArui9zEO81Y
937Z52TOIHCQZSrGvusOQrVYjcf3AQEOvAe9Bo0o8L1kjAJ1JeIEcoB/Ab5+K+iB5SA+YAbHCG4Q
0v4OK4sJHALw6vhJaJ3hrHPOF6wGrxFmh4DsK6idAbyIcpbDfu7/Ut39Wtvth8cjBSAY2J+biuP/
xgJYt+jAjzmgqvfQqIAB4yxQB2Al/fOhfgPQsZpCdEnBsQBZ4We2l/V/44V8AfECQyr51xwJm0Xr
ajCMkDv0Cd9nN83EflOdVLjDmliCW/YRHP/5XH6FEFKo7IEK4anKRQY6HPM8/vVc2JzEgG8Vf0KT
PoQxmUZ7Pj6OeHrsYdNInf9tnP/7gPC6AjjIChoDXKS/4YqNsGHUdiF7HJYeGwVvsOOf8xXyDsCa
P1f2P19g9Ls7KNyx210Qjd4PsCv9DmQurSK8n9rs8SNieLHtoP2aJWuaHhcyFvNRGbbZB+chra07
B6niF5JYhIZg3Aj2o385o19nOsYcpdT+XBcIvlP0c/udFlvhJ4EyMBke2/dF5ZHXYY0vrmGI67KY
JW6BIG7FyqQJNgekFoHYT0SZZHBbNQ+o7I8p1HdpWC4ILWuFUD/g7VgfLLqFDAn1ZOXf+SzzHmb/
+SJ+v424cWTXmYMxgQ22+J1lxb47TPECdbkYmz0ybT8TITOmvXtYg8IRPHru/x7qSkGAQHcffnQX
2hut/zpPc2h1cYNDd/ux7S1cDKoMNSKrLiEe5/9P0FoKORD8X0AWEbixVP8rHCSeAYmepbp935aQ
JO93I29arIt+HPYN458vcI8v/2Ehgc/CxYaJuotSwBTj918v0K/bIu2WNhd5H9gmrfKuy5MvmcWC
+bcl+N+Hwq0rwODBd44i8/dQ17G4Wx3P+MV7KjKnQEcwj+Khw8s/X9WHFONvFwasEIf6+eg8PJ61
QMeiXy8sDMHLQLU4nuwWh2I8xOmyqxEcmk47/ee49eDQKz1yYKu07NiGahHuKz5F3RV2a0hweKUb
A+TnOibAHsL7jqWc64sVuUGqbxlMVdGyViwG5fR5HIYOZZBVMemHQ9e6LZ6qUIfZ2NWFTQG1XSdL
pJMMqv2ffF6ToRhJ7ljfRQNsSVzMFJIZN2cyAiaiINW4QKGRy65uA2VwKz4SlDzAx0TZvKcVyNAL
bBbZzzD2Xmo0MFeB8hRdjNCN0nBPA/wcB0hodVygTuhjhzcgxcpcfpuM7Z7MBe8R0IAcxWoPTRFB
MNyMUxdtZT9a2ss6M3mrXPkX5DFg2xTlRyLzM4MCs+YxvttQ7Jt4PsxAllBbNFl8MIXGIbsGVcV8
GYKtkLxqoV1HPQU8v1Xtc4K0lya32TpRYs4qC4MdDBhnC5wVMuy9DqN+HaHHFo3rALsCgcnBMpRK
TIXePV+a+7ArBzzfOo3v6UBN7g98wOIePqUrnTf9CXzDzmghBwzj7FZPI0iET9IAbeaQHxPICY7C
DhGcl12EpPPPFaXnWFym2eLjL1G6rFNxC9iMmYeeUtXEB9WPQYhKGA/aWqYK5lRw6Ydew9ZZ1H6J
N7tCqwhkYq6QmkVpUa3wPPrrBtaLcYNdQ3mJapoWFryoFOF4ImE7+bcs7JpV1Iwg4e7LLu87+9oD
eYFHE2bZnXL7iEUD+HCeXRcd4rY69qLNYocs+meeBeB7zxPXfto3nfep0f7MBvu8bVCyWQpFjCln
G2ZdhEjGdY7TiJsmLn0TzPQTgrgunkxPg/bYyZSnpeDcP6WrhER5lR7SYzInFxKKyXNnl/kCSIZ+
zC2cNQtNBZwvUxsCM57tJ4ZJfUE4bD8lVp94U9a0rzyUul5oxFCLtsl0QrELSCnu06vChF90g+XY
e5PtHgpT55B54+6GgT1CH04OSkt3t6l2Cg/Yu6dDsYYJTINQjH8Txj3FETFXlgT8qpvHCVpuQNDQ
vvCLWTtaC+qLh9yIAby+kd/lOLC6FYaXK+n7OmV0uCy2uDuurAcL3JuU4KuLta+I6vOjx1eeC9Rj
b3bR7gTdA/s+0AZupCVqt3KlKj0KFeonAyfXVraAaMYySDR/9stWfG2DPkUp77pPvojlIYyn8JKE
VEhIZYPkmgCmO9ppRDcQlbMHgIcSeqUpod8jUD2oZyITPc6xEvJo1j44RGM3PY4zAeCAUFCPsJRc
JqOFNSHtfFGxHP7L4lXOMV3PUCC4b2NMVHTQzkwoc2Qn1nJO0uJHMaU5vE4ssJcdhRyhJtGkHpY5
aVAndfoK3sJoqGDN0F9DNRqoa0l4NWbRPkNZunOofPaXC9LZmzBv5jPQ7+BSNomI6wLR73vkfdKX
21ZEAmWzCT57M/gfQxAsFQyc29dxVPDUUmYgH9y2ETNXtDBXQTFlXW023yyXmeMwjIWRkbdrlCMQ
o6SqZp+0ySW6zLTm0i6DPcbGxVdp2y0lkN6X1ENdDlnuLYmwfObRTTWgReiNYVGe8zpddXIg+dTf
GkHs59UsyMlC0Nt8LF0DDURT5ZKnpgxcQr6CmdZlErf9SQMoKOOwmx6WqG8eRrFOTdVME3/e3Z2v
Fq5m2J0WB0d2ZI0qFc4PjCusmg0W3iK2iiyFv6fxKNqq32b1VXVmK0HydC94OjDU/maOHihIhLOJ
LQTQNmSXRPbk61hky7UC3j+DdiAOB2VTyVwwoCJ10BwXgZZlGzX0qw1QDNQF8jNVpmoc7jOfNUcE
+iyrKPyqF1OkxT10OtB2eGGfY92b0+yW6KTMnH21CXv2qJOft6HbitNgyFqqoeM/VgzISUy5cwek
gevTZGnKSksGMLYNn8pQzPM5o405DchDoxLmAPpM+4m+JYtJPinL9BvU6dsPhwlez7mObwiEBacQ
O0U9LMP0hPwyKFPfz9eBHZsvG2xhp6SNGJRZgJNvxRoS7GULIlKoZAE8KG2yixzETGXGXp2a1Nln
aLsSnP8cX0ZhnxxVloyfgcsN97QX9iJaW/rUdXa74qMaDkuOkIsyuJO3PQmnS+uIv+9hTPpki4J8
S5oZwSEe1vmWrB0WDzCtuyiZ3NVic3+Wfkk0cJuiP7GsIzXKYygsAXvQ8xZYds2YsA9bXIjnAtDJ
52Erpk/Y8PkFFlt+s0XBBA1TJo8tZek1GO4oqaaOtnWxrX2C+W77I3wy+r4BBH/PF22GCsqQ8Gi9
Gj6byRGO4nrbri0l7gpCJViAg05/gkCedojZ3XJI8qa4iMD5VbPZyF0x8wTIvA2+ByyGBu16Tckm
KVT3C3LdOneAtIvrJk3mfDqEePZhO5UtNezaB4bfA2VpbwOy9i/tZL/iMxxAr4xexg4ZjHK5ul2o
gvwyNZG8pNrEX1zAnK9aAb8TpD7uWcbzPJxEvOvpqYjyK8K0LY407Hp62YnC1OBxYXWewXfXBd26
vEQzAQoHWsL6Wx2A779agyHHWGehn+z1QGcQPdFiI5g0ydDdJQsJHvKeSvirFyv0QcDD9Ki4nLsD
KN9VXHWwJcg6sD2k+CtjUXDK53HcHuEAsU6c9tQjrOmw6FY3GDXteXPZoCZHA4YoR+ZSpZ1j8w3Q
EjVWiYv4J59vGv7WsM2uIddjUe133z1Mimk2vcA2shUWccSaKc2QOPEesqKLecryyzRewl592pKV
xTPcd0NI3WWMYBeeCwJGAP6wtbe1mMfUPdGANwoKHN5SW9qA8bapAkKXJ5lANVPGgrQPeo2C7eRR
aCr4D4Y4vPZULX0VW+D4N3mLcFpDIAf3O5CtSxVPskIXqOZyCtZlVHctDDp0SzD8fYhGC8BpumZX
acET3t1NE1EFzAyZytoYAPuosR7QcWCoXLTCQUMimDWuGwF2tux6wLzVNi0Dmkd0K4if3Knmopck
1QcOovCmkYBJa7XI5SLh6ClSZ0UockBiykbnhsOgUxqX5msZe7Df2RRPt0FKl7zqFCNjmZO9scMK
zO4lMoH9Pu/uqcSaNT5pzaLkwOF3d3GFFE4EugI3DymaL3ORPa4B0TkSM1essq0QSSe8QYcBXBXf
EISGIjsI2OBhnxqihR6aLo9ycTDxotP0JgrmzD2DzO3YhRoK8pXP85dtE/yZC/OFU5OqEmVC9+Sh
7TiwgtlTiM0jRJDILOivfLtq17i9hdnUHWeBphFmMJsp0bgE5q2uS7sn28PdaG22wpQoCeLrPHXf
Js62Y67hNh34wm7AMBZhFcGAM9QbNhtyT0eRPOUQENlazsB6MB8wYUro4fz3SJvmwQz9WBzGPOfX
o+71kxvGiR/cwmd2BmrM8xL9IOi50wrmv35ojw0cvk99E0YHOgl91bA0uImbhVzFBqSl5iPIa4qy
qI5jNn/tXe5O2xLHbYmmSi28xXQexoOJMg2TXeGns7G7TxXWx6UaGq4qko2zKWnUwRmmIYh05zHD
xR1WgNxPG7PyOwPvPZwU+LXaYlH6clsbe4tdHpu/zJq2lgr5BU6BPWLXkUeX06xyPdo4wDsefQHy
thwh2qEnHdLumJtc3QcqtNXcZeI17LvnVkEJxlG4HfOYqc/ax5Mu00Trz0nI7KWLEwbfpV1UUUmA
o3APx7homHaORC5zhWI3uVMoSy5nH8lvjUjyLw3j0WsTJf56BnNbp2bQ5wSQ8QvAd3jvENMWg34q
4XCTMZYgb0Vw3Cch+QYzKorhte/2XXuJxzc9F4E8tJkEEQowWWfnPu2lrka44SZwTZsGWJh7FVVJ
izhSZoFU6U1rxvhNCDE1ZdziHErV5qKoGnxvBfgLc0KsBp1qMhfn9SQg5LTItRp+2Rk9/WFQtYmq
MUkSfsHG621Jg8LPF8HUZPVkVHAhhzR+3nUDx2ibG1fKNTB3abqoNzcXBtsDKs+jdgxqKM3S5BrU
nb0yK0QlpeVIaa4XuPHfmnhaZDUCZpxLObfLt2lasVawKFGnOQMU8/sM1mouwcjNh17NySVAag7J
lFw2JPOQjf7AQ9lmduxyMV2RFfVbGSAdmeoWfXnSQzB00PyiC0/6Mo1t+zlHJ5OqGZOxbsNgCG+d
z6MnsGsFhSoIOVyZTV60J4+k6hLRr/eHZRBCIZWjSD2h4gj0bSJ8FFSO7Uq8tQtTc7AGvvddkYJJ
VBHRCUWa+cjnDFRK16D1DZI0e9jLWHjy1kHGyKmTnm2v/ej65i6GlXesUVWwBiGNZnozlY0cb9dT
EMaqJ3eZS1hRNtEgk68tZKNBX81BsSh2BGHWLOiYIHSmaYVqeyGmhO+0G12VY8NN11qAvyra0kHN
Tda6n1fWNVdrweIkrEaHAszctzPQoaRcIPOm7midGeQr5w0sZLXHUgGNAjdO0ttyhvs5m44cuVp/
dsIF3Z/jMC5zehDQP3X9IR3AtT2xMAb3cjIQSk19bVcShOpeOdPgPpAAcimnoGQGBzBD5o7L/9EF
NA8xjqPq15oasaSvsOvF4ukdrA3MTjhMLd2h0Thii7lCR7aduodeYOdBsA63/DsnDK0I0Bwn2LDe
hmik8NQbLwJR9gWArgCVLVM+wxaBcDy9OAFAobiekFDCY69ouJLK8dENzWkDu4W7hS0PLZHgLXf9
3NVpO7m1v0ocLm8rpYbKYqwgekk69pRMqZEZPJqDkMll6NywauiQ5IQcB7UDH47GFArxOJjg8YYK
6SaGmAupu6GImCv8qeNUkJOc8m5dDVDYGUiqrCCpcq0nB94vRLYH46G4ocAOel1cb0j9igML2oyB
BZsZNa6MyEDJIV+3hJzA+3UvpnDtcwB1zVTGGuazkjisnQPUJt33sG+QZUH9Lix8ytlIRT1b6FSW
cosHkI9b5tafKvtLKvl8D7B0vgAOLK91yJKqidGxQkXr2h1M0kGsNVMQwSZonxRdfH4ekMKhaVNv
VlIuvW/6k51CqBiXwsCBCwl1891sIWsQWknHygz7qKunZFsfRxnA28590B6QgaJCZMqk6clmZOpq
1hXLW7CxZTVlxP0QPRaNbNIanYL6bxbPM0WjD4U+WmG/BTANhxY9eg5IJ+x44UTazN95sOyICzLq
uK+2RvAjfFozg43ZRQXEOfFA+4qFROsDWcPxIhp1/rmdWxKNVc5irisAijJFhZqv4y287KGr0R3M
Ta+QPkA2AQ0rVHYVNB0DWkG4KIauCODWLUfl3ZVkQB5+s4BwW0qfNPkhb7L2MuAjelpAeA1zBbR1
poN0I17RQKzoUwpKKpgEuinA/r/lCw/KBNq6i8G0AzzeAMzeNggWMDcYfXBBqHGdmzmi88Byv+Jm
14Sygh4UtBU/AoiXAB4qw68DhOHxC4pLLx5y1dk960pieYEMJru0aDUj3xAik/WUzEQ9ap+wG8gk
+XduI4x84bcFcjXmgIxsm1xKI0P/DGOru/e2FbgE2NjADuedRjTNO5gVmpQ+RoAP8xoNPPw5Amgh
aw9tzB8+IfARps1ILnqiFOSJNn0aGNfHKe7D18yOUUlz6BCFRVMukozbWsJytN7CUxnLOnbjDFNX
i+4BJZUznc88s1Cnjf0GOShnfsHp0naXRqAargws2ugahd6BOdy+MBbWfE5mhN4AfgcYkQ16n5UJ
313fvF/Hm8QZd81h7S/qMOUmh2m3NZ/8kk9QHU9wfZdQA+RfiBXwJndIwO+GYM94x4IUfYmcepVl
1jAKOUozSFFjQ1dQXgEuud86IADllhmTHZoZArs6CTt52IYFn+Ep5HSQjXSmnhPzpx9Ff4jZuFR+
StfPOaLFfIVONRatGoa5eBxTOzkcLk0HFAQSKFAX65ukZfFVIdBHBTIhtnaljRi9CgIRv60tOt8s
gRnvodVTFTRg8Ve4YlwPniGnayVTdCirck/kWju/KljzbTExdAqRRYv4a5P2SkXxmh6nzKdopCDM
cgvkqkkABmg03GpNF32WFIqHsoMQ41ZDYRIecp+uKApoDFfDwMK0O3SREp+adLG+wr6JrA75eS0S
OxT7uGV3PvGAoZMYjdaKtkteB6gseDm79nMydvrVTlqXaG8M7BGKSgil+Iwp39rPPPBogdeMS1AF
yDxurIO9ZwTu8qXnLjhbhUVdW9nkaHkz6cspHeD1sHlzDVwgvwhYWLwAMZY5pgHP3kyMLhALCcfH
Gd3ezg2eMBtXakanC2RrYQfpTA+IJx/H4mJMRJ/VGw2QOHWSLqc+jef2EW5ZWVuAW7XFVCfVkKTu
gPQFDe1WLaAN9NGrYOvyStkUlWZ0IayTaXNAHxj2J2TFYU1SMj0XSPdPEWHRm4YC/TXER9IyWDBw
kPy/wnNT3Cwg+U9mnrDqCvcVAuXp3rhwZWUx6TDCOtjuKQ8aZDQR6U7YD2yPMmNMavR8uwKKFlz7
IbZ/KIAddbGgUBnQI3FDE5dIvwRFS56USEhXEaD6Z2P6CFQYlJZNknxbHdB/e2gM8CD7hg2q6eYa
HDhcTK+oaHVnHi0ZNUnvJiUGRPkRHVCgTbID/M8QCSyr6gZwDSAc9R1ZIaVZTz6GVyOuEx0ukziH
TnRqO0PIvU7PTC4+/Zb2RDcXShfdRCr0SAynoC7mlHiL4NVAzQJOC/oIRSOZhTWEd9GGtBGtbmRl
m8yGy9mtC1DMMouX9Ij+ir74kvX9hKAyGHTtaxHHUhGmNfI86BTqYM04h6CFQGMFOTLSeKiqVnih
sWggY0eDj3UWRv8Ih2DNxxqEJoR6h9H4tRFgLCVvoBYynO0icszBATQIV3wLh4c5KSaUMDJZMmtf
dOHZrGoQsQXqPliG5KJuldKjQ78aj0d0RIfQJG4c3lyzzdFa4luMXCuvCVKycjMCkeGC7T1F9p4v
634lJOMhWs4Ivsz58IdDizd0ekPLnQb/gxYejauugmlEwXyl0EOpzaolpEU+H/+FnvvVIALyDwZq
Cq/s3p+VZhA+/ErO9SFqDrUY+i1UcJF8sN5x1qSgn2zScag9PbpkdFXYERvnZW5bGJHKFjzKWE1J
v+TP6ifR9c/n9Su7jNPCc4Iz2FXR3wHkIbiiX09LpiusSVzm3xttdqKlexd+dA1tMREDDbrsX4jK
Xzn5/YiwcWM0du8wKN+9xcDfNRkADYsphF/iR/d+xPldVZOkvQU1P+aCOIjg5hC9MSohFcjK91vx
0fTu/p0Rfe9r+vemeH/vkff/Z0s++Isw2P+rBfivHrVoL2i5BH3/n04O0ftn/urJh6dBQDcEy3kI
PgnmWcyWj558Rfp/oBwmMWoxPCcHnD7+9dHMIcGcA3m896NNQvR1gPcWyh8Yafaeen81GfzltqEL
78fvf+9MAG83psrfCG/MIawpfFm4W8J279WvU4kCwC8YJJgXScE/+0YsJTZjfcjy8BXCvSfoSi7g
Lxteiy56Xb2PgJSsRxRvl9MKUdUWDPE58d2Kx6OgwkAniPRMHWgtu4bg34IB4seZghVlc1ZrkRe1
LsYQaWRrvsCtGz4GMWC3LZhcncCuUZlitxkEPXq78fwRLfuKe48usZBKdle9R5uECTt4maCeP4xB
jMZCntjLEKTUMHd38H7CtzKRCbjFcrZjvj2kI0trnXtorVfvPsWSws2xLmiAKQXYpyB68FuSngBn
/ZGRTgIx9C1KwVbcTKGMrhT0LFUY9vI+ykZ7SKFkvIdQ5oCq6sWh+QukmODuhiy96PL5qwaHCl7s
f9g7t+XGjWzb/sr5ATiQifvjJngXRUmUSiXVC0IqVeF+BzIBfP0eLNun7epu+/R57peKsEMSSRDI
XLnmnGMpve4gsrynVRDf5JrDkhUs5D2K1qVDrDmx2p2301SJobaLaQMX7oP0h7XFoBit0xyXJmGR
N6lmEFADuYYgL9FSW73Oloo83lDFG77VlU686lK2/XYoZqIjxl00Z8UGUWfaNxaF4+TV4hI0sngZ
lNN8dlS2LQP9sIihvHC4909p4XcjKhOEo5Ca/LZrrFhvpK8QYKs2fxmXOn1AjLMPFk7BkLP8RHIy
Vt1jaxnRo2QG142dz5zXjNLp9vHgtifqufTc1YV+wXfYfyAeBs9TaeV0dOpRr93a80+4FspNr3P7
0I4FmqpGfKAMorIopHL2g+U3r16aeW6Y4Ql8rnLUXadIgp0pC3G2q8X0VvSE6pyWQtOd6FUT5cUx
y8UL5ChWyUiTpZdNdez6KMoglZnVsTWIiWB6JlCB4zLXwKCYwHw2qQPpa1hiK+m6fvGkMtz1FMU0
JWQaPWeyqB8pRPA6l2n9CJ5QnC2XJKits+AEqDD7QkzcgKkjkPy2ab4ISjLQhINpcZCC7nAehzym
UCIJvGFkOt+fJmdm0esnlZKqmSKGVnCLEP08p7P53o2edTAs8plh3A9c1Y6wTJeo6Z4LaISKIn9Z
MbZRPKnaqY7TNdDmSfz0a5Oa+V7G3JrOGM35HjWCD9/SQLx4NK7gXlELXXJ3rG/62nHJ3M18DzAo
+YNimJJ2U3RptZlVOa+noWxeE56/XQrdxFtNMIXWmFdQaOiZFc+NqNBTW7v/SNtF7TCcN9+oxaf7
iBTC3Y93lnH+9rdqFPz5giTsQ7wkQDTp0Lihhbz8gJjpn2xjKL8XZWIfaVCOT31m09IkJuiG6fWD
DygAl3l0hk/eVPKDBa67g6NYRNa+Vc8bM+jVLtN2hl2VOy1zBl5tiQNFU2OWzg2VXrCBj1bf6Sag
jEribAydpS2e7UDLz7oy0noDjsV7gNplH+o8mi5iAqjXdRTqMh6JjxJtYtUb7epolAvfmox0sy10
OXyQn0T7M2v3DovFfNNGQl4iM/MvusU/k3BHgg6jsfiFcwvHWqfkpIi5nj+kfF7Rm6t8W8TJ1Vjb
Aj11s/oR9Bg952IINj++rVKX9WMaz70f9jkg5VAMyg/rjCs3e7ZzEvRL6IL4HJ7XpBbSFWeuOPSK
ibt+4Z/U919JfM2hpBgP+2w591VyVu18Pxr9k2rjeqWc+kuVguUrMeYF/q0cxjtTx/eJMimdhmRf
Zt13Rwc3gVUXHBWDsJLeZeqtraWS3eAuz3HXu2sa5v7JJa2yaiJnk/fGSjZzHfqSI9bAPjauJHad
nUiFe7Gb7BPJNXF2FWt4Lvx47XqNhUZWXQkb8zmdArww2bqP6qNVedG9oKFzJyaJQ76OZ6Qs3012
WOWzFQBHezM3wIq9BiqlUkUTDnhWE2Q68VHFnAxb+a2tVH1Dk625gUTebypZigNJ5K+dGPaV7zyw
TV5T2yOhbTrFr0YsX3rD52BSgxus+nJLxT3AsqzUxiiteZ31pPZWspN0+1wXRYQCPlRJtnyUygnl
klQrB8rXFifYY0UP8xh4+c7KhgRfxMIXnLpiO7VjxAlozk+5Kz65OPbo47aHfJrLg0kRvNcswmvT
HxvIznlE5g3cW0yTxkBkaM3x2iCrkWFz0zt23Pi7jDjb2lHRqylo2BslXmoxf7fm5tIQgfqWSi/d
27o1v3iuAWY1z58G0WdvoPUsXNSqX0Gu9EOIYD1JkgAOO5zTlvTlwnpgqWIfQw8VKxyiNrGttQyi
x7bsP+hHRhuz8ufzBMyh2ZBwToewGiRQ0Grpxs2iZHWqhXsuWPMfuK2AcrqRuKdpZ2+0hGYelqOR
7fMqb9Z2D+62F7L51jsyJ/ksD3NZk1dvmrexqNH6fWKZmVAvZgSszqzZ7QPZOjsDl4ppm69tgilg
brEhiGv2nu45qgwZTk6Pxm1nAznj4B1eMy6rDCb/i8+JJaw4xQ5Yj0/aH+MNRYL/QS9LXehniU/5
3F5rCI+QWI959UifX0NjlJFPQlVlnzIPCCjBFqDTkZd9G7quOBKi81YQ/yMaN4basqfrbd7zu3Fp
beZlMM9elNUPpJenNd5QKitiOivddP65UQ29BnMuvmgmj55dIj6hQ4W16tx0WRc8RazkQzp6YVLR
tYny0g9WRG/ik5oAmR57GYkJzvzinmXQjls/bkuTRyJ+HtzJuHMFzpDcklPLlwgfM+piY6PybDyh
ANrcMVUUk553wMfZi2YbnMb6XPvCO9rEPjZRS+8lwvv0HLTpcNH5kmYbhFwcPUNQGWcChc6BSiHf
CbNuN+lURMBIQdVvkm76XpVS3mFJGj7pLtV7SIftZ3J89apgLaRvESSh9pA1DLshH+Uth7ykCiuV
Mo5mzQKGq7bdIw31IVz4LMwiAiM0B+lnt6h9s128e33hEzyI9F3uGuZtF1XdlvAY8pBMFBCfPAJN
1t1Odba1DWMXyxj4qL+8Zl1XN+usUkU46RaznMjFCh8oLja8HSF2Bnu31MstljtwhDATVhIxZ0uy
Rt0v14Z4ruqenUv5BEnb4rHNer33rdx4JXh7FnQZv2kPi06LWXEbNG68HYl94PC6KkQkI9djt/CI
k6BfKd+8sIPWd/TUR4KYIyQKk16Z1Uy7SU/xumdGAIZw7zylUpBz9LPdXIkdljfAr6Lb1KqOv9EN
3FkDW55qazriWPM3E8bLY6o4C2M/iAiFRKc0bi925DhkKvzsMC+c4KPMT4JhjXQK0Ne1lgumnLwU
N95ouKnaZPQHRLPDSprFRIdRfHmEex2v+MDE6dD86A48x/gQiGEEJlQtuoHFPB0m6t/l5FCqIG7F
Ze5sZlruaxr7EtFyxOYJM1aNdClKYKhyBRI7mb8mORKivXKtqJZ7dsPPU2k/GAjEW2wfYxjbo36M
vAVtYl76c5w59ZY+vn2LIe6lXSzaoo17SYMaQtEyDJckqADq09q4a73Gee8ByIWZrJZ30YvhVpee
sU2F+tbFs9xo+m+3vlLWmmll9hGSi2b1S/r7QBfypD23vcSUKrRXR2tNbOgLfrJo1ZZj9qaHmK6O
0dkW+310LI3Upc1iIgC3PSqcSlEnGp/5GhEU52mANwvg7wnm17RycvtmsSi0iyL78KRWNP9LCNoi
D4va/poUsl9HQxociXS61QYphaI/nrvh3bT18OHlTnbSusK57NMZt9zUoWcZPCJdBSaNKfgg61wN
+WFZyEhRJNjzySa0+tAU5fK56Mzitk/KrxxAY3hIElb5Sg+LcwPDt16nVfK1LUt2fSTSD0+51zUr
GgYCcanakhejfUoObCOlNV0G0F0hNdDFQlq+s7IFd5zAvXNk+h6A5HnhSUPNe3YJ8N+AFqlOQKB8
eAHzUNzlVes54TX68F61PQ3ZKEunbSkStgIUPA8pKPVr6oAi8D98mlNJqGJHXFJS0p+HzmteF6us
3pcENtlKRZZtsOR7SDSjqauniqJ/44jFBy081NuehXGDefmQ4t1coTOlbNBLfk7jUb8yEUGs3dYj
4+5UCb0/wtz1SvLidy2i0B0NxISDbxoMTzAoujjawPGAN0Vzk31wmTHpasTutdXTaO/aXn1P+rLc
e9aQ7rtWN8Dmq2/5hHO6nyOP42N/yrux5JzV+Rc4Ceo+TobmAhp4Wee6pbrNbHxuce1vushigErg
R0fe2CcOftHaC5J6C3vePxTI9d2vbaf/dn3+ZjIR3RraIv++6fM/EKTq6s9Nnx+/8lvPR5jBL9Qe
OA/AeNJmuQ4F+30kkbB/gf/n/hr5CUxX/qPn4/1Cs8nkJG5519kNV+jR7z0g2J7Y7tElLeJQhHP+
kx6QlD/1gOjFOryv6zwH5jHY/xQ6KlsEiCl3Nfn7Bmu9i/I1lEW18h23Nm/qRvkArbLWG5ZxlxMw
L83PGMRpJOdVU/ZPsrSHpcOoagEyKDp82po5RAo8lv+Yumx9LrS0rErFGDZ6wjFjA2UrUamDeZ8Z
Whvono6UpTogW5c9heiCoDQ0t1XBsBYC/SkrVeA31cmh/XusjVKZB5D88+1sR9FTZrUNjnj3xehr
tdO18q5cENgdTtacspLzcZlNtAUcJ5dPCUVUFaYJ2VVGHml6DmB/gg2pcforRbdwfnGBKV8WXAdv
ZiM5wTHnSd0C+sONIZNB8xSr8XoGt2KTKQmTYgVX8KLWTlDDl2cSi3cOgkFlYQ+ieIdZGaXJbeZh
B7aZc6lxRcMlpZ3vm6jT22zpGO+DOYM/jI4ZTbSPI3Unnah6HfQsLhr2ptrVQwZPo+/ZYWOcalPY
x/OyAkHerTOnVS/EoOfnaKlpmoBgb9hua/KJqOQOHxSHwyhfwDu2kDxEseul2+G5y9XGjZtWUG93
Jw2O5OqYJwBhEtJoVmlOL8+Neu85yObpJAcd9Ls0s9thm/TsEyxVwl4bFsGvh9bNN3IwqpKSg4LP
rR36YiobPMKwWWaEjsI3vYI+2dVrDi506VxV7kmFJmtMZKNP80XrjR4YyUMXX8XbWQ4mFzpuGicU
faG/e1Fqvi3k/ba5w9O4zaOUY0Rlz28lpFsGOHSlsxvrqXkUVZfcwEkpXsDIu6vIVNDQGyMegPsk
sbmWnXdHLrtbjzKBoJyAIgKVUQhuGjEJtYnjot3OCjdZ4nXB3eS0eJKjbgxHpJtjEkSTt6qtMgdB
Y+HxdpKRSViZUR8IJsrDUGKIB+QbfeFpwG4NfiR4j0olQOn3g8p38dBK5uWk40FzRtjis/IgsVZR
/4g0+5U6z1ir2V/WYB4RXnkC0kPN2bjEqT2pIIxdX5xKt7CPeeJwtnctuVN94kbM8VmE4PgncdbK
0rA4PLdPhBC6c+uby3sxlNEa6ML8PKZNuY8WQkShQSWVrRoDkVI1Rn8311N1bh22uNVQM0VlJVUa
hQ4mvLVIovqTGzNsShtBdcAlG38e2qtjHnm3uOR2I8N+wb+N5XA31KSkOi+yxxVxePPBSdoxnElF
Bdu6siVgPScS0c0PcwvNneauKxn5BaO2+FaJfD60TIgK6UjRTp3mgBpq+JqZqb2GD6FDB2vj/opE
4Uwn3yY9fyaU74RVHgfTOlDS6/I1KinfI93KNmlG9173eF55WTL54/zfXfH/bTyRtEge/9W2eP6m
/88rJ6M/iiG//dJvGyOMat/BHe75tkCHQCj+vxujxzRG15SkXTz3GrV22bT+MavvGnwimopIYpEF
Zs/8bWO0zV9s0ntX2hpEBswYzn+yM161jz9qI+xvhBwdC4QYI4/+KcYplNsq04zrA25KiA15FVPI
0uM4g5by13+4NP9Ciblqlz+/FjFbk2sRgOv6WURUvYn/zBfVwcO4cF7ULM7ZaAXPM1fg1LZLsPnr
17uKkj+9Hjw0+q7oiPKfabedAdC78U1er8TBCS4AwO4qmxZxHibbOgA6dRkRNPkCRFYqn/76xf+s
XzrYbDDQEuWk5ADMigz2Z9GpNUxOXiA9Dks3DB8UFPSVC7wyp1ks02WKluA5kubffeR/cYkdrpZl
u2CwQQ1x2/xRNR36Ieu07zFvoRTTfV4kwwdi8XUrT+lcx+b8H7+gK7hJeTnuXtNyfka1ZtccnyQI
uU+MqL75df5Ncm3t+pbxBTKP+/rXl/XH7Mg/fameY1qujw2JADJjDX7ShedemEscXVN19dQymYbt
W94tS2sqSjrImCHWLoEfprKvIXZxaZVTPVdN4+kwcfOF4Tle712GWTLNoIN8QlyoSfoTXvbpZZb+
39wFkCl+vgk9Rwh0Im5BoNPyZx27KuGsZuUw7qlPY/vJKCl7bvq4MIEJ1YxDIh0r9JHE0Vxc8yKO
eOIZnC8GRp098VzXPaY91M0SV/JbTIDNXSVuwb0E6xdYJ7ExWiQ4a48K5QgiR6fEuZS4t3GROxzr
RtnHGemKlPTiLBd/2ziTOOPmYW7Q6Jn1Dfh59ACOh/dRGtD6XzoaM+8+zqoZ9tQyqQ2dZpnddJYz
3dP7QTsiEJ8H+8xUxucMzQpywNVReeiiDL7lyutngxKTBrEQ37hLJwaViTTNptvBppH9MFWzPlVm
UhCucNiFVYBoy2gSFgLKAZ7TSfXTvaGH6T5g4oofTlHbvI6Z5MDbmdbBhefThpNSzatfWure7HuQ
ykG7sHxNmFXpF3TOG+md6VJ3hZAris3m1UqG6WK0hnhyBnSedEmdN8jDkm1+DqZXF9PSGLq2IImJ
njpdRrvjkza5DTOp6HlBor7RMwN7mAcy+tp5K0auo78gWmHTFE9jwJe2+G3wzAHWeXMNCuw0ZogF
kSjH2s51OvhhMBlUnWhW0+XXezXJYmukg5Dq8TbNp/6jyJgLsrIdPqycYZPueg1KGPcVDhka7FFa
HqDEtOWAJSfwx81AavRzonTw7Desp+sBINy0KWeb+0RVrv1W9yiNSYzlkR5pcArmLnimD5Ixv6VK
uTMAfBihTXjqpsMHhe7c1NP9OM6NXisXBAlO3755RQQEwRTX+QItCOI1PbBEWBidMwKOurl+Vo21
bOXHdbf/cf3taXCI//g0RXMPZ6NvJD2Sa2Cef/wMDskqLGczY91Ykr3BZ31IvEGtdcwYKMIX3MDJ
9fFwQbo1e0KQUXSDM9JsQtVrAuHt5AcXC2pABwmXOhSHX+Gb2Xlo3b5xVn4JQuqR8Xi0K1ZRPUUM
qczo1keWwS9URSrMgxaDpyZEIaNKjj1RLWM3m2Om1zQ95uiCf8spVgmxloZpROBZTxJ2zCv0Jf2h
SFmpUCORpPd6NqT+3HP5k11fcY7pJdja1WLm9cogy054BpILHE2H69w/NQiDELQYWxdxOAR4WoQg
fKcDxzN7ixPaOjuEwmmg6X0UzNPNENfTkwv5LEyaCMMkRL2zTa4vxAIjXnpTtusG+OWKGVjiznAT
GtZJ28erIVLOF4a6Bjb3V6+ZJxGk040iJr+3EZiY7mpKxC6zXs5I5PEHZivEKlx9xypN3HNjVkGE
YZ7eGWM4S77wibMnnZmYwVHNMnwEKTa1NcGhOF1zcwdHO4ITuiaUADVAeF70bFVwIdfCsD9BmUcW
7dq3SpCCywrTsfct3CrFD1rcdLjOuaXm3EFqEfwHgt04XdjmuJdlROdn7xoRu/TSpTuOGM2rI4bg
uZwT7PJe7JfOylGKAy3D1J4nUgjnxhbN69xfvVuwaN84KMYIpy4LZi3zpwzX/eesA00bBrMD0djk
AJ0CgmBcaHAdxBZEmPO1Xz+5KAF0/xm+x8dgCJZV+s7RwWwVfF76RnwpO8NYDgteJP9g4Y60dCia
fmLEICzWoyst632JleNuSCMc/5EU7PosOYBle/KSpP3/SQsCA/UepevnHnEmfXCs0VBrLCMi/GNs
sJLV3UQcaNzCRAJH/uf8oD3LFltDYTu/5Qcrz7DfCVny8w07VvcJaKSM3gNfp4wMhoZTbxe/ZuyZ
jPORgT9wRk5M9xq5dCV9/gVGxAuGmXqf2pV/5yWWiYaIZkcyu8vDGYvuK+xTapFmcPyTpVMjzIXi
a4U52TEtDevnhpRezPwrv58Ps5X5ZzANbAukrjAXFm7/YRZ4EpwIyugqdxdumnbkTulj018DJ7re
SmNcMUU6uZoYZMBa2rrQtlZZwN9RBPp27pAEp17z1YQF7GScyWPGe/J8uHxpY/M/kpypcqvJioOT
WzSAJmKZs953qtvPiWIdVE7c9zvUeP9E3pS2O6AFZgezmZQMy/WnezyaPEsOIsnOm9nHmc+d7qxo
sd+WOWPB/7EEeslIuwW21fXW12aR3DO8BWM0wQz7pMfR3EEeXNSqG4z+o7JIDq6EhQzNzto6b17B
/tjjidPr0kmLbg2bs0jWBWl1KoaZc83u17clmC3BJL0ko5KIjOs4K494/k1bdCjJ8zjdD4rat8QI
vhFLUc1HqaWLPDrOpT3dAhiUVmgynOpVSyYw0rRRvOu0bPisWi28JNPHZu9i47rv2S2uWl4JPjNu
c9yhvqnAYcaT7R7HnEAxc5ec+TFiTtUr431ZWOfOoJffdBNUjX+ZGLUZdobGjE3ssagN5qqNifEd
tHRATlcH04r3TJWTGl7wLCfNbeEXHTt5GwziCac021PcIS1vOyKRC+8kvV5RjAIYNpyZbX1sfIcN
s2Opeoyu32iWEWhfxpI7riDDeQa7yalhkNcB3Gunb66ZM4725rMwZmzHXCdKy0csqMb4qFwwb02Y
6iRO/EuRwwRlq2rIjBIMiNs53c55asSChCTVMtPccKwDLqDcKEw4zSlJbWxKRZmugYcR5nIxjpEA
ogbxZGIec6z0ZxIlCt0lYVIIifr1BJb7WGRLc8vX315qn5UlV4nxMhlBejQIRhLuT9h6gJrvY+kK
crQoQMWoHT5H664rk+CD6QWExPoohDjzEPss6VYXj1thxgJjtsAdP03toQbRCWO9EJcKiEaNDjR0
SACM+hM5FQlzpPPvoDCdrc9YsD2GsJLUQKvQ0eteh6wK36uu/W4U810w2frAfU1hMLbmXTA05p1T
zmqtmGnp9nO5n0YHXAxGhceJfsY2YxNlnlhC7gwmF3KlfTshqz/wbbMvV1NxZOcrd3aZGzQarSH0
S3cTB8XtmBOHtbhUd+bcxJ8aNPTXrpbWuVYlrTganBSQU7srggIeosLyLy5UfiQKMMl/d9zIOVoE
PVIEaQDSxAgrT9uRvzey5ZvTunwhNl5hZsigwCegqswCLh3zbBt8bRFt3nlU1xUkMVkh2K9YDekA
3oytNA7EkJkc2ecFN2mZsNqkbscduaiI7z6aCmS4OWc8T6gou//mKH49Jf3pFOXTiPBgRXkS1qv8
md6EXyEL2PGafcNgcIp+hZF81V0L378+rv3T6cdneBaNCuFw7Ady9JOdGcbGMGb10OwLBvth3fE8
8dT2HdqyDfXnxr2GAo8/lsO/ft1/OvrzulAcHMBU2FI4Kf75HMyRvLAyWqV7JFf3bTDwo5X9VDBv
lBlAyMdlNV9cN2EtbtW1yv3rV/9JbACqhDlfcirmAedN/GziRvSle0K0dw9UmgMIAXf5xDyf+ibz
elb7IW74F42eY8m18mbaA4v7j7fwXx3rb3QsOKfX2WD/Xsi6TTkPjl36p47dr7/0u30ZJStgWrjH
xM4fitTv88SdX3DAyN96eL836sxfXHhrPEMMqZDEonjx3xUs9ypuSZpA10EPFpTB/6hRZ/30LKGE
8bAilv1Qy+jX/dRR6gROBLrbyXHBiAZntIhdcnzoKXJGbLDVqxmXHhgAp76kzVydF83YxtYvTRHi
I8g22DfNx2xg8s+mk1N+l/hDRrDXqDJCZN1uCshnDuTyODCnTbt2/Mm3CCkHV0Zlrr3tnDjJjSp0
fTJjvKCrWhanhoTkvVdb/q5EoN5FXuTt7Lywh5BjVbTux9wlMpp0hxxJ7nZE/10vQGwMjoYzm0cJ
6ufGAyP8Jceal68nBmqGVjJieDTkANia7Hrd2myA1+TjYTTf83yp36C++bdLbpEQ7yZ/2PADMSwv
d0IzAYCso8mPSXIGYJZo6ZsHwUjKfd5J46uu2YG8Jg1Q6yv/UEdl9y2eZNQiVzXiHsf0uBssq7vY
va2PWc5sNc4l5H1Ciwm3wItMWOoZJWwB+G9lAFg4x5hSb/pmMb5WbtwNK9HU8kyjszpAO39RwdRe
MkqqXZ746lPSDMMj0hkjfgtj6d5h5scvHRz7IBwdQDK4C2GJLVVA/NSvGBWceygUILcPiRPkXsgk
hO6tnSc9htLWn10JGoasdPFepMPAlpsOW8Fm9XUxx+KUmt2dscTOkVgNEKBoWW6aqFAokV6/9Sa/
l2sMV5xEzXmUHd9nnL8wdp18H1dp5K+VRr+VPXG2WXhR2NWlywcFYoKaFo0oqY6xzwjJ7qY2Kp5Q
PZLPOdjxPNSMhpAUGlgQSno8AnySg0kBSilpwpR779B29ng72sGCUadmsupqFoTVE0jaBAAJl4Ya
E+e6wIwXr+Ba6O9pJsl7NJNV4S8t+mUHYLm6T12HOert7J3wEC9rZ5nxYHZ+edsM1JXSsMQcYuPB
TVDbpFJXTt3Ez3hppLsKsCu/t5MmFp43DuHoouOnGrPcL80Se/B3oJ/VfkWjunSCB4ZCY9zyjU2T
lCpMKFXczjmnJK+/VhgnDmYH6UNnBAjXwJTmnV0l083CFI5+mwVDxbyELHoxSjc2jlEr22wTVJ74
aLXZj6vE1ONFLbqONoqW5esQFHRH4qodHwQc5i8EDRiq0WjxlndWp0I1D2SBtVf4e9vKNQPu/YBT
l5yRkEtrwluPKYrNFtDHs6XM5KY1E/t9dFvKF2Fz04bArIt9E1f+l4zm+S0Zw9k8TEEePOHjwEg0
QyAikptcg4ANEdytn1TlmxMnwacutd8NUzdk0TrrVozu/M1pGFjMPSHq6sr0qF6yeOxFiEyOOloV
Vfc6eDZJutnLGvJpNagpQ+H/GBwnOCUSWkMzdA+iRzVYAa0eNp2J648JePbGh8kSlugnlCikfgnx
p7D/AxyXemiPWNWhxJi9Fy5WkvlcBzvb1QToM7JSsxcaQWPuCCinFzzvDo4XwK5rIxgiG7ZVZ77K
PAk2i81iqqTZYA2mVZ5RoTXFIQYHes7ta443qK3h0qHIXUMLZfY5T7N2XrVisDSLWTQeoniq/Ovs
8OaL8uam29uG3++h1VB8A4Lq72wqnq+145VEsEWm7ud2NlhcloRhBUYGr4YWqNoaftJ+cfUM/Qvq
xSvMNXFr9SnG/EH3zGqynLmLwgC+wl0yBxG0DNkgxCaaqAfVKpMszeYRfGvDdLdA30AmTsOyyEkN
VjgbUefXpPSKhwDH31rFaXTIcpbNmmT8jjDtU1w5466/UkhSyxY4VLuU7LORg3dD6nc3LQNPPhZL
TVCdhduua1BtQJASJVeF6Wd3ExhZNd7YeOAwcdtoSOnnhRRMtcfGDSjlxYf/h+mNCZhiGF7oMYLU
ieB8ryis3TuR6WhL5KHDEVSYF7g7MWAnMqIes+oOKtbPDhC6S4vechkF3e+VmWbRM0e+6oWmno+1
wKv0MZnj/NmvXAx3veax8hmBd2+OU3kPSAGOLgMCwiHN7XMQl5gZ1QKt0Omgcwl2u3AqZ9IMEtZD
64MOxNFUlmf4B7xdNze2yPQJF6YwGh71QNorwvPuqRW8/WUa5K3jAK+AhjFEj7bfuRg4cv0Uj4bf
rpj5nHyzFmO+g280Ih8bbX2aabkyzblpHjEBe4eYD/61IW1w0HPnYJrD2krze/mS28yFDRfyHftY
kITJ6N2sJjGMG0ZUjZt8cFiPkD2WGzks3jX4g8lAZ/dtMXYrpwXDEtW0V1hk8+iil+hQu5m8pSAl
s18tNpNE/LG+jxePCSZcz6eungTTBhZ4YLbh7bK2M+5y5tRY2N6080AMKvlgWFC6TycD70XXTg2v
Yw7zcV68+UHmnd7RcAkOSoz9M1wzZocLGAk8T3B7qrHu6DN7QLgwVaoUbs1srhmPAeoFFaB9oDPI
ybHPLMKZgSc2CTMowQkV9t2Yl9Ht4gXToWdjTFeN1Ocq8L+adRp8FT1RaDwCTvuSwlr6YuooP/S1
0ewqKzF8QCosNdx+CZu0jbEhtEzT26Yqy++jgBKk8Ty9zgfhvso69e8krJnNkFwXTULy8ppq0c6y
6Top60dEg5eU8ams2AnF+03bt6MIsYgz1EYxXOQ1NaL80RFB394T00/7vYXxHZC+S5QTSJNozZN0
SXLsmGJRmQBTmL7dhGz8XPlaLvNj18ZAIC1/3lqJ622bwL26oSs3wll6TTjJOrsZCH+WewhNyQvI
cSd9ky6POK22nNnoHe3S+Nomm4Co3QoBWn3Y1b+OVOeWlTQoMTC5jFtvmbxO2Tt9znOj+pqpST4H
w+g9ieuo9paZ7S1kgA1jh8uD1/ZN6I0Kx2s9XVxmvbMAfreZ/Z4N7qt3HQZv1VdCgH0dEd8zK94L
8L2jkBb3rSg22i6NE1+OxJPEkPkKKee7tTgKa3XTMoVet5afrtIxLfZkY4YHy9H5HJJMSUD/dfCU
nnx37DblIpeHZKHewcRB6OQ3IvR/T09/c3oSpolv798fnv6neHt/K//sAvzxK78fnXD6cc7B7Ie8
L8hvc97/Pfnp/2KD/LbIfEoW7z8nPzko0Y4IfBMZGVArJ5/fz1DmL1LaVkAz1UVPJ/P/n5yhfu56
XFuyuB2ENOX1rPazASETjbR7jLJ7HNw2yaFsXvZjYPdPf7gm/8Ln8LOn4voyRCWubg8sGvLneeGL
6LsZkKOxB1aOnAvyYW2Npn9Xaiaw/nrO/7fDlX8W/HmtgAYLg/csKP0/bJd/FPz5LrI+UFb0v+yd
yXbcSJZt/+WNC7EMrQGDN3E4vCPp7EVJEyxSFNEDhr75+tpwRWQplFkRlfMchNaSgqQ74TDDtXvP
2ecw65V3K5xmuMFVDvhzEfShmef8HRbb1P/515NrxrYtEDXopHEikPn5JaeMHVaXTXhIqEeYrtVV
dw2MlJkvssXKZs9mHClW2dZO9CBEwAORuoyVCYbtvrYj3GnDwJGun1AhqzRpDl41UfjPXiPeSqDb
YAtbD0Fa5O0vIx+OhoZ/MZXNjV7c5xlBqbnWdM+MrcsT8aT4hUKMjuHcJWcLgTw5KkwB9nMNfoIh
LCFwXVvcG2SAfPdo9n+K6aR+kiq6Ef2cBBTSiKYBRx4WDig3TKMd14/p098bbV98LOZS3TLZSZ85
h6Ub+qX5zq7jEjAIJ4G+KseDqFCO10tt7N1BQD+v5zHQ40lt8s5sr6TeVWfwNQjOQEG8ijzSDrmz
oukabTzUMwwEumFe6FBCGtW31iW23VmKCczpEvcbUY/wUyhtd6I1mi9JpnkjJ+W4kW29kfMYje0X
Btn23F7HpUp38iICHy+CcBGv4nCx6sT7Rqov6aodx2xrPHgXQTnHD+89dYmM2xAtg+S8MGbk5+Cp
pl2DSYMu1apPz2Ja3j6U1fxWXATskKGr63W3v5pXfbu7Kt1XueIWwB333kUIb62aeCyrD/GU4MGZ
0vkhXpXzCDiaL8QjDrtqEh294lViP5Gt996suvsYAf7cpGobEU9xFTHkZu6x2DF2Wi5OXIb5DZK8
5cUyDe2e0+ByLS4y/3bSM0h9g0D8T2EoNlpF5sfqDQgRCR2G1S9gzkl2LTidvEcIdt+yi7FguZgM
tNVvwCVoSXRzvtVd7o/g3c5lvo6CJPLH1a/gYFwIVwdDlkXPXgtLpF7dDdrqc1jgA/rtNJYEL1mC
Mh0/hFTdVXqxSEyrW8KhTH7FWxbyxRJxDJ6KeHVXTKvPIlwdFw49X/tiwqC9aXFrs3qm1aNhZhaF
KraNafVv2I3W3RCoubx1q7uDT9Z+UzB5b4HKYDZcXSC13Wk41NwH4mWSoMcqovWNeUaVYQTG6iPR
VkfJ6DnjY3lxmej4TRj53DPsfWEoixUl+eFL6S4mlfJiWAkv5hXnh5NlvthalhaHS3Yxu0DZxvgy
X0ww7sUQk/9wxzANwirD9AnbTPbDQ0P3fnXULFpVb/t5aNMni+AohgsbQnHcYXySVESBp7cy2trg
64B5hkQLUM0Kzu6dW5Z7xk+OZM5hEdGH1MeA2ueOrdgmuTa7uzZtk9piut+R15SNS/QwZPYa5qeS
ITo7NTDTTQX2fLyLsBHQ6VJO3cZXXqgNuM+IarK/GCruGzINylCLg7GZPONTiqja3tVwvOW7XEfN
m7gjbe6UMVzom0fKU0CCELvb7Itmq+zRG4pk3+CuX19M2odB4CyW4aytCTlGOG/G3jFP9jRUYoOH
AoG0reECt+lBncDB1+iSJvuA1nU1KGe4p7fF4ulPRlyh3WgRmUEACZ3wcZ778ZtjlNDwSpxYO/if
5rHKkQZtcPXOAPRz66haTOLJahfuih6JeFGHaL8BGDIOtCz6F3KQ+g4MQIVMHJu0rTxcjq1wJzpd
MVLaMPS+Qo1FW4QQ+nFpidnEMaL1gJiGsbifTEt9t6CIMJGBZL/LCCO6Ujiwly15Y3kcNMTTHl2R
e7e5nTiveQH2aWOCYdyhwS7utTGT0KLJMit9Mnz5f/ZqnYbEm38yBfPOPEsdQjcXDMMRRmOkNJQR
OpsHjm/Wbb79Tw+97JJu/rsqkBLpL8vA4/trXP3cQNd/fMcfXhBdxwuCsZNCkPQ+VFP/qAJ1Xf7G
aF23EWT+0ML+0Uen6Q7xRjCLukhh19rs9xrQ0n+j/mOSYqAvZGFRov47OBDr1z76+hPQ1TrQlXQL
seQvySWZHtY96nXnbMeWRsJZOdVXHHCww2muPts8jSfAvibgAQg9+eOSMCN70w35Pa4W+9EiNhPB
fmU+OY7OkUlqyZWNUAXOGmFz4UaVjltsaGx6Fc6BZe4etJzUbWz541g/i7Km4UGOSW4WV5mXtHvc
3GlKuG7sYZ+vc3eXtHF5LMLZ9GXa14ik9GhbFrm1peQGoJ/oBk8Cr79nrryOXznlXuemUtdtb3T7
2RnqE6EG4zutlK9W0eHyBS72ha693AuVqK9NkQkfn6vD/LF9NaEA8vu6MYZzaeAqWOZ4OggI6mCV
XO1cplo4EQIx7GJSi2g/NZ4BHcOXqteLYWe3kB83RjKmt1ocGy8DLgqrN9VWTyblt2Q3PMzt6o7v
a0wunXhh3XvPE+3G26mczL0yvJdpAik8CAJDzKG4t1KtPlh9Y5ypBppjD5jCB2aeXBcDbDwI0ckN
uQuvXldjt1elYpNysqsaENEefcDwRl8gPJIZae6yUs+/o09pgiV1USKi0QaC1jbVwTOS7z0d78AD
l/rZ1l2wi1GC8gM3T8QIPHe/og7NAluSGDy51UuRFC8E/iQ3+H0WOO7j8CUEKBdgAoaFmCXkbCpZ
IH0EzQ4NDn+8vjETr3iUC9IH/BmxOq535HM9tM7O1YmfBU2fEy1j9HWyiaXsePdg90uNJ/5eDKYz
b7Ep8ThwMj16sDI9u4P5tdyGY8xMY7Hq65j6h2a6mGxexazApUhrT1Ax2Ro4I5LH0Wnza7tQ8zXq
MPPGIPp658ThCIaQMICybYHKuhYOKF0wLu8zTX14yOz6TTRa+p7w1PEau25ymOyyve5CF7zL5IzR
O3Ryzc+VssleB9PCgFvJKx3yREUAtxRnoC9i4zTeghanRIjq1w7xnJHb9p/MiacUSSRQBjPC7vAN
CgmlkIgXWM+G7WdaoaU8Jw3vCpkNaIdOWT1e0rpqdt44XZMyNoJCcdQJ0GH7HFGwFui7jPijguMS
kOHiHSRwmevG1t4dpmQbE0Yt6teQPohJsU3TbIkY5ShT7WSKiAs4CdnLjWQuAgAHuHsMrMIWb4Oj
5zviF5xvYJ6XE3GlQ+w7Q+zQH6NaBakwfiaEwLzTslBuhXQJTOwqL8KhMc5X1agxAHPpdJ9cB/ni
FoZzHDBjWe6kbVXBsoI0HQe1HHYR49jSL0MAAsjTzcf+kx3b1X2CD5VYgXCVM3hRcqUpk+kFWuKC
4xW/kkMCAhmaudf6hRzrVbU7o98ZUrqG4Rwko7s8D1M9bQZEYbuYYSLhHoQBNp0V3hCV3Nw5tHAJ
SmyeOFA4D+RuHJrSXG5H3KN+NdFW71nWUIaM6UgLGqM3MdJ3aWGQrDHqLZYY5c6P8JnVDXY248lg
pvE1EXq91WATwuhoxqM7J3F4LBlsPk5pzQgD+zhRB+KGGhZjUzXeR1bdXM+pSn02T3Fuad37IF8w
yxUJfh1RexwDRnFcap2gDBtZosVcDeSkcQTk62wSUj78qVQGZUwY7RsDt1WYqCdNKqB+s2F2jxju
5++FUDTXNDkfwOhZ95L0yIRPEaIIbvSYk5yd7WU/qW0SspELY+mu8M9Nz5T/1q5WZeQ7nFNuxFQy
I6rYiDziU7dh5rlfoO/Fh1mNua9NuQf4qJs1dG+284WH4HLAyqF911Naf9MYm/7sWP0H+csVGs6k
emhrR/cV9FMMteI1WgroeXqeI5gZBs6SLWUi0QzxF2OJuuumyB9aCDkYtJzSN5tGXRl51N0tJY7w
cXKXO6Ez2GwplutN14dLYMH73BcWVAEDm8MWjxNtYshp36OV8kGe5DdacYOfsWcS/ZuNsd84tnYd
azAxKmWPLwz7Eh8t5fLgIBADVVM5X0jMZW2YjtqC38uPOrrlG/SxGhtWNG5GO7G+ZjkNPRroyVkP
KdTJqdBf0ZBaMHeWZ449oW8gRj/YgKALkoBC+zFJ9GmrxOIeCXh4AGZ3pHogdY9ZAQRQQUdzU2IJ
2MpkuB9RT7xok41fsy9Q2DhlTH5oO5cbrWZMICKnPnlmLU8RndkLKtM7sG9qftuJ6xZ10MOy9Hfo
VqEY5iK/6tfThc2995QC6j+FlP8sCWSudGY5iEfxEfXyQ0Yd66Mwq9yNaTKltkjNpf/t9LvI7fKg
ZRriCze8TkEJ7GEGMxYCkwMeRABzVYV1ZEHFu76oYBqiidkYwAKCyQ2L68hu2L7HcHyNE6H22iCc
q2Vo5Tdd5vlbg+TsbLfNPTRl+3FxrWdozO058zgcjKMpj+gDl70LXz6obTk8t0Xcn2yneCWipDvG
qYx2dZZU+4Gz2aFfckZpE1RdcimZHFhJZKGeLKs7NIUMlHhyDZs0vdcjZXzRxnK8Ztw0UKPr4fCC
iJ/GxTLY14VK0hOo311loukThoBEYX1iFmDRLyjyICnNEGHukD9hflD7vnPrW+V2hLO3ytyJOvzu
AozyofnEe7f1kJAzkzq0Vb5cx8zyr5SdRUzO2wQzAfIxteT11nLs5cOu86e4oMVtZKl8pOMAY1XP
Op/3x+w8NW8GdlVGtPrXsGXoW1RWfJuq6joftflmcqbrOdSt57zOgGWh8wssrRn2SRN7u2TKwq8N
uMu9RQfqK451cAZe70GaMIYjGPl+h/7064iUADRVoe8isAXZShDI+/hV6+GJNzOAeummy8nz5o3M
ohwM7ZWsHOwNiCLJSMmryI9dgZRbyPw5RWb2SFGVXZW1u578dMzxyZgxS6uqTt97MlLnPLJ2hWOq
vTuJ5mY0LSJCJ1vbg1IvdiI2omuZlmw7RtofIggCUFvG1LmrbfyxiGlB8Lg94tCUzLPRGr+2Ontt
JRtb7UfgsbcKIpiP3VQ/VbBOd7Y7Tq+9G7o5h8tl1X20jo0yMwLb68y1tbWrZfpWokX96sygaShz
X4vIC7e8kY+iL+pdCrOi8glgao4zJ0dGHZl2iJYGwbqss4I+k5WVN4o8LZ+ehoNqo6hjuLwRA6WG
XPdyGXmkIYRj7I+DI8vSW+peRnYi36GiWHYiVDxBiRE5LewD+COpNmPXFQek/eID65mNFD4fwLqD
uILJjhAkYe5K6dEEbZ7d2xLhyKaFGX0VhoQ01KWRHhG09F8rvY0OxhSGgSx7kMkgqTLwan3rw69q
t/VIxsGmRuHyuY5F4+30XkIIXcS9VDyQUP1F6VkfO/3bRCIcA8GJDWEwckhgmbELS8S1+qM7hX0a
bsOBvKhvSV8MkPCKklj3J7oJWUaGAtZPslFwN1RP4zxw1arufdK0GQMtlfImbRx9McHI6YR0lGNq
b20PUu92BpW5RXKYdpsB+t935aj4ffR4h9QI9me+p/qqRYxYZ2NQR6AyE272wZ22onWTUz+49U2t
+OqqdYh3YOWZ2dzseEXtJvOAWfTgQhB626rCnD2V700o9JsqmdyjY+gkdIwc5s6yd56WGC1bDQHt
3SJrgVaXXNRVaHtjYC9e89AUtblJnaKBNKaKezHG8dYBcwaQJx77g5V37robzFuqPmNbWZQwxtgW
myhKsgMhMzDcCea7EmVrnRqB3jdhaoBMIJ62tjMXgIY1Xk9kqnqeksF6aYH8T5sWP7Bk9q4RPiUI
hiHAIH0YaTASXNHNX5Dp3Uapy2WlNzE90iGJtgNOh9Dv+oVsHvIL/LRr4RMTJYHSgbibfhNGyr11
eQqvDt66P6atTo3cIow+TUWaPkVu3n3pKD05M7XDeS6X6LGwl5aOJxcbEnq6R4qw6luMIj5r4QAU
ucJrHzi9Ekew0vVjGBai2yYVX9oDWYOt3JQPXYRgIKr1+hOTTP2zrtz6c1khaymkuLYMNTJQLYV2
MA2lGIp7NID7QVwxblWPQzy1BP2Rnydv+imm2xfXr3JpAH2phQTPjRaLxQfdzGM/WSKa9CIHNJ3l
c/6SCpBmELrDvWt4WMnnXjf2HIW6Z2AeWGI04pmYr6CFKiJFFndU7tIGkMh2akAkNw5DajrjDbVO
ndTGNozt8W2h6qPi12w0LNU039UM+1GUe3ny0EQelVi9QJUb0t4IWlfTA0Mu3hGqYnKMlyW9tuMh
ORYMRs65zclBTg43k9DecrdanmNSDyAX6w6/HICwKhB2Nr9kbBUGd/4o/CWVy602oxvKexXuuxVF
Xa51krlwXzUL2C3GtNEpvNigqHz9BMrOoUxDnegKnXkHl5FCVreba9ukuE5KUMjsYLArCbnB894m
QJs/V93oFrd6lrZmkIP9M29qnafABpoSySN97IA+wkPuLO8a3K7xTr9MTGNk9Ek5aPNLV05qelpG
DQjgRus48HZ3vWhNaQR9Lw1JSozZTOMVl6Rx3V0V1TH4wVavYHb9V4EfJ7ZAy52XaNqHmqyfchzt
n/564gWN4096YuEKXKD4lSVVGd2dX22gCiFVmpv6eI601kZiY8SAcAjlm4qj5oJVjL4ahbkfUuNk
ZvZOs5qdHeuBK8nq6ZcAZHjAr7r3lhRnV7L/6zf3y7zqx3tz4H5YjnQAJfyiBS70oWZog1JAqeYs
FbUio6vhbyKk/9WLwBWxJGg4T8hfL4CddpCpvWE8JwZx5/znkA5Zymr3n5bk/6UlSeMPkfX/Ppj2
X/Pkg0yXP2OJf3zXP7qS1m90+wgtdgwDEa3ND/yDUGNYvyGspQVjMZf06Ar+jxHf+E3oBN7ysa6Q
jcvY+ve+pGn8hm/eXT/yH/yaf2s2ra9j058k+YIOp44YH2m6yRjcWHE8P49VO57QanUzncvR9IJh
BDMLhCNdO+JyHO6Zks2ndBrKLBAi48lSWcMz5ob1eeSV9ctPV+9fjLB/tVmv78YS3ppGzHRsndj/
+d0wM1CZhxD3bNRIICOM0xzqqWVjnLd0OqgyLbQdEDU4RxcutgUS4BG1h0srrVW1U757Xce5ACIp
KSB5rj8vNu1VGpR2+F2fNX36sTL+10H4ZRn/cv3WBY7wfu0Ru8YvbV0rIcfJ8ebubE6AMbbOtOTP
A/Z8c9fJuaIuxiCZbhMocNQkDjkSUCXNfUFoAR6XgSqLZyOqxURT9rbtkoromCJm+kexnEVBVKXx
XdZ7p6JFQLfFe+B9auP6KoP8NwVJqzk3nCOG4m/2rn/qVXuSFjqqc0kZxcT8l71LYqUmWzBvz8AK
vE9V5GInsOh4KZ49eLfGqfEeVajnn//64/91N5MYNMkQNz2De5E/1rf17fUBWGT7//+f/l/oyyNL
cS48ly60BD2L+zNpx35CSMrfPDl+fXCsr4QtHkIDVH5Pur/cZwq8zVJDqDm7SsAIRp+d78PORd+W
qTgQ0JMXdFqzW/kpWqDi726aX7PoVzWKMGwkJghP2B1+eXkpzYTCGe0AhxP7tUh7+zXL1/dgL0Ub
kJZSbWbBR78f85r2YZ1V8jtxS+1x9GbrenLMRvhIA4hCTGlGPpuNMhjquvP8XeEB2gK8KGgO0yps
DrbpLP3fqD9+1WKsqejYC4BkYju2WKurE+WnD0o4vV3adqghxA2L16TpcP7qWtaVFjXPXEanMU6y
N6ymBNMudbyjb0iwGA00+dExAOakFkeSvIp0+J40pnyHoh3L01/fTJb9Tx8ysyBuIh6+7K2sToZL
P79LB/GsaOLOvEmxCYaeu+28eKFTOQHLgXbe+81Ui3ugzPT0yWaTfqOX2Kgbtc8tmDtZXhcPKrcB
8ch8jF7GtKg4XXbdRtm1eiZUlAqjLkPEGCvQh2gpsAJh2pbncSX+IJsk8DDS0a0Tj4Rv0Rji4mCD
T3ow0uiOXpg5bfJe1ucOnFDHsNXECQZjSE9mg73B6hea/qObXucrjwjQlHWKV0YRFRW4ohFxdeGz
UyWUOivQaFzZRnQrte2STt9UW3ePvdAoB+EpSyadnBWs0DCe6lgfMywTGuCkJc5w2poCnFJS1trX
fmUsKdWSp0L67FGvvfw9GTjUbeAkZY+QGiZAeiutqVm5TTPXYa8zc7utR2JNCfiod/oF9ZTbklp9
GCOGH8NKgypaE4KB8m7jkFRdhkpVd+BRY4x+ubKk3E7mn6cC0bjReOrRJr5r33u4MXatUyyvrlNx
jBZTuuyGzI12Ggkkr+QQjh/kxStwhheoVRmtgKtpZV2ZI9SrORoAYDUrCwtFTHEAx0HU8wWVBSRr
IMX0gtCS4cg4u1rBWtbK2DIvuK0G8BYMTBBc40rjStoVzJVyJ3U7EOMAuyamb9egPZY8vO/HuiuK
DdGVc9m8x2FsGMuXdtSmNWnJa9jKq2/GXKSd2dAh6DlpnbusI4D95KG73ZM134XHAlip2ly46IJ2
4TGdTYxiPZ8BPWVk3aRNxcwKtnAveR4i6hnrgD5/JPwm7/TwNkajQAxzNkssgTNd4e7aaTuTO2oM
aTKgcuVZuHO0OA1vB5aOw9CJdjo3HP6IYgedoPE2JJQAJw4mohwZvHu6R3hKCA3Mr9oQDzIaeA7z
Yy6BfrQhVcHOLqOCs9uCPR18dUYEchGvRruhnaMWq7BWQLuMEvdD6wecQFtRMS9MLLd3zzbNcwiL
puyknfrlRO9nPrQw0hqSPaNYrjjcAfSD17QlHtbcKeYD2I1C+bYxw/GQkz2Th5DUWLr5WI0XTRW4
csnOyxCoZ4XQbqEvMK7qu7J8ASXhFUez8WibZnHnPCw9cocdfDFDv4o5/KNDkrERd/uwGVT5yMPY
PBEDY2S7XvEOgqrLowWa5bQgEE7pvd8ULmHjgcZSaYix1/tTwyg530ahGfVbybgV1tvFelcuqbl8
R4blOYRNdgRxmnMR10cd9NYhSsgco7WY1SaH7gSrUh9mRAiNjfLu0nBMLd9kBrWQ2pQu2hVCMGun
qzDCwxt7UgX6HC8V6msdWT3chRg2F1+30fHUIDCrIxNsCa73ZUO4o/a1Idxo1lAlZ65x1heUTMnG
HSzNfJpzeLNnR3lzxVm47m7svuSRFBH0wjdg8eBqMULUyy8MeWFX1HOBs7FFnZxc6V3UPVmpAd1k
CjEuM9Hmq3tyYcygdRZ8z6S5rd5ms85aTvphkOhJzXx4pLJIo3R4ZHQxvqkmNg+DHBE4u5nNiZkE
DX6OnVfptLtAZhYyq637C7BG74hjxK2sgXDv9Blow2AUKezPCbn4sZQRhJ6LQxuh83pzpmnd4rdp
ETtNswUXBYkbtWM8lryxqmXTveIJ5n1idM/dXbBLNltX9yb4c60XGndpQwT5g+GWnnWcrBR2SgcW
muIznqc7m979FFRjwUtX1YLdm2l+t5CiLddfvoGPM7I/8b5I4WIKU/Jb9DXcZ3z/8E18LxtYOswy
suS+bCRLvumpCn6wT3SjK+PbWrdm7CymigUfN8Kg/qYA7LJOY/uaTFXBGZmMgRofOn9HV8NvxAZC
ouRaJ3dlAfnJ9E7ukMCkd8ne477ASfY6lgQmbqYGpZzZTaK9AmtgpMApyyx9dHlawBcR+rn2ovqL
hZACUYEVJ8YJuoXXX4Vogobt3Mga+Iic1+E6l9UXsp6/ZXlm3019SwZeLeYhexmBOLYH5pLFx7x4
6x6SYDrZcg5wzQAn0cp1dwrvRRMhwRyjQsAg4aoHczPGD0nVtVcEeK7NR/jwEduebfE4ig1YDak2
REFulCyTRQtN72iVlV4ziJ9hC7g6t1RALDj3SGpjktuRTzkEPGTG+kpvesPxQy/vBp60GJcovRkq
cqr2nrSZMv20oHjQ37uWXJFNgdRkOCajwY+aoOaSHD9GTnRktouPQCPdisCQYehuplnmj+mAWNKV
7cEqSIA6LCNaNZ/w3tVIlmdVdVM6k3WtdYLxbFyXxXAVzaOKfddmnvJEJQJ6AgIQoF2ZtDT+4xbb
lTfSyeMpMNePdMj15LNeQSsYNgsV2PysOlPz+GGkpYNZJFTspIVqfIPPqA1+LlsnOyae0O+nVguX
fdMDYAmSZcVuJkaXmndTli/2uXDUmmqsGArdWHpsTT5cjLENRkKYi2B0gfjQqpKMM922zQN9Mqdm
OzBNbfbQiLj7M2vCzTaHM6a6ULVO/TLas/6UxvAIWQ7JigPCCnNXemAJd72hPAIIitgZN1P/xXD7
0dWROw7yGbwFwJfRjjqLXPrcHR5qEPrEt0bc0QHhJHyaHBxQgCRmlyEPbVRs3hkTud/HcFrDOZOJ
ydNN1mgrtKIlCxUETtF3N0RerONYL4t2dMRoAI6ToANaW6x7+mU4IK0wljeXqvQ/Ev+/EXetuUs/
1e//lO5EpVo1r+9/knf9+J4/+iiClgiZTmiyTI5Mxnpm+qOPskKAbYdRHNJwz6Ab+D99FJ0+CgIu
mhycAf5M+nXQd+ngqhwJJUFCEv539F3Wr0c6Rjyo7z3OkrycRZbanw8booiVCDWez0A765Qxjee5
c/+5gTNWNqdUFCujnsm9S1ddth0K4WuTHXAMosKzbMngqZotFZ3WdNDMvCk1zsi4lkgajUQKxwNp
ZLvvMxp+4T5zExttks0wEM/Lwr+G/QHHFq/1LGy0FwvAjL6g1X6tDwX5jjhcXKltYsyCvjY4BKWf
TDoA7EXmmCe4CsNwwJdYNiFAfqdr1PyY1kBPGXFY0Sjv3XjqY+82SbpgJOCUsX3hGlrhUyGAXsPu
hcMMUThaWT+y4Wf9ByvwfwOB0qTgPvqL/mNVlt+/dcm3vvtZF/nj235fOJBAAV8KHeaGSSuHVs0/
Fo40f5MsF6w0v2NCOcf/IYxktUGTNCAH4yiBX837+L0BCQnUgzBhuxSzmFpAa/5bC+eCIvypg2bR
8KHZA6OQx7CNEvOXDhq1PDFqVTIcqhLuixGTqxzjSPNt7Jqzk725YoCkWy006/vJ8xHjtptpmjMe
65nyRec+MdrKTlreZTcT/vPBhb0iNYceYmNiEtWo61NOzHNPxi/J0cvOMgsBbk2ZrIja2ymATRwg
es+nI3avWApbmNRktFtuFug1+csR6uQN59bBT5E5+0LUQKay9vOQe089ihqelJWxcgXfHE2JbV7w
5Rm6KJyesjmqofmsIwrxcZwxheQUFhSh/ATp5SE19beh4eUdW33OK5rNUUfwdyU53TjGPQObdmOU
/D6OmrpANPVnR0+9DRx+7IEXphxVLv7RkhxNDVFG4x4jgjI5OHFpBg5yUcdwckmzDyPTJnz+XMrK
bdqtIGFqkw9cAgtTAb8Cl0EggwFjseX8w3ARkZw/KEsL4pBQ3D42qkNq4Xmp8igH2+/wfzPrfnT7
Lli/MwVPs0kAPmywuSNsnLkEKje7wO705T6qcAAzHw9ypBh47ck9sC1GsjSdGSfVvCETQeUWxuZz
1nLSJabN3XpV+TGXNcWj2Ri+TfLWFlse51kvj76FuUZCR+M9Ie7tArMknKgVhBWvaaQ7qnt3UzEG
J1TAa59wh2e4ezAxKi1fdsRcL4fR5eYwKYeoLeTR1bWny02S1LO7na263SrJfcAx5r4YXMIJhPdE
TTJwTuOPQtj3Q8KbilKy1vABs9+nGMUB3E0n6XUG0Of1Lur4WnRo54R58LauWiOQRBn5TuhwmKeE
3EBlV35h22fu5w+c8OYGX5e7ycfkDUcZn/3C39KQWfKga+V27FxCr4eK7ym4Ssgq3C2TuOVG1K3n
N23z+fJ5FxFAryHntgLotOyimFtGengKqprnRU+o1Uno0QeLnLuapwGnAe5O+K2AN9a1AIt6fs5j
/uq4pK3rvBFWnrsZVIZPmcsFzPxp5vwcjDXrBANreGLYuNyQm6d8T7afJVoN35F8wm7PzQS+kzw4
LgYMPwCGpH3dkHzyVuDNCkKOCieyN+wADJXy86wNTzMiqIeiTZXPYJksCoxttGWU2mFYNoImq8S2
aCwuqRh4D1HcXrmtNu0jutnXZh0mHHdwWGeSRUn+zzVCYQhKfcVdhkOA03CZ3eBiF1scv2LrDjEd
gTnKA8E6wWmU3A+xfb4sL8I1loPQGQRPFiD6HvT7pgIttBEFHzdIgOwEZKnEyW5m+NPXZZjRNL58
tsREmegDEXNB3mQL4RYoVe3Rm+LaXO7yRWbLrsJgum8jKws4T3s7CPH5dtS4nS83wHqHs8TvE2sp
9+bMNuYNrG8LE+rh8jF3/QiKsuE2mjKjC4ZUD1/VisiwY37VhQOiD1xFg+posnuRIg6ljY9Azz4i
Gg7McFk9At2ZXxCn4xulHp5E05fX9Gqmsz2hDh3TNy2iSNDQGV8jKsmCXLIikCggsbFZp+jTdULT
kDNJh5usLEgc0Vpm+UvJ9iXT4rVs2RxoNlCLW3svzlvkdxM/TB8HH2skcpNOmFv6ZO2mNtrmiIrY
XRso7nZKCoHRzTYDLY/YFCOdzW3ko9Mk2uuwN+5jEDj7RS/nPUcfI1DWMPgY5ZQfDryFEdP+hiVS
HahY+ANA04+9yfAmI7gsWlpdg69F2hM/O76zG26JxrbujXl1D4Y4uG0mTzx2QB3MWM7pSGKZziry
n+m4lXTjrency+yDMo5LM7MCLteaZNBsC6Asvut1PlerpKFoESq41VybLdCyOdvmWniHjoVuVQW0
zw3rj1ryz7ABAxY9ELmE/cTS8mSnN803VyD+LjUaq1UtP6Eyq4JMi2HWIoEhxYDwTjc6zcm0knfz
NidchfZlYGQjLp9yAkG2hVr3NbNRim+wRiOD8lydODkG+OmbAbdqi0zLQ5wijCc7yvJt644qvaGP
15+SUfARmoKOHRIU3eqDNWYZTmnS3SF5cHBkIl6O5K5pJwIa5qwTARDFpgV0ESvdd+paO6mwf9VI
iHnHO/rNSkSF7Nucsg+3NrWFJrAGpMdn+x8P5KhXO876Eyq9RquReKRw8IrUGjSoZgZsN90Nb7yx
WoDKmeWIMtGIXXmkN4M1vSMHTPs8RxbIFKygOdmZntltiA/THVJwmPWfEYEacxDhGNIeyp7yIZbO
00+l2L8YZq4V/y91jeVAC+WoKJgPmtRdP48fck8zFguHKuLwmWSrJf5IMh4uZuk+9U1lclux6iww
y9u/fl3OVf/8upaOoITxscRz8ufXZUJkzKDt+oM+XjY71qCZZO/lf7N3HktyI1kW/SKUQTjUFqEj
RWRGSnIDo0poLd2/fg7Iqm4yyWJ2zboWYzbT00wElOP5e/eeO2lZMNfZy++P9mpmt1Rvy/zTcEwm
1eSdvDqamiLS7VU57HPJA7JUAn4WahsEGfq38/p36/zG1pkpP3vdv98ErL/kH6YP7ZfvdwDf/s1f
OwCbnbPPQBfRANsAMon/uwMALsYoD+XYf7bHf24ALP8PHl12B77F9hN1DY/vXwoEPPWA9FE0OLbp
LZb2f7IBMPxlDvf9i+KzeUdNSXYzLn7ieF49QllKTWQov9lLR8bPxLGUC+bHQps647lbzW5b9Nua
ZM0cRMW0WrTjGPtJywz1mkyyBO4ObmnjOUTZGAdlSTedFtf0Ze6dJXiegosuMombiNZLTwMcMuBR
gt2CPT6pt2XEMAcNbbTBasmOm4uY7ENqMqBlfPBmxOPXeWr3RGsM1I2gKEJS7VOkhI4BHXKo+Lhr
bh4HfYxojA5/ezE3fAadwsoD9OLpbuLHmThBnPrgKgA4FSbyMxHGSAm7BBRSoz0necH3p0H9i/Sw
ZPRlRoxAKJVrr6sRdbJIFHN3O3rRZ1vLOEmEfIERm7e869nW9+leSdvSaKWX/U6PshcoSfgodL+n
l6+zdbJrol3Mpq+3aNtIaxvNW8ea0Qy5/RUuACsYTIoMw7vHa3tlhH4ZxHN5RyfBuJz5CAR5Vo6B
6aE+Nr3ispLFpfDq57Agy5XY4xknavSeAvvgNCgYyF2+zWT2viEZmclahQ9DU++ynPKoxhtD6HQ9
bAc6wkjbyhWP4P1sEYDoMgjMQmf5CU3g2Pxpv8Gt5SpXP5H3pzG0zbBgdn7+WLGZe6TrSE20VP4A
O60tTeSZSKGe/rRevHSqvkF4o/ah0I69kM2HShjtPe61MYgTOuH4cQCDUAbeoKXY4zSiKW73zUmO
cfssMu/e6dCvVzPwZ4NZ1qUTZu5Gub6x9xuHiLDce8hVrTWBsKYHRH+0booKJhRzB0z/fjh80vSm
LdEf69Ztj0H9mqTp2FhPZoygtoobtcnj8s5Ck7KxWqJ1sF9YZ5xtxLVAs2KMhZ4ONqxBmuaYrOOc
/u1YzCBo28YCYhLVhkGBIIlDI9IDGvnoVNemMQ8XUaT1w3axDD3QPU8uROHo7wUnvu5AFayATZkJ
cTb0n7eGxyA3wCGlX0yEcfaHKtVxO6Mrky9aaStt5yFGCF+k705XudlacRCVlKq5mzDK5IO/qqHK
3H1dvv5d6N9Y6PmQmr9tkj70H+LvV/k//8F/OqRLGxRRmKeDyTABkP5nmTfIQmNdRaJk8CVAVIay
5rtGDzMLBB182f9a4Jd8NLpCuk1HBnGM+Y+yXgBO/rC+89nxrUVcxuR28d++prFWcI/jSnryyi+V
pjLGf7WU2Asm/7EoSETJ5pkJ2BhF9UVnE3xtSJns5oRsCNmU7Z4sP2ClS0BAOuCMILd0PsdS2jeg
EzudLSt+c3qmlL/6MLIrKhwRTmdcV3MJaNkf4bs9xOGMEHk/FCYL87e2KRJj7eQjVC2OFclq7J9N
VAneC4gomQz7CS7MPB4il5jt8BC6s5aShOA14109cpHvtLJCCVuL2BSbKJ1adcG1FNbJgwVJ0q+P
fSWqgQZExWLDjcRiyW0LJBsDHddrZunxrnFNZUEtdML7sjDje9VX1p6TwgevBu3jFBfJvUfPhRQt
ZNu3c2WTINM2B2Xjco8rimmfAXLQdgWG+CSDu+boqYXfbQTusfJn5ZolE+wxWczFKpvY8EyTPjYX
6JmLEjVx6c3XcZSN2oFg7gm7fqZF8k6TBnu7NV+RNNqGorZNd2cmczzsxlCv+mYPnzk0ALIX2dhk
C44JUCTeiq4quQuFbZrkzf27Ivwv+lMTEuxvLfE3X8qyo2/24ZUE9c9/+FcBKP5AqEV7Fffa117u
f2cnnv4HODDD8E3WHkYrS5n335WB/4g9hG4SYUhUE2XjXwuE/4fLEuOwbBhUNOKfMWa/cZ+/rwA9
l2zEZQaDmgyq7dcV5Ds9WV5YnSpqXZJWU2ZyPRhED8PvmSCHLDO8DS5iZP5FkbTFduqdxg/oErQH
EiUMfYuQj1TEmEavv2q6PrfxnNqORoQfKozW/1SPfXiaHGLkMbXra5EMsxEoIhVAzmpdB99EirVy
cnMJDcassXGVrPsA1ZJBrylFMqaBPXtsO9keJTDw66WU3WD4wFQI65MxYe4CmcDxkG6QzzfAEGG/
7/XGJ0jEYCz/AfUH1smMtB1acKyPFGa1n4HtngmOi8t9Qln4RTOM6NMEivQKcZP7bMsqHdY+GPbL
uMh5wenCETeCeLLLg8GOzE2lTfYNTrf8YrT89IRfo78ayWPbGWGqVqEeijyo+pEAVoh0Wxx5KY0R
LspqXhzeWkvzL//aRvRruDVjblsPXstlNmitcAgT9Dto2WFTAoDaY7SNNqRe+4FIhHGclF/c9Jrl
bImpx0+jcly6g9ci7/LwnRFwXx5t16wJKVDhCosneXzMAPrVQkkFQRrpG+k6Uxy0Wa3Q/tj6E4rN
/nKoxHPHrPfO6LrSo/hgLr82tTSCVc4ufVe2g/U45zib0mGh/9ZRSgy9CsMrUWXJmjI+WxVVqWAi
jt3ZdQDTb5yvNPWFq45cttwIUOvueIPhk3yNCQqliPQbMQxJteoqCO2G1g3vjIXa3kI1PcGIsVc+
WHdkJv3K/kp6j2G+Wwv9nbSkkDCGtLy1debT0HKeSKRx1jQoM2bIEOTLhSUvB6jyKKmL/QRoHltq
j/k1Tc/h0OinYeHRhzNk+sipdllqeZtCEMYXD3q1JneSGbW/gO1TP7S3wwK796fpEyW6tq2+8vDj
BY3PQw74bsHldwpwvsp9awO4AbIg6l5QnPZtxdO2IivuolrQ+8UC4Scc51kVmPfUDN4nRoYR2Auw
f+pA90cDrR6Dr9+RdEftGRkoKocF9m9jwycflAAA1+uadQrlftMaM+qCr0EBY8Nz8zU9YF6CBGok
UsFQxuTpfs0ZqNGOIqKy57NcYgggggoiCRxRSAIKvJBv+bbzjYnoAttQgp5V+i3WYPoWciA10Ex3
JtEY053dEf4qYPNksfFoMDxNMdukyYXT6u5t7yHDe5qFIiIA6VFubXEIIhvPQQ9z/DG5Zj5rPvkk
D+lBTnjQuCL1N17SOzEGPcNALNPDVC2a57xSKbqEVFeiXBLK2/EODY2Y7vosGZYuXaSRn5NZzKne
ZVnfqnINz7YkfDS2mc7I2iFheOzMmZVtSKLoXWEkUb5KYyPh/mhVAex/qmjVzVIZEfu6ZF6SGyYJ
hCjnI+1tyEdAabSXoBPeLeiv/hPdTyNzSKRR/sCGCwzAMelLi0FBGWY9ylKqiuwAOdpm/BXr6Avv
y2xwJKInC7mLiesx5MVi7/Hvl/p/+VLDWl8afH/fpdmib0g+f/i+fP/z3/z5keZLzJ+g5MYLIhYR
w3cfafcPJrcOZhQ01/rX7MW/PtIWAgedFGXf4gdAg7covv/8SOMuYRcAb4b9AMNCvu7/pE3zuptJ
3U75KjBZ8cEnWeFVNzNCHKO8uhr4EgxRz5jGRw4q4Mcs5BWfNr/dlpcAkRLCmOI3gyNedRmR+i2z
aGQfOvsUjDTLr/uuQGiaSPkjsNvdNJjjxpWsx0Zi5mvpJsX+u9vyi7btLw9FbjMtJAHNwnl1qNZK
R8Mo7H5HuyDZ5aYxMSaM6w0q/uZbR/NvzSO/OhSX0reWQopB+9LJ/e6slEEMmhQCCss8s+NByrQm
tTFb9bM7fKug//ZQ1Grf99i+XkDg/brQLR4K+zWDEvfMkOU2F9BPQmw00kRlODgv8+isozIkVLqi
e7SAuVYYIqrV7y/pqw3gnwdnXrU8xUiGX51nT0BWaIGg32kVXBpIa/GmhP98+fuj/Hw1bdx2Jjoc
9tEWXc0fr2YHTa0bm3DYtb5wWp5NgsACe27ccZPWBQL83x/ulUeGk7IXX9ZSHGMXdb7KGr67eURD
mxYsmmHHqBu+b9Z+cS3zhVCRgr5IceGEqHZ+f8SfLyN7J8okdBl4xX7qk4YxMyjPqoYdPRpSeSmN
uFl+tfn9UZbL9F0t/vW8TPbpPp5KRlbWcpm/Oy8Bv73MmmzYWWBqyLDRLunlnyT8J8A5hf3GOf3q
Kn5/tFc3DTdY1ER2PoAdgWq3QDCikS92Dc+CWTRe3DbLPv7+BE0W0p/OELmWY1u0vXkgXy1lMs7A
iky8dkbskOpTifwx0gd6l5XyyPeMaOo2lIjSWwF/7j47ve4da9vaD9D+AVr442aYiTxuJ7f+NM+W
dpCOYEcS9s2dgoPEbiBaGVmj3liYjF/cf4vWDVIe23PNn544r2O+XfW8RuQ2iiwQC7gOJYw9bjQN
BgQiAzoFXjWtLa7exsxn8V5XLrmKhldfEzFPGF8d+Se0ttEb74L9y5+2YFl5w23+Z/n/f/fQpH6O
E8LOe9w1Mdl5sb3GljbjL3D6TddEHa54K13pE+EYa3gbQM7KtL3EUjCyDZppyY7wrrEVpkGDGTmw
0LevwxK3cmlG8iIazPYaCoN2oIsB8pQJ+HoCCsCYv/UfB8Ttj/3oAalHJ79qheZu4eskwWi13oa8
1mOftR1ymXxY9SABgjm3L2KRPSAyZW4oJFkbliKri3EAk/f+VPmu2jdsygIJsDuYCUa61GOpP2lt
Q0RImWn0ZeVLJq1z7/UZMSZRtu+duD/xl8vt75/Wn18QwHQUBrz1BAqRxfLjlZ07Ruz2tNz0Drt+
NsTY4XTwN/P9oMIaK3Zh/ONXkiOinKbBxRaN9ebHI/rtTMtMZf2uDcOD0YkNCe6f/FJcthY+EBTO
z78/w5/XbQzcrDa0IZZw3df6ry7yx5J70+9SmdeBCaP3EFUT0kOzlevfH+rnx9SzPTodOp4wHR/I
q8c0GhhITJgud7432heV1hiHahrcNy7gL49CChNlCp4IruGPF7BAB1r0ExdQYydChiEs8j0+DO/m
9ydj/LyOcTbkXJFKjJ+Rz9GPxyHTTRlOvViRCLVaY/EBtTYXeFBh36Fd7lxKCh58ZsT4tbwnJPO7
CmzcW8sSDalXy+mSB07LmV2bRaf51fiuaSqhktHtQNjkLoogP99iWum3YuoTDxWLEgejnIHF6NWX
vJrcc9an0y6y9fGqUAoMaVaFb9yBpUn282/CRslAEXi3/briiISmaWFsdbsyGkpSUuyNrwOBU2Xf
XIddTfitO9Tvclwbq7whHWGoE0C5CB/WvldWSE/yLzlb2usMVIlS0/sBK9qqSfr6TpYDAQB9Yu/J
JZmOpcyvNb1/q7j49QnQl6MrxvyV8euP9zY0Wr+QcGV3IpZnkHP1dphE9BCziq3qxk3XYWfoQNic
ni9WWxzxAH3wEve+ax3/AFciXM1eO26wivi3lXKrew8KtbLD8mh5CHWwVkjEdKnGt6LPt3io6jc+
CcZy23+sI3gsvjuDV0/n1Of84EoyW6V9cyR4vDz2NvA5YlDXfdKyyLMdxVGnH+CwjKtu4ZH9/gWx
fvkUMO5gvuyZdD9fve6eZC3B3NkR6xT38EjASX+krLpxRYdq2dc/V/k4PxF/FX/CZtwPY7RK2fHT
M4nRz0WkEOlAaVtHuMGEvaqAVTnUC0pJ3zHXTVfEdhpfZGkYLJXuHXk8G1tPq7Wj+U9E6hJjMdr6
pWYb+V5VxEeN+p0jOVAkDKw+eAjtN675z6WbR/AbPAgqBEdnt/TjQ8Ow3s1CBI+7Js2fynDnjmm+
1hTZski0rDfqxF8s20yUbHaeRJZRK77aJwE1chDpGN2OQJ8XH482X23GvQJ73BtHWv7SqyeJIy0O
e4HUhGCzH08LIjuwx9DmSWqj+8ywIvK/1aJBl+wmbJnhVNEdzTuGjvEWdv4XX19Hh7yORJkPE4X3
j4fuI5gxYaqjvHcl8E3vZnabM32sl9ztP7Lldda/f2S/1p4/nauNK8Ew2XCjr/jxgP6odXOS8Miy
DS/Pg0XdI0NrLUtED9aovmCMuicMd15Hsqa4EQjxxi5qgUGqN96eXz5MuCr4suAF+EmWnQz9COiG
95dE4n6t1y7aBFpqgZaAE7Pj9OX3Z/6Lj6bDgHCRk7P3/olk4vgpNO9h5ibLFiVnbYQrBfPvjT3i
L6+vQSeDJ4nLuwwufixUOwA6tAq7HXvkduWNM8FZZeojyfW0w4RJeRVhxFtrskEcEELtpBuQY4fV
SNUiY/X35/zzphz6ALtCNuXgPOzX7+tEX1jFXcaPAVK7wRKPE6lVV3IkKysqDG1Vd0W5I6DcDKps
0N94rV67+NnpARhhGONif2Hm8vpZg7CODIKo8p00RPyxdhEMBBOhRCcyuW0M5U7lOKtq4A8A4l5C
jUenYbqCHYU8paJxl8g1TU5XY2zRKjb7niwaOyJN+/dX6RcLDUpkh9mVDh4CBdOPt4wMnUTapdPs
nDlst4PAuSe6Bpp4aCdvXJJfHAqnhAANwSzK4+r8eKgkNbq6wcq461VYvAjCvG5VGcNx0xz9/3Fa
1KA2U/GlpfbTqgZEWPW1x/zBNpP2lsm9s62kG16kbf/h9xfwF4sYR6ItQokIrOF1p8JUYZRWA0dK
UDmtQ+RVd0XUAOTXOwgDcyHgBIJ9/f1Bf3kp2V+TyeIYDANe3bWIfEJwC3azw4WKYJ54AYJPCqL/
dLN741CMKbkvr1ZNKg0d9xUjePTor1ZNLxPVECmDR0S0xG05UvZgQ2IxEc4HGz9fOS2pgw41ObH3
1jhpW3aOw7xh7mEVt4wCebkSix7jIWTa+mjWI67Utsy8AbwoE4MAT1f8gcgfsHTg2zok9flCwi8N
kMolpwQ1m1kTloXRnozthBpCXnxF6hNW4qoNIA5GfxFzinsHHq+xzgX5CtvUKGZnY/l1bD77E8DA
LwRkCQwONTuY+IKwDStct0z244curwx5gOXn2zus3oXYaHptHAt4f9qOvMuxu7YLhKxXoh9keOt0
WLS3/N/ahI+2JZIeIL+fQXHEZxxdeS5hjOvBtqp0y2wqvxs1xFvHttSqPWRIoDsyak0C4uLkseiQ
deDKhNZxcKMpwigwVFW2JVNaRhtIz2V7mY5sJ5Ef+ABpd103MdzE7yrnNVKEUL9gzBrq9B2K2lzX
hb0UVwmWow8uJlV8Y2E/ryCMVu1dbWPY3uHzTeXNFLrjXZmItt9IrfHds14V5GuS2hANB4rYedt4
cGIRVkfwKZj+KLWCJO0zI+QTtSHLkPafrpl+FjSd7T2kcZOv5ryorFUn4hFZVQ1NuvCGW/q822G0
66ewNvPnXPP0c18ypA2LdN5rMs03VuOfBhLQyqbbzpgczqFLE1XEGO5x0O9MkTHI8bNiGw3j0Rrl
hG+h+5CCJw3grzLkTWdri4H+s7C0aTNiJOY3tO7O6SZ944vE2ZFJWWH7ECqAqwnMTtTzR7fH+SoG
GOmlO35QjUOQgwWlYpyBMif5I2AppopOc2P7RbsxiHu4wc+nVoOeGBcAUeMrMBiEsLvQSQj0e5yV
Ze9szQDzzFQL1zq6Fl9kqznNBooKtGs5X4l117nqNsvnQ9PDokuUXHCT2Smju0RuZXtErmOulZ7B
kSUJLEjjEJavmxUXkxWvkap5N8yAz1jT540xgbZGXq5WEknamshYc6coXc9hlNfvcQfol2XsYrjp
mUYSy9K+OFpDCkMPxMajYb1DPGgfWpLfApcknoOlJ4CrpYv8bh6PiN22RNEb28yWzwUm+OcyCfeo
cO6SQT4DIig3IAVp1A3hc0HaBvzCrPAO4+CW21FrAC3Y2j2WzPDYhVaydqLKwwICwDVH90jCLVO7
mH3DOWm18aaJWu/cDSSoThZkcgk0NZ9hJ0it/NI1U733rJ5kOpL79mXhjS+iA1EvE9I1cAGMSa/I
E6uaEtxWQKXZQjggPK4npsmLVWDy8DwVCG2B3jfsI/iYskiQGDO9Q7eZXTcTT1kq8dp4mXEg3ogY
9qqvkDwq74L/pQLpy+UObXPJ4/G+pfMQX+J2RLyZoSC5RwG2eacZcHDTCOaHhku/3rlL8s8MmrTe
W1luDuvCa90xkARcepea5mAqyFyvhfspR5sIUaIsO5q0DZCFlisV9FmZrxX83vuYrv6NmafmfViU
WXKABttuYIQ2sElN6IDJOKlgbmjGxUmnf3T0kHqS/m6N2gIYMvGm7ae+8yIHBwXxgClAZwvtbefc
iTELX3ya+wQ4lSRLBV8Nekp68wNzpuKlrckODGTRGe/BTZAFNNT2iUCa+h38i2kN7kHueiqWe0+K
9N0IMZmHMYfV0JvNUVXsp5O5FAdTWN0TXbhFRNvFagEE8SRgLmmeYyg2n5paZNts1ppntzGTfYpV
Nj9YACC2CR73J1yvMHjcaprWyA2Kfj2ojpcjNzUA8zpWpchx7BWhydYB7EO2dmkhb9iV+i1Qeky6
6L7gPwV9Eo2PTTgtoBEbOW7gA09NVpUuMA6RdWwd6jLOl2dQm46Rn8Z3GI+RebjtACqHy6k9YoHg
FN2Fo3YRmYqf6mTjIyGEw3QVhWF0Sjx0KQQ0qasKm9yliJHggS9IdkJPnLuxN20VUIk0R1iucIyn
rn5P6w7t2FjZJ6KGG2dTVoXaqmHOtlM1i2IHzy065Xk9uqsakPyJl6jhpeLu0oQnMBWL88nFY/ax
HaP2VqjWuO8SrneSZnKnQDTsvJiLSmaRvNB4NG9ru60/2ssOc1U6qibqp0kT3Dh2srfngj+rgSEz
WtEca/yQl2rs6o89GajPoEZNVLpu86kyIvTYCsw2IIOyCI8R3QiU1X332Z86+yQItpygYfrRacZO
DUvWKQr5Ga2OQEdcm5OFfsaaQDxfEoFt1uvJT6OVhmMUOV8ZpyUr1BBiWKp0474mweOU2FX4UDsx
OT/2UL13IsyF/RADNDYhQBnB6FFE2gMmpQg09VG2eriOwOJctAUnL3x3fvC0lHUxIgDhqx+y1rXo
NKA3Rkrg2VTgJWLLk7Ca/NBmC2el92nirMn7DI9x0fNfwPTkIUiY8n6dqhqDjeI9p41Vdk9IJuWL
547dZzcS9ioMJRh1yPw85QMB1MxcTIjoRTw+iqof3NVU8SNzW8/OXt/WH6w0du40XzU5ELgpPkkH
DWHQ4W5/zhs133gOWQs6eVDnZLndZht6lzZutHMjRg6UaXJLWMTCdNGqmGxarpqXxvJGjzT5oisA
5doMFwWdvBeeAbmIA/nBmOesib9YqexMyT4/+DoTGTUBrDkqHPHxRiti+eISg1SuwoHY7YB+S9ci
f4AjvnK0CqMswWAFFFXNCc8iZssV1EPXyEMxjk7MufMkKa1pWXodwZPGmhWfiPypjFUBWvdGs1Ka
uEgqudd658XjAXCwRzpt179U2AnQsOhFSn7H1LxoVWo8igjQBEIs4wtuWyhjvHrNLauFeqnMtG5X
5CWRV9Wm9vAF0IWyuWc4DrS65rI4fMm7nT5lRhssCXz3ityLs9/rrGauQw5X7TW3fUgAydCY9XU/
yvrdnIbNrdF70Sl0oJj2PpY8XEUApLp4AWV4vN+kv/ZPDWp7/bYlJZg1vsoK+1DBAnqhonav2BOH
23oIAeWiJXDpm/bWwEDY8t4rhE8IVuuITON83AsHqnzDZ/PSwoIJP9yNkhtHdPUWql730NYj7BrM
Tn1U8R91dV3Dna6tj7Yf2VtRQ+KpBYQh05qR/o+Ws4P6jiCOiQQpqC3vIagueTaKdr6hCJmCkqj5
RxIHxCrXqjvoA1eju/iadAj3wLvb9QQo7Lqh/6MP8XhMi7rlsJlz0idIOzGMkp1jKcbreqIBY9fq
Uynt8M4Jzergz8kQsegWKjBKho0NppeDnfTHUcp8nfBuXunR1F6WkVti9CxlQKlPCegz/qOF+sG3
gThlbgkxvBqtz2Q+H5tEN1jSYE4qq2s2pWPgzOzFxTyn4ol6W4fsN1cf/WmZM1X9NqazfGjCymVa
FlOQjmkln7x5is46ybRbd673TgWI3p80mCsJbmhvUh/o/xXvsgJrBN8cLhIhgxELPTuclSuliCEF
Z90h05BHj6EGELMQGBchCl3ExpKbJafpBne7vrPStLsbGo2kEvDT56HjIIMdujcD4JmAxrQkPzsU
H/zEdx7BieX7JHEf0UIVO9qlMXUgpVxQLDaEKpniq4SYmVVlmIcQ08vHWA+n7ehpOphjgwithOy5
aeRl7Oq4D6aMVmEkpXNBcSGeUmHvSnuutrxOLMBVyu40Quu583PffxmzwXyaa2Fc+4WvUC0U4r6O
53Q1U8NubdauiyLs8kfDdt1bOXKXUADOzdalLgzavoWlOc/1F8WoyVzVEZGNTcpjkJTYSrHplDXL
Glq1QBRpt5qxG4I/g92mcKEMKBVXIKbTD6mcMfxO5b7PmpwQMqFhhUnnW6WbTz2osy2v4hYkDXZj
ZmwUZO5wXQg7fAD2Q5lB2nbGEgjNwOuTs6e3CoOo5V10EhsMcT1EDkONzqzWPhW1XQHsn3ykqmWu
DlJWS8Smxmen8LSMF44MyjqaUxBnFiE48MEWZlRbsi3NCVJElVZN45Uf9ulzYQpnhwq45JMzV3yx
VE1LY0i0+WaJ9b6UNLMX+/eYZAHJc9mRgCL9bJME2KbuvA/HfjV6XXYFKaS66EpoeZ2ocoajU4+B
v+uBjKTkIHTp3pg1/9lnZso+50NblQsMzlarpsZhC6kyxkI+9sYz+K32UJnuR0M5X8K2at5Tsebv
8w7AYtp12gOwdW1rjUO06d2huJUOFUtOCidDb79Xq2gGHUg5NO8hfo3JUbOqSaxHV+/cvZsZmK1K
4VQnbYrAc5XSrU60b5D5mV4KPnvIcxahyrDT90WBdNNsvOIWVSCi10SygKbx1H/OO5NU0C6NPzeh
rvCha/zBBhXA0W7T6g6PpTc9t1Q83LeETQ7oopyvhOZYh7z2+KL4c/2OryW9M5UbUJ/wyBKNFybm
PfUxO9OsiMUxyubuc5FBgYX3TxOhkyR/ZmLJ7euI836vd6lBDObCTKoElLGumcP35PawCRdhgt65
VmH3mcg/Al5NNfoYlDK7vMsbtP9BF6Pq37pRP1Zb4U90NADC8HjE5rC42Mu8uovJVASJGFXhe9uw
+Td+Peft2iWrc0GK6zxGpSX7DPUivxJ2FnKpdYlKy2UTM3PQNBFld5Eou2ffqJejEa8mUPDRluKV
v6w0D3yamGg/rmPhS22nyaUE6JmQogqdC/8yjXXCJRy0tsMK6Dt3SVN86lb5PITvx3aM8VEMyYKE
iGxC+YaBow6NBT13Epb//tvFtEfSzQOL8SSm805HmeYaaq4C9hPVzvLtaGU18DpX9IK49JYhSkKy
CdLe5UlKuwdlQcIGM5uzfW3QBTqZjT0b295W9oVs++rOnlBUcAuZt66msFlCBl2bfkhb61kKeX7M
xl2B6SK+wp0/vowOvVEU1FBNrxzNiO8zOZq7coBCWECjvc0I5YZFUXv6PSyATu5n2vDhSQyc9N4c
dX4jVTm/OilDbp6Dk0Vj/lfZ+Yp7wrtL7z+Wa/oyXMVR6/nvq9LsPifsXpKAH+tfym7sviQALvOd
P7SA7wYf3xc4usScVzkKYOpdbqfal/T/jhMkYT3gOaSiI56uJprCaWmitMxWgB00iU0yRinYcPMR
5vu1KgadDMcSmgpcUwXz+BSPFqkWSwmZu6VJLB3awAcj1c1Nk1f6kZl0u5+KAZxG5M0YsrPkUal4
ephMXNpfW4//+sfe8I9Bv1qmcH+vQT3keVLSyPlBhPrtH/0lQnX/YJ+Bes6wfWNJkubv/UnZ8o0/
EIQ43jJT/wrZYiT9X6cIb77P3gN7MX9vsZf9KUK1oGyhWqGX7jvMdnTH/CciVORfP3Z6Ub6hcfUR
MvpiGVssmd3fC40SJyFszuji49wYENqmGsS2nVJCMBSH9AlsW9AyS/27OmvYqSwzApL8Rs9mYtZh
dN0T5cxw3Kty56iUK8JNPlaKjGRdn28HXiixM1JIVreZn7ZPDd8RGwqOFYE0CHP6jKPZgQmckM8H
eUhvLxgKZOH0RAbn0k/hrwYdXrCDMlQvgjLFu0L2kdVuxkX1CPqjotnUhfUYCE9rPvqpdD+RIjKu
e8+nQlE6OC0Qe323kh7NnLURTcK89M0+XneYEK4mwdJbjAM+UVPbuh3D0AB7EPAMjKLJXZ2m8naO
9f66jcziXKQUNht3rjQKQm+GGIrRIiKbKq3PuV2PlN7AFdnkyH2ENOto1i0oz9jDfGe2bAurpILv
aiMX72K+jv0E/GY929Q4onfNp5xE5wAfaH5nmPSx/Vi8j9iQnCCZ+Ws6XdbNYKbtYazw18SGeRM7
qlvTw3E3miSmeAbGc2O5Wn4NwOFs6yTwENnNbr2e3fgT9Xm9E8hSV7COsgujKCjInbk5jy0RFPCI
kuiKj6a4nuISozWJKcOlPm0as6quw7otXtLR8aEFC7ntbHQoEc2wMyLpT3ZIarYRUqaCwsVnDE4d
nb568gVAoZY8RSic9nGcKj4idJDusAZaZ2v25wucgdMN3SvaE1n8MUX++cGunGkNkPmCID25tpfc
Xod+W4DXW7sdq7m4y9usIJ8Pljop32B7uSLwQbLbNk/7a23OhhXM1+4hm1UYCDwC15Ie4rpmPLAx
bH6pxlZgrY9hdK9AuBVB7i2Az7SsyAUDadpuyJgzLixQJEepD59z/vunaBD5rTuWfPJp8vpnly7p
rcdCG6g2TAkLpVd+DfK1X6U1+RcZG5Kd0obyrJs80a4z9JeQfMWFzM0AIzm4WR77qwqB8jtSC5m6
aX0fk7eNm5muWN4QTTaKdZNl046YIfDMzXDhIAo/6rFzNcLApAhyStow2HFA586kxJT5mAUdzyBt
XxpnQ6j1K0f1jxr5FXGnzsz89G3oXohx4Rw15bOchvQmttqTRpSxIVt/7efibDR6vim9+lNXu+6h
SKtHuWg3wAm9L9w23/K56yWOZxPcFFl55XKn5GctClGXGkhC1KA/icHHQyT9cF9Po3Y1gSDchEMd
LYaVdyyG3cmsi3mrkeGJ7D2yQUR24lHQYKBzTnJ3ESJm0SyT10o7umgfA6q8d2xSm83gFu0up2FI
WXtUfXLZ/x97Z7Yct7Ft21/ZPwAHeiAjbtyHQvWsYk+K5AuCpCT0faJJfP0doOwTEn22dff7frGt
kElUk0jkWmvOMeHBrIATrVSZXJYhgUe2K/Bi2QUyyBSy5lgn22zE1GQT3HILtyC/qX0nOqDkoJVL
htQBDd10U0z5vCtlxjylrmFuZpN7ttuBA741HloFSWk9Gt14M9rysSf3YK81CqQRKE+Qvquqs0f9
jpBVOxfrxiDF61qFo1WcOGJcFq3/hmXXwTc1i/uUDJstUuqMBlQSXivLT66cuHst7Zpsuaagw5YY
r249OGigW12+dC1veaEhrts6Ny+ivCQwzHRY0jqel6Gwczq8cX6t2HZhDCz4wAqLeeCV6mXuBUPm
kP156FmDiZrUi1ATJWmR6M0dPZq7Uoc/C96quKo4QDOEEaToXEdOaBysGojzrsZiiGXHgePazWl1
qLOBplBSSoSndSluZep9x/IzBpHJEW+M/ZwWhg+MmBkvIVC1WxZVCJYFLQKcnd4hmrROXG1rzDSF
fVMWWxVzCmdzZ9Y19Y9xrjrD3quhlEcwbHHPs0Vr3jONOh5QbspkkcBukzSj1qcdB2XH32c9cW2n
yW7dm4kH9p3Vhtwi2cjSO7RycJ46I2mP8VwAnEW267xJVn8SGIgISY3UQs+mWVl7tw2zKiKNSLY/
Vjgnjo0KgSSItIygQcqDYqR5Fed9fkdb0fJWLYi4HcR3Fq6Yx/iZ6XO3GUy72ONHil8XY7nAGNai
bIqUtE+R1cKI9+yaVv08IpAeanK5RmsYhhVzKO2mZmv/Xma2jkXCNsezHLruWk0mdDyiLoj6AstU
Rys6XRiSEAb1X3Tqzdem1ZNnnskRDLuiP3fWXFyFgyO+65iMmbnkoXWrcaT+osGivSx0eGPEKX0r
Csv96pTCgbUfW01Pn2LINxHjs4NTDYeC3TboOD+otcqxGa4EJmWSitPYf+wH5ZwI0su/aqmehsei
N5lCk/U93oSN7T7yHBGbmpTWbU8gs0ZUnVdjlsuMODq08GPfsyQRNptRFD4yRR0WGZDOqlSxdp3A
I0S2ahXtMxOa7NLK6yhiFUvbC0xCyA+ib7Kvtmyy23qkNoNab5JyVYYH4nWLNSkX3Kw1vuqruYFd
FnRj5yv8rcSfbpQp9DOmu/HZGdX4LfTj5sW3aSOUWkoclxaJCDlzo7Rja6TDNUNdigOra7V3W1eI
9mkHIMui4bfvPbrje08b6xcRTaUfqDnsD7UhrXGdJmlD0JtXpF8aP7HtlV9Z8hagX78ATKzm0pV1
fuCeo4DoTb1WgbKnZsUrFxvLa/XnUMjQ3pSJnoGQGjTQ/bmd3Iai1ndUah4Ash5GS+PbKaCVOIWo
xcSDID7TO2ECbI4GOHaIL7a+VgNYtdxkwXl5PS8aRnvT6E4T0IEHYhIz3Fih0bgx+k6uO8cRJ7AY
PT3LEI3S5KX1ofNsINlFXrbPWZtKog2jnnwVlEXVE/DAutxICtGGbnczf2NMbp1DnaxcjCtvdhSL
By8ui9cq6qotILYhX7PFh5D9oWVoAXNtdkQHWsYhQaxyFrPtvQxOm+/ruEazY0YOjDNlKevNG9v4
QoaG9ShkHINJxktKjF87dKuyAkRGEcR/ZrBb/T0NHHULN6AZgsmMjddBAC6sS6d+ASsibxwhAbmn
k6k/9zMHyE2kjz1rSe/6lY+X9qtoSMHdhIUbaUe/SsMnBovlAwwst9taZTxd9F2vSMHSNPp1LWDw
ghHjIY2yax3w81NTepeRGtZVXEAY8bUNTEeicJUUN7YUOmwzO1pHAoDt2hG1eUWjQ1v5RuTtgEBi
f3TawX5DMm8iEKvq6JFsFQ9hZzEyWTA0y1CB0SU6XbwouuykOW9GFCkHM82H3Ww7cj3XVg4NRu9P
BnnFbt8W3+LU7BFw9K6HIgInAWkCJbJMV7YPERnqb65dhduhArq34tsEGlYTl3GOzQksCscsZpSh
owPfbyOGlFFmp18xyhAOC9S7XNVanLO1WOO5QtXxJQ+n/J44v3inL9i81gj7U1tPxHZgsPQvsrYQ
QaRzRizG6OgzSei2Zdv0ez8RwBTxJ2RPHeL2dkXKNdCHOHFkuKlr092Q4TxfZJpRH0fq+xPvMD+Z
dpK8h3Mit0UiJVO/ZthGeE0PTR5ZazObv9QKe3aAEbB9jazGu7aahihfEAs/HGH/rZJ/UyXjiDSp
Gv99lfxF4akuo5+L5D9/5n9AK9BUUOt5CBZxnH3Ijf5CURsGf4WbAaQtcxUPVdRfNTIQLvgGWI5s
z3aZ1FJZ/1kjL0BdpEuGrvsWrkMeUf9JjfxJSPmRO2fQ+nIME6mX+OzfCnuERJRo42VffI26nMfp
20+fxvUPWdW/yr64rjgVEby0lNg/ia3+doFPyq52soCWTlzAh9cU86DtxSvBdomAvfo76d8i3Prl
Wjjs6NqZyG+Fgw7+k7dAGeiYnNw2zqmTq4WDXfzJxRa+mTXOS5dOkf8OC8WX+k6vzU6js5s79NOP
2GWbqPjKUdZnOE1JFENiJdsj0nfKL/tv2Gj8pDj1rd1p9oXu1vMh70QatowldXXh2loV3iviXqAl
OcdOpsZ12lRIaRRN/lKCykSo5dOrBxUxUAzgMILDIMFWEC2b3TUgvAaGfXY5eFiWKh9XW4Ihnv2/
N3lc18kDGS39RR42zFpn5osotYYkt4oLTzrp2pnc+RLCsTO+aBUcGdAsBY8RabZkK+DUvcLmVM8X
KSI77W7UNRqxG4vzidDqQP7AhHsfzPD/9tb+v/zdAjPPT/fJ3wD2p6pPuuS1RJv57eMXHr6SWfbj
p/5qrvl/+HASBQIMIHKM6FjtfzXX2FGWRD8HWyK6/WUL+GvjsKw/dJO4MJpxDF4RwXM//rlxmPxC
Qb+Njh0HQR2ny3+ycSxW8Z9vNgO3iQ02igkZIH2PdLJPvTVSNnrAK+3BKUNEWWmqGbc6nLIzkSFw
n5vUx09be/pbp3nhvcdw+aCKMjxqbUJXqzWHwMs948RqLXcZMt3ARDtdrHw/0+79uiC+jgFnsql0
QLNGnE5XRqn139IWaC+DifzRNhtY0gWS9iguwjOiF+J1S9Mb1hDP2gBoSDvuZKHN+6op3LseHPhv
4jSXreun7YZPAF04GYh8DEsX9LNtKFV4Zqqhrg9Ta0zXLkETuHvhgptSLu+L1/3TErn++1b6SST7
cT2xoLFQAXNG+OyhgL9A5F2W1YcP2PAU5W8R2oYAnFXymyt92rSXKyE0R7aFuh6xzt+s5j1SsY4Z
1YHxRbc26ROuhCLQ27fC5I64aHunyIW6/Y/fnkc7eTGs4t/HhvPrgqL5341F2eWH3o1VttKW9lgH
xMBhEuWg/PzPr+bQgaYLjQOclvOvV4uEPyZlkaI10UcnO5ctGqXJbY0R6aa4/+drfXY3LZ+n8Lhb
wZ/Siqbz/uvFJmLW4yLTk0MTTzkswZjZ87ppimrttwaNDRVPV33bG6exy4Y9PWC0UEnn/k76/PcF
xDPRR9QN75J/frbG0AmHhdBb6aHpGSiup0516BjD8F64C9fkn9/039eQw2nHwdaI7dBGpfjre25x
9lmydVPKxnm++cDIS407mOIni0nGS3hseaXI/N9c9397k55rIDJzXcGh69O+lIFXSyKXoVQ5NgMt
eL7N0epHpCEJuPl/fo+frsUpg9+PbY0BA7ug/lkrbyfaaAyxSA6J0UTrhhQfMqr1Fg8yIPGHf77W
p/3241qc0vgosTbYCPx//TzTQrpaq7GGZjWPxroKveKYJ9ZgrP/5Op9sJj+uY7mLieJjuZq/Xqd3
c1yB1ZQcQh3/65rMZN6UrUqCcAbLuYuThLPJxJyTQMC2TsONXkTxj9ybf8uf+LR2ltdgcCperGke
lpPPa2dQRpbAl+Q1YFdak1zfmKtoJpcnJAntSMIo82PXUr/Zzz8+wp829OWyJluQ61rMrWiBfVo6
Q+TSZgw9grtppX5pU7c4MjVVlyCb4l1r1SUNNq2aaEQp8oqCcEReDn28nL7ScWpa2GGiOGZhGe4j
XSuOIU0ZrIypdvPP39D/9jodcm8XAwMsFzyIv35FmWOF4+xp2p6oDvdNqd5ug6HJBV9R7o7unn5P
7XHy1DyGJ9WYnfWBCLwVOPvw0GeVfUGPIDxMiW9dCs3tvK07xFVKSS+8YffPr/Xvq9bHTGLpjAg5
kbifXyqyIFnRw0oOhdDRsWV0MrKg7Dq5+efr/P1OZJC48F5wF/LPz8/GREOLG2pdgkO7mm9Esszo
y6xyLvLOdu7++Vqft3PWiY+5CJMoshzGm58p1srvnM6eUrbzqkWr64fDWs+xCefcKlsmUXBOp1Fd
GP3kPWtFGe2AMcrffLCG/uG4+nW5UjiS04bDhS/6I3Tl5+lm3taayZ2BiL0n8+Dg5SabqRTgoA54
IOcbgGv62wfYH4/ghw4gRpOa4BBhqEcoxUWHp+so+l5dy0GY/aprFsVhk0vax2ZG7EIeE68Q42q8
nXMr/D4QmPLoq3w+zzlh7ivRtO6d16ByMnHFXAytzobbFaN56/SZe+cScrSXQAFPMV2efq3XiXZP
LsB8oyDw9itiAYergjHAa07y19uMyuPcabWaV2Iqw+8ol5z6WBYNertyqMP9TOu8A02HAHVFJ3E5
I1S0k1dlY9qvMQ3cd+pU62G0rLqBw/ChHKP3/j0fpE2Yl5yseNOhIj1HFne27bC1APJK3vqYzbsC
nfA9qmiRB2XBsXHhRftRMCYi6rdMpuwd01QOQ6WHCMf3yHgo08Z79psRpX9lpKw37v4I1XcluDxz
Fo0hWsfeSefNe57t0FlPmYjO3vKznVPxMpRj0bBMxm5ceUmu3YvKUmeeM/lj06jx6uPjDd1Rbswy
1m9qi0rxiD07jw+hEbnW0WRycs5otvWbZo5T1PEfuxUjnItWzuxQPhKrl7LKWJGVPmEBJ+N63sOx
5rNTjp90JJXo8b09JfaXnshSjaakXl4vvVas1za/h2heVCmS+RZzueStxSFRrsK2VdFOzCLH+AAT
5i6NLHCA5dCaWAX4bAuAGm8ktplbo63s19RpyPjkpkH0FCKfvHEIO5UUnqg2IYxOV4myh3jt2Uby
kruEm05kRjK20xn/WMs6LJZJuN+nY0QWMGq49TwZHGCMopq35ZCzljziE8/RiO52FVJ6qZUkDPSm
cDRdD5bJyLqPO1rRKW+AWL50hDPYscA2OrCm15hY1D2jFlavk9nTdRvGU7XvYyoG16m0ezeGT73S
I1udIy1Pj5mfb8SsYVtq7ekKU0CzZVBkMBafqw3EbwfPQNXeRDJODrrflhcjg/kgKXJsI2annw2r
nI99o7t7ekLhfSQ9PF999tq4RI0orobc2vGuitnbZQlyMmKDJ/qNqfXso/Vc1Wjo9UrJFYAPa002
xhyY1HyBgQB+SwIlpK22zLOAT9V8FMlwlUTEGqaG2MZxY23HPq6OEDwx9Wh9jbRsFKum4G3lGSbX
OCPKQQGAYqhgIxl37Gdm4daZfsJVOzHzGnAVIQn1UdgSyr11muSBhBqmD11tXtB+AWebOUEty3EH
9UsPshmfdTzr7lrUGJYSEd92sXqjN/xaQzPcpFqBY5nOx6JJMw+a7j+hvsK8Mlh1HqjJ56nW1+ZL
YdnHGSkKoorkMnYXGJ7t3g9DeFGR3vkka3rFMbK3I44HNmB7OSMVprp0E8s6y7lD9Zzk3VEb8FPg
zj1lHuE9WMEKprICdVJjRt23RsfcogxgmpDxhpAhamSlR6OyK3BDWuSdeifnBVU5/HxU3ub84My2
tZ3GPOw3cjDFhTSM5oqDkk1CoMt+kXl6jsxZRQ8MQ8Y7Qt45P1TdkqRbD7M6Zx7Bz3Tjva2dSf9r
CrX0MOXudIgbAawFbJN1pgt1C51xvPVGpTbW3Peb5fnjEP1UDyBe6qa47ojKDjzutPxgazZHARNQ
RtAqziJgKXgWlm4XYM5N2IrKEcRwyBPBi4S3r1NKn571ty445m1RIdq7Hs18HbS1WVx1unz0cmBj
xkjfzm5mpvJRzmx+LV165YuYtrjQ0FBvyzRzrnVmJ1vX66MvMo3GC6uf4DeE4zEde53elz+KFyud
unDloEFbMqNajRyONj5aDef2lQllZz8PBQsz5exAiZBrN4g5vU2h2qey8h0Ev3J47u3S/y7tKUNK
WhrmvVk43pdpJOhmp2MLJL5rRARY9ZzHyqnZ1/MsLrHjuCgpOhVYFaFImmy8PRW02IvJQINWG337
rSZQaUOKkDo20jp7ha2jim0RA9jCOGFcBcwalR4G/1zc0IxD9BtaoUXxn8Y2bQqsKlqi0X0gf/3I
lyruJochJQ/hHEmcNtjv06x3N57U6Bo0Zbf2q8Zc+y5LwE3LmvTkyNmNqFy2ri8HZiuJ/ZCprrqO
ZGetitBID2HamGc+wWRtMYFphtDYDY7Dwhbl2aV9EISFMK8jvNd7B3fYSURRt2rr2bkLncZADzxW
uxyR6jafO/+1X6ZFbDQEb3djYgW+BEwIV9/xd/FQmjmSXSJxoi5kUqNP1mWv+9WVDkJ1Q9O6cld1
h8h4o+BS2jh2h3wH+t97xotDE6dqootJc3zApNBlD8A41TdJOX5ijNjfYCWBbG/VYuhIQi15piM7
xcBTDc4lFXu9Q7DuUQAY1TE3lOTukvWZVPX8uob2f+WDL91bDaYF4hv8fTHNBAH5pbYajBCXG0P3
c9oDhbWjoXjLysZzN1ktmi925GD5dcluEk6B2qsm7eeAmoVeUpq3jx7+pYJfvWkB1eSBcLBUBF04
D696TYovm0CnAdPvOcv6BoTaJi7RvqZzf4H1J4HWmm74xpNNVpjvoybqdQJeJVuBxOk2ZRSpsyf6
6s0zyuE4k3Ow9gXPwCa25h1+m3CNyl5eG/rQvaVtxp7d5Dw12ATaDIriYHtN5jxIvS+97h02km+v
kMNO8fcYAkEgk45ciciWJWWS1L43blyeJ6c2L5PR6R+QsQxvdpv4z1EvGHqWpdAYWMJpXKZypEl5
BQrSotxrrq2OppkiMSvc4YuSRnKpZ0Wz1vwhxwjboPFM8JwEnKKiS2Uqby1zQncsswmZreeTxauS
094uU/1MokC+JnycZ0ZlKlUEed/DCWBzinvYfs20N8JRHg0iqfq1tM2K7UzN0Z1vpaYK0DX1B0cQ
9c6Ii1NSFuaC3aebtfsEIstWIELd1DwUdpZey2M9J/17TW1EhUEuVqkVfAqtn7yEtN+ZTnPEIXSs
NgkhM9tp7+pW+KgAIL5qZq19N91+PIW+iu4dErgDo+LXTvYkHowyIciid9qXsLYTjpP6go5OHjgY
hxsZujo8v+bWtR6jaBnozmyvQMBYVMWj7sAn033t1humbIWofaYf72/tGQtFWyI2sjO9wC4d0+7E
8oavBPukT42NkhqwIo6TN5yWMSZX6mRkbAR0KDfao6Y2ofuO39B7iB21vB00rSm2GeD+ICvco9kV
TmAk+JYLp98SvQyEwze1tReynPV0Mi6UgydjNl5nZo9o93p/Z6oGIDvC5J0tk+mucc04QPwdndNy
+K7VmEMaQPArdxjMY0Jjd9PRzTomrcr3Qqc9YE4LAbBu+x12Df0tk4Zg4mHz1OEgdLT7yt4Q89Xg
MJfdSZdTesqMaZe5MGwtDlwBRbW7luMEfVs3EMNM7t5pmzjQidSjNKnXOYQPHhBVeD2B8l/JPK23
vuy+yVarNrVWzTvDJV2xaMRLq7BXtLB0L2RN72CO9APWRCSb2mvi2tuKFG7OKeKyLLpjoTXPYzFf
9Vl4lJX7ULfhmS2XhlGeSPDA8/e0iR6hkd1CyN/VnKaR0uWvQk9GpFQ0KT0p3rACdcHcwhAXmuE8
VHmC1q4y38jT5mClRWzysXnI3VauIVvDo64x7Hvjqo/c92IQSEIKutorR6MiiMa+/0JGzfs0JAc3
xavZeHkyBkqo6Ited9GMdcPPjnaLMlQptUITaO2MeTM0ydM0TOg3ZHxymgfdH/r7xod+EXcJxKEo
3nuoEgLAdP2TZsK7m8ZB7gdqmFPft4yzp3S5zZV+dKzEe3Lx6+2SokGP3xEhfkgal/bomC7lhCfi
aVeNANAZNmc24h13PqFG0tptXEy34ODFV0iziE20OqehQ5pt5+s7c8AqeSH9AvP9qomH6ZqckOX3
mU2WviqaziONCyOUh4i0GDLixqxuV3Q17RR/PmLerdFFOFgyzkN7z+o97VL2ErFBh5sOVZagaep2
IyVnRp5bi53+2Y+wBHeEKLK6iZ8uVk5IPi5HEQqptblA4cGnFNSnFdsLfaZlpqGqPnzuIwqEUGuo
MSoMQ2kyT9iABkrgJlRnzXaokhNP20jVuPplqjnJsJFCUXb0HtvS2BGvUBpLdQKAb/iWzuZ4lbqK
2b5Bkh+GU3LE8GI+R4VGkzsCdn9rdI7EBdtSiUTzoL9V1eg6ZxkPS8lLPI8KYqfuUBoPHB1yOCO7
2rDaA2d7fjW8cvI3Kwr0taOieQsehfpqdOWLm8PSSNqFzUK+2rWDxZ5gypJ4eaTKBEm0B5OIwSDp
rPBoxQ5NgY4i3+89egTLpObjeh/xnqpy20PoEqVDnTDsoOIWTx//i/AL81Z3KfsrDCE7z3HmPeKK
+rUrUEsHU2vSJfCt8WqcOfZoFJvMeubSvSMATJ1RbTgrPZbN9qNRXOdEt5pTRYZiRtpnXiQ1xMok
FjtN8BKLeMyO6D/LnVs43RdS5XgDeDOKFfvIfNPReLkGeWA8YTzgWy8zndc8Tu2hdUp8gtNiR9Zi
fT9n/XyeiBeRGAR5XxgkwvvaoexrhriuAkelwF20mtq+73Pc4pjLxwy+AV0RmpdsBj3uoVBHXlrZ
g4O5L8RNwvrXZ+0kqqiG5a8l2ChSOor+fCFawCLwXgW5Ojw7EHeW0VxtJVo++5Q3Ur90jBHSYDoz
IZsdmlfhnB0/1p2WkEQ74JTm+I+kFeHzfBPLDi/7MGnL64vrkAweumsrjTLrBkIin0neM2Uz+CPf
1XRZeQMfG03KwDbwc5PeWO6qpRXXEXN79hB1Xs35iNu7Iv3JtVkB0mZUDFB++YV56t5FptBQbg8+
oBPyMaVHouhUejo8BX4kKzFqfeQwIlDj0zLciQULBlSdB37RRs2tcNbNqOlPseHYKQ5OUhkhSRi3
scbx2vDos6JqoeA3NDP8PkOKuRhSVpM1c0mUwNUrrcQS5UtpDg8SSeYJ+Ht4HHDyvoaxTgRMGHPr
aDG3sG31zCZHGR5DQlJeM2K0D6KZNPid3ZDrw6rNQ+OW4oB3WJou7a8wijJOwOFY7kSZmCfqlvaL
FMvHW+h5doSlPp8HsP+3oGEAtCw3rNll8deCOIpXxHBceuq74ZgDfDhIWq6oHXyte50XQhMW+hvZ
8HMCRssFm+9b73REDhoJpYes3zFrE9fJMG/XDS2xmpJvR8qQm33iDgx7JehYlGInW1JMo8pVZ4sW
+LkuhvC5HR3lBLM7Gxd5ZBpXpQWfxckXf4+k8nHWJdvhTie0A1dyy1eMlFrgvaI159QLbAcEFlgO
X1ITjqJnlcBZeFuixF8ZRWrobeOae7pqnXBdUZ0iwGJ/FDafVISO7H6mIPjuhTVvWMhlDbY6kD6Y
q+ExiUxsR76l5r22xPQSMEfZ57vx8M13qZMDCozpqauS6QWSKFOojgN5Syu1juARAmZYmYjvTkY3
lJdY7fr7RB/9r/UAVS2pJnEEO5arFYaE8cpOxmarHE+R+VuyAgZ8U8+p62AT71pUs2sPVuuwzuuk
Uj/az/+VR/1GHsUo02dA9O/lUYfy699kDj9+5i+Zg/2HRz/dYiiJmuBDA/WnysH3/2DJI1CHavnh
BaLn/5c8ipRyh1ExXXjEBz/AbH+qHCzvD0yxwJ2wDPxwHv0nKgd7MSP9POTHQmQRNEgKIhIu+Gef
WfI9ZpZkjidtsShPa1gK+auTAsZY9fA/aaHRs+IQ1ilwQr02jLQHECi4mDDPsxvaU2DAxya1OBm+
kg1VXM3hVL4IPcUBHYkMMzE/VaynKkTiV87lS+GEFnY6w7xqE57cqxQDy5luqM8TOy2igiN07u4S
17/zsNvdtlM/XOnDa1G1SArx3TzKQW+fSTcZNGRCeTnj16inV4Liignms0ZzXbMiIEOTKJFZWxIa
8aZ2m+wtRuQYwVMoMH0qeAwb6rWEtK1mQiCZi5529URuHla+2V47LcXnhi6Qh+OGPBnKQj+1do1Y
+BUA3OOTlXqDv0HPm8CDK3PXCjItq94Xi/9zJfX5su+UHvRW3l0QqTi+g4Upnyk8aCCi9VYXVJjN
jarT6NWMTYxDqbmc7Pst+l2youmlBcyvxssZC/i1Y6lKrEafJEXQLqMHIT/JLn2rmG5AMhPhreSa
E/3B80YM/NDKg6HsQSbYajdygrs2yMM2V6lVvE8E4aJWL/xr1zHqA35oeWepsQORQPaPPSprH861
QVuElsXRkZG3Tom2vqAtS+4XA4rmOMx5vDSLIRisEjowJ18vzDJoNZU/WlS5d9C4EZr3BogbSFzG
UwKG84lTxnSoR5Jflrr8NM5Ej8kS31M1KzsYp3A+zZHRf8kzVTfBgnA6jWHbXHCuGL6LVsw8j5Sk
Jd3ldnw12GW+qRtRputyFE25QpY4nHH7tMZK4OJ9bRZOVYTj3dlFSQGE3qQ8eklTzM6LZbWhLdxY
EQGYbKR7ZlLJLVN764tJF/hGzA5XYzDV3hm1CRKsie0Lw0zxUMR9Fe9xCtFxUlW9NuXQ7EdlDLdI
dMCq4dR/1sqoPVp6Ib6N7ei1W5fxMSpti1bXZmwacYsvjtjODiCE9sRcwb2O7QRDCcRusklEN2fv
dl1ZghMP2dKRThyycKQBUcMo7/keswcaVvG1N6XduTNUfPQ4wIqNUY3NKQ5Le625KirWLFcotxaJ
OjBqOMpoDX9vVJF9bgZK1SWaqb5MSw+3FbYD7vKnqTRSG7t8xEyWj2diDlkfxZDo/KsqjUgyFReD
St3brhKTnp9KXZ9KWp6dJsmZGwEKhwMABJJsBksdY6CY+2Z0rw0/RdFv0721LBqgmN1pGjJJHDYd
47bnMBSKI2OIuNzrbdEFWW1WjKg65w5AA21SlRAQtERWBjGa+ksb99FJOm68s0EWrDqmr8QHwV4T
4ZBt4CKxFLlfbsOO3KhVMgz5w/Th5sHHpafXXtKRBrS2a7xOd/aMIgcHkEciEGGRjbYf+/bRxmFw
o2X+gm1bDEQWTqIhKt1ztZiLisVmlC+Go7ov1A1SRvPQL3YkWrfRwVddfjPyML7N/7QtJdvQEvkG
dWKxRlhLjxObk0FuVpFyfywGKB0n1JAeMYrzmyytofmKWUrgmnIX+5SDjypN8fiB1lkxbCS2/cNs
tdiuYjJKgPRhxTIWUxZK3O4qwaclFsPWSO9kA/ZAO6ezQZt82a1Vr38pF6sXydV8yepr2w0XDA/y
IJQ6FaBJy8YQmb5lbvTAPBE/Ei4y31PYyfCVOXxjG+yQt/piOYPi8ogr5sod0/Ra4kpjBjitTHXh
LXa1Qq/uhsQqVsXkyWBcfG2QXAbOtovZrYfdsvdiIwvU4oXrf9jiMMg1idEdW6u7kIt3ToEm35mL
n87oSKrGZ+/hpiHg9dhGno16bqzn53jqujM52fbWHY2VyTK6cPm2TzrUvpX+4eSDtbXTnFLb2RgB
Aqmq+VJ9mP+6yhhWPsL9m0YpcWvNLeGxUSLzm2zxDrqi/epVZH9lSWRczIVoNlo3+kXAqRJs8VA2
mBB9lt+9B8VsDTYAdeviVpwX3yJnR3UJFw2A4GC0DzMRbIHm2N2lKZIbhyRvbglckC2mQIxmOCPb
Ii/uhjwMb5zFN2kvEjGn0tWaLI8LgTVjnS0+y3wKX+PFeWkuHkxzcWMmiy/TXRyaOOOLQFrusVvc
m1PP0kk1/YuzODuBMCLdT4m+Egz+KEW89xHnxa2vCVS3/aS2nGMF5nov/77MqC7nkeIJL+kobWyl
Lc6gS/YY7ZTKBNtpExdLABatyGZxpVqLP9VBH7ATUxe/2x/2VUEFFnhZf8sizC9FpefXkEYcpho4
X5PFA2sY+sKgtteLG/RQLE7ZHI75WusX9+xovDhDi33A0LK7YvHYOovbVlZ2s+0+LLhsh4sdd9Dd
ANlfuVUfdl1nYeksDl5tcMXR6Ua1L/1kOriSRyQJm+5BI//8T3HRf8/JvzknC8NCpPPvj8mcH2Sb
vMt/Vd//heS8L96SX6TBP37+zyOzh0segS+WAQZDi/qXg/GfZ2bP+4NHuc/R2GKzNBCK/s+Z2fLx
DSBWI1semTziP/7qrzMzymDGNQiKiDnxTJO/+r//5xexVvfpzz8r/hf18S9HZsTFjm5baP8Y/nN6
/yRPUpx4DXiR+j6bqqCIvueRdjVREacgT0twONgzj50e8kTqnyB9cfDqfqdhWwSVv0hjeAmWizja
4j2bQKJ/VUhVjuvWvr9M9VulX4b2kxL1qeMBiL80yji367KhVQuMnDzG8FzTB9t5JqL40Xy28VPN
8bqs0ZvRyKG76mOTRNjnGZdN7GK8doaVUadrDaTRSq/f7angf4qX3DpG8i9pZ26W/1R44+xEPXRz
RRO1W3V0QByxB5eGEyjK3FOjw/ZczbrE6amxPzHL/3/sndl220batW/lvwFkASiMp+AokqIoSpZl
n2DJchvzPFQBV/8/YJJu20knX5+nD9xZiSVKJFCoevfez2ZrOonyZfI4QnNNgPrwgoJtORZkek1g
6STpTM6KCKGXe0FCwNK2SciJHnmpy06WNjxSEz1sVImUqvn9o+N/MoS26SJ6JWHlbOhfZgcoVlhi
VwzKmbnFm6HK1yNxyHbIrkoLn1PmwZusKzYobp8pF9d3ST5cos49pkb5ZWaR7tNsxSw43zkzP4bs
+8VcVr4XytLpJCSQOOnyvVyCYM7QncpO2kGu16va6XixeZtk4iEq8CLdbpl/Fpe/WVwwF3scW//7
6oLp7YfV5Lcv+G058fVfMPEzBvwtgvR7yMD5BQnRMbBEQpmhT+4/S4klgHs4aElEE/zl9I3r77el
hHQS/WSLQQ4aCIsMX/XT0vFXSwlBpB9vZFalpUjOYTTgY/UWt9KG76qCpqLvx9JNwLU1hTpqaQdZ
MTO5ToWdfS3KccaivmRnYUCRo81ukdpbuPaWsw3dTruQPSR9S+RyvFiiD1+ymb3DsVmCunGfpNFd
1SxJ2rBkc7mChUSsl77MDUE/F3Wwl49DWwskdCRSzHCpl38dRwLCYzN4L/iEUoLLtwRxz0o9rcsl
WIzAfRcvUeNxCR2n8ZI/dm5Z5HKJJZP7yP9VklSOYEudU1+N8MAa60rYGrPAgNftW7/EnCNtvM9y
Ol8XAED6aV7i0FTHjx9V1EDSQS35puHjYdwV2XAmW+WijeNCW6tJdGwjInU/u1jaGTlakPsKTXus
ylSOgTui3I7MWO+cW1476si0B7IS1smM04zuJXYjZIWxCiEQRuU+J92wsccwputURGolvII55cJc
CQCN5E+TAfyT4wj6L5VY+0Tm0Q40knfgGYFKUKlarGe6tp+KOIKuByY9x6A6xSZoKcMcsMBnHKHW
pVX5XydiDjVEk9bV6ekdgUP4LQGqMGsOQ5ilm7RDagogd4B9apR/bIHm3qguZaD7tXeGFwjoGUzi
cB3dotlHU1ztgdt1jDhIfjFjLfJqZc1O/dTki/bsemS4kVQfKz/HpqHVZf5guKGrQ4Saqcp1UINW
ke2Or/mg4zcZrN47GnHlLr6mSS2wKdfnTOuEPaA5mW5y8EUPZbyEUlVCWFo4dbO2pEK30tkIHPq0
EHHgxCq6eH39DYDsNOz1fm4SxDdRfYNEllsBcOZcBok19+9ly5lmH6JbvYSDSu9GUTab2Z/ShfDq
jG81buqLI1tiuSSBt74mWpfHKmYvo/J5fCj6SB7mvovSFxxOoRofYW0lVQ7NRaMsyqXg9EqBaHwp
TH8y8q98uiaONTC7Ce+tsspYQ7Kd26nCCuC4RXiOusZfF0aFnGFhx5G2dDjcGeaHyOM1wqXpNZ+f
rE5FG1myVVjhixrLfVga9ZaoXAHtJnVWuE7dA/CAbAsxDBdRSnBnYvpbRxmWSGa4eEKsatPpdbFq
eiPcpjjxAs3tzU2i/CFoI1HgLjCOZu8bRIAMGs4q64pnf59L3T7NtRWuJr2FqqCX0x4gDO/7ANmv
CEYLu0XptVyBVtnoZw0OjQPNesDIQI/wlgdtj621LTYJ2B3Yvb48DZAh17Ipsl1jg5wI4No2R6dr
hoOZDsWVjQ8utqRy7B1mnv6q+d3jHHNjZlX6bfbEB0NjGci97KuHK3INgJGqFahbz9pg5udcKnfV
lewNEmUbT9AyWbW8gsOfD28g0B0wH2FmxgEuSG8FiKEPxiG7CKt88a02Xy1ZIAyxYp/20dVxynhT
YEtdkT4kDp7oI26xLvf27ewUK5U5y7tdyWf2kfFah2dy51bWTA2cM+48MzWvDtjTNctTtmEiYd8R
IiwQJn0OsJHVDfc2h+BNo1J1mgpwOCK3rFe3INIRZwwMFCzggzv07jMD3OFYSydXLFIdawpnIEKg
ZE61dx3oGhPULJofdOC9YDei9DKPrI1ZxOm3mi1rP2h+ekJl9hXjqkjhrp7ZfpQUI0PlRVVJsuZc
DGOyc9tiiV+bCBYMTIYoGbcqxDls+8TEio6OaW7DMn6UTOc24QxSBl9CzrttipQblROe/57AqF9S
miN8j0TBmY+ZOZ0SCCYPaefJr6Nua/DYs5kph6lvdK9eXLLusG07r3hl1OFd4j7CZhrx8b+meNVM
e9DOdqbKB2OkL27KI/2ZDrX8WzdZ/SfXiKzFP10+Ng10+Mlo9G1ek00f596jjtfqsiBnbLrBu5Gz
6MbJ8JRYojp4cSfeRMclLbDNnWBolPeeUXd77FbGQ9fZYNrZ4HJXyekpMoplF6lh4+lHn2M/k6BT
Z+fhXo/tdDWmXYZ86bFk5tGD4QNmTEItuWAudb0gG3GURKz5S/UTc1hEy/mA2R2GIfPoc2Lm4Ye4
hA8SwKDsPnO2TDJAfmNyMses23cmATK8AepL0Q/Zahb1/CxGAbAgTN02gEBGEbXbdB+aSJqnmVD8
CWjBCELc0enitpv4ajuD8UQ61tzOVVqvJ9kwg3GmPv5YN3V3EbOjLnFXMZFnYWr2PNHVG36c/FnE
ltsFRNnURkqRrXTTmuFKDj1Qxv6xH6YuZfgnjL5/1RtnOTlPzEcy/XXS4NDsK+W2yUeLQQPxXXwh
A0+iTPfSh7mKR5iRYig2g+E01Iized7Uupq/4tlzNmE2MWNrE5bgmPwkQmMrwyCKp2En9eJZUru9
g8FMOUHEzJiPMl/D+ssfxTKmtkv3MERavW5A6v2zP/41PPt3+2O2qH95+j7ybYb3bPohjPvrF/2u
Uhm/ELbhpE2izHa+O3B7/i/U6ZGcJ2zresyv/rNLFv4vxnL21HWdo6hp6Oxtfz9wO4DzOIgTu7cM
3Ez/2y7Z+DlkQ1aJbTpRTY67SEM/x6U4g8etR2/LAe9jDzeOzpNHCZpyK2RJFWTD7gQvSapJJIbG
siRcIc+/kl3t961bjDvRUIbCmBWfxnfHjD9LrJo/7d/pYeaXs6EAoKDTQvuzfKY6hOmMZqE7d7Tr
6sHnsfHgzTjtGLqFdkZlfPWUGDiWN0mL2zxisK/VOEILHu/hV68sjcfOsL2m3dSTW7gfZ07l5ylu
ZL+y4s74VNC5QHdAPtZ4OgjWQ37FkKw/MB/3Om1tOb3m7WUWzmtLz0rAeAa1GYBnKsvN2g8x9SDc
6BqBAKyeeQNCq8unNesGc1kUHv/gkcpclDBsna2Pl2qI22HjS09cMDwNH/wKErBsm2IM/BzsdIA7
qvlSTIV+tUL4zWwzyMhRLsOQkjnowgkdQzPOD72ocsoACPLTiQFJ8LFcvOLkBMCF0L0RRtquTeb2
0ESpsRsG0b0netw++FTjrJ20O1JMdagrp3t2ywS2va+mndsN/THEAHFQ2qitaSRFDsMv6ZwbS0xQ
qeOtBkKfJ+5gVFc84p90kXY0dHVVtZ6zPH41w5DcmD7Y8l5DfnmENwPszI2nboP3W50id36iTiJ/
aCdqDaluK+HGSseItoS2rS9tV+BuqOMuULbNWjtQwOFcdS+rryOuDXiqXnGxx9ld2snA897zEO7E
hzQC2aIMLXmY52bDtgy/m5/L5wn9JChjaCfKqe1dnhfltnZ70hFG6wyrjg33ZoZos1eCalN39rVA
zDo9IzqOXnbNckUo03nkXW+OnpO1JIdy/RAZwj+QHfUOMUEbCo5KPX+te6N7rly2aY00XDoYBo3D
QZfMwAZNdRKj7n6N3NjZQthpNsiQSYCqRK/5NLYbM6l6B+fRaG3nRiqyP1kdv2Vc9oEwW7XqudKC
uYvkVXdHefY5ER1t2Q0bsEc+Kk2cb3oN46iJ/5pfqBfXGB8GQuuMGa1NYi7ptnDDreSBOq1mCFSv
Nt9kpalcC0LPHza2L403M0rjVZFO07/MJgrvG4Bna0+pdg97DV26Z7/9qTPx4KxCdIU7KBRpu66k
mGIcYPDUdmOF6Tdw7a7zArMpXBOZERprAElgWudRju2Qmbf2bKtu8ZFpOX4aBMWjD3zaZuKk53ej
O7fEa4w8PjHgKrE4St49SqLnlTUuJ7cx3uaTadNR44XWO9Af6QRJLtvnWdblaUF38/bNTbaMtcKt
qPxwZXrJcnfFXgOcJ7fCcccOUeSIi758dCHc2js3q5y7DNyPH8v5i0v1+yaUnXXnO4tV2Zk4EdeG
Vp1ZCeWnMeZoGdSeM+lBgWHXWGcYGKH2yFJOJDNa9zNAA39Y2xDkUo6nhjeeEW6tO2WwNwkKhjHQ
fsY+Lk5TxVGEaPw43lXAg0mlsojQAsdBDa4lVrlgxP/ygCYrH512xEnPyXdUHOe7/AGvd43+7NH1
xJan0thFGhAOa3boZ4fl4FjEfo6zK8yLF2q4mmsyiJ7ultyEQrXIlVqzKJfuImImi5zpViaObmNI
rLW+yJ3OTflsFxF0nO32XppxfElMmX2oF7HUW2RTgAXABGvJHvOmqtpdlr2nUY/Wmtx0V46SzqVL
plx7BWyKMqsWkda86bXuTbuN6tZpt9Yi6bYz/R1TYchPkRcj5C/Sr7GIwGz013ieNUp1FolYv6nF
zEGtY+yPKS7PsX2iXwpdOTSc+HGJlX+sxiK5upMqjH3XdtHFsqyaPDeA6Zy8U9x9ria9LAILapy9
axdBO1yk7bjxG7jE9LHe95gK8FkY0mYaKzxUkIx94wPZM4RygO+8XB5BYGZ9R3fWAOgTE+g+08jJ
S0S+Pp8g8oltOhGZbzNTbRqJQM/aoO5IeoavUOcM/uCiY53nJs+Qqxh9AssOhjnWVv5N+SeT456M
mx/AnczFG9BhE0CPY/c3skvHDes4t49tr3nxsdBbjUOq4JccDXeDI/Y9FShb0iORkzVKvCD41nck
fN2LT6c8r1q8m83iYPBtBqtKq08wZ1hy7PwUTV6IqYHuAsjogWNrasVxgNiBTilETaLhPNmVu7Mq
reYLZmU+lNzoAAMXb4W9uCxMczDXtGYgsLb8AQdH+5wu3ozWFOpo2Q0pCfj8eDdsf3wfFz9HRsvx
uoWwt1v2JV/yxffBVWozdb7ZQaybNWRaXCJdNULB4nHaHoW3OE1sEWMpMbrZtSjv0mDBokD7Yjst
NV1roID6i5P2fblpFs+KdbOvTDcrS2Qttpb0ZnHpb3YXD4P1W9l5ixZ9M8QMizeGGpDsBZ8RH1f8
plnp+KDRuHOddOcpU6G9S282G2HRxLbECMR9dzPioIWZDyEWR0whcfV5Whw7/eLdwczC5xXeLD20
f5SfBaBLvieOH3Px/jAWQlh2F0eQ13TGqWM54y5aHENYfDEPse9CkMi9niMM8ebsjXHsp04zHFy8
MFhWMvXrQ4r9wWUk5GkMhjDixKshx6hIvLsprnJh+FYLzZd+vQT3wAjid6HVRZgcIf8OXXeNfNQD
NkX2fUz2FMcRt9gpYf5rr1Ej0SCllYDXtAsLq8DCGA4X2jAiffPF8xuM5u2s+Qd0SLlsMG2zRUqA
Vzzd0MXtQjEG8ATQ2F/Yxv0Nc1wjG5iB0kgXBW6ajqfGmMmayBsgub3BktmetB/NG0J5FAtOGbIb
vFJi+JR8cA0gEi3s5TFteRIAQyubfdbwfoIlCOOQRysVIaTxhPdEq7W1rm5YZ2shPHttxkIb+6Le
eZWTp/ctUBFFqtct8HV46oW8RHPFd+J+bkIv3VUORpAgSzJoiEa4oPHcptw1Xcs4F5gS6YfYmHlk
UGQ5IOfUxsUEg1kcvDrx4UW59Te/1K0EWjpZA/p8c32JMmlBJwZHXytMMoIwgTeZjC3/kT3+T5Al
7jjju/PIHyBLR27ut+7HQ93tS34XPqxfbKRSl+MJ/lbfNDi8/CZ+cFKBzGaZqBiWx/Fu6ZD83XvI
UfI/xzia4YHkYF10GNpb/xNRCePiH8QO8nmuJyDgwJ9wfoYl4Aj38jRSzrEwseauKBo2KAgzJDOP
1UAyvuc+gobI4YkikCo8V+XEZLW1dQ23ydwzbHjKq2ZBT3SdI1q10WYSyuHeCxlUsB0f7Y5hSz5T
8RRb0D+2RQtiV557QP8xuxLTZegL4Mzpo21PUsI5jVbTvWeRJK2XuDBOTc3l3EVYNUdphpVNcJ7c
7fSkefNsnGYCz6SVfaOEgMiYK513gAmX2j4FmG2VdjzaArftkm6fc5RqLpwBs6e2Cf1P5A0ETg9m
qQazkzGtj4SZY0yIk/8Kx8CqeInJmTeKY1ay49mn0/00lcVGVIn3kDWl86nB3rfW/Ep+TkaLQSI+
iG014IsmXMCtndKsxMhW0BAb9Dzvdtlc5HfpkMefnc5uXs1OYDE06Nl7r3zvPVfT2dNbCG5jVkx3
/BHej4Mj6O1K9P0C6Nv0qfBXCi8bf4fmt8cB+7pc6dNEZbmMRmjNtesXAYoI5zArpL9cGvYInWMu
LoMxdC8KcNWd2U7kiGZ3evTZnhPjTBcXY4IeAZdSS/ZxniZfuR7sxzQje71hm649xAXRRmU77b6r
cMGjgZXP8eyirFC3eWFy6q5GRU5mZcGAu0ewNj9qFSiMwGlM8VBZS04JCz9sTzKWY2LMx7y3oXom
gzVsDBMFWVuGXFILFUMEMe9zK0XMn8Jm/qxNBbmrJNd2TdLMd1Zszu9sdNw7zuP106xP4XnQmupU
0bJR7Ii6TQ9qmJ3RMLZqtHrTQVH47f/xihH8v9dsswafkehQQ5ugGX1qwg4pQSdZHvCDybxau3Sq
pv4W0DxmHMOTpK9l3sl5o8cQjd//WVH/LyuqiSmE2dJ/F5KvcfX1X//vrsvfyq/fr6u/feHv/hTj
F8PUTcPBgsJYCkDNv9dV11gYdJb+a13E98BL1lvTQIO+raOQMvG0/C4p8+0sW6erVixWl/9BToaP
+eMKi/Pc8wTeFH4Gfi7Q/z/6QhoCehBa/YosQlcGKcog+SOzTzaR56P0mParpOgNp2ydMJapX/PI
1u506Z7NaoCoUMwxXs3OKh79sSgvyIEvdqjj4q7zJt1WFsmKedDEXWu4JMYnzeXsQLrC69wzITiK
OhVYSCXbN18U9/gn7ilm3FF8GK771vZXgywwSowDkIU2+UbGIjkX1G6sGrcucZdUDW49j2JM20QX
1Odj5esXx+gE+q58o9hLga+gws0CVtH2ybcux1mKe2TauJV3doXaycTFhRGV38BS34OuuoaKo5GV
DFvLzO6Hab6wdzrqEX+rTTWM3MnbVJM5rZr53e6zQz4a75XrvDZTt63yMMeQF4uPQLH3Ses5gdQ7
HJWkpbFHe2do0a/ZmL+5+mxsKUa76m12v7wDfUEOxMryb2ldUu4V9elW5JS8iYJw1cCchXt7fI6E
vHqlclY8KeFq5/67DAmxGLG1J0d9pOCrupsREFbANHljmF0SyDuY8WAibymYHdNV1tZrLOjgUvlb
26Rv1Wyf3ZgDLdZv3Nz8Qmx6v1X9dLFyPqtJ9EyegLdoVnaYmVoEikM+4SAc8WbFG2XGzCjDpd0G
U0y8STK/X2H6rwiZJtMm0pb3Mi7e4K+wewW/H/SSANTyWjVGoA1Jwovs9Etv0nwQz0fDozFeG/Vj
7YKL5hz5TVCataFr6D7L1NHkw9l7le/Qm8RvSKXTyxz2YZD3DuUWvtDWzIPopOTsv8ZsMJ9aOz1U
0/zSWk0YxLZ6hvGDFaCUq5IH4Jo+1rdylP4mN9W7V83H0YySVRq3yTlr3NdE6V+8RjxQ52WsEEK2
k9nvZ3to940an+fGpsut7rlQxT4q+IwAdeAsJpVPNm4+OtUUI7PweWI/EwcfpsZGzXiiG7MQUAL0
lzIy3n1BCVihSJ/3UY7wPj437QB+Jv9WcH5a6Q5c7qFQzyKEGZIlPZACcylFoXuDIEWSrG7vu1E6
Z2xfr1VTplvHss+1bblbAg5IPnw2sXK5FIWDsb5dNF8uR81Q59rU6s9pqPlQMqhDarVwfBRI+5iV
I0TihpLLye/HfeNO44FGg/GuQze7U6OmPWTxlIPYqYuHUqsncED5SAix6VYMXMQ7w8PPDAKdk8FE
B4S6qjBzrDHK4hHzi0as3WyWbyHxKS2IKI12dqnVlC8UZ78USnOG9WwRjA6o9VwRnThbZfa5FeSn
MoWZOHaY+dE3XPdTu2ksRYtG68AvQKBsIUxXBMoctznnWnwpwZRspGa9VJoRrbrBtjfjYL+pcmrf
y5KAG1yweJNTiYBhmVq52XfgShfD2uQ0ezF62LRRyeU/p+Z7ZSDNdk3BtHjUV44yjS32VT43bMEM
N7gMG567awXJ8QHc4LBDg8TGm7mvruacB7ORoBvab5psj5aTHb576PyJrPDTPplVfJFbYCNz67vI
L8t//84UlKQOpT0yq/bWqCHrDk2/Cj11Jm1xT3OqE/z1q/Hk+cFLuLwa0g/pOEuHTvHzrpyU21A6
k1vuseNU69Igx5ov9g3Bgv7Xr/Sza5FX4ugM2tPUdcitt6fXd7+XdF0l0rCu9mafvflL1HRZjlMO
ACsMSExx+Cd9+9ev+QeBZnlNjwc4lAQwyD8zISNRMlrFyryfejve2N34DAgpX5FD30ttqRDj98UG
cGw7Vre/fumbeet7l+bt98VJreM+sw26oH78HGsOFjMU1XLfFa1YpzS2E+DEFMFycUyrNNvrvnqX
naIIUY7jIR077luGPQFn+ffFiRmV83GIyIZSe8GeHGoXWv4GyMxROizfnmMyMoNiBIn5vmRIWdjj
VRURWIa4WDvKOg+EqFeqqvydbVf1p8imvsha2tL++jf9k0uIwxfFJUyJdAYrPzlizTzxiwp76T42
u61V6Rfdny/FTOPw37wOx9Kfr1VeiMOoa+PmA7z54zuKDuBhGV2uVT+37uCYXCYjsTaErQUlt366
7rzsvmcE+Egm/+L2evEISzfBDRV9a0bW5WWrQs0ywpypjpEGp8eXwzOx+jMxj13ssdzbdVKsoih2
diRT1Wtkm9OuiMya4MOUHAe97a6U472olsf+YCbWoU88umqcvjrSVfgtTGyHSDa1j63yqp3S0m9h
Nb94YNZwKPHwrsU+nux9TJyFYD7hAFGrYwYTZ4VR7OJOjQhMk+/te9rn1s6mlWuwx/rrN/JPVhgB
YZlTHDBBEzfjj+8jcMWqofKo3IPavG0nFCsbKBUn0KTY//Vr/UG95Q7ETmnxabk4J38GKbfE7Nwc
8tLezsar1SWHovq7BfN2J/10p8FEBfG+/AlmevkZvltZkrjJ+lzXcTX4I9WuiTKphJzfl5U+mQWV
5ySOOYvtfc08y9CPN26ZHzQVfuzS9As5XdSpYmwxHaeCzlke4jFV0kE9FfeGEX2bHSk21Oxm+1xg
zUttAdhCn7tTnjib0as/eD3/2qGw/c6akmkFcl0SSaNRill9zaEOVxMHaHNH6gXKg5l8syk9pkgw
uwebcsjsaCIxnLJBxcuIOQoARxnDjtL7a1Wa8cYS8/FvPpM/uWP5LPwbLhuu6429+N0bRu64J7wO
DcfAzBeMcUFiHwcLpuqM35kgMnURuJ3yyTsXtlOvCBnp+FyKhz7lWmZOvIHGMGxlyCCzd4wK/pz+
CjlDMHp3Z2w1zjkcKK4cQvscMykhUclKVEOvpE9zetFN+T53MA9cxrmC3SHtEeAsNHgpsf4ysRGj
2D6udyKXO7+W1wiXTJC2XJ8WtcxB54yYPhluUzeV+zs62l/8uh3/htL6JzcJz4zlf2imnN7MHy8q
GYEl6SWuPrhLa7Y4KnAlP46lE6Wvo7/5RGAm8+1+uoYxOpARtg0wuH+4JxcRW5jWUO5bsys3htNB
Tw7TQ8iTyjf4fGZIp8E8cUBiqs68J2UHGOX3DuJ/MFQhUcrSr6HwjYTHnBkPWk4TZjl5X7rMOGmj
95D7RbeKfXb7qqzEWtTdOyG0q8qnYwGHJFgus0hkbwCL2KVKc5XO+n0z4AFTlbliu4phPiUrwEd6
O17OlhLrxOYv+qA+HI1y4LSW47YO8Q7mDMvuFN2vt0NQWKpqLfusOpSDfE56DpLekoaaG4569iyf
2z6iCxofoC/GZ4r1LmALDjfQpeEOawKS03r5B42KEGKGywVZD+PWsNoOwGR23ykb/IN8BsXDAcLO
NO6nWsM/y25JD9N71WRE82v+dqvZrwQHucWYuJzw+723fb+WA29wmif3ieDMApaIR0ZuvabxeJXC
cgCq0UVdFgeNoN5cLF7kiBuYXMCBQ/GOzjPkRGCjQcfd4cj+Pjfsz3HHeCcz7PPYjTTqtNNqORjB
8Up2smmro8fOPu+tV7NN/u557PzJ7c1ex7Z9Oiq5on7GxeYoeg3plWLfudN72Y1XJO0z+wvePJRn
tOXs7XbUrvCVbnufnd7tni/jfksaWFKgzJc1gAuzvkw3fuavPYLa7jrvowbJzCs3vhqmPcRtgGQJ
8Cxck8mmoT76HRSmf1+3Pu06Ec/Ffo79U8l9sJpdcTY11pi0n15GwXZLbwVZZz0ZVirqsQJ67Kzp
pDN5HsbMPVdpxDbbTYfnfmQFbc3+2nocSf0hZ1Q5XC1AZDvkE4W3JhOAN2YkZfmchoWHdVfDG1lN
704HCq6t+6vL6WCfJc555CHCIXN4Fjjrlt187/7+fP0nqvE3VjQTQxh7tv8+YXvI8jeyxT/ENX77
ov+oFmSrcKGYwliOCz7P8n+rFrQ/6M5yJlrmbwQz/q1agEXgv7Cn+c2+9ruCIX5B4bNtdsLW7Szl
/S/zNdv+aY3G40bLKjkyAiXmAk74af/ZjtkyskHetnoNWoKVb2EX9VtR9N4jfVxxBc0twlvQ43m3
Nxk+Hu1DTIHJ19x1TMrGlQapECBhAQhlpzFKa5+HqcmPEMwSMrRoArQ8J+4ne6bQPDai/NjL1IS5
lbXrRk+S4mCqMNs6mU9J6piWp7RutOpTCc3nfpyAIlO8bOw4doyIr7FZU6IiW//TmGAP2Hs6BK62
bybndZRq4DBiImQTAY9P0Ad6ayPYCJUrP6q95G3stfh1gCZZkDGrsmhbdwOZrp5qKNQTLS90azX8
qqsUqOlCnvNfNRfvJsCQ+uTXJZnbkl0pJ+rT9tB8Fs2m+FXBKSm48SjBNEOfZle8uJjuvV/Fn5Da
F6SgBJY/wlDIIicJjYyuAYByGYbLXyfjGeVSzMmzsrPndmmXDRlgDsi4S4ShROstIcLhBe99K8yp
5sFZZKztFHrQKnMIdDMDZFoRu1ngpaS20q9zOE2LtbgvIBevx6hKLPQoau52Jsp5e3aLfhmWlu1F
R64OMGQJWm4sYAddXN7FmjbuIvbQTxkzjyQQnc6T2ijlI5Y8e+v49fTm1mm2kXQQrqZsitdJ1TXb
0SuyE+q/gFVkFXdV1Q87SvUaRkslAEpa14Y7b0RhH+JsWxQlc0Qnjh5sE7DlGOfY5awoW1u9LYLU
iap9N/vhY1vI4mNYaiS9gX55AY7l+gHC0YesKqJHETXdRcaj+5hTCPkpLjz6gH0jPLR1rB65Hqot
hZTJS96pEH5ZNX1k1qOZKznAWwpdbAjSSFxmVFn4EteKGF/saNhOQgQo6vYomnVbcQqdMN9pAKJm
Ht3QHl/qxrPppsudD41jlE/dpDL4fWFM3sZOG6HYu7SuWjHim+9K9noOsB1SetTl9XeS5+ZOUjj6
IvDxHH1MdjUhRVs+Wz7R8MCDapcuNK38myEth7yeCzojiKqy3GQm5ZpkN+wLlkP3DpgQEUB33aWD
Jdj0KNwr09JSCIgqX+DPIEeGKDKPhoKSjLA6BH068VkPNAc8xrlTvrSdKndj6NZf8Bx9NJp2XPW5
5x34pAEF15gaoAV79/OUq8fQoZ+5tFT7jDVvfiVjAULLl8p8T6tWP+KMw27VNMI90KDpb620/tcC
9tkbNl6/mKQyn6CbMsb3hldCEvnHKZuTjwwaE3tlN172sdFKn9AYdxhbMNpGGb9sfFf22wQ8oKyI
oVAik+9SZm4PpV/aB6k6H/rflNEgxddqD0aasLOEehEHFEIklzJMFSbLWrWrCmQUVzF7xtj2VB4k
vdatLfpTid4PNSwNnPG8Lz3OjjxeRZpOMr6Thwow/lpMtvliuZp46LX2A27Pp7TW3K/KrrAO0kBH
ZMGWAjuiWc/ps9umFuagKYSdCIACEyhAoyS6863OvZ/woHJrDN0TgUzwb61evTuDTkMpSOqLCP35
SyMr5g2GtiQxClkfozSyPkQUx6+cJjex/BTNBBgZQrllGsOn3tbIsuURmRPom3NmGJjnVXsAHh69
dUQR/kUzJS7MsTmZQyg3tiPVGk6deDXjMNkLgJUeATI5nUxQBoz7HUl7Qs8QNsgo1zoboLi2bUWJ
X4DEXj1SYEvXIEZM5tODMtgUUmdPazbJlSAmVKX2ZtyrayWtzgOyI8XT2Ifel0wWoMWHZDAhd+UM
tzHATleLoNepGkv7bbDZSfpOyMwfkCnr3KALdYmMErwDOMkO1yWIX9c3jOfJ0LozROQBnNRA0aUh
bDCBXRLfMZhCza0n0LWaYVZnBOyMS9SuVr2u3tk6l1dDOtNdpIXdim9KLiUNuzsb4OyuZ2Z7YuvP
7NqrvXcLhta3SrO+JnVjQjwbu57ZczEtRt1Ng+jCTa5l92TFvHtfZNkp1iuGven8Husm2qiOIdNS
6kOlt0+qmXUotC31iyGMLQoQ421iGDao8Nl/pKm34hBqxtiuOtkxvYzPeTZGW2tIwnVbtsZHOjas
XRrZ8Cgb9z2dS+/agFldxdg+nyPXYAWJW/oI06zYtG1o5/d2xWTZ7srxvir1aI+jfEoCp3D6nWUY
1SNXbrEuYcRfEmJcXzF0aTr8rv/P3pksx41s2fZXntUcaYCjH7xJtIhgG2InaQIjJQp972i//i0w
s6rEYDyGKWtag2t2b16lPAA4HO7n7L22lrLtMZzHACnUnl84rgRyz2UBewzhU2Jmt5mvmNT6R0qc
OccktVEHiD1qdKnAscA6mRdb2Q7tymgH+U3UdbhKHarRnZ18l432Elcl5hI+j5ddnwWYrFAp3RpO
RfOmKcCUZKHAVz00vzSKtrg2xvYuVi3K4wZOZ+JEko3hABvUaQrcAU1triElym3v6rg7mqi+6YJY
19bx5EJnNUTmLJU6VHZ9e1FHRrg08/6lhlX/vcIwuQl6DF4ZRV54d4i+Wfa+Exv8WidRs9MVPveq
nSSryuS/AXl34fCbltdFUt2BtzRWNOPFho4kaopSiX+4uIhYO0NlK8FzLIzGTw+xTGH/N3G0KWVc
7Vo2JOuW+A8PZGyzsQd2XgrZzFvMYt0FdB+Y+OmAA1FqirKiLwXtsCy6tU4L9Ic0e6jFBpmWbUDu
6RhaHniaahmZV5PRl15uZAgWS1dsCs38UanloW0dtg5RHi/BHm9ZohW0lcpXyowkGMNlx909scNI
UWcnanHNofJgq83WbartRIDvQs2SfqWGOX18GnBxgd82r0tnUVFiWFgRIFkD8xgUmmADNfpKx7X6
xW2GfptaLe75MQ6o9mYAaPLbEXU0fR+VJJpCyZdWioaia2dBb5JuG1kWKzlh0TKCghBZVO/bvNNR
3Sm2Ti74gIfHVex7oMORN8U+tF1Te618S1nDfaQ8kKGYFBHa0s5H4jkbfg49GqIfUTZWawqEM8Zd
ob/U5QeL8gEfY9hXnYmABRtquxvQLXqEK9PziSZnn8nxkEbmd8O3H94OCP97ljpzlqJdYVCX/f+f
pa6eo/z1d5nCP//GPwcpC4yGbpkGDA2yad4dpJApYFkhCohSk43PnfLBf6q/7L/Yd/PtspmOjk49
6r91Chy+8NHTzUCrQBgN0Xt/oFX4UKGgFqyr/D3kIGHqmXUZv1dsR5eyhRzn9Dp/PbpMySusZ7/d
jRNttI9DoFnj7EcNj5+MFen9EH7fzmBid/I6Xydc2FkoIw0Ai1v6X/f8X4wy/4rfKql4aQdEBoxi
598b5XsxvEpz+T8b4qgfaEeFgdaSIdqJteYwRqtqevl8CA3P1of6I1J/AwWuYGZQgjy6XQ2ikDjo
qtozlbyeZRBqv47UXqztnqFNHxwfWjDInWkLHrZR283Q6MMa3662HYeu30ZlXT+KcNI1Er2beFVL
+0DWfWeybxr6S7dm8Sz8Wl3pkpaXRrT9XaSKNlzYWRvfj4lDgTW24wuqu0S7FOV3kFOAzJwGEJ/W
eW1cL3FshOoCmKq1ShQ7vErLcgTl1hasrGyErLoFRaum9oWKCYtsIjzWbFzH8EqtFAt26FyGUgnl
CBUT7lWQtQOkM5miaknay9bNpgdyiEmJLfmgxnb1wxKZTc5Vpq8dpepWjT2h+BLNpYGo5oHGs3Ho
0R5ykrfTdaHXMYhddrVpqxmbJnGQMw6lduVAl1/HujEs6Cd1X3Rb8pcAI7206Q6uC77rI7L/Rrvy
YTB6BWD6ZVC04cGPu/6HK6GMdZPewhn3Bw7THYYpzlSvfW75X8MSRNQqI6jmwYKkrAP90l7reqCZ
ZDaG/KXMHfXlEKfy0RWRE24GSxqHDr/P0p5vMAmCVwXbdFQLcuYOjqaFW8KXxMPD2MciAZHRx7MJ
r6CB1QWJzkaYHSvXbK5fJVGxRIXJ9mc8DQ/GJF5dGBDfBoFx2WiV6KtM8PKrI5Z8OpoVn6feeJ1p
zO4i7KvJiysMUDHBUuh6/Ek+tip/XzbwO+LBTvaZazaPkUJiejpU9kWGNw0abO+vdbPGM8YWCLOz
iHdBrncrty7rDWYTdYvLB2UKgJxg6fqjv3YIKAcCnTrB3iQwxsPXxgBiQnZUxWyCMifxYjPu7pJi
au/QKvGHaz7IILgj85AGkCzV1E/2DjGmuIKKdt0hzrhxXG7notI1f5XVpVgJ1s5r2btxvIuFlW1Q
TKH1G8CZ+cu29rUv6G0CgqEi9S7O22Tg5BKZNyLV4m0YkMJLKdt/8SFOgKUQin8tepd8kyS07Xa2
gND9IGTiZgxrsRqD0VrC8TD2Y1lXl5ViA9bOpm5HjcG69RVd2eJY0G9tLQsue8N89LNqOkgsJejy
zU71CISyxK6qwdq07YDzGnms/yKBu2Fv6wu50ClNbVG8OL+MOHF+Ea0glw3gs4salspL6KraOmgp
pyxcx1EhokmXLBJ3vh8+TveVNg0/U3KCYo5PaDzCgJwsrdFGL0OKcEnyuXEPt3pa+6ODfVhXTG1L
T7femvilvjrC73AomeFBzSqVnSOCknlfTIPKjjpCQtAw/NASMBMVO5jrVh/651rX86u8DdwbPEz6
PQBqqvP4vJT1UGnmRS+C8Zad8bQJytq5JUM9fx5Dsz/U4zjcDnEor4emQt8ygHJuKte8SEoI4Fpl
dktMy9ZdSfmMvdY4edCdnW5pqmLu30H2CBepIJW+nlQ7X0A/TGz60Ja5oiJWYIXs1V9GZMlsEaZF
eEedIP5Jaa/xtI5FKFGyZsvUQMQEnnVTjmWzlUUPvbEpo2bFVwWPiGpUF2lvYeUJiyq8n6ANB4ug
wwDCSxNaq9hFt0yc1bTn1wb3QiumPcWl6gKb6NyJ9KNqGVu5Ckgui92dw45hg5XCWtlG4O7MxoXP
Dccaf/dsyQyTiDOFpTMnSKgAse6qcg3sr979TTQPK2fc4ExQaIe2PlIENXWXnS+5D0MxAf/DeXCb
p3X1go1dsox1ySEtDMJWYpX+B6vA9yhyp3XR2bYH7617Reg8bQSJhxdvvO6+iChXOQT8PTdJob3g
3KO6k1Iu/dVQ938c2Snf4ElGpDLjvUVumTBX4HKPQ5AJihj2TGAnTbdxyFTpnAQUMnP4jZHKKV0L
5lSgeUhyp6D6Ww1c6HYUcKP1dA51SGTzZA+yWcFd5o8aNXCpCIvd1RtKXjSB+EIiif8tNsLisYuy
bCvdNkddMfnraNJUbL8zu6FS3aU6zKDpon2mPy53jm0BvQra2KSrl6ge+p6ExbPurl0CTyClh7AX
as2NaOhh7dIUGXB20orBK8iVERS4NHSXoBCDhep02R5KzJBAm7Akp8Z4mjyZl/xglaBsz40S607D
xvhVzilhkTGnArxFCZulk2/t3gKcPZUtw2LU9/fD5DQLjbrXElOIcl9GFnGiysCjd3Rk74UNgr9F
E/TTnWnkyUxKz2rLvPChrwDIbojQrQJ8TpWvOFt2o/VOL5XksXfxf+Z5Zd251XzqgPxJ/g5U++At
u2D+2DUU7xZKDMe/t0ga0DWw3YWL4jP0ac7o9Wg8a1mVrvOSCc7pGt0iM3pJgCjQC0PNX2O+4Tsy
x5r7JrGmRyZScGuFSkCfunXv8pgIIfSJUNjrMt86YGa+SjakaPoi4V+mfU7n/Y06LnxluJUymSDH
qN1rl/vKQ2aXPt5Rss5XDm2iv59TIgf/16jyYwdD7zeqUWrXsPiV+wAuwi0GOVJtUoG+3Byib3nb
OAe36IaNguv4SW9H46mrFeOJBuR4zZfK2oRVqKzGKFJWcO3Jr/D94moKlPpLgQZ+LWosAICLh+u3
uy5NUuGKxnFuxMzopGzAh6+JLygCaYiA0MPnLRbGgom4ocymXtjk96xzN5a7bJT6uoQiS1SBavAS
2+64b2G43/iOFuyImyPy520uT45GwqRi0ETjhHIxQU285ijtr4nQCUAs4ndcwBxPbtQqznYWqSZf
XR/bqvSJdYWlycdQnQwe/0RYdtIU0O5x7+E/RRSMewCevDlp2pdQIW4vGYdrFoVxJ0o/v7HraaIo
bkJopH6KSgAXl7mAvhGvJ3AWG1tL3MsULBBgYTu+gZ2J90sneMFoM/Ir+gmnuN2TaVGXw01lN3y6
7RBCgF0VlG+HKbOTFYYNn+R4LXTXfJu6HSUPJAy+0RC+JNNcW+Z2Xty3pKBuWhYc9kCEEV0AQpA3
FX62Zd1a9FZCwgPGXiv3nKf7DVHTNB2qJFfuG1WF74Mvkx2zgagtpbSyVAMEYETNlTE+6TkX2OkQ
+WA6g4Cv5emj2jKdspJUBN2NtJe3ID4jwzBv9L36AgMVbeMQFTrC3TmvksSydYSFdD8RCHaoE9ve
W70xrh3Ei0CKBJh+5JU0yjPXwiMmO1IkKRTp00G1iOIBkJ0i2/X5H/dUcgPUvpi7L1upQNPhj95S
CwJIXEwUoRuYwNtI1Sfghr5F3zrazld0Y4cobADvh9faFIlm2UbZnRgQZ5Oblq+n8q2eU8h6oZuj
+D6iQkBinFd3sFEIak0i5YK0ptsW5gG6XzJw+lh5dSoMLZqRf9VbINVpTCWYy0hWqVqwcppBU28c
p+7XFG3F1vfJLMrZl1wAna2JJq1Ue80OMSQkyQRQFo63Ag7+Mmms7Aet3x/NZN4MeGA2Yuized9W
7fBPioU9Rfd9EU7L2lECj9Vqy43oloQh56uADLkNhfevSg64CTtMgd26qfyV088wNh3RserQE8rN
Eli4XXK9eHUNdlXCMlixiacqgS/mYbCkMJmvrSglVbjQuxZDTBx+D9rOBCKpETM5tkO3HpypuCvJ
ZJ/w7aoVTnMRXoSxVd7meVJ+VYIETb8YM9yTJUFQnW3d2VqNWzB1ymTXduO0F5GbbCEYt54SgmNY
FUFlUCmsp9s4sOq7EqDQuiO/heypoUYjOFnWGhAMeLg6DLcpnO1NVyUcydU02sNmGAl3kdWLW0/Z
hUbDi0yR1HTrVV+gX8cm0w5JctHkL2zvtW+DlTtXmttKdVkLszh0VYwkGGtBf+tP1D7lSMJJrITN
RjrE8YksU6mWY0ymLVnzFFf4U1+M0Kh6OlvTeGNoMj7kpiw2bTTW36ya/dVi0EJxPaID+AbSwd4n
uLif/NFWUUFCuHtU5y+kpSHsVUMn9IY8by/CyDGuwqyRT9AHTA90UL9PzaC76JUx+SGNmJi7UOPh
Fq30bzu7zH5mDXS2ztKMZ4J8CqzHkCP2GhKyy1oCZbbIqidoo8sNzroNnqJRkcaDntvZmmw5jQwV
fL/XhTK+Jp3tfBWFna/RRDroCtNpQ1BovIw7quLs8SZ0T2FGWlgLcHhljTUrWZzGXlx26aK0bCrF
KV/b/cipgghjfcJl5ayCppxWTZTdKymZSDnt0oBVfkHhBgapS2ZSopVPtR6j4LDIFFmohg0Q1GRn
vEVxn91TyC4u5ZSKHYVvtlLrICObj1J6Ujqt4ulNr2QexyVLeR1l2uJqBZKltZbzKBV465w7nS2n
mB7BWOQ/kMQhL/koppQs6/h50PTiIa6S6mvZloO9LRWTgKTIR6kDhWGm/0Lspg6qyPyAFqDPl2/5
GLTLsQu3dR/vO9G+UmhGZkd553JwnfxCZ2f7Iy+h/I5gD1eWklxPRUe7oNGVdCsTu1qSSFRcJl1J
Twrdnbw2hBNc09vCYWCkcbN2HBTUNVX6ZVODAOP9/wlqiwYW3zSA63iTSeqS0x5mcXubqBQZjCAN
UXo2Oh8uKt5anvmHptSLFx2xvRE3/XcSOe+mVjTGxibzY6UQ97GNq4mVvVT0Ja9aeocME5wL2aT1
F1Olob6kJbixwlaF6NK1ZJNg+VCcwthSXrYvRQLAfZHULYYzeMdeHIvgBcpMQ16XWmAgV8CRBIN9
z1GH7wnpuN/9DCp2GbhPxmD0F2qpCTrWllhVQyXvjMj4aacORX6MIC/B5HebLukdkhn0Mb5y3anf
djV+Bxe81xYcy1BTX+Gm6L79ZHehcR91BWyRNuKFRdWz6HP2VNTR3Y2pmFuph+KWM8gjC3JyM5ST
ta8qMqpkL611meb+c+Em0zKte8dTKj2+nv0K2LAVTjGiZncLQadaBl2ff8lhiLDDVQ5ZlsmddMbs
4EeKdWtXagATxhLXWtjpv7QAjUIR9+W6bqNg78MhvMnNIbxE9mXeGWXs5qToTqAmv8V0FPwwabYZ
y+26K3UgDXJQD77fWgD0sOQVSNK2Y6end5IVd9EOYANcOpPbOm3vgxZx7mCr1l4PCjSkff09dHPb
i4OQLxYbwT0LqeJluttdspWjgWuAnWyCKmH/W+S/Whl3EZKp8kUnePpb48iWBLqAlOOXQo1j9UJD
y3jh9HPjWiHv1Qgacd8KZRiXCqII9zpK60Asi7yqSLKoi9LcVPkwcTQLa6Ldxjq9zzM3X2Tm6G7D
aE6Sp4R1b4nmdRgIuFUxJZKFptd7dep/2CanBjMVGX0pk0NS1cHm1YhuyiKX3k+jeQp8lD3vv/nV
zqzHDBcSIlpol+wK0xXljh+NiEgRo0ULP5Pv69j3XjtYzzZHkCGeLunKHthDWVTOKBMpraP9MNy0
vzAKU19blU4hJQEcGfia17mK/yu0dPMWc684NIP7qxoM5THg1XsQwqYBZjZFRTZTPfiIurU5ZMMs
tgjmW4A0Vb6yZAC4nUDs688LoR+roMJVbdNCGgtW+YNfwAI/kneKU3s9/bVFp1CMi8qCOVltOY9n
Z1LOP5SonXk09KUqZGrMiUc1V3swBwmgovbGIiAgjIxu+jL2sE6DMl19fmGnhtIE8iXHFKbJ0ve+
Tq02Vkn5UePCQie4H7DoLIK4065Uedbn8SFThqvShA3UFpc0Ix7Vq7XEVMdUZ6i8ztvLJJWJZ9X4
n3wm76IKhmwLAm/80yI5g86aLJ06HOKX40HNyNeEQpyFNybcRUEO6sKqKdlxJjXOqOc/ekoYSuAz
sG0I5IZ1dCsTFv+pLJXay8ZQn5v4KAuVyol3iaCiCfa+uqWZTgUxncKrNoWg+vmjnGfFe6Uw45Ma
ZLhAiOnRHM2aMTDKUE2CxnMyhQJ8zgVaVf/w+SDzRRwPogsmpqnOvaJjK+mg8bmQrqg9KSnd2n3I
LiKwdf86FerkTSNg0a4FW1nUbJI/H/rU/NGFZQrVpXkD5f39VHVNY9ACoddzkWRclzo5NNRVKATb
ikrSBjmP5mIMpb/+fNhTr75uQHIzeLKQQWh9/d7J0RvXKuyIYe0qxr2XdQ+gNicvsJi1Lqr1fzFh
ddYY5PczhEE/kpcHdaVqmP4ZrpHmfSWqLYd/GDyAec+sMtp8wz48y9l6wQmchebYeOVO0z/P0pra
/kfzNjdHv/0JA3RYKE2qEX5kqVvLmdTn0J+LSdjs/sWkJbLKsi0DGTs+6Pd3N7F1OfWBWnu6HRgH
E0zSVRmwxH7+DE+tcjzCuX2FHBRsxftRjME3WiNj6XlbBToyRJaGOw5QfOPyzPM79RYaqkMNRKcq
785N1N+nSzK0OXi7ngW1r8B19cV3yym+f34558Y4upzIBCfAh7r2NCEJ3Kq3hpMdPh/i5ORg/uFx
YCqaH1x5LhKMvhay9kr2rldBq4q9gLxBvFYffUXVyJTMuzlHiDYLaBt15/gka33+Iz6+ejqJBrRQ
eP8Q1x73Hg2zBE5euMCsNfC6EuDcElRpdZkqCECQGeWrz8f7eF8ZD/+Tyz5KaPbxu1dxrHLQ6VVe
lg9sUKzxADPOPrOV+DgXdXroMDMp7Qrsh0cvuBtokjiZtPKAwKIkK1G0k2d/acf0Mj6/nBMjcRGO
acM/MmcR9Pup6DZRNI2jU3gsbaiGlOaCYLL7so4fPx/nxGPCxgiNk2fFymXMC/dvvW6rzBLdre3C
myJ1XafPCk7KOMnnsM8zFtiPYE0HiudvQx0tF9SoLD8DuOS1nUvhnrCFBclnf4dQteuqy6eHEWbz
FqKpjzbakM5KrclDtDiyYjoQch3T/d2KhjIa7ksK4JkxJXvTicu91Mm7C/pwuvJTzoGYlRF3zmG4
nKsk9nFS0fZ2lw7XfdFSwR5bCxIAFcdFb0XTmQuFoXO8NvMFp6+Hg99Ecnf8scN7quhu3nJPm1A+
uVmOdrBzvoyWFT1nUwsuN03pn6b+t3pAhm0TkEbP2tpZFkAHk86sNovDRPuQ+RyMpIVarsi+lD3y
U5/CEma7at0kPfXGCJq9X8c62MW+AHjVASdHn4v7wigMnCJTv5LSEUvGiVeU8OzLBFkxDxg21cB6
vXKDHhdHMKxIKEtd7paY1Y34uF5sn6jMP55rwkWHgIIF/LOwj+aaj4+J3cfIfYmBs3d4BXY89cEL
4hrqIVF9vff5gB83PLoubLxwoJJgPh5veCoibru+zArPdSQwxKjI1hXMrEtLL+XWdwJ5GVJ6vQdq
ec77deL1ZTeHsUGgxfl45sBL1Clha+UeZa7xawec4HtFv+ceu238+scXicCD1YhaB/853jrSF+W8
OWIyw+5IVwSgbk25FhS6Euf1zmqSyFk2NNhh+QiK9p8PfuI62VeRdqG+8aiObcI2ji/KTjl+aFgN
26rP74MhQOoRj/WZ78nHkYx5kdJsFEb4HOEPv1uoqAE1AXT41BOO8zSCiFgJZ4Cnn+r6H09TthsI
phBGcfpQj93zJXBZHNptiq6g7VeQf8kHjG/63rQQClo///QGGqrOheF90egiH3+2gigtcyOtuCwz
0z1QDXlBD5GeTpPqSXPmHn5c7BmMrQ1bA5OG9vHnC+2sFlptxpUpxn2oK0/V5PyMB/0+6K0ze5D5
XX6/P2UojqUWl8aaf+xGJS0iGkGqJJ5epug2cZcVJrF8aTcBFO32lCnP7UZPj+iyFcUDzUt3/HkB
XeUU84iV1u0Tt3wuRu1er4mYa0PcA1BWLv/80bHxnvln2Ifo9r6fkWbDuUP6duIpbbsf0w5jQUL0
hnpmmI8bG0M1Af+QXGOz+zguKHSOineRv9oj/US5V2x4juXAF/Hzi/m4VDKKprLZwLFKUNfRAW1Q
xEC+hZZ4tU5Fi0oPecbtLzu3DnElaaiT5kpk6RmH7Ay/+zBL5oUDXyOenw/4ONIOSJ8PKSa4JjGv
fepShsvLhIhzly496m4YEiP8NFIiDGL1ICaXtL1UeyuHKtil9JE3hIDcT6NZfSEEOlkFZcnmYN4W
VIUwL5DFWQ+u6C0vkI155teffDBzmhDNwBkRNf//v22dkCSEGKR4dalO5+t4dGP859Q5P38wp9Y9
MOlzSckV9octZ2ZUfEaCIvVyaQOOLDpPTbR7x5bndi2nHgVkC1SVlkVS0tEEMO1Uh6SSsxANpY6Q
xQ+BWKvD5vOrObUCAR2kDAcIhWLHh3umiiFolQTxUANq3OYzNZgtee5N+kJW/J/vojkzIhPlk4Ev
HjTi+0fkyMgCUsQrOib+z/ne1ZF1yGr/6fOrOvXyQFS0bCS5HAyOvxhDQxTQVPDyIJd2bpNRo8Xm
mz9pthSbOjCdH31axjuqhc2ZT9WpNe+N4kjh6MShh9KpSmBDl8CXEjcyV56nGFtf/FjG0x0v4pnR
Tk14jj3w0cCROR+KZCnXaFtlk3hlUCbbjGA+5OWxsvr8Zr6xcI4/HTMmR/A5ggtyfOB3WzG0JiV3
z2l79THCTrIhYwg9Wqx3Kb05u3+INadYtoXsbqoxT67N1Na3oYOmcxpLi8YyqRta5cMr7x30GG0b
nzvdaifvvM0JmzdTJ1/h6HWp/UY1+yzjazMYtAlk9axJF9yg7jS7yHae2oHqhE2ozGWa69Fj0nfN
zneL7yGKDnKc5L7sM2NHFcldWCMOIzfkOj6/kSfeNXrabEFtW6e4ePxBTG1+QzSw3e7z6Wc5aXKj
logpsWO4xfj8+Vgnbof2pjE250Itu+73L5rQQN8DbmRr72s/VQoOq8xUn5uRVBKbTOc1pXJ5Zodx
4qXTNDp27Gj4Yn0o63d1OsKTKri82PwaRoGyFKh26GPU00IXY/VQ1f3sIMk778+vFdYDBit2Npp+
vFIa8C5hxzWFx1ntmkxBYrnr9EA1nsg23IwjqcF/vm9jwLkMQDaFy1J2dHctuo2NUcEAVDHrgyhH
lZDr8tBXbuZluEXPjHfim8N47KHwQ1OvPaZVAT8wwqjg1g5dQOfCqLG/VEW10lHE/puhyAbVYWOp
1PmPPgilbUQyyzmiaW6R38Kinxa1La2LqNW0M8vXqTmq80LNPoS50n80RzskcflEZQB2U3vfhsWr
aVb3EDlrQA/VwcGT+seHIxYwTBdAlATtk+MXUBvotYlmAskjJjR+dv+lbutVSR3gzEAnFmZK6uSH
Aoo0sHHMz/O3nUg59SjAfI6AwB+fgmHY4oy+/3zSz/jg463auzGOdruuQsieMbNMEPRrABijct+Y
jflFtFCt/BSrZBSokD/6ulw1Vhw8FH0N/tukV9tCtqb416KGxIW1LAzChxSAAeveGVMv0mUNu9AI
D8LFN5yPnf/NL9V8mzWIszjdjktksP4OtypNCnUYbk2tRqsL7Fv7MrkZYqtcw91YZA1W2Q40Lweo
IbiBZ83usIgi0E0Y4mDshVvQvuMuNZFodnqYXXVK3XlO4t5HRdIsucPYsakV1YsQoaCHOBEUbj+V
a78NTcTCSX9ZGHq07KO4PbMvOjU3DQ2oGPNEp09xNDetqqnkaDE3kQk/V4N8dsLyxtAVOATF2scb
9y9eO/bcbPYo39MQOhrPDMe8ArOZeyQazDWn614ku17mZzavH9tqxsxV0Cn8USOw3KNhjCEJAQS4
pOipyaEsoxrNoIP99IEm9BWClGVriu9BnZ85Mh1ncILbm8elSssd5XB9vCFzy6wiIcKkJoL1/Gs4
gF52akM5YHRR0zWaGc44lZn5a5l01Sols4fmds5CXoluZ6LyN+Ne2elqq2w0aeRLH2EoE67c0u+k
g+3GL6ZGTkM/IAVM7ClYuVKzqL3Y0yrQ/DuRGLhqJ5McPRkbUGVIpFzH/J6VTMtXPB8wVd8Y/0Nf
bXB08c+zyVyGjYyx6dnisdLNc4/i1JoOTUMDdkGZQZ/J4b+vEZHamFmegD5S5fPoOESH9STfarI7
M7NOrUW/jXO8MerKjqxKt889x5yB8tQbliQerT9fjU5tbSwdMpgp6LdBPH9/MWolSmhnNQCytnCW
o5kvOIw/FQnBJGEznjGdnRyMeiVnFtjpH7a9Vs1ilKe8K0pokbFUTNvOKMHDoj7SZXTm9p1aCCzK
/nwtsOx92Pym46hbMSoqr47rg2hsEtD98alI61cZoVkIrTN3Ujs1L+aeNwdYJATAL97fyqkpU+4v
+7R4wO4fTULbO1Pd7wS1+FWhKyFpPNAqh9LVv0SqH3pjgKkBkgb5fbMN2YXy+mBjCcKe4QfGdOZ+
nPx5LIiUkajfkvj9/uf1g98oScg2p6/KV90NHkPR3aU6OpLPZ9TJcWyHkyLH39ky936cplPGEFge
eKUmLanmyOd8VPpV0dZnPqSntq0UpxBtwOkjeOfoPdR7FwcH2kvgKZ4WNkhc+/xQFyZ5GdoNLPz7
LHXPFCpOTeDfhjzesMaTkaLRU7PZ/L4lzebVxT0d+Na+LrozZw791PzlRDrTzmw6wsevv+zJfJkG
O2OZEeN3GZa/+ggedJdqzpLybbBUSiUiK03N11E1ew0UbVZm1oj+3K55gtkeQmd2Gq8VOBZwteEz
CmV9RzQv8LQ8TcnkapzNYPfOo2OyamK1B3eXKc1AIthc2izEL7UX2Fmwxw+l+j0u2mukOOWaEJTX
yOn6RTbq0brNRnFXIrrmYy/MM7Pp1F1wZ6cuJQ7m7XF3Pk3LhkDdkp1fOe0mOWkLqRpPwAMuqJmS
nAxM8PPpe+oRz84shDI2xdbj217GWjBWbIa8qHIJ/CzbutyQxQsgIPAx0zezJv3zEd+0E0fHdBQz
ggvkdeGYeXQCDpQRApKTZp6VTe4y7Fvrzgi1bpkDCbkIizR9LOEOkDaKcvLNLuCEMn3M2kmuJZK+
rdKT1XzmNpy472w2Zgs0xEiOE0cHJdcanUwKPfUSNzDWYT1aVzmYIG+Mi+YprrWJ9MDw5cyNOFHE
RJVA1WdetQn8Fu+XjmAwp9LveKObyUfKqgfGBkGqvmn8GogAGNsFMwXlpJmu3QD0xUhPBucF6KLP
f4h+Yg2bfeHIMQBp0Wg7+iEq0ggrk1GGbznWaY3MvoZIT6cD2urcvODO2DsZo0bGYtWQTEYRWVMy
+qjETXS3vd6rm3H01a+hwcZbyEn9yrY434Y9UwrHFJHHg2tukeS/kqewYMnu1oY185l1BXi0kksv
tCobAHRrr5zgQhSJfpfo+XDDa4sJDYzD9BQ6rbtPVfub2o7JmYP5qeunA4YHHTgv93V+SX47BlFu
i+HW6Fx/mgx3IbI0b7CG6CkC2bL5/F6fGgrhNVoD3Oh8No6+mjSdqoqws8xziedYgUGa3XxDmezd
MA2ePh/r7bkdv2lz9Vfn9Mpn8Pj4nytWCmc/4nDQmT5RIDSMMXtNhraFvNytcjvVLrRC9W/lIPpr
IZTgICTUcENPy22Zq/Xfu/r/xTecwzfwnjKn/gsl8CG+x3vun6PoHb/h73/lH36DZhp/IbyjmUMT
jsOXxRv6nyA8S/1LGPObiwiDNVxnlfkH4CDEX4Dz2PzAaTCwijhsGf6B4WnOX9ROAIui6uPsiILj
jwAO7/cmM7fBoVXOz7JUTlCGM8/6314gNonpFJuBuGsa0k3ArWc4NQGe4X+a0sy9LI0AXBYa5h+l
nYj7MEyUL2RSjdvcUMZymUaQXyCMEYytUhFYKZaG/0wp1+bQIZZ+81FZ8BuCBVjy6DaueWHITjX1
XQEVa9MaQqxLLXYvhaKSkOzS4yX9c8T/PSZfphhzoRuQjxxqSvuaTwqIuNDoDShlUXgz5GlEk6+R
/TNwGbhseghUIQi5bcsw6HBH1kmN+zVVK0zjSvnSijB+lkE/Ehs9ajST4/HbWE/10iXK3abZNcnX
rg40YEBwqQMUNAcA0gdNKlQUCKYRD/iUp+TcGj6v0f/9rr89AoslnKeqzlJJZ/7Y/PYIMgohRAw1
1t1U65h59ZYvhxhgQbmEvmJmEFiqFpHI3NvCLsVlzk4HzhMyNUKDErXbTiEAAjrb5OdNbYdgBEOX
aI3ip0ZO2FNemc2XcEQAZkYxdGLyFMPF23c5TX1nG8BOInpNL26wZT3A7DE9s+wv7aAX9yIUWzt0
f8aVVb389pLc/n11/wfd9i2HAtn83/8AM3J00QZFdJ4EG5iZXHy8wJFs6QS+WuZ3RpH537T56VPY
1b5SgB1u/x97Z7Ydt5Ft2y+CB/rmPiayZ5I0KYkU+YJBSSR6IAJtBL7+TtCucWSpjnVd97Weyi5b
zgQSiNix91pzGQEL2FhgWCXzdti5WYMruDaGZd/jZ75WIykQoiSMlTDBWd2mDZbSuXW8D4nmr6Rj
26+cFi3Q4PZ8iybDugDLo4kUJg+pq+xDlOcVyQYzttKyMo95g+4lMzrjUE6OvwUKNewWs+aZdgZz
ujIX51vjjxf0ddZxgIV8JJsTWBrZuVua7eVOefA1wA9ley9/qgRDQddt568Q+BwQpc78Faydcwp0
1R27Aa98kpEtK6ZxP+SzuuelLG+CyeBlQrhxLJ1vZDUVNCbAgZG2WyzeVQjBIc5JDwCii3Vt0wYU
U+bS2TFafpC4TaPuFRZduRmavLgm7kRedFjZjxo/8WtI2ifd47nrmZPA3jiqJbD2Tdb3x0iJnFCl
wbwGSKZ+DxtruvZKycXZ+PeQzmRLcdRdVkTxQnLhvZEPmLIHixtKsBz2awqt2VvfTaNcSMSbKeez
HqdZWqYXd7UKm/Qmf3Hg8P66ZjF/RySOyICOBrMY2qxr3/K7F4aY9SRJp8AggtYEibBatw2rx1au
qH67YGQbjNZnp8NrBE1iifsBI2rszjr7VoiWlA3fTs5yMOVjIF2xrbLKPKDV+awiF+jV6NefSM+N
sPt1CBiKCYpAxW9/acG2bcwhXXa9R5NcQ8u/V+TFAJjUXKoeDX3twpWLWa70fkLgvi6ocNI7TwzW
zhsMGxYLEKxNoSYss7Aq7t4fW1HIKH43qHfSsy6WaJO3tgrNzyFwgceosPpH8rjkTQ7mqyDDHqfZ
FlhC/qUxy4MksaOOR6KosfuMo39wCXUJdmWYhbchPXy9+/tX9/1g8T/r1Xr7iTgKaSEyZ1pLofXV
/u72zxJecLp0yb3dCd9g3EJzWHfS+AB6TF93FsnW0Pp642Ohc/zkHn0EcU2cSkaT2szZXoCocGfs
Cr1hiMjnpZx8pEqRnEUaC5y9T52ruRgTrsZJ5jTk/vkFuOv2ypmVfdl+73t/dwHNUvadlaXBfeVz
MlEFuSsSdORewrqEpdewzhBdy3qBCpFW8urp98NGvJiJ6V3B0EveePco8SHBvTh09i5QBctzZmME
2ssqTD5WgQR1l5FSGm7+/ru/78c/3Hw3cAMGUYSL2O6P352c0byDeebdtyP27c3c98kbT3MSHru+
qx4w8i7XherVbRWsxuQ65ArspvFPREBOZxiB9LJR5NERn7vTOyhg8OvoEM3ugIURTvgtM5P8Ethc
/wySxoaCO/dvE9sEP1HufukhMp3MZQGgUUq82qM7l9AIpqCLReGR+2QDcBzGMXm0MwtHRWiE5z6X
9i7hFLMnSptpdZWpp85vlkM3T8kph4eyZmQ3IWxtW71a70Zru3Zx8PbCtnaLIyJilssvVk2UHFnb
uAdKIU6Vy9ygWbkG1ATq9/dXL4mM9FuXEAy380v+z7EpEyzWnX1f2b0etzUTZQJ6ZPbNFP2yL0hm
e+LJm17dirGC5tufqiJIIEg2y7VrLtw+/GD2PY1s0OZ2XX40yRIEsCf9HIdV8dVp6/Yk00ydSsR2
cdfZU2y4lX3J1Nxv0Viom8ICBPyLB4Ei8S87KK8hQy1qBitkzV7LwR/KBtbqeuzpZd9nlYVTi5jh
TG3e1+ZqVvJACh7qGSAf+SZbsnRPKSZefI54dwtD/RKraH/KDAiqRPdVZwlnft6QCJ+X8WQUHN3S
tNkPkvAmTn0B/vXZrD6x/A9f7NmdXsc8cI0t2pIaBGsWIgRsKMeup2bwdvgYUfYot3GqDRnYSbWv
rKQ10ZjW4zFMAf/pRQQn5daf1NxaDt+SqXFsEJm4IibuOG7reduP5vhNemwrPF/ZtmuZhWKW7PFF
A8cICG2g5Fx/VxA8w2OvyqNnlJPeKjtfdpGjHy0BVc9pQwdUiCYhqy94IegR8LAWOD1jXDnBVzRY
9babpvJMp8o8LlGlDUJzFjCA0s5aksASN4rFWGYP7AP5Q28UVQV1Y3bCTZvXxWNPfxGjdyn99IjY
1lRx7bAabHroU98MTq33xjSvBU6n2rMZQpw1SGzadstUphsnQwczELBocrklS17V9two5pP8NTwW
tm2dgVOGg9+77rZaLMSWyJpOQBrYdRarcL7gXSKsIrV8UV4ZsC8ofyJ9l9I6Rk2VSvMLvXnW1UHS
mNGs7GZsNOBAUm8uz5oHIVx1xO2V4RIzF6Ntdj5j0UU/qk04ZUUTJQhbELvfd9SWRxK3oxQmz7K8
kZAYnsJxMSCh1phzQz+xmHh2y7xDggsjpPfzLPa7JNjMncFTmEuqzI1Ku+1ABLSx8URibnNnqd4C
xqRDK0l48Shbk81cBk1czWV9EwR19jv0LgIr7SrizmDluXtfUf97sv3FyZbj49pN+t9Ptjev08u3
l+9Ptn/+kX+dbC33NxNzIOPu0F/9XZyT/3WyXWuGP4+yLpmJlPoBaHR37dKtU6h/cd09/hHdKyoK
znl4LPx/cpTFBvnDiugzTeVjKAiBERKcwBf6vjDJBhfMZSec6yDpgwcNNOukHd48sikqc8saICXt
4fbsW5G0Nq0lp525MNOZ6WkecH/LCzmJo/0ZO39JEEXVZVekysGBtoVU3nakLHlwJnf6PJQ1T3HK
KpcJLHRxNIXwCuCcDkCgsmY6jLO27kenB+o+JdPt0kUJhl9s5SMIQzK7gex08z6vkXhCTKZ6Iwd6
3ARgqg4+NXm7EVmhSjgDLekohgYG7GrN9pkpoBVH+oALZt2yML+QDLuSlXRZfpOBIW/zFIPwZp5r
dQuDpk8xaiZcey3qdXyu8jI4tbpzlz1CZyUOvbb5p07vCfs8hvC1ZObBcQF+D9+krrUyziFfkEyk
ZDGYjMu6du7sECtt5BYpB/QSOVY1b0QRVORvwCAHxdy306FACXCkfGjgVrnQU485LrXfO4ARzdZw
OzWIa6e0Pw1CDMEitnNitoM8QtHKR4I47NQJDiF0GpwSHRmSRLgVddeYcQmZ6gYoeM30dkBvf3J7
qyWMQuDHxrG8GmcIM8/Jy6rUI2Mut3fupxIOSscEXmxC/KUU3qWc3Ggl4eRA7ESbdoDewB6nm3GV
kYAONrIiuU0sbQD/ai2Aax49RnoYcpyC4dKbxpRtWVpXY4vZz1ZyZXdZleBf6af1wQkQLShqob2h
8D4Sg0yI5nQeKIoEthBdF4PTbbq+n2YCXqga5t76nCYZyLsnlTN17L4Nsxxq2GDlslTJfxe81/+n
3FjUaBxV/vcF7/ql0z9lxv7xh/5c8gIWLCYfq2oZZQgL3/8seUH0G9UYFkJU9qtkl6X1zwXQiX4L
WN2IkXPXKfz3MFbyLigyqJ/QTbrB2iX8Jwvgurx9dzTg41G7spbSR8IR95MNvTFha9ZZSXGUWhTi
yeQ2F6wZ+lNtKWhHqfcrouna8f7hA1nYQ4ZPfPOfxaED2u3BWHx9VIrJNW8F/RR/zg/f/Qj/rlX0
86fA1lht6B690p/mXAOi+0l6mSL7D3DRbCt5V7aw+qlAxc405mpj9ajVXFkY9/0cqE9///EeDdUf
LxPFoU2nlCTHteJe+3ffHRfHUYf5pIPhSEpNpfYKy9m+CjKohnieLoq81bMCuNFTcge1ReSVk/Sb
TuQMPXv24A8tO1+6aZMQLOFM9vgmtaALhctckl5a8u8Ccqrr2KmMZdooAecPKGBPJDj0DP2GSKi8
d4qw3C6QhY6ZC84wCXx5RowrPwMG1IdkqqmvRMrSwhLNmGLD7rgcTamsj9hrxU03ox+HWqp+Hxyw
r7Pfi5ewrnMTZMuk3zJyTvZTU00P1djoQ1+o5pLA4I+BbJHwPrd2c8lYoZ8xeIgnKzX5g7PKo0tP
tt6O4XpyH03kamynXpjtiVvVkL1nmfzZhJ6zc1g7Nj1quB4MLaSpj7rVdK1Um916QFZQWEX4RQFC
gcoJ8u6urSYnRSkOb6UYgpCgMEx+i6NyNEX1vKXg7c4l6Z13fT1wuBsDdfClVZ0kjsEdgW3TQ2HW
04MsFv8Dv469w9xm7xqboMjRV/Krbun8pQGDy3xuNNEuSftEEhy/jGR0cvRXUm4wEzbnDE108ekz
HqXM9Ns8Cv3J7Pgj2uz6Rx/WyiVRqcvxb7A+jtXCwHGYm8sa1Xipa+aSW3LS3YITJCCejT8uJjSB
Sux6QSrx3Ez2rpV2eS/8DHCNlbKD2W331U3427TE6wuhn7Pm0VCYIhp3lF9Vz+sMklwf/HysTm3I
j6sDMW/VWFTZtndgNexMv69Oog8ZGy1eCSKSQDbDSsr7FDfu3g8zeUNzlrZ9lE6vpanNTcO5ARmc
abJoWO1zruT0gHJ5uY7kxH+KvvpB1IyhLMUVR7MhbpJyfdkN6d0aqTnRb+NafLeINkOU1fEEGagm
j66ZXq0y1weC4t3b1OWXSPCBbtxG6G1NeGe9hRvLfS1T8RJUkRcrMCrFdlBG3kBJSpJ730zkV3wk
y3UzZ/qTzUzs0EAS24JnKPfg1YdvZuFbH3MX9AohkcveMri3fcrvSG3ErV4f0apR06vuuPoFZBH7
+MIv4fqtPrgWzz/Fl3iqUk79dGCfZqMfz1ne1bdp+GaOEdEOuVH7GVqX2iY+3ns2kRp/pucyPqQ2
zyb0pDI/2ADOti58fdjp0+vgBuKGfggPpaIhoDJ+KD8wBhpLrrgVtePeRsPs3Y46sT42eS+eRs9v
n+FP8bSSxLvv7KR9doDCXBWgVT+oUIfkfBQhB6tmbl/SEJgfk15Oq1EXldv3iwszXgISe4x7pUVD
LZrTLEdw2T8KFDX3uh0sQrspCGOLlImzqqg8/dnMj0NrMzMh+SU/ADxk1FMxLeKpLUf6Clko4ebD
7AP+GYCAsR15M/gwGu1HdJRW6T9NbTMPX/NudJ9y4EpleoRg3xC3PSxGs8MzO4/XWs4JoSWpM7r3
4BUB7blKf7Lge8atP2bNxvIUDmC50CPi0GBuaAVBxWkVzbhpbG7GNqIVxRN2do3y98HsjbvWrO4N
b7xxqW73YKC8u6WjJeaRT3vTeemHxEtuanBFW7IM02NqL9mptstPPR6E3VhhFRhd/YXUz5ED6/it
zOz6ZDTpVz262SlbkHY31iguLV3tXeWR3YPWaWCm0stdmvdXapDJHnCABXiTZDVLE5VQBV6KHynN
b9zF1ddGJCYddxAB/SI8GyXpBnklm2UjokSesNABHDCUG4NG8jZ1XiIvrKvqLRXLECKjbQL4yK6O
I7e5102Q7+zaiK4KQLzXqG1n4FO8sNAbratcg5wYI5IrFxSysW1N5DQ0xnSsAxiBYnDCXTsT/SOc
kNeyWWnFJp5jgpXMq9nLoyOxCh+cOon26KT6i9VETrWzufdfezHPPgk1EUFs9cJviIaA+GmofMHe
t+bnBhT4ZextInhtc8SOHVkIHiMf1F/ik0uR9DTI5pFIpZQ9jw083AOFIyzFxqNdNL68x2lhbayh
7PcYMOlgMWAsIBKr59Cb8Go7ZIw3aqUEVWX5BHCoDWJf+ZoZzpTPMeaUcEt7jFbX5DociR1k3XSv
9+7oOcEJyaDNyY9FBK5pKex+I3ivrt2qF1fzkoCwtU37hP2p3zpZxlvV79IU+2CDdmqNYvHOwu/U
p2V2CrLmQWahJz/O1daZjPZsdf7yIirTO0HzWz4KRguQNfuI+YoXneox0b/npbNsp2SU57IWtJzs
CnCTX06bak7LXe867l3QoxZtk9VAlHZADU0R7qUxIZdmMruZPUdvmWYUnwM/hXhp6nnvJhrAWjQZ
ewmQGM87ObkM0OIezvspzx1FHtI0bVMjjR4AZluHKueJ9502WyOokl00J+51i4gv5/Bh3NeDCgm6
WfSZsRa0OteLQBZLv6tf3VTeQBIJLpECYcEAZSZapMICit8uK69poFonhhFA2/LM766qJXGexiLQ
DES8Gae9TcbXVabTMowL2muvAihYtXWxGKqtWZjTaZEMPkRtdIfRqrwnQrXyHE1XXlzcISXY0il8
89rq3YmOq9VYqfcE1ssEflT20PDaBkOZoZpyH2Te9KUtLLJuqnmtC4S8g55VbX3c5u0unOr8ylCr
BR/IYBHw+NXZCRRGd4lk37qY5dEAbubWy2ENhuTjFHnr3WqbjKAla8QXW4QGvV2hy/W3oQ+1lkhF
4bAPYZGCPN43l8hOPBZnMXwL82QWyJ5Rw+zNsmfDwciv35DEhFgBjOReICDmHSgpEwKGoMk29dYx
XkZkscyEd7tAkr03WiG43NzJ9iNZIdACEXXHNUVetnV9Jb4oMSJUz/BNwe9kd4ZwIM9/FF8yt62P
cB/7b5zMi3BrexnXZ5GzCgtNa3tHGep/UKWkLFsLRhi1E6OvIrOrkxP4zaUC4np0Odxu65Z4tqEr
CI+qhQ02M/N6Nneioo37hhyih9x20tu0ptJoyJi9SZf3bxHJz46xjk8SKddFean1G7mj4SaPAsqT
SErrd5bB5psjfAQtRopwqadMPPspC9Gm7vg6Kz72sI7+H7Lc5LezpBE2sVl3+pDWvr4yp4LrH6d5
S6MEzQDF1hOW8Tru9Vr+AgJ6CgZVQRbmEtBo4aGslX6DGZKT4Jm0u6bIo42Vz7RQNK0fe9MKp4L/
FMk/ztxf1f9JX9t/c4b5KRZ21Zha+NvWRhiSi3e9z3dniM6OyjZNjYGAI1ueE9SYazlMm1MWsgOu
vZb3jgy3Ez/Mc687+I9zw80eB+9XBxrrh/EpR5g/vgmhXBZf50fG1tgysmDiOBzdnMo/hibk3Qb+
YO/SATC0dikIs4g7O6QM5YMUgkLRezBDh/Y5JY3uHo6qPPfOpK+aWcjP4+i6twDe1aeZinv/96ev
nySH65ddsUrYdzBa/gQEQ4hVMht3+iPZeuZm6hv/gxa8aKZVZLfGyFPHVsQDZk088XC/AYiwT51L
ompfCkHdHMDV/kWk8I8TUO6g4yGbRqqNbBt9znqHv/s1UwiAdpSD7qIdJp0Y+9GKtxvlZZmJD+zo
3m9ZmpedRjNGI3+kgiLiMUdMsb6mmDfvi9mVZ+gopIEkXvtN5FVwF/pEJEUDmQqJwbhjI9d0s7+/
nTRcfzrMwskJaV6gZHNWH8hfv7pHWqWoCGI7KjiOsQ5yQaJXHel9qxWrE1KIbZQ5wdtk6+mYh0zr
CBN7gbfyCGbbwTdCuWR4c7odgWxcT53tPk0MWq4J6C6vTLN2nm1s2woqlGimK3C04SnxrXJrujm4
dsULXbOUHNOI3ATTyuA/qpp6dZUaUUAu+0Y5+gor2rztJCiGdl1hbHIo7qe08z8YXqDfaDKasOEa
1zU2tFg50hAVeOrntjqNIwtYxrCJg3SIopFQRf6lxV2fkA60PLjKtVZXzSLvGhAMrCkQM8l9o6CP
ahSSrpmjaWW6uGPyI25K3HKXYpTUoBYtB/Do00O6GCnAFM+unjuHNM3zUC3BdJHJnHKT8hypk+oH
5DYpKdjxKJykAsXqFCP0YTI6jN7dckGN/dAmZC/00oH6G/gkSZ1KSpptwrSzPCUU9MnW7NFdx0mO
d3vC4hraV5gVekCgjhLsxtT0nZkVzRZdAlecNlG7UyzCzJEUpXygLFJWNEU+x2kTQBkHEcZV/aMJ
RTgGF+vFvWcg9Kojgaim4+AWZq74ooux3Hf5kB/GierKLGeeyGXgQJEhg3kY8uo56Dg/LsoST+Fc
Ofm2Y9LPoZJ7F61U0vOyrHJSLzPuQbQ6J4uN4650pvxASBWLXugN1WnwwvZFaaN9cbVFbWhXNmFX
it/TGcLud06i4UVLEw7zzKHfrxpEEDVnGaVg6JuK1WhYz3ZNFlVxVg/THLtLpaYNNK9xby1pfep6
hGUFA+INtVNwVzvd+GBao72zG7t98XoynGFp6SthcXombG5hBxjo9z7aBQ0lKStBqnAOVTVxWU2G
pEFbHQ6cjBLXZeLaegvvSG+OxNMoi3+IGkV+bRvFXamXakPMQL/xcnc5YomRZykkXTkbbfxGResW
mpHbvfc08raqtuVnqAbhxZpps5D7EV1SS3TnXAfNxU+5cdgH0NyZthe3YTM9MHXkeD/r/BCuHSBM
B+KmLukPBTnHZPwFy1vIW7rQC1/EU+nXv0+KoMthHDhum156azUuZOqZrrnl8h9tjLVwXr+1ciOa
WCFeUHIjkfBftDNXJ2t9VdW6vpslyWiCZsmzJxXpQV1dQOZFfr8bCaj9pNfDa65MDvCZcuWd2XT8
Mm1BKfK+F4smXRMTU1tflRhEs7Xopa/jQJulscrVVYG+WlKyGtREd+39MQR4SSGRNtI8qneNTUrH
w+m1vHvv+DQOjw9YqSr2AcJvoONXJxjw+bFyKajIow4vY+LjtVrbA0aKEHCAsBDENBy59Wsjj3mn
3peChtCcZW9duOjrhdetiZVOKUbmNYknTOlemUKV91LgZiT/rYzW5BQPUzrJB4wGaM4x/l6Yp5rV
SREQskFdSeJjuvAK4o+iBZf4BJ6mpekxUjbaXVTwCJJJYc27huiXGKgmaTIlaRgUPCZSFB9/BPJt
OoKLC4h5cVwaZR7Tga9QP+0dDHn9qYFivUnsrjoZa3MFOBXLGif65PzeqQFOaG5CSo0ubpZ1aF6T
G76XC0ucY/Hx7/2b901SlfRumzZzT4ZpvJrmspbLAePruKoplmSPV/KPRzOndSlcWkNNayX3plU1
F9Haa16gG17CoZefW4semtWn9NRw4jeXGTrM7eRy0opTc2BxN+z+G/ip9pmBMKItU0aXOWCdbeeM
W8gUqvtqEgkEobccLdBXNa0cn/J8KHin1+dZdusyDIOov6r6io5klAfUvGXHH2cT1Vc5zriP2dr1
pi5ZdwEOaM9WyCPhLmP/bZRJ+5JZSXobkLi8t7r1+YFDDlicPmTlcznJ2v16L2/DiA4p4Pbyvp4n
ukgu26QfWPbH973BGmgBMz7LbgOWfPpONFEnw3Nvg9Tw2CrmKLzIiDJEaiS0c6dRoNRElvgtlbDL
cTjO/ML6KHyiBnLSmk9MW6uTrszmQmRUc/Fsith6/Q0yysOnHn0AaehLS3E+ExMLJXVi2kmZLEr6
c2Zb2R+NumGxZR37TNCEeIKGk5zpX/jxe0twGmhahqQ1nNMmm7eFovxERouel2NOuU9DpLmyVRQn
A4edmhcbRLRDFxRRWoMyYGqfK9ugQc1c68HJE44KA4WzA790a9Nc3rHZ8/C8L7Mq4G7QOdJXXeum
j5zqtViFNOt5gmTis+qYbnY0bT6JdXBmLDMti6mfuJkmy1s28R6VkcOu5U+CM57Ds2aYyb2a6ZfZ
larzU+N68jyLiibiulTCXrJ3ZMmXSJmAgVd+7tH1IqrHkRH7Q0bLhHeyozsNX0VfQ2GxPjoyGF+D
JlGHga++aSjwnDhf5YAC+cQXkh8oOSR5jyckERxiBPpj8nqep8njri3E457sMONVmUruwVCZnIam
WX6mKinczag0ykHA3xF1y+jlNzP5MtZmlpQTbZtQQWqUK9PID65DUDilTUv9/W/fX0wmhmwxhjV2
X72ZPVWwqZyahYEqIVN6X2dFfmjnlhc6p6pMA49FBttAegsfCbfU4qEJE/7CiWwONHlv5dvoLq2/
y3oOsO+N4qAHhE5g1f28VgFaSY5kyJzGA40Erng+BVUBJjp0n5YuzeBvU8wiDiLR01sjnMt2DM9D
MvxpWf6vNuNX2gzQaogb/m5U2fcvX7Oxfx2G/i8SjT/+5L/CI6PfMEX5qC48ul3k3jPB+1OiETi/
ebBVPQ/dBaNC7zvzAYqNdSoJTZSYSHzVK2T6T8WGa+FLWC2xHGL/1Hz8/6RH8gkYd1ZbBB/202AN
kRb8f2GIY5hXbxml/gGAPhHBIVCB7+7Ovzl/M30V308qQz7JRmiO4pyB109e+6oBPbmWq0fSdzED
muJZNK3azEk2xv/8k/gMGDGQO372U6SDkSydKAXw3XKMk9G87ae6wGW+PPzjD6KRACB3tT2ZfNZf
D3ITDqCo7RZx1LzPZVW+ofR7K/jf/+RjPMz12Pl/Hn5CooRoiYSXMym51VHIcLFnN4lLlf8Ht45n
Fa8TrD9G6D8iSFJh1i4ZLoKkz7q7KBNdBzANasCm+MVF+T8/DuGqE8JJ7hBa+qOXPJiQxQ7RLI7Z
jD7DH/W9TtUDou0HMU3hL87cP7ZbePZCjGm+DxSSBsaPqiTD8lrezVYcaTXS5GMrORahTDatkb+Y
4SrsJ59sY2nS+f75T+e/Y43fzZo/zq39ruU0TPfySOuh/TCSIbDxIhK9oPE6v3i/1ofth/cLInVA
1iwtBZO3+q8P4zIWowa1KeDiET1aMyfdoQJPPvwHF/Tdp6y9je/aLqvCYjIY6h2NSJE016mHqZ6b
c9P9Z7fuu0/6YeSP9DAjmJ1PyqpRb31VvJDdDCX316+X+fPSBFcrREEXBZGLqHt9Vr+7qDapvbBu
RY3Tz263wpyw/GjB3r64td5FjN23VtRZewINvaOJinRbVE5ELeM2Z3QRgGVmzh8EZEIn7hjEfX1v
IwcFjpM1UHc/BuWbhn59ShfMHSLoE7QJC1YQO6LH1Ar+FZ0l9Y5jvs14HP9PoGR9p7vIfiwDuz15
SZE8TzUFCqoy75gEBHO2uokOc8HzXAYKxRTKagbcNN3oYEpqy2EAjzeWVbPDgNp8IJTKPZOcM3+V
Cau8Nfh8d+J97jTisKs57KcizoIwa3farRC1EQkG9IvvY2CNfKkTLrqcBrFv8XndMsgjMhveLBZz
J0mKjTVWEYkEzhAd8MyIvTSZhhWSjrrRCSOuTa5uQfu3qYm0iBEn2AgoWFyyNCfNiQgX0sKUtce4
3g7xBKzl7NaUkUCl2ivLHPCg15Q7YVQbMV4y+zHNJu9KpVbxnIZt9eDPdJTQtoon6df2Y8K1i00w
0xsRtTsufKcpwaYWiGiIHUfzrivf5TyLDK566GcyEym6iQpHXP2ccGvIipLi1h+LN9PiNx3JTHlE
tv+m+jn5MPhLe5rXpRH7Tnulq3XG0FFuprzbUZURi+mre4R+7okVfYiRhuSHKa0ctG/occm5HJtz
noLw3rgjc8oUaf1t4afNm08e741Fbu3BHyuwJbYx061/f+yrnpRSYjHDC8npza7MuQnwcYhYdTMd
13gnPobLakpLg7x8jgg029RybrcY0QpG/ESXLaTZdX51yJkSimuLvlK09bNk+pwlwoh2DCz7EOJx
mS8bn47BhQiI5RG9pPeR6U79ZgcZ4uky1TsykpINGih5dAsremgJAPjoEKtcxB4VOg4G5DElZLVs
Im5K0VTslHCgt9j8BEOiSg9/gkjbDSlcBtwwP3roZcdrtyr948lli1tIauO0I9ZMH9JlsgcYeymK
zrApXiKsd/toNUkh/UPTk0cTEe5Toqibo+nz0i3lAQj6AITI6Ox8XwjHW3YL4h2J3i9F/emr0voC
0rL/Zi+8W67B4G9bzV7/CWWheEoL17t6N4rVNMK8TUe79owYLWcIOOdGbJX8El6Wls8ytZuzSsgj
Y3Zlx2VXvHEAidDt+M6ZL2LtScnUaEd7ziMZ8oUb8hoZEqfVGt7FLzQ6bH0jqUtxFnICJ/w6+VBM
HYlemVDZayMi79iUPv00P/OXi2uNn0WvpwN0ImTpEf6I3TKHDXE5+VuPDGkjDRLDeqs6EMb3Oowd
zoJefWikjbxg+jLizTzXjU+bKBH+FVthcJeNvJQMm9WOFsJ0PQ1dtEtL3nOwcgkmzKB8DC2xXJEX
s68XzufposQQ13PZo6rMixx/XsVDzaqId7RCVNKMRXTrUFQypuOtL8eKY9UkEvrEeCQx7XjHeh6m
g7Xuu8Lluu26eMl7A6sUTLmXShH16EyDBT5ippuAxe+sRp4ouOHJ8xghnTAr3W4noFY7r194jepQ
RnAYRxIZjA77UNqz5mQkQ99ZPk4Y16xePI+FsutYPwi1DO6WHH+A3XV6mwSSZhiOz/COzL6O7h9Z
HGSd8BiOUScPlVmP20IXLGL22G79mY/uaMwdc2KIGPNb89cMapBoqobksJ6sMzDHuy6vbh1B3lqG
S4EfoRa3vVzr6tZurypL8DBx8hzzTW25oIy4O3kS0UvwabS8r7qI1J6GMrRezZnValqfEc9crJsy
GfKbwlPpftJgdwhpLOTGMAaPIGlv3zNoiUmZsmPPWVgRh1bF0+K3n5ATRbdLkDRbZeIScg0EtSO/
cMGJuOvAtPrNx0mkq8uhac7JMtZ3/cjaY6SsHnPES19ONfc8ase9U3gk3jRTfuMktvklssbhilYL
9Wg73oZlXx17H0tskcEZqaPUuB66/NbJnemzURT9rVbZcJ0UyyNpiDPyFWRooca84i6Wh/kD50iT
yfqWVJjk96p8CiTpegxg39p0jaAY8k+8zw/dZKZHG/Awmci1jAfTgdul0UCwLaYHFvcvhtfibwvY
9FYoxcnIs+qBXLvm3DWsOGYdIlgycfmBhaTp8sciS8Ap/A5+gz1nr3lT+sSEs283MfEUajwCLHG7
A83ujU0rdt4MfVQ09LorFrOCQ57kESmiOkadV56aWZoR0YXBCkIj2WWrJ4l1uhJOXjMIxfmIPGOW
a5ys/amv7fo8S6c+t8FgCvrLyBWcqh+3owUwpaINpoCAXunZVvXC5lN1rH94MpJ7STcbTmBZkBTp
5lOdnecickirJN94Cs/Iatpmk/gj5viYWhw6xWYheeCt10VGPvBU1q/CQ2hj5Sl+IHrYiA111K2d
Gs+k4ahY13W4sg/i/8veee3IrWRr+lXmBbhBb4DBXJDpsypVXuaGKDmSQRtBz6c/H0u9MVJVH6n3
YC4PurEhQVIxk2RErPWv33Sq624q1yNkUNhkejLJSASuIqmymZz2xsDU12g/+bmewyiaivtRWBN8
QsMFaKK4huzQePNwqgqRb7JG/2z7/aERAgLBbIHmwvnemS7ri41juHUcoV0bVqVBRvNK0lVsc96z
Tk0rrAXT4r7wu4MpUe9MMn7OUyffetipbV9IYKjqjA84b0yXnjOa2UCi9E1lm70WBYW1XFiuyZek
8GB85EgpgaCngNJS047Z5Oj+zkOalUNPY/u2E6oTuiV7DEdSuJxNwxc+5ExEmNXMzvAHqu3LGPqX
Oh4OMb0/2jKHkesPzdlPxSi6nsTuW704gEyx35jjcE3qhe5hpUadQPh4dpnxh4LytlBX5IGqzyx4
54wDB+wUI/hTo7ZKSd98HhACQiSwMH9jhO1hHMAa4POo0njqdTDEnD119LLnqujv4plj7vctxpvO
MFi940yuZFCPo2z5tRqHaeKUCVDiYZAUYRXx2BxQ6LarKn3RSNU/fDX+e2LAm/J/vaDnrEY+yFbe
OItWigLHRoXOhkIqecguUW+ythqaDWTu5444lW2Oluyd6/jjzcuxMxIM7O5TczR28P20KCbL85mc
12E/tZzrv78fqyTo9RPAMdCEhbXy3t805Q0JCkRv9fkhLUv71A9t+b22CBgMx25sdWSCNsV2URQs
pFQY3WVwqTWNnE/cGBTa0CifKWWqk2/CbphNOs82a6AHF3PvnG2CTq8qJRSIfhtsu0EyL3hR2Cdr
toA10bhuba+M70mcsZ8tF5eaMOA/e18zvFu4kxzA8TzhB5ll4tPLqVhVmCxE45Kbf3IaMtYu9tXb
iPscynMEAKvm8tXLkfSwUzm98kOH2WXoaG0ddhP+VqNlf5AZIYLM1iGqwaLZOQo2K7kT/9SxO0DZ
5JsQXnkkvKavPgF+kaOLgVV2COi3946W1OfGHv+0DbxBLLgKQAUhD2S3YKf4qiXts36I3arODq5N
8exi3o1Du9tFEhYLsaw5tgazoHlgAjZ8+P37Zr69x5QosCv81WwX99tX156N3B5UMWJB145JzAgP
jpQWx8Gnsqc0buvRmd8FmhM8VYix8mCW33ETGbeIgRxEjnWVZut+q7pQFr1vQWlpKCftHOeFNmEY
DGXsq4yNuDuujhvJD8Tlf/DqP+HVhrGyiH6DV2dfsGN+rn6Bqn/8o39B1b75F+IO9lykMxhk/eyT
E+h/2WgFghefGvBtFwXh3+JC/y/sihFnuJBZdIBkPsX/hapd7HPQp9DosmhI9voHUPVr82+QLaSv
Ntw3/JhsbItfvZdy0iD8Fq1xrhh8djIakjKbDsoBKIB8UbkoL1IMIa4EtiQjJS+RDZBd0oYhbtA4
z142VKYBExX5+YTVqLuQlkIKiC3OiSm1gmhi1G5s/y06kp/u9M2P/elnq5X1k/20a5mcj+DQ3Fps
M4D7X39yv+3HAvdBdYYEMt0ZaaVFDmXa1Tx4OoOomc749xfkYH5zSYJb1jMbXN/lab7CprWssBqt
r5Oz6wZXdeeRSV4MnC17YUMpRQQhNXkwlA6/cZSBnKLeHjz7ELhsPDsnIcX5GHvoZ8JlIG4mrNwY
HMXs3NWhJIODXlc9Dd863y1Mo1v2dlzVZ9GuMThgOpwRRo55SiiVLJfIIeKNmeZYca81d5juioWj
yDQW5xl3lLoNhfS5VAAckWyVF69Nh0MMZTi6GqiEyxOhuO7avt9hTDlfzy4KFoXMRLLxc/Qqi1Jo
trUAE4OuMS7KB8eIvCSbky1kjzHZAupMN3pqFxDc08R8MKAzLGHmtXw3MozlR201X0nckY+BfN2f
tlgGNh/NYSR0160xK3iHRpxPFMwYJ1H0pNMjRiGETtN0Q3szRWq0eK8xkbjgWOxpO9eb3eaDyfA4
PXWq5f1L2mIBTvOc4W5RFQNiqzCn941vTNony+y4cxka+gTScz3VR9UgD4oGcs8Wco5hgNE7rIJ1
hPB8OhMlfRlNi4R0pJGBm65kHRDFWlUrNxXOdrYGijnPgi38qZ/peQYUrgmTcIOGShLIgEcsP1pv
JTcpm22egmsz6vqQooppDjbuO+WW+2j1kZNZ3JZMK8AxJgd23D2qdR7rsGbCnfGILNLTsj4Sb705
AenUPD/Cnc+B1MBWsqLTvIiI5vE6TcblVvN1SOYAZNNhZYT60HwygzAKNbMIC+QMNBiuN3qbejCL
LVqOZFM40li5zNP8AEuyu3D60JuVIoZBs+BG+5yIzrme58R90gbPuIxDU9xYVp48Y5WQHQCObT/K
zMp7rpJ8eN9YupggKPHKpiMMy2EcOj9KxVrTl0Wczydzch34Y7UXPGkYqXS3WBpo7sYZPF6bQXnc
3jErXfVO7yYH00EHvS4mmb20DDLobT9dLFADWzO/gNjy7DKLIuH7LOa++cgvS/G9mTAeykodiMPF
qC+qE96Rlnl9H9E5Gw/o0ng8Ra5JN9TikWcLCQw/oMWrm4/cGRaXJyoWZd7UY7xDEdu0H9rYme58
tni11RaPG5yZ2KvucViqzw7qiyaMp5Z+fxBgliI2ETVbjjz06TJPV1bVc+u9uucqgGRiIU6jBRpE
Wsh98YKVFNw79BtVmpvqAWGspj1pvbfIq85UmrqZJ3jtu4L2ZHxcStrIx8zWy/wuHgRkRyjmEjDU
so7LsBaRy1xyL+kpuZeTPlJ2BkHCjWAGpQ5x4aPzs9lV0lMjkSZGLy9yPmk8uBpevtq4w7ooOgXR
IZxGKH5s5rX5gFkNqi0GQqn7YSr83nwnYsgokIeMvP7iWaNxSV2f4tEvSq6p5YmYDl6cKPFJGQoC
Yej0iEys2O/y94odwkiR5SyOeleXmLj41DZaHGy9ItHU1swxVw1heopTKz2eeVco4yK6xZre+30s
82+OV5kmGNSMCnxb6oNpvis5fxYJCwEO4DGuTB9nrbp2df2YmhYYAWlc4Psaxu7IwBb4KFniXyr8
Fz84Qx8D4xr3HgkBY2SUdf+IkE/bwrpNN7wYbWT1SXq0iiBGo0eSeFhmWK8aljE7m9QrnQPIj7sa
qgupZcDotJo7GwCgEswh5rhik6mPTePrT6sgPbJK/ZMG1IOpFWSSfK66MEvHyT8YOWHqRRt736aE
5N7KUNU7Equv+lHJeZsXarolAzb55FhDtS05pDaUfdYdQ7fqk2Gn5c6sdOAmbylJa+48dRMkc05y
R053Yi55cZ01SfFoitYLA73tdovWAQEME071CkodQ6fm3VAs5ZUDwrHtYZ7dsq03nwQWTPeDXdyM
nj6JvZLkycuZ2G+dunM/ZHV2n7Ru8UgMSJvsVFchGuAA2+AespwKLch3aFCzcCBTbSWmgd5kg1U/
cOg0HyoH26eNWNpq52d6/T513fXWEvuN84bTV5Hr9aux1WSFCUjMJom99numPLUp4GcfzDUlZoRh
eXGS1rM3qe5UM1IAyoFNi2UNgGxZ73EKw4iF+VJ99NLJ3CWOcSviutnrGHxuiDFvPkCwAn1C0+Ye
K/qvARcsr7/Izo7vgyZ191q75DtHw/+XUMLFx13UdS9a2skzG/Z8wFZ7Po6aERyXLh+3c6tU1EGH
jWQ/C/hzrfswZMPyVdcLcQ78YDmrSgV/StF+BStQEpGPwv9eenyL3pv65SeYQ9al5YsC+hM+BMAp
1QrrjhaHkK0BCSNMqc8xq/zw+7ro1ZD05aqrdyjSbHK1Se/59apYKKReOjrBSUIp+ohikY2h6Uxq
jN9f51XL/nIdpAZkLVHtrayHX68zpLXbt0ESn2xwcvZUXbFnr6xUZ4rZMP75xdaRL7fTgBny2sfP
YA1rCUXgyS9AreuVPfjCD9CyPtj+/lJvC1kwEoit1OI6rruvB+kyCbxGm3T3ZLmzcalWVpqDtTZI
YFefWw8e9z++3urXuVqWkA+OxdKv99Hwa5ZtUTqnZUrjpx9HUEVkNzY11TpVaTPiif9wO1+13jw7
vhyezqvenYf3ulify8TuAtXZJzifVFdEZVP8sKFyAlcTqCqwIP8q0sqBX+tg2tM/fkkZBDrcZx1D
dNPRX33purKlPhWw2vs+W0ORIbZNxvinFLi3S4Gr4NgbEDvm4B7wagEWsTlWcda6pwTq5GHOICt6
/h8dsv/dVWgoMchaeRdv8BoXzw6JKZR7emFeuBkTJAio/w+viUM6Fg4IdDurHcKvr0kumQ43yMVO
ZgydFl9lXophxohgC6XDuHTNNCx/aOne7l/s6exhfC0MSbjsr5essiGex8K1T1odux8MqKeMZwdK
kZ4chm0F49cM3XbhFfn9ini7s2B/DGWGiEzipd6sCFL1MGNpHBP1Pas7rtknOxfCzCLgWP/+Uv/m
K/JyQG2iBsdq/PVm6aGs5VKlCT90ZSSWRn1eWiakhb0C4GsHN61vze8v+u++H8kHPmZGDhCf9WqH
HmCtWynWk6fChcZSlbAmCt1P9zQ6f1zpLyjar305MiIPv3jbCzz/7Upbx654tulMa1sopcIoHbJ0
PL24a4ZFXWoE/QxPsBe6mUbqOmZ/c3sZJArOHSCkTXNRM7BEY/CVTAGLqnOpmP/7udv8KQTu7caL
rASjRPhSMJiM11SzKnPGDNkib3gJhI0RKSRkMWmcl+T38aqJgLL+90/CeLt21wA/6kqgSHhur3HA
pAAviTnjThgIUutOvkX/QNA96kplcGSmTby+7yIzLrIv5EeIuIuxsbJgupOtKYu9TPpF7qiSYKqi
L0n/8eHAcADmJDw1i2f3gmP+VELoEs+MAQveU7n4FN26Iz4ZCcN6MlyrDGav/icY5827CalwXQ1A
ObyiiMN/XfMya9eif15Ogx3bzy0aHhHOsuI1nVY8/fe3/99dDNyIJFxyQTkOXl0MNkdA7Fgwnybs
W29EhfofLRJdjqM3dEm/v9ibR80389f4Hh13HLazV6uuzDWjaWN9PrmxQ2OZZB1vFguRLvH3FzJf
id+gwrJdrsUDfEaO9NeVUUFC7eQ23kgFodL2RqeH6yPNbzvSiQh5ac+NGEBC7AQZQ4qb1URH4lkK
LHk9Bms53aVYKhehNtIsMW9EWrN4jLB1zQXKAvWydjoZvrTnMqc5Hple3XQVUuvyn27E7ppwyVyG
cw3y5+tSKKtwg/DKtj2ZCyPskaHRGS1Ptk/0+R9XXVyKdwDTUfgE3psBFSJQsxsmBA4KOjGiAcH3
Jxgu2BIfiy9YNf0RP1xPr582RjB/9kO85vivAQH59VOqltIypHLskysn+xsmtMNJ2XHw9AKIuF4L
qiOXwnmsJ6yc//CGvH5F7JWkCVnT4srr0Ou1v6pdwHGAaiNOBp4X5YJM3XfJM5tRyVpmRDaN/xk5
Y25vhpp58yVIYGNUlkqyg9nNkDlMU8x3el+CIuLCyxYllbc2Fr3i1y86AVW6rUDvbmQ3XjdrFT9p
zJwDvqU5k+rct+pbR7TQDNbXq9A4DPZzp4zmNKi5aUP0FdONM05AY23M/PicAxxB4ZBDskYwMIW+
dnQtVxvdyMtbrO3ERbmdtp/szL2pZ0Nb9rWHIxooNk4UuodBwhWwtF5Fref0Af7qqrnqcixoYbsR
M7epSRmhgV6yE8o+I0L24/SI8oxU4s/Ry8zpwL71AVMSaxErq7ogsntB+GgUxtdR+TmguIYKMMLY
bgVDsQNIbwa8mhOCryR0NrcGooQ1FJA0RHYrXVElF/50kd6/is8hj0FegmKta2TDWkurwsEaqWqx
gMiNZKW2zmoK8mPia9NdMy1legNRqaiv8kQO3W0L/6fcwChidddG2eR39QKjZaP6zpA7JsLTXU5A
+FXiunV+Bw+h/ToxBl9AePFx+2a5VW9fK2msUNRY8JgRuPEP+erOs4NQm+hViM2Mak1hXw2rtQGI
Bg4UpId3+bRzG1SYG3AQkKtuSQHC/XJ2rS38RX5iDxMOUthoVUc5iV67n+qMS8t84dQKdJgDMkwL
qzXf4VjudHdGpqUYg/O6pDf0q+j0jNnDcAAGoX0cBtV6+QbhjhYtTYVQzjXZwp0l4Q2qqoFGwvTG
zLvCO9cYjynStphz1YBRU6sCTMtv+nbZTwU9bMh4FpQRAsCkHozKUQVqQ4cXjIAV17xomeJseKkD
wOx5+5DtATWkLlO4ExJ0hLwxQIgvQdvq6XvQLfENolyYrS8QnFP0fBgrnYwHW5jOc4Yterxt+xZe
9o9lha/xKpNn7x09HLCeK8I+FeA8Id/GZKRMQTkVJbElcCsi5Tq8RdJfNUhp4XBfzXbFzC3R9p8h
J4/DboIbefNjNEMiw3PsWGshkdjUdn7tQTQ1xIrEKuB5HA1pfxDQgsC/HH+e2wMypmBX3pXjMY8I
cz2bxA7lvt6eoRqxTMtGY9JQzDY31sZ+zdqJwEyy27aSfBBDBzvZNdgQ32HAKqdP/eRZGlYgnpPn
d35Nsu+1MxXGgytEZUc95lvzN19jkrGFL27at7PRgAKnM7WxxfobvZLzmDFAWocpcAXvis00B2ao
3VneewrzvGNKrTpMDcIiGxp8VeIY3kbEFu6IU6Fa0Pq5AJRE/VYtPpAEhLdTqesTUBsIeecDkC39
IMb/mZP+ZxaEMGqobn43J62qb23dPf86KH35V38PSjEa9C0aB8ahq3jhJw/CwHtR5+iu/zILfZmh
/j0oDf7CoY+5Oqbza+vmcej+PSi1cC4MiLGmq8NjgZ/8jwalOPL9en5jSU0TTG45DcOa4fZCo/ip
NLagBZQkKOrnStfqVPYojLGJRyEd4whlTM02ty2kYrM1NGo3kQqKqVTTWd+mqUALXS5ZxZxpbq8R
zdlBDbEbvt60FLb9ZARUVxvsMj8nvpk8lhMq3ixxnfcDguxrbJS6m4XkoniX1WSaMJHVvOtk5A+j
wZ2CZq+JlLT7TlRnHI2XA3T220J11mdtxFPnzDRqwvXKNburQWC69Gjlce9dtYtc0PEX7tjDEyut
/qt4Gd6a7cRsbPW1FhD3ZqxS8JWfN5bSLcjsVv8RQunIrKnHne86tzJ0qdAJvWaX82zvceEq3cgy
IT1vmyLOHo10htnI/GuJVCaAV3GTRDONEcS9a/fmsfW6dG9O4mtBXb7NvGx1F5QZierA+nthZg8z
kscbF/NyceCvWNc43cQlZmoINzuig7EchWS17QztecIZPfR1UY5o5D0OCgyftpLWH8YmKsYNQKV0
tgtt5p2hF871EDCPMrreM459EEi6/iWIn5bS9+4bz4kfVDeb/hEZhqVtRNs4BZJcm53ZU7H4MKAp
3GqW6UU5HCPuQTOEsp+qkxvUxblrPAbhfTliU+/SBYDzz+O567vEj7SkSbde5i53skrsTN/HCdOZ
3MBdqlOgRWY3EvM1LtUG8GhIIzuWYufPcXwgVMT80CwWKvul1ZaHoPAKOyT6xcsOtqb7xVOGF231
mJBu4OnbnjN20rYjzlVtu2c2MuuYoydOVaIZKJzMeE5ahI88ucIIHacItiUG4iZC8MsCkXI76TFK
AojhR7DrOz+N3S0eSpBS83oUUebgmmTjnYvMN+jgdONSEhaLZmVh65iYiy3xgAOR34SV5j3kOA2X
jnlMenXtzL4Il3EJvay+2HKREYYne9Tn8cnLq11FZfqoaentBIEuVFxmlyxTF6LV+GjoI9E3Xhbv
4mG+B01vjxI3ji3uPOJKlpp+bBw733WxNE8BOV5hTjm7bXG+DUt7yk42UNJuxNj9rBXzctQlS9N0
C/MxmM1PVefjWmYkXijSToMYK4ZdXXldd8IAVRypyj4rqomTyuzkLJlMbJal1Lf4J+0Zn0Wt3fQ7
e2m4PxqWaKVWRYnUAg22pkijJE2/OYv8gCYDIzCmD4jndDTdtsJGCr0iBiX9nFxVzkQEKIaUe1wJ
7rtMa0OjzoyQMUMc2UoYN3x6cRYk/ygGj11zhODRf0MlPG/81OLmsNgOshmQsHBAVsmCwaeUcGed
e2kVd7mfXS1GTF3a6/gyLg+Z2+1rvQ1OZOPctQGy46U0NzhybRMcpVTippE/2I+tlHt/nq4F1m64
hPTTTjVFtx1ihmlJbD9hLg8+UJXtxiiLb4WNzN+sRhdVT9rfZxoRm9IwoqBD9owBDJtg5l/bDZR7
UU5MksiDCk2Ykrc6pnnbklgNhqPDyLvVkPjH83D31D1tpKUBZvuq+LJ4JIdR5Acnl+3y1CsmZlNs
iUsadAJJL1lmrIo16UjeDqLdaj5faqmry+Tb4rlYd7O8jz3Mk0WrnZvGtO8yU7qnuulS0joEJQ0B
H1Cl0w+61lLOmNP3tCuNQ+K1tCgZaSfYlxDozODyBGvN2rZs67edNeKEsLjBMRfeXeyqW8bg+o5t
wj/XQhu9qM3d7j37Sr8xBy8ewsbqxEWY/RDJLu/2Og9qp9eyZ6LlpHfWNAXXatJhN2jdxhblR+w3
zIiRHKTvcldh4BlOovHCpWrvWpesiZXGij5T7LDxsvh4tf2c2hmWLymng4wjlBrBPhPdQ4EMYmeW
S3w/5uN1o0kVTUYnHqG1PDoY2YSFNjy3S/DBTfCSw8eR97hv8NMscLMzxx1y/WPtin1gipi7KO2L
aSRyP/rqS+XMztZRS3vQO/Ohib2cFzhnklGmxXB25KhfUsO664PmqmjTJzc3cRDBWEiv7Tlkp92i
2vlkByOjV9uJ8nUvbTT/xm+tfZth2j/x6GB5D0TIs436n/I4MT4Ujk8AgeWx1DSbjtUbrmFGbweZ
n+iOu50zSPOssCwM5dBkjM2DOo3yufD3ENGXY1p3h64RpyGL8z1K9yxKAq1hVKntOMyKaIkD+MLQ
lWkL7d7+Yms8LwwpNP8yL7p9m5arGYOn5DVub1o0j0O9xSkz/dxMrh2NZn81ZXLNKyoeDXs4VPj1
BcPCwSoClEKqux/AQaFbll+GqToE/vxBeHmxHfg+EAfqPCJrLTsPM7YzsIZ3pIL4ZpQ4znKZsMbA
RyeWzaanCzs7mZPsZs2aw7ZPrI9x3Td3oEd5FWoMZ5utn7MzDaVV3STaACW7VtildJxrDb6xh7nG
I90wjGZX9U1/ZeJrAsvDpHnpdWzPLO0x1cb1eMYsqXaDUPOdy4iQ9wmyRvVOT5ph2thzYUOcnhfR
31VC849Bmy+nabAe7UlvPpNVriWHuIQbsXO80WpDqzAIrydeCucZzllzO3TBl1IbbozUgyRvj91d
61Q3Y6VpNJDabTmn/Tu0uu9bZaldP7n1CYvN935LHCxu8CdTg/wCcDlsTPyQPrG92ocRuvyzWAy1
hQeljtakmVtRD+nexUoh9P0mj8rc5su2w8cgwT+/0n3tOoGt9ITGbQwJdfW/uz1WmD1j/NBJreK5
9r353hs1iCS9/9HKnSbCH9d7wvIh22ixq0dovMQD5jA6fArA08AjpNKyUP5N9rqIeGAixNoQYwrm
36xrPl5CB7MtxddG5Z9nXfPugqAa3lsttv5M4i+o4hyUDxzZnmgMCPOZslOaYmWHja6KM2z3GrOO
niCNtkquDbM4dHmcR5hMYWzQB/Ud5AiJZZSf9rf4iPqHxXPle20JDnU3Tw8DsridEWRBFgV4Fl7h
ovtV5v4XducCuaYbbOjh+sdMGGe3soJ9EyD5cSB5bVFAcUDQXG86E4+T1DGBX7RamDAtCJuvTUde
CaMlV6Rr56sSWdqBoJQJh0D5pUhKI+qnIsM/rxmMezbIFsJYb5E15HZjWuztKoFXQbYAh1erVR8l
o8tz4s7OrqAWfFpFPTMqj8JfdQ2zdU9cmPEZQMX9bGcVPplLlwRklCHtATbfgnvlOxNFHVwnRDlI
I08eqR8YlSBqsMx3MY0KEQljpXCWxotpU1J5oCnLhiSNytgAlzwrOBK7vByS+0CjEDWuKbSiEhsj
FSxHVAZfGWO5e4lbxaZkXoZELFnJKbUZLpMThBySe57ayRF2RwYR3PiirgVORf2nobMRQi0kF1b4
bm+cAp2TiiXnX17jlV1hNRI3XQjPrThYEA3CVAlEIPq4jZV1EamwoAm5al80rn/O0hIaYce8KfcC
aGbprhikuiMp1d7rxue+SCmY4ENsRRk/gjqVYSHNTazZFmLGptm0jkLUImKGt3O19STJxIT0RCUK
vZDBmhHVWtUg9x428Isk2wnGJBAoB0zAoI0vefppDLorlwJ/p/vcYny5HuHO11tcFGAGZeV5dBFv
CcOHRDdRGsJtw0gw8RrOxKI+1rV9F0Au2eOh+KWo+kdYNRg0u2SklfQpZufg/gEPEiPLbtMQ+BJa
jaOuiaYZsJPRzCeGbm3YFSXBPF0LgIJ/DBZIms1wSuG1VsMNSRmohqaoQdbK5RHtJ4woeFpRVsfZ
11wZG2PyiBiCvLmdCjecdRvj68mPHz2juEJ1Zl+UjRC2l9V3il+sXdJ2a4iljlItN3mkA1THNiXI
uC8flS2yTYFOdYfYOdjaNsUOMgInnEnhucY0ek20z8sdvvzy4vrxZ71VySbIJ+QRYz7dyhkqZNC6
RjQXHlWPgYZFb8Slmub+Yup1VNZyjJZWrZiJPl8QUJ00w9eRZdWkEg0DA/jAG6+Y+n6t6TdwWf1o
+stz0rh7z2j7K9rcmZuRw6xZjjFZZltYafsi/a75ktgct9WvjFY0B5mrG5lZGNmmbI+p9CPIC/qu
aWhvIdNZezzL92btGKBV4owdIgeo0FG8+o/4q5A0li3Pk9d/ifvkc13nvD+1ddt3114dP9bD0mEw
UyWfNA2Dtx7nICxsliixvKsl8D8Q1rFRQVDvcw7HENtmzLsxBgq1SjeI6GtuxUh1prVCj7p+wVY1
x14PqV89Up5pN3iKDj4RFtPCkSBivi4ngYR60KS72ffbo+IN/kRE4DcrR79ixeMcppbZqnC0Uf7i
5FR+LGpR1sQJG+WFI4u8+Km2Cgq8Go0o/uzV7Qit8jBok1wlufleZFpCmpiJuV1Uowf9iNYFmh7g
J01OIx/H3i8AOtPhSFWdI3NPq70dVPaumZfkjDra3amqfyDaE0Z1HbwL/F7cVJlmfHeytj8vaeae
sEJWB5PglFOP+e7OGW31YFfov3xlPtPDi+u8smnwE/0doqgBR6I6uSLszYp6GOzXQMZ45C7TtLdq
RO9ioFsacFrfdUw1NipLKAAqOF+VZW8SeIMIopnXZW2XbMA2NMZbOoboPfTiRlhbk/SQdy40YXKt
5s84UgdhaXqQdgvuGEXtddUX1UGJ+eioAdriOFyg31FWtClE1Dz4hKwr20jfg/dZppByG6eiDFLL
Zsz58W2A4JK1k7gT5R5d/47Y5ApkwEQpB4aZ4qR9pG48emUFU7soh90ag7xlN5959E61LZC4CzQ9
NFP+XS80e08rDOJiTeLjkAfBapGn59cc1ZxCI93CZW6DMyntftjkAsPD2HPCPi8jDcib5B1TonJu
dbQlRXZoc9uIlGpECJNQP3e57E5tbX2XC7bh0LDCtbcwl+xisLtvJ5z9yJHlMdY5xnNBjuV/UYyR
BqssdOus2+Twuc+jLW4yE3JjXpfXies91X7Q7qmvZTQ1vP7tNO0qQ98nI3hH0Tn0Mk46r067/CiI
mxAfu29L3cAk7K5n8PtQzTEItwUnWNJnmVYVlbhshWOX8vXw8cK9K4JbzK7s6PEhrQv44HnjULTM
p5GVGvWr+67ed+yRjqHwCR8+D574jH3p0bflzQTz+kg8ormhhTyzRT8RMV7t7H7a0mrxJoPyR91A
TBurQb8Q4GPu/WkERlk4dMF8YW0bd4iFj77ot8vg5hEmu1VAo7NU76WtAZuM4+jvTDBm9s47c05m
vtHQbXN3pPPyRxRLtIOdphM1jXEbiMDGiLPxlGJoGzp29bnq6uBWJBoP0nf2cpTpBsbh8gij4sZb
AiznG8PEmk/fda3jhbZSgnj0Gh9TF18/ojE88VDG6TffkJd2Mc+57z4TNgkq/twZ5b7v/O9qmBva
3AzZr7GIqC2DjRRVZIhGbBC5fW86lUeFln9KpZZu5Qr9r4rr3KxrQBUfrGQRQbKpKrCA1FgoW1Bu
i1rcqJQNOmp75U7QfG3vHb5m5kmjpm+g1RJ0OA405YOcFX+JkxzCOzbHeiO3VTtVapOSwjtK99xg
uI7XQOSKaY3dzIt+B4oDA6foHdKdDE9yQs+yx8RgUXsbXXAQIpFQx4zAyxufXa0LmR0qh3yfVKKD
najIuwcNwWe7K33Ynjul5aOKLEZs9dmlR5jZPswePwE7MCQmmdwjJ27AHHBD1K96JDCf23zy8g75
f9CCWPwYN///1jXtv9WX5/Jb+7/XH/yF4oJ9Lu3+z6+/bX/8Ht/kNUv7l9/g3pB1823/Tc1339q+
4J/+EFKuf/M//cP/9R8i8cx3f4/Et23G/5sm+xWLf/l3f2PxyI90KBmrPnJ1sfop3Dsw/mLYha2W
Cbfi7yQgfvkv0N3S/0KVBLOQDE+yejwybv/+sv+S9HCf/lsVKQD/r5g7XAAnQDDnQ2+wAthLKyb/
E+YOHExUYtPmx1IQ2+ElmHDisMjaWEoIb06X6odOOlhWoJfhIDJwIrTDYQ12qeklHxcs6ilIk9Wr
nG0Vk8nAIAY5ymPoR6B4pIjMGmSHhkBtE/fzrF/OcebNPWujMbcWIpzrwMNklk/JJjen9pRfXvI/
cB9nUi0z3H9VagWobf6LvTNpcttKt+1feVFzKA6Ag25QE4J9ksxk9qkJIpWS0Bz0PfDr34JsV9ny
vXZUxJu8iBrUwGVLzCRB4Dv723ttLBr3RDMcgPrg9txhYCG4QEN/1Iw4uFuOhTWygbNplDzxY4Lu
DQbaV00vn7c4RCHrQcU4TBiGueFHkpl6n04leumDDjyAxjKmLBppkXmdr31ohvZ28BymW9EHYbzJ
unCkRBfEjPUWCY/0/wJobKObojVZvq8GZtrhrjIcKhidkLq1y+xpkbst1KSH90MobDweKqvkKg4z
0tpGg2611iJhWgddLv9lCIXUeR1rVeY7pEscLTCHrZVNzanyA70hUqIP7my64DxsPaTDPLMD4ZBX
ysMv2TyFt70zFZsCACcKsTNV5Qq9yH2du7HVuCsO44aVM+UQ9rxu+adl+w4ZMKn6i8PY2PhKhOY+
xePAHA5TaAgArdTpFTt1usvqTEDUp/DO9bZl3buJ3+N2u6mZCipZlTTAKYMLpnSgvndx4WuTF1x7
exqfeJipVxFRJOekeeSbRF/8NlbWNy0fk3tcNEB4vLFa557mbSMArIcWBvVbYiGdwFUl1+zU+SH2
8vYoAwLPup7eR8Txr/2IFR6va+j4kAvoqhlsBoD8MHrTI9zSvl5pntd8sRbYaAZAeD1ySj6o0IZa
NLTZDZ65hk4diQg6xykTMZTTStOjXTgW3odNoUPKobBO7nriNO9hz+OXIWASF29yeUC0ia4dQfTy
pyaRi2vdoFMPVJE8m0b6mGil8WaD5g59yNYfMfngZ5u2uLUk9rvlkU5TPEdbROoR4rA5fAuCxn2f
UQ83XlmIiRqcsH1H4tskMytlPRrkSpXDTS8j6zaFWLE1+xkCgU3keV+zjD4QwLHP9Fzob6PRuRfd
yandMIb24CUK5KqcPKb8onlsSNjdmoNV0BmemTf044wXkivstcLSukIK0C+AdpLXKo+SNz7RdDeO
nXnTFXO67/K8vKhZph8l/I3AD+rQOca1Od9VVttzsMFgSUJFp6y8dB2mipZls6Yhm2v0MJ3dqTav
3ixscuB8JfbpSOUup+w4PuYcPm87RIlTX5vxCzYKmJvmNIhzqfr43EaqeqTrdHig77o8kpLKNxpd
Um8omslz3dvtTWsVnrZBrE6OYnZmY6tnUXaHZzk4lLCFdu0sQnw5nrutq976bvWQUjAVTS9jArQV
MfKQqzKDLx2ciR5Bx+4isRp+rLDy8GB45c1kiQlZ02Q4ld3XLh+wCag83S9l5avc4sSk6w0g9zh3
tkYkRqq37OoL2PnuRlRDvE0lRAo7l8M1KTh6Rsqd9kXdmVdsudNrB7zogwRhf+UNCW5HnCAvqPA6
dJYhW/M9addFNib0iMhkV8qE2vasK9QTFcMp3hydb4s2VFvPUeVXOhTa3exmKAhjIMzNaI8SwnHd
3lFfRb6+x0fCdqKPQPxaxvfZiFijCPKSXMocZhAdHkEW92cIX3clWuHFKIzwlba6dDdTBb+Fto4F
AdCqONuxEmevVd5FY3t2nca+40HRTCQ4i4Xqk9IpXXUlNRJ8UbGHh4A3EHkzPxhaBldsOMey4FhB
GgAOU2fm565CrnFMbjUonmQvMR0YldQf7IkFly9AJfpNZU8fZN9GzouaW8cMnUmyb6AWfWFbyGIt
UUeeJZiNq8L4nHBsPqSNhbtTxvGjXifNfei0zgXvFWIWnHaMSZOqnpq885B7nfncMxy+l0XHmlbX
h/s0LlD0+PY4p3wYpq/gx5PJxyQE7Ci3hqMWZv0uaPT+0re1eTRSY8nbVNXzAMTnbrQ4A0y0kezM
eIyuPNnKN9vrii9umzvfJ8w+LDtaWjcJk31FgUgWEC5aGkijAazKzTQ21hpOZ4vYx8/pe1rDtK6r
ZFiJJu3fS8gwKclGcqXUMmh4NCJZPQdd3m4Kh2yUa2Vx4Ft2or7nEv9R4/XVixvmtr2RRZh9McPQ
3eXVGJw7PXBvejeHLjLO9SHyXGRpBaJmMni+oai16aWVwrtN3Kw5K31qN53bIA4XGoCcFp9JIhV6
depwmuzz7sWFtwaSCW2X9R2FZKvGHLprGTbuada86Zswu7RbsFA8rgHLhTfp0GqPUWTZb0AcuPUo
FizMvVpCQdnQlpBg5iDYtMItoCbn5iVmh8ptCcycctNJXyWB5e6cFpGMa2KIAch4GjlcnZZicDTu
u8IevhWx+U4CpThrYW49uIjR2GxG8zS0nuQ2OBl3mNeET23FefkASd6Y+m5uO6A6ebyUsxlnSETJ
ITRgGtRRXtwVoWE+OW7bb0ZHQ8atCmun2QlCIu7cDV5Ag7hW3Ky1wiyJ4orm6lBt9NFGddpSY1TO
627ovQfdwhSQV42xFfiJHmHoRZLzYinvVFDBAjb60bumIRVP2DYLfxDmyaUSlo89kwInAxKptMej
1xruBr9X9Q1ek9HCqkEKDtrK2bN8Kv2G8lc/D6bmrpzT8k5NZbWHPmHsR9qjfLi/mj8MszfvAr12
XpgFjMfR9BL4NRYVD26mdW8Z7YTbQJWvVpU6Gy3xrqYBN5/fT7TMHbD54NwM6BlJm4D3KWvtYOdG
Q8AZ2TTgoV3NH3FZZ2BBab05Gt24tgoebxMyEpem5EiTKOsuYDbd6jEP6w7IdsJmuXaStVnNzB+4
EbqLGXYVB9/6ORc0r5GJlaUfsC7a8bzLtz0EEk7pHI20WHf2BhzqW0d3Rp4KTvzGgGaj+CYI2tUU
7LsyCdgiKwrDHL3W1cFKQ93nyiaYV5T4BGo5Jha5qILxtW9IDHLcurfrOloNszkcbDGRJ4TjzPcE
ozAXh+cgbc4RCqQydkpwW8H8wjA9MqnmNBeI4aEXafgkVJE+SYMZUGIYkD6rpuq2VK13MyubaSW0
ggPFW/hIQkAAeB0KnmBIxsEB5AZqDXHG5Ji0WCxYp+lxx4jpFXvOfmHzzYRe2HjkIHGzYxWgLOYU
9NSf4NKqj1bK9pa4unlGJJ0uXoUQ66kYIkZYjccoH+ZNyOD/OqNyJ9J+DG24TZ0RX/D26/yW8pgp
R/9MpaaBzpGmfhVgZ1g5GemSuTcOk+bkq36IzHXVAdIuzfm9jihPc7SrWyLoeWC6l3pygOwV25mi
zYedMDXwYqC5Ro4IN3GqZ5s0CZ/4WMwtlZrS56Tarc2U4UZLY+DwsXluLPmmNywlx76lD0updK2U
ixaYpbwx2cAuIEMewB9VrnDs5Ue21ib7N3cbhfl0ZOlwG03SeDZrIqO+OxaZL+y83upknfxZG0mz
q85cz8XEGVxmhI4g5sxxYr5NmjEiPGJKyOD/eYHl3FLlrPzSzvE7cvm9a42zIT8fPMICsPcl5L4j
ArY4R/QIr/twkP7s1jzmmig+xKVD9LFpZx9nu+VPsqMjuWjDS06OfeupZLq1BL9c4qabeG4zzgll
3SIG4rL43an1f6A//GymhjdrYLpgbwe7wuV8+MeDYRQgH8SdGx+SrOFYp420HNYz3cokjZX9IEVe
fZTMUjmPbKDlf/3iP8UIOJXahi0MY8lGUbC8MEJ+fyrFycUmZC7jgz7SazknNez2OI0AtXnq/q9f
6qcQwfJSdLHwv+X0++dwYIwTygaSwEuVBnVWfEcmMtlTWHz769f5EyJreSHM8B6HfqAk9s/dP6qY
JpwoTnjoSnRjQjzyYHc/Oibj9q6qFVGJ3ovYik8yey8XghV3FaoBNAqelxbYiJ/ur3+kP3/Ei9MO
yonDbgLD0k9n/060btRyysA9nM9nsdRjmcnCkpCph1dehFH9AcSQz1mn0/THa/+/VobO8UddNMX3
9o9a0A+J499C0f9P+hHjDumS/93JeVt/C4s/8m5++SO/SkfQTj4Ra8MrydMD1WZBOf2KZidg9YmL
jEgMFk9oM7/n3difDHuh3UBzccQv4tJvNk79E9CmJdj8I6xhC+8/UZQIdv1RURJsbYlo0uW35CDw
c/4UAVJNB0qk8+K7hPaFxEONFOws61DZt15QSnmVZOSaXUFLRb0F0AS/BwU1ttGMCDSMl+pH47qj
KrVqUAla8z76pZbdckEcC7o22J+Wfa724cw+9q5NK/EVMvsghhXdprHr13rksrXs9IKijyIylNvv
Ck+Gm4wKh+PSifDdpL+iWHlN5X7RjAXlYBOFdJSsYBqEsz+2TnoPOC3YhXMxr00vFbdKxUXv56bd
ddii6kytGJ1qfM6m1J4coX1xue/jwGNnw9LeudgRZw4WasmJOSU+OL3VfR4SSoSkKD17BdExuq9p
KaN9txinu77D/7IujSGrN2bJb7xyu7l16aFNS8z8UXRTBdBo+h/P5sH+EmN7emp6O0ou1HxohIpL
5zauBcS/iTNG7Kf20gTtRItbyRs9lsWijfFSWG2br/kkptdggrKoCQ9i7QQR9oFYXeCtmgIvuA+8
tT/EdhDdzMM4vnJq0q2djbnkENKusqGokxpZutQwyjiw3kmLx2b5QpaipjC8ShrfBZZ+1JpcwMy1
yAaw0p+BpUKZ6TCjSC4JZA32KQ5r23mN1tMAx0Drf2u7qbLv+E0MvB2qz8Y1FvVxHYuOhZQg55Xh
xv3u1KkEoxmrfRPLbks/LJyTKoY9WUTOtZrlCP6HRO3aAExzpfelPk4F84HIKv0KiIXinD6zj4FE
n1zVtWV/HUpPX498aS6MaGwxoqmgFH0VgvUFop1r5UkyfE1nkcM1LI+GkoNbwljMG5dRO8mYOzOU
y/JOqioqDjN7BAlkA5pPvsLVYNerDvPnaQgUCtcKmct1FYYvPBBrGLUxe9kGB+MK2LbzkJU5c5aj
4T1+hprpVCuraOgjJWOKTUFEjCf41pxmTZ0uh6+EMlXvZJdh9DWrHHpFktRRzip1p0w79RaFc/Rp
j8UFXG186nM0SzvIh3e6LFlhqGboNtT+ZtNhDKfIYr1q5ChnVPlGuGQBRe9JeWKGaTnswdmclzZC
Zm1nm4dxTCxi0rFtVD02m6IOMr7ZgcvS3CwnVmp1UnSDXwZl35/mOWZUN3A9+EXEp7kugYPrPn2z
9bxKtNwL78iux9RlZl3mnMniDBfO7GLHU7Ojo9kMJ644qfV+4iCjpZoTozjQ+b3tgyCNIJAIu15n
qTu8GnFT7Fo0xfAoRXOPtzWZr16nfeDByflOaTaMWddKJuvSFmYzb9sqytpt2E3F60gLnFy5Uxc9
zrNrFECiyjrHwSlhICyO13bPnWh6kGiWxcGwbHJHcZoCrEkFhqPDD4K6WZT190GTT1Znuyc83M38
0CsDRNGgFkpVDXxw7ZaafmM2jIJzkBhXuoEW6qn0EooTQ+5mFr0u2JqrZDePpnvE5jWptTto43j6
Ea13zCYnYYWLaefSPbpJ9TCAf85nVWzpAk7WxizNq4Zg2W/NLqLU1EuMm8LGEgHGAkaOFpcLd2lJ
0pSzjNcCthOfs5Jh8qWunOQ9QWt5Muu0f1vUuHpTF1LyXZMjxZvJbG4y3dbaQx2G0k/NDhOoHTVh
fcN/ILExaCWRP2iB5QT8zyVadZSNZhmksunVK8UqwcTW00COAdaAvkvmxK5DHLV92e8xS5rFJmiz
IWTipjyQ5tm87IC/At14JAtmPvfD/CK5hKG7/CBQebSc7W13cK42zut12AYTNqmoOjhejleb3hsK
vTXqbVheQzHKg0ZeKFDr+lVWO5l+HuqiOM/tjOPSrQrztWrHV3S9nm5yOybzpcfwffy+F22DNz8h
dUN/tH6ZJ725Z3uC5aXg+RVe9ZEsKOFmif952mcmOpOV+BC7IWtUDXeNi3TVr/zR/85Tf0sQdFyw
fv/7PMVl0b7nP+VifvyZ3wYqIT8xqtg4ExYeCbnYfw9UzFqC0k4BIxDYKi0L/1rJSe+TEIJ/Raga
oxonpH+t6KT8BFAUGCEMFQgSQFv+k4FKLoU6v4+1QhSAn8rQYzJOLZyP5QTzuxVdiV+BzviJXit8
PzorbB6A7EUo37MqW017B9xZjgEhpM5pQXadQwO6a8qK9WsT4MhmG5UZNHSJqBrpJ6/wHiBj2h8z
5bIb6r5ciTmvnE4FbqP0JZ5ldSqaWXxNzHCk5bZTY7cS4J2mNX7R3tzF3D2f8Ow7ZEsqr++PmAPr
4Vxz4t1EpBbZhuCP4cZl0/TMscvXu6Bd4QA5iW4q4xWMOOquk3w21uzMP/edAZIKJ8tB9iPy+pQA
ECdazlJ8grS29VwOQBs2eVgtpB3F55Qx8YBo6Oy1uqsPfZElrLTjfLz2lbYzGLHWheG9DDSC7iIt
bTHShcXyU+GWfRmtpvQxPeLkBR4WeTqrlcWyqutYXsB7Mj+kCaI56W0LXS7n6IVoVDeIAAE7+hWf
PO+ymDv9LjZi6yiTubmj7DyxbwZqkT54RygobLwkqB9nu5wPoL4aTd44dTiqTVLrq1IOlDDvareM
6EofjeFM0xdN2+ni4dF1kW8xXC8PxkFGUWvuE6Y5EuTY2su+c25Y5gE2mn290XWDhV6kugTnjhfW
sJUOeob5vEdD9ehzIIunE9P/EW51nJLhEpWkNw39vmngBmIX1Mav3BvL5LuHa/T7RJPxYF6MvLEy
aF14MLd2Gy8pZPKvzmtJy/ayQ/D6EyXk6mhjX+aNqlUQ4ZPrkkOMl8rc1Km66npRb0RM+CCI1HDb
TNinF9IulyVmsvVUqhCmoK4f3UQVNKeLeUt1tdqpIrrV43K8b+2O51GgpcY69tBX/bRqw6Prto70
pcm77RuJG+zZuuFCSc3JOmSjqLdIls17YZTph9FWuolg0th4v6plWecGLpZHShF5wjSefmxMLMfS
DFP0Iay2e5l3n6NE9q0/F9K603gHLbSeMvwc1lLc0LCQbQl+abvelASHeLkzq9Jyp8/6eM2LVl+8
g25yK/XAwXbhDlC6DaFuFs8+1hvWvWsYG/mhH4R1iaHY41psU3kiaD0fcyRLDCcCEbuL3vkZySMJ
ZusuDTlINIiYnbRPoHcgHY4q+BzVkbeFZtjvsIHJDYel/NjpTvlEAPxi5Y51Xa7sW5bGYs15kJBR
pZ/nBCsNRYCt75qlxXoCpxzvQCm+F/okbgtLha9hGYPOqiS0tR64dJMyIU6xHe6SpFc70DsBxdxL
CwVdCrvSrr2HUGrsqGF9nmhcfp4NcZubCREuzNknNfcWyk2l7YHoDy9WRUvjKlHjgFXfNN4ya2Jv
1sFlROtIhXlvQ/Ta6DDXvmu0umR+y7uxVXPSHujG+ABv4ZFxY0261jgkeCvV2/KhNIeRAcLpiw/p
TuEjZt9QYEaorS+4VymmJJrF31FqB3acwOHMElp2R0HjIDC1KzprfBec+wbe37g189DdjxZT9kAN
sbvqqPDZtlaoc6F3bXyje1H3iGaPk4j357EZqyuXNYZvYzp5VOz5lgq8vUa3HZOKWTlHt9YgrXky
db+Odh7deakb01NV5F+dWHjrVEBMXJVEZ+0N5xPB9k2n9zi5b7PaPZB0HNeKq/tBp9Q9Q1WfDNYx
ZuAPLd4pkQCGHS3SVI5TUbAA+mTFwsr8XKQhTSpRR3hy0GWyhn1lvXGc9dYmtRj3xYjzXDr18IKJ
Fj3PTIqzkZYKLIszfmhjTqbDMNvvIcZMhNhq3hRp1AACMMxXg/DS7azH3m1PUfLdlFvFVk/JTxoY
8W5ooBAPaOezYkFXq2pbFE24aYpKvHMErNdy7Ip7UNj05UyIwsArO20lEZi/484T+7zPnTfTaGdt
PXNpbWZuOX4EotleUZI5rHMGrIM7YCl23N4+G9Uc+nwjTVRz3XiCO1LeuIMVHQuvLu8qHYNeC4GH
d9aLpm/xVLcPFomWxK+MgFO3mFLy8Tp+5WAEV6nTBH6Y62nqfILz37KMxBHyo7cyLaM4EwFKfLpu
6xP8zeGaOtqGRZx3roiNxSuiUlFAjaWmzpHQqzU+xeRz2vT0fDZpeea4QpRu0Bt2jXbk3UtvxLbq
sv0sxiBmuxVICiCpbr2t+1K9ZOzBXkI3r++wbwbPpQrim24EBxjh/njSazltIlEkuwk71yaY2orF
bQ5KUfLbsuRirdAe8nTuyUk53RNQYswEsWzytcaSzbctSSeriMRdhaPE3DhuUBxzzioUpKhhuuFU
lCn463RhuoU0eR/b4VWO+DCtnpAYoSg2IeSc5qMe6/aHwd+v+UWQx3cwuQbcbcJ7mWaLZJKcedC7
uYD60IRNvGVRbJ8cnFOPgdPX1F1DbeGAHbix5FgznrqqqLfYMYAS/lds/GF5+7vhGHDNXw7Hl29f
6vdG/XE6/uUP/Tode9Yn6hwwpC1COdre8vf9Jjcug7PFzGy7hMCX+PdvfjVpMhybFD7aDl419w90
bfGfDMMEEn8ahlkXM2tKBDSGcosf7I/DMKdMTdCJ2p/MbPb66Dyr2jC4ikxZJVN+gnQrJzwcgM4i
Vp/Y6en7UcOj5db2oZnb4CHN3GBe5fz451pP7FuWlvZphLdAzBdoCifRlHHKMGtSaQgWr7LJMtDM
TpWse8Prtl7rxhdjdEk3kpslIdLPxqaEpOUTyTMvbZhZtISJait6N7tTSuR37TB09x4VRhi5gZg8
E0EejgsxsluN4PpesYZAOxaRBqQEnMN9GrnZfW202IXUfKDKfSQ14KCO0AO+lCbX9wu+dMtC1r6d
AxrjtcFsj6pkKhxhKPs0pI0bGUl2QjEWpseORN+742QV9T9FgIthBmdR8RS/g6MWvVSZ6lBWiqRc
m2FvbL3IYfqzqujeGu1k0wvZ810V+Xiqw4GnfNU8sbkCEcEASm5QMlH6wiznx7ztFArN+EWNI3kQ
s1fcBLQ+PlVxniiCNlbzGco2I0DFZ/iUqiS7uEMfbbU2mo91xuYE1c0EnNy7zkLPIDaU0E55Z3hN
stfS8BZXerIlgq9ImnOmbtC792IoGCeivDtRaE23gJ7ZNJwD8n3gzthtFXQXv2X9fusSp9lPLHnO
TiWGEzfEac+ixnzHWYiG5untAxUK6chtUFOb3ChJH9aR4R4ybklnyBtiW+mOtkaAyK90VpkP7STb
N6gJ6feJhd6j0Xfx2uYAdJs1lnYxYwcQqmhfea/KyWfJ4nHLdbNXs477LbvYfJ1zr8aTp0A+CUsj
7F6PX6uhaW4xBEC/GdvR98yejqyEC2dRnzzvg6B0V/tVrRNM1WYTgPNIvmgjmS6uedMLeim9qoUh
mM2rTBRY8iGOESOS773Ruzc/8JdI+OVF1nrod7nAk01jr49yM24pTKdVq2f4PaEIyX0alu6eR2j6
LcnD5A7lOueaCudbhU+hpEAo0D7IlLjZKggbnQ71wSa8ypqtu8lj2+H+FUXHmHPlCg5zsl4AIq/E
OcRLPSbjyfaU2ESy6c6xU1r4Ecuqv9ZaOL8hehsWGmQ53lBaHD5SqGzdungnOTaFu7538rsYwu49
BiZjoyyzxZrQz/iudT13EEsrOCsRkOu13bQOiwRyjQP9sDYP6SQJ8HLp9cGaeDivSE2zh2YC4JSL
MSF75jZSMtdgh8vDSmz6LrM2sVaKsxPpbKdxxpU+45a7YZFd3WZhFt7WkTTWdmWbn9M4ZdXOd3t8
aYKI0qHR7aYH21Zm6FPfo9Hppkd75svs2M095sVMow/J77XK6rc5Sh3cZzCKRAmpr7toeCGeHT3H
eOPYRVD6sqoC7iQxbpE5K76muhDLjJqNZ3N2Mp7yyooVCO9eew77hmaURLe8AMkgHEHc6QnFUQnF
atsR6zhLFLccr0Yq9Je6CfLODzkPlNU2tQtLjGed1N6Ix9QMM9aUWyaTMPP8cJhYleCvou3nISB0
MNlPoZOV7X1rRl1PEh6qZX6cSwN8gt+6hM/LtewNNTzUyRi6HzLkvJgDukjFYD1lMGIqZ+OWpMO2
Wte1ydcJmUNH0eQjqnlwofz8VyT7uzlgYaL9lUh2+Tb8n/17VmIxqNlr/+KEP3z95z9+0NT4P96b
9p//0BzxycYr/gMes9jTfx0EHOOTZWGEYIm8cEyB3v57EmB8QL3CvQ3mlyliEbd+2zsan+jZ4D+H
ScO1xK7/P5kMfl7js77mL+IE6HLJu4wkf5wLCKmMWJ3pgac+AIvxzAnOsMPn370p/4Mngl/x90oc
BcO8CEw7TPP8nn9ii7ZFr5VQJ6m3V6C12L/M4Ml7x8cN2m7++qUYq/70UpK3xbEkC1vrZ6JoQXdp
lYTmvB/7GIE7jRESDCJQ9AGTHgV1uM+IVu7G2ZIrouzF37z8n95OgjngYQka6DofmvWTAQNUgGsN
toErLB8ejcx5cbGu/fVv+NOemOpaXsJCdIVmynPV/mlPXNfa1IlAr/aWPjyOlvmMKFP4HVhl5LXq
21+/mOn+xIVdXk5ivGCClcRaPLGorL9TUSmvwxeHFLDHfk3Xvcp0Gus8LTsqi5txCoBD/mi2o2ek
peXOJHoIvtGDbJ+xcK5Z0gac84yQh1xEL+eBZDKteX3RewTDfrTpcb+lWc+o9HI5fHv0zXlgHZLM
/GIkw477cYv5cmkMqVthPJNzg7w2eV22hhZgXqKq43geKXNNXdn4PCEgntBdhnBlMmVxuKu87NHG
kfYSTw6r66zGNRwW1q3V5ureXtbOvWQzTg1AiH0711fcroP1UsoHfNOqtiyY5wMPlDMxPPZBWfZd
suQuYvmB3nhta3aKg3SzYynGzyGOY14isTec0WDZQFJaq3KudqpaulJzfW01yfANEYrtShLdlhSy
I9Qh+kkj6zZMZPZlJHOPUdUOjgbLGkfTg2MSxZRBNc4CfeiB42keNa1NvJ70JCEtUYWPrQ39pnMZ
I70+pBsgxNE1BP0ee36wSaDJnxEn/S5ikRvAfb6xiFWoDYpAOy2PptAjOpCATonpwHisHBDDEccT
33AB15U0jsCWKnV0zXysa/tJ5o72Eqm+vs0L4EAbFzDkY6ErBNQ67vYkM5ig6xpOITzo6CbIqvqM
b8HaGHmltrjKuESyKrmrimLykyHXN/3UGds+TsWzLBS9ZT3CrRbFRvfWxQLwjS8m/UTJRfgYR+gq
eUzNX4B1cx1V9pJ2iBfAPSWSpyCI6ms5owFkdXMKwDK94XlsHyWp+j0BNv2sj6a9z3KuBWJg8bZr
83GXZ+ZbhPKF+h6Tfk4cc9zLJvaugjbDHS1j9Zn1bXG31JsaTTedCTqUle+VqdjWA4UyhW0xZ2Kw
Z7ofrXhXe7K7wZ9Jo/ocsZV3GiwbJljSoHV0nNEh1moVQSmxXsaeZWsWVET5hms5qSckZc4NfULF
I5H9G8xvih6GHpWpC4cr7SD6zjBjsddBw+4nItEHq2yqm6kQC70vtIrbbOK5wRXNDoY2kVBczaCa
3hsspkvFCKe9MNFu2tA2aHzzSBSy3csJssLSwyzrrCtR8WqhMkn4eWQQ4CPAQA7KCDyt5gZvrmpz
FuOhtwuDYLgZUQF9ikTQMAju7BilA777mbYyJLtJGXScDCyFHmSnwxHDvH4aPdPdBontPRdwBTg3
xPnadqJ3MzBfPH0G8NO24p4NudgbvfkZqtVJc9PwQS0bZk50fLfj+djKAl9xoOrVLEHQBEOviORS
4GHPyVlrKpLWVZCugUV+pVMDBBQo+WnlBmF/CLQQvVQTV4Lp23Yswn2iYb4vvHLYzTSbYmC2q6da
15xs1TSDti4pLd52mJbfm55ujCIq7U0zbmliNh8tq/T8XFdkbXKnb+46rTTfuW+7hzgbTEAGEUeN
Zd6OIhKpK0uW8yVIVUsGAjfJU6G76Ykb0oxpz8O1aFhvdTEAf/JcbTUgMvkUJ5BRFdEJbWsX8QAA
OIV+vwpDOKRppueXJnMPaW88qYzkhRHoRI8xqVK3iyDIAmYdKM09h4H6FoweLdJVs3E6Q753QpZf
ks7sb0uO6x79y3z3uCXYt/HEMQMwd3qgYrvemy7jcTHMwysrYBMtvF5o+BibJ+wyfIEIt4/LMkRL
X/ShEuhUs7xCJ7Wxm7J609MsadhGp+bOSaN2Y+MC5ntij1+zbNJuVZWjdOGLUXiUny0adveTh4ed
w1q6wOxG6YO9tjapC2a6mx15Ss14qLBKzD1HRlfb49OzCd86H45uoi309Aavq8BKSOa6zmPajPoO
lmW2qQ05wRmYgMcqSY7Z9qI9mStKNcfO2lutZd3asU73ohaGn11rQ8nmtEuniLe/j8YnnTvXmnyh
y8l7Sh9NWmZ8S+hENLRWGTgb7I0NHPalJUX3ecRjdLFre35pcnNNRRXEtaSs60unly1wjoQrD2Lc
XtKfsgJ2p615eH7PVWOwKajVlnxSc6Btdjj0ick945dSWFK7bAnXxlIX++NR/98h/2+HfDDLv5uK
luzrr5P8Eq795z+WIf/4rW6+TX+c8H/8sd8mfPMTrXi240nJuvkXUe+3Kd9iyueG5hj/chD+xojU
WXjjInVp4KP20VxEuV+HfNP95PHXCcG/IfAqgNn/FE/9q7gqJ4OfxmJPYMy36PRzXZpQ+Dr8cYoz
KprCTELWe6/XiHbktYnSAUpZ3dDCZt2wlKv6h9BqyIKKOOoOfZy316jU+mynCFcrcAE9fCA8/gQR
go4S0I5Mp1GOIbY1un6v5FQEaf/8/7J3ZtttI9m2/ZX7A8iBCPSv7ClKshpKlvyCobRs9G2gja8/
E3RWle3Mkz55n+uhPKpclkiCQETsvdeaizScgEmBnoyRAHSBgB24UXieZOm88Ni/5YIDB7/qPPB8
PnZZpe9VG5yrOgKEUFIQrCo3D9USi6RWjPP0TT8ujlQeZMavYEJWXd2ZLwFRTCRlGYl8KMsxu1It
88yq8HGJLZLu0WXOAJZquiULFU+9IcRDqKUBRtAIvirZQmepKwst+lDg1omGlJErtidMrwN8Jj2q
YK1thSJxuVCX9IPWi3/n+0+g/ip+ehQDnRBMCv6e83pQrdOiP2rQC2tIlPygckYlYTwtIAO3CIrg
45DqJlqXuW++eAX2XbcegrUjA+yDJmzMblTM5A0SjrXAo7uCTjXvVNIFRI9VVk9XJkA0iZ6Qudeo
KHDa1OcMLOvIeO17CzNOR3DXyu0tcd36KjD3oyPy5znL4WMMUS9e2mI5RGcTziF2jXj64Ne58VXH
Y7CerCa8yuIpfjdYLG9rWhj7y/tTy7vizm6hn/HnUUJuKFclA9S15+KT3JltX+77fh4AHNWa8yMX
Wfm4m0gFXAy9XSLZtgRapVXfZdl4DWM4jkn8Epk+0GRqrV3sELC2t/Ry3EhDMDylUWVX2q6OQ2uz
SwI7ZKlMIvlSYzF2d6KeffhEmU092RXcCwCyrtJeqQ2vDhpKKSfZopRyHhn05s8tyXuP5ELOL00d
q2sfkek51QMOBku27oaDqHVVkgJ2Chs7/pjOsAmRcTsnStZk7WP9AqHVcXofQICtU0270dFSlXv8
kRhLnYZpOJRJd4Hd6VddjvPet1WwR9lmfR1dqHt4PYuiIjuKWJtNJNMk2wUIxOLbLK/4XUGf1zu3
gsokGdHjyiCQqq08srajTD2ERTDfJHrM1hZbyEZ3ZnhTuERhEog5+nvRBWLX5rH1TPpqti986NCr
jFlZjk8lKfx9Jkz12FX2i9Pl8HMc82PpTzMp30OzjJQBS5GvRQJXEYW6Wyv097vE1wAdPaQvGBRw
fIS+DZ2j91vALHl1p1xNXrxh4fKeZ2yiiS2u+qhE8QK7a1tAXliwXd1Wkht8hZ0uy5nnj9Z6zB3r
CWEFRWIx4xwiMJIHdWLcbytkDaUkZQXYN2LdEv79VlYdqCWT7Ph1PyoDWJWlbnp69x+YIWQn+pLO
HQNmgGzxgAvQ9JSJgYU8v3TlGwFHBFjV/WacTO9l0EZyEwoRfZ7bNKWJg45w5qvX9eJth04/wluq
0GHOKeDxtcnPvGliMjkLpcRFH6KqaB4byBTpdhxEvO3jAZSokZX6CYOiSW+yiW8HigRCYeqKCEFn
3svGM/HpY3cEQBrVJj5yciTr1ZB30FnI3YIgVmIFGlkoxKrPR3MzuO58GsO6uo8JgvsY8PktsNZ6
So91US2iVR21Vz3ONupfdwFij5zEV8VC6V6ZTQ97IPYqKPJl3a7bXMZnF0IAs42csTvC6/Q0dGk2
r4c2iUlIk7DlLLdGNhoM0z42o3I9zgXB1mazbZNZHitqgdtq7o0ztiAW/17GeheMUwqqqcy7GvuN
bu/gzYMxZObP+ZDFXLo0fjfK7cPXy8rSZF34NZiK7CqveEJRCAtgcstTVLssWpNmjWrHwt+4hsmy
Oiy0I8bC7DAtgsv9FLE80wCWNo/DKB+Es7wQQoJpgymOd5IPmb5Bws7QNh6NoLylCzzfQpiq5k1V
aYImezwarS+c03+PS/+n2Sh4aIaL/7twcDku3XyZks/VT8el5cf+rR1cJp0Ala1giTyxv2NqCxOF
IOYlTj1/BBP/uylqect41PICn2bWT+cljlIMH5ioEjEHApuEpn9wXnJ+auOZBNEvTUTHdpjBkoP8
03GpQVimx6hMr1soMPObjbCJhBTb6+ytieGbxc4aqfvnQ0KIXWEcKxkDdkPU7pUHwiXMPdbA+b3F
Y8mQyKyd9cRsQZ+m0vW+UNR4G2Y8bqubQ0kVjtZqleXjbD9iZdN+T5pVD9ZSveewGHiyZ6DJDocQ
ncbg1BKj8+6Hqh+geNduB+L30SohQa/dES7GK3T5PJmXihgWSQtoqiyuEt8Y15PvUZEPSIeIm4y0
k03xtTswIvEfY+nphZtsEpVGUQTaiO4dDtwC5AEGN7H1mfTl5sek8Trd78t68BEjK7MAOU42egb8
yGw+x4Zqd15Tz3eOzEsiYOcx5Ufd2dCf6hLb6M1/H8D/ywNIWMoiZf3fH8CPifpMvmbygxnqj5/6
4/nz3d+oiCUEHULF/pg8/FGuBPI3Wr54nkg6I7aRYPB/P382z59vSSKY+H8uBcu/6xWbNHGqHhOx
w9ItJjXwnzx/P7a4aZ/zoDjca5BpCMFhA/6pWhEm6kwndk+XWAqgsviOBclLep6Jh7jkK393gf5i
QPFXL+jRksFk6HCEvIRjfdfkBkMja1kXzgnNkr8RAxlWnMumO5eWwyGalbj9+9f7cSDy7QPi1+Z6
EQRASfbT+oIAQStKQuStVey+EeclbpmvirNyhl9FrP1oVry8FF813zWSagrQn4UfLbFKUZ8J+5QV
I5kfHuG8TqfJwsUCQ1ie1sGzR4l324aECf/jT8md5HA3+OjDvUsg23dXlUymYTaN1j4pmdrH0gdV
hnapBHQyRL9M0BLLIOI/KUaXD8odKAKcI/hSibf68aaZqlwV3pTYp7FyeSGvbs1hNaYm8VlD5+FB
QV5Zx1dAvQkhgZ84qBdbINDbgHY11qYsg18k6v35SybF13dp9AlqIXsxHH4/OWFgHSJDDW20dTYf
N2DAuzchE+3/P1+LfgQjp8Un6/28YUWY2/MYo+zJUiMUGtsgyaArJtCBsn79+2/1x71xuc6I+lHT
M7rE+Ptn8hUJrgjZe/uEVIhSmmF5LwvjFxFlf3XtWITAdfFirFI/fZnmkLLZytzGx69AxPoDYXS+
C3ZO6Iwi9u8/0SUg48dbh/wO6QmJ05hL+HM8rY90gBpBWCdSHUgzt2BPnkRosC+jYK9f/SZz3uwl
A/USdzfHoP+iIbSOv3gbf76DOfWw7C3uBxPTxE83TCgFfgVoDafJ7ySknlKguA0D/7oGW7I2GWQV
2yyjaIVf3WM0vjy89P5BRf46EPCvvgGaWQHGa75pOlE/3r1ZHric2mse3iGcHkwTX9Ul9syuEZj+
/Qf/q5ciAYyBksfWIh3Oid8/KFPtt5BJG+uUEPT+8C0X3EDwrim/+Sb+/sV+XOpZvtFVknRIo45D
5J9v3zruqhwNl3EVEsKlaSG19Wtp5bDWRp9s+HJmdfj7VxQ/LsHLS3rM95nWutzNi8v3x89Xg30C
YuUFV2ZIYKkNJIZ2d6umB5q+pMIrMqm2lqOnu9hP5RnXIfYS4JQnD9LauMEC2Rz0Ejx4WUE6G+wc
NwAR9ZgEDPxViaCB/fdvmfM27+k/j4TDxs/Inh6Jy5TZWqACP75nmgQpsRdwKlRuFjtTU/pViWvA
WlNZDwCtmGn95XnawtlEATe7W8Evu2c4QZ487kfeY1iErL2hQ746vK3ufZIZt24Qa54r2RisvCap
EfDhxUgglIhQWkFnnB4uWaDELXbvrUkCnofSmzEyANDjKBm1dYNXnQCdWFewLiHgzsAd7oC6EVqJ
6zt4Ju/LSNdxEDbiIBTafJBucTtuiiCG0MmAMqRH2ScWvsOy4TV8rrSr4hllHxoJZHnwRFY9KK5b
FVfcIbUt6te54ui7N0IduDBZLOKPESy2m7kVRG9lzDTes5RQTK9G/nZViGR+QA4y3Rmyg/YExS9K
PglmGgss03IzOnh4pJ8vsdRll7lvGV09vb6kcs0AJd+VqJcdehict2LO5Odah/IwNF7z0LrAK5zR
wyiQRDaCS5BE+MCx0xZrgQ3mjNaalMDJ969tpj7YXW2uaJiEz2A6kn1oWeq9VR2tjUqKc6cl1ycA
IIu1JdLPciACpyb5A7ewOwbPAj3ie1ZEknhbq0NYrkJB8OncBs89NEo6sCHY/yAs+S1FSkyY7rhu
dm/C7L/sciU79a5Wbk5eXAEK/IDFkW7NjK1mxEAJa5P+xay9q3g5mBgphJkIp8w17QkS4qrZnba5
aUBHcsqc4FHCLWKE/abz5rkZV3NOU1wZQ+XP5AaYoQdmeFkvDZy/aq/sgXkRTiHeDEFNGeOfjn3R
JaUo5w6OZrpV2he3sVGQcjY7BVlkYeUTZ+bNNvsNbHrGdaK0uJeZxgbPygR0vve7nixcqGx3tVga
qhi6SJzDksmhoytJg1rXVqRvtJejshcJgXVD1ThvbtzDx1HlEq7uzKJ9RKQiD5oyEyZz5NqfymEo
z75O5pu8GRhfqYkZNxM14cPxMdurBOfEMcLqxG/JpwkAvK76jalC95znOoFo5frEDOKZnG9RHJmn
wo7JcoFWDCzcUdai+LfXc6nnc8a4YIvhu66vMlBknIzcDAe1qcr7rlY+tN2wL75UTtt99W0CAx1J
5HzgLqn38wREct1nrExrDbh8O5o1xChIQfWLm2et2ilndj9P2hMbBWUQS5xJTA7AEg9lRF8nG9R0
cJqrvroN0kGM61Kr+FNkYYbxqq6+wUAPmZ6o+xO2aY9oFzW6r3WCyxh9of6EsqO6smxQUwgcbP2J
EIVs6zhS07sc+Br90BmIuRnLTxgPvG5TDkt0n9l6++UwihtlghG1advC2BLPMyylNvYkUjiWhSlc
lQzRH/oMSliZNfUxJbV0Nzv9/AXJyLiNjcS4n0kXfUmyAevuTIwPjvNslTZwvL2sfaNDwPORYMQI
cYmv+6EVuwKQWMoo9taeYpPl3wppdGeAfwVD79zC05E1yMDwW7meH1XLN1+P15x0/YO0xOxsaIzi
uApDXgjCSLgB0B4f/YrWHXEF8QLXMbayqPqnOnObej2UakdsEaCq2PxMwlf1EuQJHdxATDtlAO2H
q29C3OmKe3YlugEkM9ILsHFb1ZHJNwpDJb1GCFLemV1f3+Wq46Y20Ad1b5eEbUOmPBIK0M60JZVG
pic41xywpTXh6Wa17d6jlsbDutKBOM/kPsqV2Q3Bc+v1U7T1+8kxt1kS4y3ssLjgI/ZC8hclkTCv
IePeO2D9xtqb8/bQqYD92O8dREQ0ARnUtktmImLpWu2zpGMJYjXmYFZXrLYTdZRSKUc4d9DiPDDV
JsEpdpqDPdkktzsiq1/rmtt2XeF7Aoafl/mrhJ7GeS4GGSSsCtfiClV6XXxy0tivv871YK/U4HXh
Nvc6sjdSe/xS+COzHCcznI+QBYIjgh51yKsZbkY5RXCkiOSMfwdU+pbWRIA5dhJF63Bm+Xghh4rE
SbhHlXXwZezfDm3K1Aqh2jYeR4RjxAcAei/rJx1EhQfPzx6fBtREDyAxvyIwe5mkLT4gH+gOrKse
Eevwh7d2X8t3jCTRO4bA8THqPb45nvh02xClHazsyCPWCq8MEogmV94VXm9F1seY17RyXNbxdQZI
YTzg/jdPdlPNN42CIeLqKQH0gNQd9ivfAoZs+glEqpAFsyWVJ79BEWR/0InOP6AI7h+KxG/WbSXU
Z3sw8m3Vaev3KnDRseDqBGodysRd0VZK1hlmvNXYayBTRZOzXACBQoXi21dE1Pwe1sb4ODIDuRd9
b95APnY+ZaPLpIBxR8BeudAgGlTvtwFwyJsWJdyVAVjWXcVDpN5kMtanwrNIZ08QVTN2MMKVTchC
uxcseTuDwyweeiElUa526E27OC+ts5vV9QGIvH6scSZdm3NPlgOmITJWovEVgnLTb02l7OSKuMbJ
WfuVScSKH9KJv3Unc6z3GN3UgSrXuE7pqj2ZCW5hwjF63MMSoWh26Ll5bkd2+K9iaBhp1PWwJ4hn
PpWpKvJNHcSMPyGvWkdCV1GO2SEs/pqThcHg1BvuIzkgwSjB9dXcl3n7mk0d3fI5dzAHSpZRy5wJ
fCBoqxw3siAlhMFqJW86D3fRag4a4W/93IMoz+r7pZK06neQ/jTog8g+2nbD2CJ39UH1XvKgCtE8
9WJWzzAC7e0w4VDT6cQYkTnPygavIlYT/siNVRNqtYYHHL+bBcq6VWcyLgtxMeQbm0t1N2jqFNTh
Xrt2kAR+YFo+PZntaNw4SWehnbIAi/ko+T0MD6WzQ+7mjCiPEijyPffuV1AV08fat7rPpOR476ML
XWBn1m4PIDEXYM/SKsdWEZLn+xUaQZNs2ljP/cHr6q9OPEV3CkkhuxyZAFcW1scKZE3ZbOIpaeYV
rj7gy+zOH4x8TLcSome3CSLO7JFevJagQzxIGb3d+acMoSFBLt7wErszWiEv0ukHE6evCbu1zD+U
QQ6asAQucx8bFt9aTgMJOiKmvKl/nmJwkfa3Cva/2o1fajfQVX9X2vxZu1G1Xfz/1m9tlSc/wQxo
XPOj/9JvOL/ZEDU8sjMWRfal6/lHQ9QHS0ATErefQAML1o3y7l98cfc3JuF0Q+mDWJIfo4r6l4DD
+o1/KoAjWAESoIWO8A8GEnRWfqrHAlS4Fu4tAG8+ue0esIXva2SOmEBoc+w84Ac5m4pgwTJrFXFa
lUOL96QbapYp3/RiknxIGqDhRkuLvAvNBGwtR+j5OybQRbatnCpqsAVVgmQrVonC5PamLCgSx7/G
I2YfIeeJW+Ra9rGzSd+AS0DdRWKPhS5EcCYe05wjdJajn8BN5l+zZFWv8HzYXE1NfC6xdpQv6Dr9
axGjMwMpLW4RQZDuVZWR6676Svr1XuYUZluVGcuPXJKZM/w6d7LpKC+Y45EQwOCUw6WiKowIJnou
EjE9tEspGGZLCLdVTx55ybLMKiDmbeUTzuBRPtGPJEWuWMrKmHVTlMRerAngme5mIpl6tjoUYqtv
hY6UEYHywhLnZSb05i3pzVVl9AdriK2nS1egtAgdV5bJicEtOGNES/mKuT8Kn1M351c3TcKJyAtS
0iyxk6n3tE24AqUNADTByfqKAJNzzmS1/DN7EqTHV47zNkf8HDpN3sC3IngkI+rOtCL8r+ECK+ot
Fw+SG0x8ajvjNf3MIqM8NfnsQe7oYdWPpnXr2kQVlbEX31qZkV7DtxSrdkyIvAqT4WhV5HSX5Lct
9NDlen47rRVTQV3Ffc3ffPtCczOi0o4Sot9lv3zDqHKpckyt1AsrHdyHEQQfsCdStwsqD7is90Yh
+QgVKRhEOA8ckOEiU46snbznuoypwXv8lnnNgMtwsLd7UbJvusIhT22RK35EBkBwc15olAugab7S
NeV7M4cyeJ7z8aHTyuHoT6m4vpSxaC/Se2+gbQVpl2NiLQp5Lm1uwIVCz11bcKNncHTCHYx6fhOl
M396MYY43gk3EQ40Wi20DjiydwN3g2wV32xgdZ61RflhHX1bwM3JPY/jLMRdbj5DUniGA2O+Fcnf
3Tu8QgLTzaXajcdmKRk5Ni0Z5IDd8IxFy0gvrSFklgSmcNRhSyi2A7cofuml01yBMrMPF+SRkWIa
x9Zt8b4T3VPVFhkdN4uBPPXIiPlkFYqefPTJ5iVLKMUMCJf7ZA6m+rVfviI2RetYOMCRfaH4ZfiZ
k32AtmgLsjPZz8MQbC9tDDJfwufLLZwYHtd3aa5Wy8O+2K1fQ3eYHkar55KMMprvJig+d4WW9BNi
XIU76drBMy0WLlxHxjWFbu5zw/SAXU956fLXl0cCPUuyJzeLizdD0d03SxeHOWHzyubfHhpngSe5
vSvO9liFz0ZqDqDMVcqOnDZRQYuGcoBkmZl+AwJ04p2ckU5+UvBxTBLXv1GLGqyQPA+myQ1mWDzk
KiP4j5Qxm4O/7PjUl7qDaRUtpLgKrscqD651Q3DYCp4bt0RFmCaJb1CwiYfyVGzdpc1ANW60UD6Q
G+hgY+a1dyDn3CSCIA2unQZgnAWuoIVEu/ShrQlr504roFdb0iZ5wtBZ8Ia0xYpVSKgNDzPV3E2U
9sE2mRkAWJwmHrKA5ZliHZRUIXJ+D1Ek9jHL0DakHUuGib/j3Dl1zxUkHPah5kYnrheS+2tGD+IQ
oBDfh10szx5h4rcu0+Nw58dpqx8VszX7MPUskZbmA0/g9+hyBksPLZeGOIem1vVVVHkUb1ZZ5ExE
wpQOsqmTfW8vbahh5FvKk9B+U4lkaRbhzD2FCogbfHY1X2urcufNHCkr11NJz6mhG30m+HUEw9ES
37jCP8n9IhQto6rkLh2RBy4tpUbcJtD2z0WBXJqzfh2F2yFY7hzSyqoZKkzLr5coX9+jDAZFEjvc
3YDEz0wKqR+B56YnGyLCAWgHXuHLPW9LDPxrSlXepaS6JzHKcxmCJFSczPc9Pqe5LHvDKJoO1g2j
bzjWivXt0ghDPLXcj8HS+K2bpbaxNF/ktyUtVXRwNrU3shk5od/2x9RXDW15jB4t9mVD3NkuT1ee
Zwir+5HLa+V0g5Ynrhh8+3ksu4nwg8Zp491lZa2qWLhAqP3mWSREVj2PUTRnHx0MyLAH7WWVuswf
7bhz3gKANNu0b4p7EfdyDXn8vYwn6s16QYT5jblszoRsAMsGBnw7anB31J4o/KhMmLetphhgXvxB
zvF8YPmxinEjop4jxAqYJlohlxL9VJSqg5DthbD/WlwP+b1OMa6aCdJBWgxG9MxW2qJVQLh1Rc44
T03WT6y1PJPE9LDEwCocJcZiq2nd96osnqtItFdBOPWMDWYYBZxDrPbMaJmwhWUjIhA2P+PNrU/s
Mf4d5lMz5NkdLCIG0FY1QnS3jrn0WRmhrQcoFk+J1zh0DsvwUwOQzKBqv1bMo9dt561Nj6SGEVCg
KAxK2G4+qriviZUNEKrfmbFdrYOg+1jia67xSuwMut93Ne3TtPAeQol3/uPs5rXBPlGRDXKEw1Ow
qkIssmwXoZhlAkeqzRq9pSs1CcAK6dnKbex0XVeyOAjRUPondk3KrZ1Zu6yU4M88MljMnsQoOgkZ
MZfeONOwLfFR7GaXhDz4gEYC91H1eHiJ4wxOnWXrDz4UzSuVBmxzyYT3fDJqVF6jeLLFAHgdZsWH
RGf+lSdDaH7C5lAS+9CAfMabK7OeQKgB/jsRMoj31opMawU9bnrL7Sp9mr3iyU5JSrzOQardNxmZ
xkanRn9t6zbY+YM1fFVzG/we+7Rp1UjLUnOTbRsiXjc+qjniW1O840MzgFDpSAP1aygyto1PvbdU
euO3MaxHrpf7nnZ+udM9jW6IyOY2SsanYIluz4gl2Xvh+InB0tpJUu93mNnzQ+zM5UYQ8LizMg9t
cee09wqWLsef0t06UzF9BlF1pkeMmw+v942fxPqe+BaHZk5f7OiC2fswGDAsBYm9jRp1bkAXkiPm
cjLaqqKpbjoN2y4jSHFNUny9jTg3XPVFK66kag2ydCp1zILevq4sIPZctBJtZINKzaVjNzWNvzUI
Hl2lrFgYCovsDngCZiv/ytCZ+MAmMHPkI0Is8g33mLfWfB+Ra2iVVnmQqGP2uHo5s9JR2kxR0B8I
EILfnczGq8K1uMEcEMAacu77hJxreqfmQ4bI97qa8+6JNrZxPRc16BXD9/i5kSb9792Q498JpcQN
M5UNPO2uekkX8PUKFuSA4aCQ2Vm2oX8gzda4Nd3GXLPzejD/7V3vkU+ZVlkB0sfz3oyseJmMRa8p
yIJFJkgz1yDGvaJdP0LY0V2/N8MsXjt+hvcJUNpG46sjJD7ujkPpvNdxZG8lCTlrUZv5slqJ4wyT
6S1sSfXahJUCiFrJLafrlpNgYpabOTOzbYfF8Bw2rCis/G2xxdyFvDKR3sFUsMiIZp43SuI1cUbS
eK/BU+ChquEmBj0LCXiCZtM55sMwZrkA+Z63M2fxBt3kQxIK7OkLZBRKmFZD9M7iH+3iVDYbWv81
pKyBhNAoDlE8VcAh9jBZDRamNnEPPqEpzwZ+DJ9tL5QuGlgRb1os220aN1sEXNVNonguEohYz7Xr
50dN5tCK1Nlsp2lBIBQ1+Z+pB8IFu/jTGE0+t7hVVLZxldCbG0jL64sk+IxKJLpm8HGLllV9XKLE
T3CMbtysJGia08Bj0UuEzqNyoaFSu0CtaJqZkGG37s1jkSFAvjIaoSUR5LCDQVxYfTPiYjc4OZGe
aYUfwi4YOc1ivFxhUKv817ChXX8I03SsaWeMM3EvjOJajUcnJdPKWTN+J5guUoY5ovIHLGe9wpZi
15V9SgiKn/hWtEOw6xSnxmz5e+xZjCPNyyBloO3Vbp2eMyhtPk5b5ag4iLiDzd6UNHU+X5lCTw+z
HJlZeUG+LpqRYzkOsvoX4/2fxq9EtKH0t31JAc2M/086DEyPOeyuJD2EVcCEoKgQ/n/Utu4RgMxa
N0T3BpxGqhL7k7sicvxXEpw/I8zRS1hieSMMgnkXP6kZxtgVlZZddHCmwCepslRRsukDEcpbgeYv
4rAZ1vvESuLo1NWhLlH2qfA2Kjtx9s2eiVoFEeyfXxa0R5Zjcmynd+/9NHUvrT5E82xHh9Lg6EdT
itb8lFScSRf71BrhPiefvgA/ujGG6Fcqkov45/sBMxeDl3eX/3AEFz8rVsrZywgf0VyTOacUSkUz
46MCLF2kfCHx7JBZbo2+dc680DiK5fhd2gT4kOPU1PIDcgyUvysz66L40C0VdN0g2Py6DCUexhJq
xi8u1198icgghEPLWJom3JifrtcQRAndPD8nIH3ALRLME51HRspYPlsncJo1gkl4cZNq3oiCnh+a
jl5FE1PLJ9XUPhRl8ytdwdLz+fESgnO0bGDmNpQAtuEfe0KG0xi659yAFQQnzMrFy//Q0ZJ6VrR4
SEA2lvJ3lFK928KzjvVAfQErl9AjQbs4WStVLzUYV/a7FttfqOmsv3pjC8kTpSKNdSS0P74xb2Am
WLRNfKhdAGMcNam9yKoZx9abFuC1Kh+BOPr2ca44tm4mRLTZFXP34aG3ByLr4oHZM/QtqmVc55yL
RUcZayQUUZGtOb5fNBJ5SMIIYBN6PWVg8mQbJF1yNPXaiRxTGoPv34pSXJgIoS6T7nKup4c4TEjk
w44z3S3nuLekJEKAKSRC9hVJ5FRAf3855J/MV8L10GQhS7NpIQZok3/o3cXCaJJ58Iy9FTusgbLS
iAb8fil1yol3f5l4z9IfjMdSaponUxHztmZC/x6nwOVqRRYJcmtHG3S5c5v/ysXiz8nLGWJf2kMI
GJcvu03p0vRjHyWHKqIDtk68eoi20dAs6smCV3ck+CBoO/PAHUJB8H75sP/tRP+iE205VKDf3Rd/
6kQ/J22UlMnb96L4P37oPz1ouUji0WpCXaDNy/P8rx609RtIsCUFA0mOv7gJ/9ODDuhcO1gEzUVg
JJHP/6cHTXuaxYGeL4Pjb+3pf9KDFj8/1uAfPAvdvbsIg5A2/rSNgQ7Erj1H4uCjt6DcQnexbpcS
TJdzc52MpKVRnc2lT53WLyWb2RPiZy9lHDsbkUMVlpNgKfIcLxThtsWxeBcvRWC7lINVSXG3Yis9
NmF3DqkO0Gn2zRuMrKxlmsMFfuKYXj7LDg5XXYz0fwZptO8OyfWnKo6Cazq8zltpNsszJJXzZtUu
/+jSt+rcyvhCZiuxivjwpy+BB3slvUoAS98y3Nm2Bez9aEpPJKDVuN+GsDyPlg34lDhJUtT7TsK6
lXFlnA3boSLTMbzH2qcb52HXXakiaeyNxwz8VrRTvmmz2P+UZ7kvT6obfC5LRU6UmMboOq1Fj4TC
BURlyoXWjd/P2cHJslehyn63C12eopGi3vG1vXHo/L4QvFZuHRHaGwPJNp1Qa3yWMp0f6COL6AgK
KtlDOKnvQkICvf20dPEhjxuvnSIspyd8+Sk20QpkCesH4AO0RM8IB4G2eu7Elq9JWyKVNw05xoXB
0i3Hwd3JD4Soc0AykNye28bHMV7bS0M6H+tXO7J9SFT0ZrCEL1cZS2a0otMmzkHGqYOpAUc7iCtL
S4KsZ9pumAgGfD30G5Vl4U9gnk5302JoVmx9Z2Cr8OOARctoG9pHF7mhwMiEd6zsaTGKlO81BJ5K
cid5ivDQ42Lpy1hzRtG39JlwUzLbd7qCxjyw8GR9wch3g832mMcRe81ljOBDfu7XZUejW/QGxVLr
L+fiYOkdSuHwMYgqTvaESPd6P3UBvbSlG1NPFM17RoAIXmCi6VNQLmqcuaCfj5iajSO19WUOwEXB
csthpcs0HTYA9LwB2k8csbwo5eoWQ0gfH694CMeR3GMkQa2VbnxWdJiOHm7A23BYunqqC83o2NUD
S3dUpd07Z3NY9RkDdwYJy6+NKxwl+zxN2U4q5vKKaMxLmx+hIb+e0TL/yNeQ/FfsgVzBdpz4G91w
JLj0HSdkKbQsVUe2HgHHENfpkWDwleYd+U7u9eUVXa9n3x0MWrkUYdybDWyqBHgHM5CxzZBOIa2l
eWqPkrS+thX2mzkvLTUbVMbJNVFZNpi/hlXjTO0hSlLHvr90RTNrSX3g7NuqbYh71YIyusxOIivn
Y80FQjYO8O5Hu0tn4/nyLonc7KMD8+ikJCUFAezKqV3uMgO5zG3Q5kyfyfmkDalcutlrwkIb/diN
WZXtqnz5SjngLdckRRB026HnObHJVqcZV7AionQ5HXxr4RMoncBWXjruF+2lN+asUF7KZmoXpph3
SyHzVeulrZ+6xnJPCZlXq8gx/GKPR2dExCmKCUhcnU1s11k3brpAMlzX7vhgXhSnOE5fLe40C5Rg
L3zu07LA7m8H9XXn9+uqdvyZXdtoSCJB7bdFSRAxL2gVUSlMnU9pMAfPfJmEqOCdEg9pPHe0tRfh
MtM7FcL9k9MjUZTWPh39YqdJuVmbQ7T0GTr1OTUwfBF5wWAkD/Lp0XeNYu3JlhtbtqD94YBUxjW6
VoNPV2QYsHVFdse6G9vc2jhBicSGSzZAXMLVcRgxAnxukF4BgS0rf0lvHzmlSTLnjxEs6KNVLtd3
nuIQOZDHCgK9FN+nLMYPo3DsLdBEGdGTskZEoqRrr4rWro9koFpE3/gxYXLsGPelqMsHgOZEyOJe
TWG1Z7F8Cirtoexo5y+2V1hXYdslh3TwxXtOMuWzH/WTtzNZAq9pUyZfrGYaz73jzNgry4toFSlr
Yjxxmm6fGVsq0CFZR8h5wBBiFnSSGOnn12IqR/5uKnemXxCajsXyC53MjCdgzNUJ/hPdqwFktM1w
NCToLEvVqUNiSc+E+vTY6za7IY/T2TgciKkGp0666yTU3rUTNbet2xZfAArE9pZ4syFfTXPDGKmb
/Nt8NB5ocEIv58xtoVfwByWuc0rD5l7bVnwczGDfDe600/TxNqrJ6puxLxGbGX14Vw5AYiFOrEqo
fP2DKMsXKxpB63SB0rABkcRe1xlZEE9hbVXPY5y3j/lo38XO0FCmL6fLSGGjx4bwWHr/w965dcep
rFf0F7FHcYfXbuirWndLll4Ykm1xhwIKKPj1me2zk5yzT5KTvOfNw5asVjcUVetbay4E44p65OCu
gyx2yP1Kxmh14ntqzfrsJMHzCn3mdQR0t2+12/Z7d27aKyZFVhhseh3GpT0ftIQFhXPpHvdpy2xV
ZlA+QOwyrFmrLX4pJR5w4baxpoOANjsw8IQ+e4i+k0K/IzXbiChLsvk9kbquthiQ3GIn6nGsD0tX
QQ8xTKdiuNy1lNMJ9cykOHjLrVBgCsxtcTcWFG7UwpDHybO5qpnCvWse72eY7eOtssT73AfdRQ4r
BXbmrKVH9jVRN4Sg4ZrSNP60hFDqcUWaD6Xpqa/J0f37Qm6p+9BKVNNDDhyRUz1oZ8ybZcOIof9u
LWvygHUmiUqvZGaEVfhmUjhrK8CKE8LSaRxs4w6Ckhczz8DriG77q1KwfjvK8+LEXawHtL7pDXN4
EqWUedyHMnTv9IiddFM2GfWQIGjlLTTx8sLIyGqibBTGg1O2FKLSjhfzdvmQr+i8lEPdvOejoj6x
ld+SUQpcof2L4pEYo5S5eK/Fm2mlx2IuhhtjcZ3vdBDToOyXS4/lZzDjxKBnaUid9M4O2vEy+v0h
GGfFWQxjZSYoMkBYl9q5mTNFDToxgK2VkSmMUmmNioefwQybSwX2xE09B+3BqszXpHD8TVp59aa3
WoemalVGHsiwyJQT14ElKTLSXsiTIkzWKIW+smk8HuE7km0CQd2S9gM+cY8BEgTrtsc2uembqeX3
yfBcrhp1U00XIBjuRo7pN0905rmBO45EpxEFm8WFWlvXT4DKIYQXbD92Fq6zSFsVlS1SaAOmged2
m2XIsvtawzLAm7w8C2AZ5wW/wKvR842Tl7YXVqAJKX8AB6dqOj+VAEHfjJhTleXIM1TeDgW8riYc
usOMObchpJ3NLdl6pxiBpXsi6hPvCOUBRbhMl2/M3xOPLP34ko3Z9wK3/ZZpV8CGAqLUt0nSaekP
WvHEHeyTJ2t90CK1Nk6YBTumr3wOqi9mpnK1AIAb+KOHuF9mLndCrehh1LDPHI7cbLyyMN10fl3t
5ewELzLkF5+k7p+SovV3sNyTIuZxOB8CfB8R8LcSRxx8IN2bHLZBbIN0yygvXtLh3DqLY+M3Wcaz
7p12hzyh7R3foy9+rbNg67Pe/Cy60fsKqmyOQV+76yELwdhLaO2HsA8xYl63VsRT4eZMS0fY1ayh
JF2xazS3yrhoJsgNYzBeZmlaUYJ+fuUdTFGJCnbm+DvdctqX9jeeb+VFNZWdTbRQ6vq+UMBRhtJt
H8dap95jFTIM3LpG2G/IzrMtaGbns6SoMN2FXgMxdRLsBUvPLDGh6CfAJvoGgs8QL2MZ6m0xBMnD
wDbgAiZesvIudgr8Y2paRkoQkegsekupW3tck5kujjrNdh1M4Rt3cN1bWsQ7ZKauM+jWcMeT3Vbq
rJHJ9kGT63vTVcNzNtenbu7OMlh11IUWXFWsDD88Vsv9pLr+ZE5usu/T4IWN2rzz6Qqb/N55KCY6
R+GSl2W5K3SdVieSx7O5y8N1Xa6jBaDtLa7BYlNb3vo42kJ+6rKuwHmFFp0UksHxxm5G3hA7WW/K
sTfqH8ukB+oflvXOyNY+j6lEcMfPQMlnOS4NvVp9PjqJta8NFrdjorF5Z7b/SNf1q2Romp2xO/rJ
jd2IDzWH8qJhucKe5Vo4oskmfM7FAmuuLDL/Mfw9s8uZ3oX9vOnLJrnHD93trigEIihbV86v63Xs
59h9kPr3qSW7e55+R/W3EeHfneT/C8Hrr2EZMjJuYId4hCitcZy/QjTTcB4XK2Vf6/e0U842J1E3
Zzq/LpiRwt78V4Ky+09uMGJEZkAsjlgRvrW/JqYgbS9Ig0N7aGoKzFTG1n1gYf4oDYVca7Xjj6wi
CnqbTsFoH/ueAcCyHUwjqy+FWzCg/q2leV3j9Hd1fzVn4TqWp94yw5cpY2o/lS0bQGdtErZttTf8
FMwRQw70ZMOfLOzCfdxpxgf5iOlEycL9aN1pVk+wjN1htyqqv4ctNdm2804UXZbXHjUObGmCuya3
0+sEmRXjGYMu5gD8kT+5ZJqvALTvkx2m7OhVN/D1SMfyTWCB0EBktG9c107BcMc0kofVGMYBkgoH
hz22+f6w8IX9nYOtw9v3DNl1PJgBtqDrWfi39eB//tCvasc/qK8AlTwHpQZMAOOxv6p6JTvkxBtE
i4B9PS8zyORsMJqYqP5FLvCf5hfXH4QdiG0AYwTrr1dX0HOC6yp+UJVhu0CcIHWhmo7Ph3vvatK4
GgJTNGYqvnnK/ou45z//dLyN19An/g4grv8UXjMWnBaLbhGZpfXszXMQ0f1KvqnBnt9qg5/qKZ9D
gDHXHNv+5/fY/MdIJPB8gipYdLBRmlfh/a+/+1y4RkJJX3sYfieicPhgzKLjEstXMXBsdsyrn2dy
lhae4VUBFX0zcvBrUr+6Zo3M598v6P/lzX8lbzKhYRH676EDz7/0x/AP2ubfvuNPbTO0/3BFiBeW
TmL/T3THn9qmKbw/CObxSLqCsq7C539qm1S2hh7/hELncB2EKOt/+mst9w9mVwil+HKDvxEM/g/a
pun8BgP/3e2Mm9TlDgt9CymVZclCRv17g61QhjHBIxXHmZLS1wl/NzGr5UfAZu92RcEn/EOZja7b
8tGfgwuzk+m7NxXdk2yNJ+afw2kkurS5spQvgCmN45LYXkLQqcjux6YzPkb/ip/1WkEaJUiubnKX
Esp7OocW+8Fx8tKqNwYpN/9IrVZgEWtYRfttwBABmdIo19be02wu5SWQPX6XrcAsiTO9DCdVIxwm
sMeYOqfC5/E89333rQpw7DBv4VltnrJQe9QkWEmoYj8T1MRnlUNWUTlEJ3GMcC4i/KiZsmNUq2n2
OvntYr047NkolF1bs6UU1UGS3QeWT20U1EQXzme5QBR4ThbDoA7Q9MsJQz3Dpw/WwuBn6hUoQhg2
mYlBfW/FxNSYgbkA+8NqEileAike3Vpn1qB1wJkQQostkIm2M+V/w24CPTvFa1ssQRS0xYFCMvmm
mxyyLGkNRVhGB/EMvfhtmQA6M5DODvmQP6XVNYCqx+LCyac9FNb8UrQoCIWai41Zh+mhnFOEzI4t
12uuc4yDC62zfqAvrdOfs3kcX4e0brZjNdzb7EuZX08hC03q/VA6Yccxzm9YNQYMZ+G21OTBdfmi
J0VbWmgWFG45n2ne9rFN/fkTTBfoMatR79kmYC/jRM7ZbN6TlPJ3gdXsgXE8Tmv+4lXWF0Z2dV6H
lrRcmd6uWedv61G9tfVwqqe2OZQqlxEztEivNUnARXpnKQUQsG69z1I4Y6VVvkj0rYhNWRsjfv3y
8sYDGrYm93PYEr65HlzCkTPZYHMCZau6J/R6zXFMd1ZBH+w0TXqbYvTeOvOU3UAx6C+Bmq3Y50l4
9Ns8hwNMlmQ00my7MrL9zEdr2teTm38GxBtOmjagWHau8ZhKZJCmSH8lpN7uXIMmIZXrJ0pTqz12
KqKHucwPTXn1hOfC29jtdfALjm2neOweWReyXY+VYJfWLufTzAj3k0dqxcW0wranjRLWjk1Jnhci
rc4/W5s930QYlnI0tJVQ1AMYKM6qQwPpmAEaJyYxVbBfCewFln423UZsqF57MarkuIJv29SDhPys
jFeXXreNXerilHUuGR7p5F9XhuI7CNJtYSpsVrOD8D91RGHGRZQ39VSOZ89T3PEjskGEm8v4apUH
FXEiR0AtGon0lHLXaaWvr9YGGFIxPi4Y/vynimD3PeXuBIU6cuK3MrC8nd1SmJCQLRmAqI7F88DZ
bKtwTqR7TqXWqRnTHh3cVvw0Liwm4smsfoxVh5qYTNN9QTnfdpq4LNJwoosWUvPys5MsqnHqO8uJ
bi68SWpeZpQjLi2oy4sn9Lbj1YK5HWb1ZWJvzjcpYLKdp8cx+6L+AfM1rVgdErTo5HxrBe7wNrhc
LRSRMCDYmVMtzlkT1vs5p+w36wzO9hYtrV1J0etSeHssuawSGuYdSVyQejZlyvBceYDLzo6ZYlT7
LiX0ZwUE3rASvNB/pG+rwgASXL5aay42TUUHXt2pkzI657YQVhkxLChAw+U/kyHoo9yS+UvdFyiy
nnTzi9UvCAf1uNrRatbmfVcn37qKmusN/pvwRjpVezJDtSN9Md2gh8lH+AjGU+kM/odVu3mUlkDL
1zoEfUkEk9t41hYVi1hcd0u1iItHM3SsEjVQoqoUJbxZSw9G3uxaynf2/fWuJc7lYVpjBpaghMds
7DKYuNN9lTk5DuEBAZU2XDDRVO91wYr1iAP0w2wvb4xA3IMz1eGP3hoefO1k82Yo7elgBwp7flFv
cmTt2LKno0NomEI8mjE3ypTqK6F+Ni4MZZwXsDq4/EYzasSKKbwlygVfKt0l1O8Ry1tuc6Jsd6sh
psuShwAwlxFaVYOpUA/UYEy+NcbKsdJ9FjrEomYr2IZFMW6k2e8XI+1Zg9UlHFm1VntZNqEVciXi
TTvSjkvd3QzDMjXnxzEgC1gyh4lbh0Zwfrfw0Gm9N6inO/ZiQok1taC9I+RcKRGihGGr7WgaoJiH
Eq9c3VZEIAJreA7zAgB8UC5RRzqW0HF3pO8FqceQX7rzv9W538YrR7SdGCSRhAW1w3Do8soane1Q
CvXJKLufV45cpRKigkhMm3XG0FFZfnNnsTO5sTQfbCOWYjfnShxXUAdk/Hx6WyRnVPpI0BtSjHMM
eihUAQWwsZDK7+gZfV9X0mJN4JtxVqp3qy3LsytRR0xGqBvGeMsGRKh5wzVAYj13su1cll+jV4U7
TdyZPS1BmzVkLaN0ObkkBAMt1GWWfkzkn7XEbCcq1d8ndJ1us8kcbpFoJh7uFvwAkb61pvuFFPTL
UXm1q1w2DJN2XkkFZmC3h+6lCviv1t4hCYSc+9VjAUe2KMrIYRFFQJqze4JAxUNotfIoAmu9mUrF
2+CX72OdiIjFtGXVzqdXyhR4YCj7Ca2KNH6K8a7QAeu6l1efVqOsbW0t7XF0am9XTD7xZEBqu6FY
6xvAJ3OsltXZTvbyOWTJwmDX88Ea8Bpo6ixjAY3xZRDWel/aQ8sbunJS2WT+qKEWQim56jNl8cZt
X6qLmpvgufNdvhc57okE5JF2nXlrVGH6MA7VfO9SI/nmF96T63mEDCmLdKx2ONhMrcnJZ4WMQeHy
Rmd55nwL3RJ8mov1bqFX3lkTz7rC+FFlUXaWiGJYCmQwgZvbtLV+uo1u3Gjhc95Y0mzvJnNVB7Fq
/+BrN3ify0G8jQIvq0zU3SpsEroTCMtDIZV959beFJsELBtWVol252YLU4MppIvedbkiRP3YBaH7
iF1vEFtWTYMtBuyqresM1dfQA+663qjofCtIl6tzs/f2Upout0zjKU5xQ0hn0WjxmKcLmpQrtX2+
EjcgnIrv9EKJT9p7TtWMIzIqmKlvu9T+WXmD+9R4ufXDhBxfg8algQiH5qiPEj9RR38OjYSRppby
h6AtMpLtODytc98dExbPC7mgao+L9371mnMCSsOPJh4H+mAaK3Wekzf5PxPacLaZNfh3IbTVV1f2
zsUcczfq67mKXfp5sVrLlcE6SiSxYrt97G2nz7cLb8UtkSQ87SJpoQgoxNxohetRRyhSy10T5NUe
P3qxS/xZ7Uw4QLHkde1V7xl79JCk3nd+lb+ympWvPOLG7xXc0KeyUDSl4t48Cndmx5t03qlrJuZA
uTEkJabQuXpJrbxYzpOx1JtwzfC8kxRqkbznMpZ0Gp0YA0/brNZmudFOIyNvSgGGiqF/UKtWryJY
x5+IVdMhGNrw3DLFvXPSrP/W2i6mAsL7hYrszovK+jpBZ3e1vqBm1yhzrjvMzyk8rBDd16EEYw2l
jWGqkssU5wX3wxlMG1pBwPj020yjsfc9JbSyRlNAe+ImGJ2QG7HXaoPRism0UzrerWeX2dvkzzic
cVU/VVg7SGYTortUjc7fktptdtiJaV6oV10dx5EBTIEJItg4BNQCbBBz/SoSnTxMfOlB1yyvfR0+
zYSC2YR142dTI38a8D52nlrTc9+wJa2aqVOUj031swmwbGML39ozrCxvihZVj5KDLCK0WG2lsVaM
e3tqWGdapR4qx+37yF2TelNMROinwoRy26xAZa2iOYw+uV/mAMnyGAAYae90SgSMYK8WVEAjensW
mwXGTtf0B85aZgbgUawwv1IYS7+bnSe81L8JjVTcB34/HIowg5QP+xGeY6UdY+sNYA6rVTZ9ZA8Z
66gOqPJqB88+qIx+ByJM9Ritc0qUqCdebn6itSSRMIokvcmna0sZl3BP6DhI58izxkluS7ICrD6U
izAXMuRhHELzUXckHchjG/vVZdg7qcVA/O3lseeajEZl5zcIcRB3rNH/qqmc/yEaIMnIrr0q9rqW
z0MZJvmbyZRsWxNgww7P/DQYGGDT9xUEv4iMpAeP4i7s7YpS1i7vaaYtZhHnHqtzHBL52zGEXj8E
G+vzvEgXKkN12/pS7Fv+W+odiNhI4DXU7Tr148xI97TKfN5atSMjNzNtsqtZbcdpOdBPLxJ2B11J
RyphdBjjRXtLAB0CF6/xG0APhC6tQXE3ZoGcbF43593CMLBX8Vj5R4Ou2ajl4P6o0jzc9aWwPlxQ
DwfiKnJDM0S3qYjkYTlss32eMhPtWzKudl57fLxDNn8i8E97wBJ3ts7Cn4L898Qr2VybZrbSspZD
RyKBrdSY3qAxB5rgrTPHXDfdjjGIG3eQ/uFVr5XAZZ5n8ZzUJMEqHuOJNsr3gT09rRJ+fTDADkUG
5mLmWF5DyS3oDtCgxgLJwLZ3NJnWmyb0jTtlr8ujnLPDqEvgCphkt27a2D07cHAKdBFkv6T0nAs4
EKL1mF6xNcM6LwcW/hHZfkEl3K49jhpcGRMPnXl5yJQIbyedUqRNu9yh9HKqWJizbpCQ21MuzPuA
5myIHjBnGMemH4PfFLTGLjT5SbMLbkuj63El4tU3K8LrRRXab2lI45A9X2XaOs/qN0MOb51NaVw2
BXvH1SZlwnL6KTQP1iAX63EhwMz7N45EsVxFhyOp3O1S2qgPfupBN64+cL5l8cSntbEa/Z0w5TlL
aYNZu59NUX0fClBHlTWKNh5BDBDJsO3YuyYuqzykJSfH8VUOmvaRlDoI9syghq/FFFUMxnU7IgfS
0O4VDVfL4IOBKH2in05+U6VpeY/+IEQ00rQbxJMU0+2g2G+TTaRt/Sr/6GCQR6YxVbzOmB3SIhC/
5oYjWgGf/AAzFdi00TGWVT6KgOx/qEyrk09F9kZQ8HxC14qybJHHQHpASSyjPFmMgh7WMktJhnWf
nNfYii1NvkTOWtRHWsKnEuTDsLxOKhlIxM4XG1/zC1upZ+ZcEKCIPp0zz57pSFzZOLbZMZnXDv/s
aPSQb8b30Owus7nQ2FFYL43BkldMjrPDQhVsZ9cOXjNt1htSW02EEjttrTFxn9eWgai7lta5WbKb
3GgQ+P3hwJDzqffML0g+7P8WdkdNKpunrLXeQNlUR3tqnJ8D6YtIpL0dSaN+0djhv6SsDeASkKAU
UMaZzbeWkOFXr36EE09DTJsWsOxkkLxPYiyJJ0wTFSfhMj8SA1vxXzBMRHZS87xzB1gfbP5rkzOO
dvflaIePDQsWHB7bbT1+vcRnKtVnyuBOqGNPlP3JYlA3r3mqOeokER+V9C9l4cq7yXPYWJslyWNr
LXMIJ9hvyfwElTnEo8jkLWCA4Mgf+KeyCb6s1Hp0Clq3S8JHp1CK8rS4PFxNe/6RlHIE12GU2Oi9
0dn4Pj5bt9KnNfcJfwnzpeeRtK2oqNyM1lULlE26pciKGmrTg0Tk4qlIctPdWy474XSwWBI83U/z
oWjBWEzdexqsJ80FvyXQII5lalyScGCvU7ldXFCaLc1J7TBM+7FfetVJush/cMuZxLDV37IztbaJ
01FHOj0QVQfUkXPFJ4sb42Z56JxrsWa9+MfGKeFnGirbc3ZBQFxr4262nNecrNlZJYaMZvwzcC1s
6miETAns1OZBY0KPenccjkCNBcoF1hlRkgqak/BhhO59KJI532bt8l5CkdtaarF3MJMIKSn7E2yT
+TQH7nXEv8z9thjb+Zc7+NMTax/0MQ+8MonP8dR3iFHCLDAeGGS04Sqhs9CKEPeiLA9MZS+OqoZt
strOGFn5HI5Y7kxAOgVQ2dO1hssM15YQ2iI/Bsh59Hs79rVLbF1/lFZGJI26C+Oj9er+zhcVDew8
8PoNvlhNIqjob3yaY7YwqgvIoXl66g0nje16WT7ZZ3FrpbL+yAszuGtxRV5WlY0/jNz7SntzIaUJ
JPnUIUM/rNphXp/7M46QXMzfAu2O9xamiPW217CdNrNft3tU0JoEkbIlPT4h1QdtTnYL9JmOpJU3
/TZfF7nLJcQ6RyTGLd314K9cHgaHPJmel9T9xg7BferAV+3SblEH7oMl9voB8nwYvMwB3VIya6yn
lKjzlgz0HQny5KPWBKoJqwVbchBWHlUc0o3zbLGpuaGlY9h0asoAjIVK71Kvb7cwjLyRbCjrD+Mg
SPlUQ80UmpIRJqqGFsaepvbMTcPhhu3djKsN52nbv/TS6c5dFwRgAkBOiQ0ulXC/kFPfLqwLbx6l
6/btnLvieeI/8KKgG9fXsSSdyG2cIBohUJNmhdt4sUc53vhcPaSB5az2c9fkN6uUkugzAg9+hzFl
x7RgTDEtVQPmxyC3rVll3ohQ+e9On5HOKcdCHWRAGr0zdMemNcBIiQcYawbjOf3kjpKiu0aUkrDQ
IgI+CdhwlTUQLsvSIo2aNKE2FE1teVzKSdPcwI0Wr2QciTkPHLy1xSOaLWgtI1oDvma21zEjggfK
Agp8mJ44AfLCFSNH6u8YfD9o6oVfi4IdeIQTvOa87pr3Q3eNycGKCx4Ht+d5ylrW3oOXml4NfBsn
O+vQZa58jku/GOq1lIa4FfT77i1JUQyH18F+GMBDP4bQnzDZmEl4NozM+iQbUp7UEExPlmUjhmpr
5C5tG5bVTe0GDTZdDC9RTpcdN+Xs8MQaZ1TBjd2HaXGLwq94noS9XZ0L08JFo7zZ5ZOucS6pPi0A
SAz3azo4xcZbpBVf4V3PgnK3E46fkoqUbPkCS2UCAxvYqK0euEKUjv42C8M83aRF3r2Onot5xOCp
m7YODzMuqYjDTo4LbSj20pgDomt9fe4T7R+nWagYCmF5I7G9gf3yTXHTwjz/pgqcdayyRJ0yY3a2
+IcSlhNlPEj4b7dE2oNDnZlpPEyr3M+DcLa40blKjH5Wl6Cq7e+ot+SG21k+C/Z3N33bzTtsQfYB
OdNHpTFgAGTFtMVSSu6TWQZ9sUN9GVX4w5hMAotmnRy8zFWRQUPEJZy4NezCyuK8s4+ExYP7Rnv6
OC/udPIMf6VuhHYr7LAmF03ob9Gbe+wb4Xgxer+8IXL1Cb2TSj0Ap7siWD5SyItby8GtmwQFsqKZ
1Ghl/fJCExDu0J5GC2mtdmxwoe+zSQ5EP6l/gA2BZtOWzWIhtNHYaWuAdabwN8pt2cuKtX/LK/q0
OCqsh6XXHnRLcxjvsS+jA5sgLyJwiFP1qN2MrsKMh03hYsJFz5rKG8PvotllfIPGiu1qabOdWQbr
Bg/nrVuu/L3AO2Pr5W4m/LOxpvIlHCwsiyzWrtHEuWNT5ktBd9gwgg5TBh4zqOuIXL+I6Cdsd5ZZ
OofZqfdOWjyuAalbMP7uNhwFVmqqmO0sx/hadK8YR4p7rM+HxLAObKzUflqd6d3QjEEs2/huCxMA
xMoO+cph2Eu8hxsdjB91WHQP89g9gLOplo1o8bpsMKaSia+MOwwjyzYRVnbsMFXeOJPx0zH88dJa
Tb/pWf83OWMwhJ7Q+a5m91peggtQSn3sq+71/8fW/xtWPjLWNWz534+tb3/zoaKPslX/kMz58xv/
fXpNkAYk1DXJBijUwQXzH8kcUzh/CBw/tH/9B0n/3+u9KLIQAsnM8a5MZ+Ez2P5zeu24f4Qk9qiy
EBaWDvKP/xc6lONfh9P/ObyGye3jBGKI7pNOIGT2e7j9d6R1GulY3bRv3azCddJ1nw/poigxtcSm
5sFoKAetv/bBkk2BW3QbtjzrG0qVhw8zNw/DJI2bhNceL51R79IFu6zfrsOlTZtD1tvjCSoq3n6Y
0Od2bJh3NwMtsE1Ki2QekMVG032aIAF8K4IQnWdsKa80ZddyXi86FJJhwf+5mjsLUFIDSy9hFNtR
sM3rxsvrMo7Ns4tn1+zVQ4cmly554CBzpyEU+ryPG4fl/9ANVDMFHiWnfuWdTBZqSEFhlKXdz9E1
52gsWLpqcIrb3m6WS9KnaTwrEelJ/MgMokdwD42YwLO5gw2z7l24j5xhrL3RuM1ruExFPMhrx1Ll
xJXu7/oS4h0ZSvXRWwpCkV8DCEGXPNi1x8+vsQPwTjkk9YOQ09GYP/pp1kY1hxbQRshyc7skIKzk
dCBFdNcvoUA3LldmVhw1SEYj1glpx5lwbahLkPvmekSfB2R/gpFwyUwS2aTFH5liIo8n/j6sx4N0
rqWilXWdNLc9/rZURFYiSEcWlBFmy4urJjp+1PWXwC8QqZEhb7WMcBNdw6NDcfysBwYmWlNZi5v1
LPt82dqYyn+b53PKqFxo0xH5JGOTu75PYsM7hEl4UjSMboOSwUK+JsbLYoP9APTgxsNVY7FHrXeW
A2rSmOrlaJEtfvapxDoOZjBFvj93OEVNd2dhVIsGLZyouUr4bpDu9cgAtSNfFzM7f5ca6HhnBEfS
YPXWcu2O/BImPxvUQGZzWgo7YAIVnfBl0T2js70Eer1hxI9ZmAPdzmiATZggTfc+W/HVLd6LTjn7
AhsRPKq5YZZQIJxZ4S+ms0WkphDqJN0LFJ8xn+KSCPr0IWwL+j5TIKogCaptmUIZDkwQzeCw0cbc
Y2cV5vvirCallcMZredzXRwd42DFf4okfHAbUEYMlGlgrbgW8qboIj+VziFbHXCd2aIZ3PB3pdl/
Nwa06tLXSYRZdtoy4Oj2tII6cQuffedRTrdL7OJbb3nppRFZvbODzzQcxEmnpAoIvxjP4IcJsI0e
Pluk7PyRUXSwbdhLMqXOlr3Mw/5ZNJpyCz8sH1eqnqNhWC8UsFW7gEF2TC2bt1vBEUQuaMa40Wa6
UZYh7jGwr7FYwSeTQQVp65ZWlCmbtlQGKEcTuMQ2T4PpAEftqNyJuJshxsgAlfVtpNFyN4LXjyyg
I1sPoyShh9/e9Jb4sVuIb0viCOjBpsedC4MSV7/PE3pFglvL5qk07OU+gXFwMtUwu9hnvIwRnlFm
sSeDmY6z2sOj0ZQ0bQ3ljpfKAYBWaL7QuGladP+29G5BsnzmtHFuiwZGA9G3dDMGkxH5K++nXAf3
4GcVqr4tvjALAneeW/ckJyaUhaeeRJAfSap7p2D1ITX17qOXFB2uE5J7uGqwpc6VFzlwrQmshD9G
VT3mgOZgdt1XI4BgUeTmfsmNX7WzLruqX8/INqQl+Xpktv3sMTJsnKbZ+anRb2ktltGSEM7NfDsg
DZl/dG06bzj6Pw308KID4HKrSsp85mBUW1MES2zlLUzjpuOS4jR2WSx/N9bWR9ihtgY5LVlTPbhP
icU4p/ZJEC3GRnCr7bXT/ZqYh3HEX5Jbty9oq61M85QE6LxFZU1xuXDYQwbkyB/WwSEjMtFW1rvn
DTdF6hTHwdUvwTwgYeSeAohse8dR5M1zGE6vVQJ1HdvzLw+wLUW9dFjPaUXAbjz7juqvBocTHpl6
47ZtBW0N+77oGYQnTZTYOMGTrvvq+1FQkO2ApljHdu84Yx6RfoBqO6vqBj5cvydwEWxcOwkPFTXi
g529h0sQPi/OcsDCbJ5Xj6bVyVo6LCUVO/CAn9is6zMIp/x+KMm3mTyEtJHgpZoZ4pVmWu16ckEb
UbtPV0Zd5KkuPy/dcEz7DhPQZBubVI3IjgirEVkL760q9fc5GZFpFv9nixtmk6UV02WsFXvdaLj5
TcKJt57CO8W0X6T4vzrHub7w+SK7Idkql8K9OnkEOd/GM2hT3cH0ZkGrjmZmvI6hLK4H0p82p33W
wnE8BtPas9bkfUzDpoderPNTBpdqnwK3jecA2h4ulBqp2bL3+Wq7OxjA9g4rOjNOR5r71C9e5yl3
j6sRPC9qODNZZ35hpF+2If0TbOTkCoDB5SE9c+diXolNcm+nQCK5/ht7Z7Yct5Ft0S+CIjEDj7dm
zoNIitILghIlzEMm5vz6u5KSw5Z8W75+b0e0O2gOhUIBiZPn7L12i/sORXabHHAstbs5WrXbfGZS
2AyPXk7DkpQpejMxM6DZyr1uCxs6auengTZnyK0omZtUeBMwQUY3ia/iGbReBn+Mm4wMeYDlJ+kw
VybPriMz8tEdoTrQrVhxvkUp89mW1bvEytrNcLEbJ/HvwYLjnfnYgibWzblyp55WbNFGUeijQSLl
Jatgyyqt1H+jqEhBzIf1H1ShDkgVgiH+c3l9k+U/p8B9/4UfZXUk3vlIdwTVcegbRCrq3z8M7947
UnNIfqFDjIfYMwFxf5TV9jtc8A7kEJvxHOls2NR/lNWk5oJIFXAWkEnz6wS5/BtR6K8qexzgNtm8
PqHRSFORmv4sCcW4mE5Z4+OIWUSX7JxCl/cZYdznvudNW3f1+w+xW+gDFRSSp3lJzpnqdB95MC+P
xBxhkQ6K/oPAV/aBbo+z/8uZ/D9MB78Kszk6MMRQHNGJ4vz/lf4RE8iZ2HPsndHSb1/8zFtupcia
y8Y39l6ZV+uRBjXVRNcyo/r9awOt+WnHge6WmGP06GZXFEbBGxT3r3LZJGMZCcacAX+aPNeSOR7U
iTy+KmNyG3dB54eXyLqbgNMUhBeLF+ePNlDUT4tu9Gs49rhxOr2652mV9vsyGKvjUKmx3CvZBnch
VdS6XcbQZ6BRD5d253YHamWPzheyRRwrrNPe1Nc3mbOKbhvaLBMikoCcZ5IDd+Oo0WREY2bJjTsE
1NRF4HxMTTxCi/mLHluEMbf39B5u8HhPGicSrdVrIEkOKInolMZxto2TDKJd7hkbl7IwnoQPIzt2
RC5a8gwOg665Vh6Dc4vWkfG1o8VaYZAwvdXupgCXRQ5fOE8SizfFB21WNDcoiZ6bIqr9jcVM99Kf
C4o+tQ4fCAQhuDgXeBo3RMYv04YPAAiVW64HvJjBcYkJt7U8Z2YUFDjy3rDN7kSf5/auSKX4WLUi
AGIUCkIQMvyV8+iq/DC5C/ZhusbB/ZLANyBbXAbom7xseLCJgNg3QziPZ3EUV3QukencL/lImcdE
o4eMTr/nAKsxiTa4HmHPbvygsxk3ptq9aBYlKEzS3Jk3Jf2nDfxJj4+1sLwTdaBjbSoP0czs+88h
At595gfNbdkoUghSNNYbpGg8WphN010Vi31A66sOilYIkF6HITfz8FeZOdOhFDlGvGnacafGZ5ib
6nvtrBPitnYszjXyg13kD+FLhvTjpGuhmcB2w2nNVUtFCXeJxlThgKzikb9QyLN7ZZxU2BeJFS3n
cWQnTzTcQGfNGQ+hKvSzr94sphsbDZq/yRu8l+BdmDc6Wrpsh3JUSbENu3eDCMB3NwEim2LHvfc+
S63CvR7LfPQ7QjTIUHlvK8J6scuHDTZnVLDkBhRL0iDF7IaSsSY0mojOdIEpvZ1fYYBi/p7KrCYG
tSNpUVz1Mlb5Cxx1jLNxM3nOTd+r5FwjYzyrhFsgQ2cOEV+uvtO+aGRy4zaJx4XOLFKB4UuTjAWi
mXiQ2RYBECrDYVSNtW+TaL2aVrvBGCTCgWbiBAfq/YoCdz3hlmNiaiUGINA2qkazOmZp9wnRADPc
0myYGdD5DCDSuRQnDf2QR8HQXBI3hzxZUhu/9C2AAQMa4lJfRHu2ln15b6PqZjEESkkXMG9uCj2G
187YoqK2nJhXU+a9rRnZ4CrR9ryXCLEMEMjrPwx5UHioGSaOno2PPsmW3Oycziv8PL/9iPoUdlDs
T3T6spkbed9DX8SjKZbxsyioJK8wC/niOk4MFqBzuvZF9RXbP2CaJNuapZwuAOcJx6Wzx2jJOoqj
arpeckc/VbjW8nZbzi6ZZMclccisoB3v2euLj9xXdOfRhAKTSJWUbEWuo9WmQobkz7z4uUlJmYNQ
QDDAy7gOCJ9XpXFDKh1cS7wt0w63bWsd5hFQ2cYjlOooI6e6AXw8sS1tc4fADbtY8OynwK/alhsr
p0y/UX4l6y1QbXy9EdjRswV5FQEZ9Cjry5qOcMGSqGeu3boDCW6zGb/2pFoYNLh+Mu6aXoWfLKIC
CPjOVRlvqxS1xa6NgpVZTLZGim5MOKMjtNrrLFjjekcmdgtmX+AMcxZnX859+7m3h0fi1IOzCcSj
b2Kp5ztEjDh8LRSv0zGCd+ptbKQwEDBbOj8esquDPYryKnMnvH2WtTaXGfX8gwNbNKAUHP0v/tQE
eOldOzu0CKoKp7U0A1R/ufTw/F8kGer0MdTK2MXY2S0y6vx9hO30wrWq4SyGixhuuIBIMOY5A/+C
luzOi8ld2tiyDp1t4PdG9wOZBSTBEDbrsUE2wOo3BYUyM0FCPlLfOywJC35fu/1/+7L/r8IRb5AJ
4fvPheP7dvwP3P4fv/qjhAyjd0y8ABwRs2j7gUMJ90cF6b5zadoaL09IlWK+8we1339HO5ZGKUB9
XHWUmH8WkA7N3AhnPAJeUgdd0jL/RQHpx4bA9mdfFvta6AtfwG0ighOMhvglRW0k1qthNNqelilk
MYszoAdb1MLxMSN59xA0DgPIBi3JXQxoh1sDgtT1HCztbqqyKNrRerVBwefuh7eEMrAwzfupD5JP
pECCQNKkywP21P6pU4Z4F3OOLnILi3tYNu2ynZcyqHeDtTCbw2obu5dRZWXXpd1aIFI8ElNGLSu5
l4zV0Imt68z2lx7SstNT0XzrazTwUO1X71BavXeTsQDdllniba12QXkqpEUIW7IaoXDgoxiy3Ixx
B6JLNslkd10BZ0q67eCQZTLWrns+68g9ixfAn3tQOhPOTg5qhwx/+Mqr2NRQXkNll4xNT6e3k1jg
w6Bav0PZeWgGMC94hpXYvGf/lGMbDPeQWutvOR/4yU+ARQeNj5nH1nnyqrHmy02JE/VDp0GGbhOO
7IPX8QRqZlHex6WgTbPk2c08Ansi+Kq9GXo1rReLXFJ/540OEqkkCyMARniokq2wJRnlkJKiO8RZ
614GHSeysBPkh8LN6SCQMhTewebpPtlpFN0mFeg7jDVK2LuEJj5j0WpuD2FUI2LU4dkCsummtGV8
6/dojS8LL/ZP2KW6w8Qj8bIKcnnUWWaYp7FzWLIJulHuN+17gMPRnQV5+Zr2Htmia+SfapuOY50o
GN9U/GdwZUnEqQCmU0i3N4jh4MtpD2RJEBb2udfTlAEBOnoMch2/P+FPGnjPtnsA0SI/z7qWHxVL
44dOYNnfxpo+sFkN+1fbqqO9wn5D8g1y+rulg9JL+Gj83iGm524hZiJFUqIslKmT+8lJlh7WXGX5
UG0plV8i6MWErdhYLjo3TA94Z9Jzb0GbdoKSMmhUpauzHvNktC4dCK3zdqbmg+INPhVgrhsXw1nm
lz7F59yN9xSFfnnJeBKkc0SK58ZWQfDY2Kt3lX2Hl7pvJNPoO9Y0eGOcpssb8NT6gT99Y6Gub1xU
aVBQ1hstNesMObV8o6hCsxxBquJFjA6IOTT1YtIqC/fJG4OVTEl4rMhHIbH6/KPwNIBsDZPUeo8i
AblLmVyFdT1d5AbxmsF6TWKgr9Vo+K/YXA0M1vmOhk1rETagxEDG+i61LyIPpHoGKJsYtKwwkNnB
FdWZ1On8lA8INKw4a6/Y2khGGMN9YUC1dPKxRlH4whQquYaegiBJaRMZwC0EoeTYKlohVOFu3bF5
AoabF2BxAwPItYY3OUPDMWCrzpHyT6Mz7lbUmBcWSvGzdhSI3OPmvtXR5VD0CbtQND1x1C7nc16g
uVnyau8NGW2udjnOlme9MlbYS5qCW5lA1YroP665Y2/WbgivIe6/J+khpUU+m9rcf7KVoiRBjL0h
xKe9YZ5/j58Fsbgipo29U2aIHylJCAk9TjiTB6iq277wmwuBQOVrsYbXQjvJR9hscGZmWSFgn6Kb
Ymp7RIfIYr2qn24hk0CfMBzJOadN7gX6OpfReqw8MWyzrK8Oq11ijbP4Lbtcy22uVNtBT9Yf2yT0
0ZiFN7pTWA7KhIoSjgR0OXWUSaMOBRiuK6WS+Sboq2hD3NZnSg95bHISmHLSwA4MJ4stjcEet4tD
yGdLV7yaJuu8IOjkAksR+R5h+slUf7vUpvNdhjCynXhEFDe06sNcyPkk6nR4LEY1cGHM1jFVy7dR
BaCzsmLdD2q2HwCrJZ/c0rfqzZsZnjK6xlIaOeJsDCisGGh5/kVDFskB1QZFb5fC3u/G0juPEmAK
i2WFdyMiabqIPJqKmiSnwfdqropAh9drLxuDYTJkmkjmw33cy+Qplr5JNa0TxkNjdo0MRX5uWjP+
10tePncgpqn/JgKbcic61P0QH1s9kSAzJ+IDfhdrP0xoX1tiDq+biAyKFSXTqXbr6A6vWHPFvNO6
oRP4FILPFFs7hu2e9pTTygH6vBmXobTP/aVIL+OyjqDENMbRM+RjuC0dDCsbGSCF92YaBf5gTIOO
7V67SUJ3oM4WtUFbnB9DdkmMkcLy3FIpu6guHWnCjtbT0In+A1ccAVL5SNKYcJUZC7R3ix4EWd5l
s4sG74y+BpeBNx/E4vTbxc48xiQq2Uy9Z52pJCy+ur1Xfx1rBZIzAwLD4C5hzqHA2543IU/sbbFK
1Nl+bj+22TjdZ3EZvSI+SPcdlphLmTifrHj8ludN+ky3bNlQR4tt7/mPjedbKLz7Eg0DqsrJBvOs
V5k8pso7LnCOoK19iRzpH3XrgTNMcN26+fq8Tmu8GyomCmGoXmRdYXByURtmC90Z2+m+pgkW47Kw
2h2z7eI0OSCmtg7jr70OEpu4wEDty34ugXQF103KrrCmbbOvBwcnlJNOZg6Qqbnb93atr82gmtl0
/zoW2cOKiIeNxRaXgotCzZ3AdhPSsfPRUchNbBbX0jcCV1dG28Gj8AeBxwS1SfIXpywfLCdod+4s
xafMCUGg5lH4VdnqfpzsbwlzJ8h9ULis8CM+a7GTPjEhSynC83iFYtJBt9iErvzYpro7kP9+PjfQ
mUpiMvcTKLBdlE7uqVjWGq1rd+avdMGLwH7M57W8rLjmMbPSJ7ex2BydYqDjI4ojBK/uvB2W954m
StIGGgmzhsZ8VuhXaP/ednDH9j3K8mmb95pzndTuyrwWtqQftFgzmr4+LGOLPsuKviSp80zUQPJR
SN+9oRcKNjvy76Q9cF35X2oHYWwO2HrfZXl3gTq+vRil8zWs5y11wSvuKJntRg6JSKQeXk+XFJve
A6SUy4yNVhRkRyqW8N621hQRywxLi+rxBgFtcquSFrFju2srdcwzcZ2tPY7ckGECascUfc/CDMom
Sd7tiscFddx9smTjkfa8P25CbNj3Yza2mMusTTgB9IeKxPx7iS4t2Qc7gFpPAzkkptiUdnPDLhZ0
6BxfsEv/5ucpwwCQM5klbpK5v9GV4TmioFeMngqyGlUVM43ol4cZAVJnDzeD1VxRrTFlDPDaYuxb
MAqNcEgmJuEr6UpMnsGo7Hw394Ekhp5/SVsOHF0tm23G7tpZaVXgu6/1raOa8nvA8n85Ev8wMXBd
dDK/2/g9fG2ar33/9evPLIm33/pjbGC/C9AdAENB9PLnhi8W74A9IoOBk8JolH//ueODMEFqGggT
R7BbZKP4547PexebEQO418gwfGjy/4sdn/eWw/bXHV+EVz/ABEJgWCBicBY/zwxCMJ5WNvvNmTVR
4XbHiQoQhEFizRh6hpo6a2No0fPl4Kzr1thZdnZPyAFZYuFJ1l6O0S/p6z3bViip0gseWKDKfWDC
EtIUH952Vu6+ToPluV4WKXcrkOGX2EQtOCZ0YYxJTYQ67u0xjb+OTUc0g0taEE3LdId2RqKbJsJB
mzCHdRJYbGMs8xsdL/3BpyolKzLCclqs7bPXyYjotr4+G5eUJJM8OIw93XUxTGI7FXl6Y5tgiWbN
GerSxcHW0XvAVJnNtM+ZjRjeoaV4TkalKdacIPicvCVX4EQixaJGngN7bR0e8dlFl0uhxf04K2fX
VOEdBuX4ShRIP6I6TT9VWY8KmqfYSYekdpY5a21SCHVUYdKc5txDhEHYRtu14ZmiiX0ILGJONav+
TWMiHJty57dLeWtRzmxC8sBw387RntFDi1uXgA/FkGY/S09shfa8y7hY+rOx1xaKQEgYXplZ51Xf
dPvSkXpLvLg2TLz2Sr4li8jIwhM4z+MDXFQCMBhqXaYY5Y7MWOuDI12fv9rru25y+qswt3ikjM5D
sBBosrLb3vczI4kkLHu8IKzHM0k0ANraZWd1y3rvmYCUkeWLNLFPCIl7hFU8dUcwmUeyuJKnKcrb
Q1EkwSswwHK9Yu9UXKU+ruoKdRVq44WYlgiy3C6npUBmrFIHGbBnWAVGyIjpEoNa5NSEu8SfI9XM
31I2dQdt1CKU6jDtuW+8O2+deybuRfeYjXaBXr1dXyzGA0SRal9cWW05XUSWGQzXgniSPIbP2KVs
nRneRrvMBNYkguga14TYVKTZZG+5NpbrSViBbXm3tNI6hycGhAKo1YUnc6qZDuI/Knd2nOFptMZ8
PSgUVKB6R49EHT0SrkMZdyje8nb0AoEvMyE8zlsejzTRPOsYUWNjFyafmGByDBgOGhd31hh7Cgmf
hCok3yyOrm/pzp4A+eNgQo19pQLnpX0jksk3OlkHpyzAEGeQy0cmB7Z11n8HmlWoYcCbTfHcxF+0
R8zXPk3AoGn6Dbf96ET1l/iNk+ZBTGuiYXz0u8W9VQyoqIvQcjx4SV/sifFFDVw18fncwkPdxElP
8EmXBd19t1h1MW/zdUoRgGGaeHRAc5bIwUXZ4I1sgrANzxvU3L21q/3CETcslJz3eur0IcHzRE3W
pon4qDOUE8jjrfRaApUMPwj6ZJIURn+175olHpPXIpE91gQdYyCPN5ntWd5eUKRw5cKEiBChwSaB
s1hulwkjykYMcfEZ0ORqnaJmotPvt5BKN200juVuGhWtU1MJeFdzWsdPNabBl9KYcLH/0SJH3QAL
cdPIebllFuW90mwYyiNNg4ne1srcZDdZOXbjgTYLab5+yUvqKlWQCxcQYmStE5RY9hVUWTGTPMfa
xyt+D29nIIB8owY3DIEjj5v2JoxWB5/QOsKeGy4IjfIFgJAJQUe4hCT6ZU1wsxiEKjQLvoTgSYCQ
zzneBuSgPVQzPG9swzhCSozPwtAg5mNBRsNVE3vyrMxj7vvFT3Z+WXkDhio3PI62kx2bEFtcm6ny
tnGqS/3mnlO2314umQ/0Bp0MPe7BA6vqRSE31ZSjchsbYpcHhpfneE+PyJ6BkbM7Zv1Kg3yP3t+1
DsIAdeCvFvsAZ6YNhRb7ZmA1zTU99PY+gid6PQR02+i4OxTgbnyxkguCc0DZu3Lx0uOg2CZstB7R
ttW9Xr/IVX7mGaVwA3sBXv8E4jSzjWjjCCneg9FODosooke0pv2d51kJD4emOqvSsL9ph8g6VNYq
zqdGJF+0EzDPS/AQh0F6xtKZnMglEs9I8PNdX8fRxwksdrsZcLGfCgL2LkJtCEq+E22IhSp3Hc4C
qnmXzRyg4Gtw0gdqO8yOg9AF1XNmM2mbXPgW1PC3ATAKQAvxscem8ggObThbg2kk8KJB8IklWdKu
o/GlewvGUNVmNzD3/WKnFie6II6tI8bPZSCEghTcrVzeLzHYCsemE5mikLvt1hQpk87KvVfE6THg
DRwAUoDptWcvY2nU3rOLn85YHOPuZYqc4YqMdfsr/ZP24BOGvS/txD4FvXQ/WAuv58RtuusI9DsU
ORsN1QzVdSlm+TRyH16xrVe3PuKJSwgSzZbtQ3HJToy8FpiV18BcoVMi4z1VevoEnz2/XL0s+5DQ
nrlOgCfzR/qASqDWhsiPfLOtXXHdLxkUmZw7/9YvwuUId029RGGDOjUoUYbq4U4h7KqR3UbBWc22
664kh/TCLsr288zwFo9zTYI7etCzTKQfEsWc3yZHluIBvSijHHdP5xtZlrCtZzIBxB5vSkfQcy6Y
zPQwGnn6y91i4Wvy2BQXm4X5keWMGD3GPqVb6JHaF1v0TvtpCeKtRF29pYWAgwbBLuHWdeSgFxNl
YIOv4r6PtGvCAtQ07AiX9l+chVoeRAqgwVAU0OkVsy10XxO9s/C9S6xWyiMvrfM0g6mzdvndW9H6
3/r+H+p75PC/nev8T/XSlz8p7b//xo/S3nZixD0OHhXWOCOrp3z+Ps/BZ/YO0grxFtAuYRoESOB/
zHNC+52LHuVtzOK7DHb+rO59vgV3zqhV3NATDHT+TXVv9Eh/GeeYw7Gp3mAK2jQhBNuGn4v7KJzW
uh6F9zUTuiu+kVmbuALbCXB2hNYDGoOnokrz4dCvLglqyN59/8uSVF1zCT+tJdquszzmNCUlI42w
Jk4EG1HEltnyqERtFetWobXTRI2RxjRZ4FAmaaRG1Yi6jv7s2Ds3CFy6EDs4z/D5MRtGUJxVMabc
Ot4a57RJNL3Z6EjRn0t/s0Daj9UWoAXF76GZCsPAwcqbYPD7yz7t/9AjmQHeT2cnhg9p/LD8z0eA
9evZQYltt0Ov/a9dP08x9zgiRxoaynPd8ipOQcVbtMAQT3yTAZrzBy9kL6UAQY+K99PYxKM9/v6Q
nL8dEi0yym3Pj/wAiOXfgogg39dtr9JXsJx+eQXBKy3P0V9LOpjGEoCUvg5z5lqmyxONdLWWjkqu
EGimXlrgIQyQwpHm/DnJFb3I9jpJNTCHauGj2A9AmvRTpoLEWvaBLmVwrQkC5Mfq2Ot51OBFG4EE
/f5N/cwd9ULBSWayGDOmBKbIvfDzRZhk5ZJbZdV8FTOsrvc+OPf2viYMSd/+/oV+MZXwQmi8PACM
UKM5eZE5uX8xlWCflrEmK/rV5dO23X1XJSVibUdwhy9uWHg3TP59l9FP4FfWsO3sNJzuS+ZTxbff
Hwmb+r9eWeZIzLSWjXtE2QoK9ecjsSGgi3gpgtcJrFdw7UNMGnBv1hakrvOUDg9Ggt+/4t9OMsE5
EUuJixMw5Cz88t4tO7XCtgrdL9UoVYtdbu3Y0NMhI0By/ofXMqvGny0D84EyH/Zs9tmsfPTsfvlA
mflWJahk5xXJPQSorw5DhQwrf4fAi6BeOn0UhWtA7t/+375JriFcTdiTIuqpX+GqLnnyKi7K/ssi
UBNqMAxVNBGHauWc3d+/lP33jxA8Moq/AGgxi/evk/Cibe1ynpz6tWfuzGYOYEPzWDkDa9R2oPmR
djdLrBNRX7Y55YTY+1NW6qeiD5kRbmriiOE68CSHnV4UQeh6wK5MIV1OqYrW0zh7Xq1Ovz/ov30w
KBz9mMw+Ph2B9euX5d6m1Y7ARTRfmnVQHAUDzbL4Ntmr5T+35MTigkxgMg7/GDX396sv5lOBdssO
HLfZr8tWYtli6bDrfNa+ZTt6i8wgH/ttGHWZYtThYjausLp7ZfiyZhUBKzuplIrRj1uLMz3ktZ4x
Fmb4YobPdIZMIGQTOOsF+b1eH+3+4SxFv362HGBIAcZtAnCNPtsvN4vPFFbVo2o/Z1HucCtiOh30
LQMaxUWlGe6u0zHucahdW26Sczf1jefxMGiwPrBYxqWXrl+4AOviWwCEg79A+HSJ0XWyyaz99n0B
9pKO1cVfxjR47lFYJQj56rDkSp1AqfDpNIpdzrBraDDwiWSkWrNEk64IcGDnrEsV3SVZNywf9WpK
iA3IDGhhiHrpMkmmq3kgC/xLEsvvRqJiQ14ReEX9NZhHG7uWi6Jd33L7x/5zkwNafFJYeTlGuyti
tvU2O7VnLLNdgZeblAL9pAc3nB4mJYPpvi/4L/OG6p0VZJNluNqZnmSMJWmE4UPFZ1S4HfIJdFX8
DZetcVHABVnZjjb+hg4RzrlNYAORobUShH0dsJtZsuFumEMzjlsl+IVh2yuvSNd9kca8tAX8gB9H
JGJezUpBhV67pNHLjzLK/emUeJPMryqvYd4504RsLuA0ruP5uIwL19ISwV1ed2z87PWCpJGMh6VI
BvPMlFFCjwaTvBx6LMJwrUAv/HgDPpMP3io61NiIIqEScEJ90XD59UtqFrGqDoVV7zE9BPwfAXVr
XaBShq3wx9+QnbTUHkEFFPUtl1wLSsDNtJFzjIyoeOmlYyt5jliR90TsozmrNIRmzpwfdYzTTvM8
gHuAUT0ywLQzkpaZRlohVdvaJQGnpVtDydtjoTeXS4ttsfjmlm3DRUMvrajvG2zOYXiAzmMul46m
CvfU1MQxV03qgAzFNYcunN9ia5aEhyEdygjFhbfk7KDrZeIcIpMpDI2ehdFO3keVCDgn9DCjaj6D
6zjhyUZuZ2q3wl5cvkfQLPaMjV/EXbBcSTeZmnRPXK753ENnYhXYKw31DQKak5jrV7nS46s0cqU7
ncc9iR7Frl1bj1thLFy0enzyA6ahDSEaA4cET9K80DwW5lhIg2CLv4XZzC24RhIY787VAYGcU4D0
mICnOo9M3ZZMBOdc91hR/We6Xnyxjd015LDQrJhzLKeaM0hDbuR0ajzg/KWKEpBozwHWRXhIRWAu
UVNaTw9dRFDyg7QRzEOFKQbWBkpHTZXhzTn3+apWbRaPjIHxSyFdZW5pLzZ/VNHi55NAMIOOFQiE
7U4PIfRkzgIEia4n6HwRfVFfTXji+IMSSSnHB29gNFc1rBA17Loy1rZ/AtVFHNWuEA8x0YzxtMNa
EJqVKavYOh4CYR18OIudexjKNfUE+hXyvHbpJDp966/rwuUf9YBasS6CqWM4L9e5haLmk62AclIM
FT0iBsNuftMywEfKSq1uPuEmn+i/HqAc9pN1lveiytfNoiRpadul6ntrviiTPuQYEwsz7xfp0eYl
2663G95MkxRr2r6PEd57zXXbtzG92kDkHqg8FmKWm/0AZX+VsAZAawJ7oG5HUk6K8ZCd8BKOforR
sWSZDb5oGkb0nVhsV6OALRYm+dlGZWTHQ71i6myH18NCF4CLB9amuRKBWyBfK/Ed8RUi255rKHFz
ZPEXYBU035MOnT/7Gnk0SyUCAc7Sri75PJrNIix7lNf9HDgsuQVMOD6lxmZ2k+3btZ75W7EUZhXE
axhz5YocVuLEKLKb+Um2MJLvDbgfWJdKMdXLXUw4BxdSRsQLy1PnLQHnD60Rq8PEWeResJ2h54Ka
JIOClpBvLVf/IlpTrvSo6jUHTj965KU9u1o4fpZLHkfT2oU85esEFke/j7zKPGSHYZRcjgtD+dbi
oaxW1oc1yizvZhErGoENS5TvnTo5YNbcR61qFaICx5RYBhGxfqkjyW7kxz6EVd+cnLmVbhsfS8Wq
SsxpVpDXfTYWWkMyiwBb72QyN8neE3AI3yeEZa8XecvDf91P6xxyxGEBDmM6tHUWcmMXo6acBrw1
mjP447Ku89l8b/ValwtXwx/gyIPWMst9T7StfmLwy2Rr74bK5GpQiaaC+9PCnTxsoZYzlILHaRMs
5OQsu7s+LtXASEXba/DJamYio0S9VA8ob2OGGkrJXJ4HyNjLQ9BOY/elq3nGXKi0ht0DKi10cZF3
ufyUs+bqQ4lIvnr1iPlTdNkh8LzM2q7mGx0DddjAPxvaCzhPcwe1rsA+3G2l53r9eJhnH10zibMJ
rcSgFrV96VY8VolWHLCGSD4jVBftEkld8BSesG0AYCknU9JrNa8VDSdMB/GmU9Y6fCSNYPTeB9Ww
eqj1JY12eFSVsybtpot5/wnXaZIOEKh5klVEJVaz1rs4r7TAqesgt75YuDlGUDjl1SyEjZ4vDlPi
0ijQ9EMK3aPlwUduwnnPVBrztDc49nbFLAXbNEgHDNpW6xjIO4k1iOyJWT8RLTns0B/O+iKJGyGO
9mxnzoHgKxuX6YBPD7hS4vrWbVe2tfeIxwae3lF04drJfdyKZXlYhgU8L3bjxrqnrd8zc2+4qjc+
ijlFu3RKgRpXA4aG7giRKNULSnL8d7t4QZtwxMJZEC4GcAWgdEwWnJNtQ3TsEMDtuoia14xp/bTs
EGmu8itCcHeEuxYylqPt3PuDOA5JI32afKXwsbQktYU9F46cVZbHKegoa7OvGTOgARVoS/660+7I
uVl1sA/cwWVmoRzeTHH7o/oWKxFI9j1zhZb4vxm3II+lDo1Q5z/CS+k6b9cls0om6imRUqOQwutT
jSX0V7uDQgLI9d9Yitiio3KXyTxWEBeam1tGpnxUPMC5HTIvMCtcjdqYpSS36GcnhwL3aQro1+27
ObrAAmFRkjJCnXj0+Fld8JQZGj919HENQ/7mYfRbU6cEeE5ZU9BgghzbrhCdq/g4yjoPnsnVazgU
u7NCWtipNdBr6Ebps0wiVKeyj0qLs3RE1EwVPAtqNwvt59yxlhVRbh4aDJoTUDguhl+xn+wm0O4p
9pyKkqhx2GdbZ/VYE5KxoS4hABF0aK3MglhXDs/omUkfpQnzv4ET1DWheXLCflg4UpVmIa+N3h6U
w/vJI3262rYJOs+GjVlLiuWmJ+iN4+/jwqyTpRdW/IhT2DFH1CRdb6sX8ptMvRqTbqmfHKwowecZ
TlN7CJwibC6JuJx4LA4dkB33vOlCU7KQ/mTO0dA2wWB/G61+BftACuU0EhhuN/QNNmFHNAHwGKF8
Tj9rOEasPWYX2j1BX5un1I8nmGe3nEeS6k3HIohnc/S2m1icyA67RtwiSoSu+q0aSTKaWWYKcwRj
b0EhPv1xJrTkFtqMnaupSMMGj9JDWw8BUNQSP01Erx1aFKeMFjuXm18vif9cKZuD+f4x8sC07Se2
f+PwEMmEMdbBLRqbz2jsEYorVFPlBHlZz4VI4o9TGfpFeUKNmtbzmUc5Oj3o0DFVrK0703zCJj3l
2VknGlNUCIQ0lOCzs5qNfBRILpaafp29bPNZqBCZb8kQ7JqJhqnmp7ZTyj8Bcuun6FYPGbbbyyAJ
BccD9dPcB66rBG91KikyASV45haRNU6yaw3XgB9I8CBSqNmIfJ9zaZsLzE2wBzpH6YQVdXb6/ema
TVPKQ3NsZwrVret2VIGBS8LNaRoCcz0mBJlSWQvOQPGNTMSGL/jv5qepSpS+naso5HH5v+ydV2/c
SLr3v8rBueeAxWKqFzg3ndQttZUsy+GG0Fge5pz56d9ftTxYqz1Hwp7rxQIzY69lkhWf8A8i4r0s
IJqeDg0hEIY6mAd6xMu8bI+0c5iXrB9LJrUBY9HlRznJIfw2+GMYN3sHvwqPXV2zFjJ6q8QEWM83
tl67WWGp4kOOPSIdhTBrfYGgVpfnkqAWWQ/mtkfmgmcVaGcPD6b2Z6VYASgk2ShsKYf70FNx8zQ0
2CriPpAiGsbhMo+2PNqj6NICnIfFOstNSyeBSeWQsZli0hPS2orwksSTee5mZ5mv5GiRP7mA5Kfh
YrJknT4NkZgYlOAl8mlDcyDWaEu/4WvjCe8IrClfMmJ/KWDP7aYwNMm+kHeW/CokZ4E4bhjG9B08
JeYRpgEcZC2jKiIdGaImbOnnupXsH1DmlPjCGiPI6VsDBKKO2V003SiJTEIn+R6uq/xmWMGBfAja
QAtndDkF3RK+vbEgf9EMTkGMopxyeWTU9Ym7iJqc91B7VYFZFPkDy8l1eDylPcCI/LUVZ7K7rzxn
6iAqehNLfy98EZGqpD5x1MvWK4ZMh1aZkSuYCGjXgMVD1mPAOhcrxFHXj4xAznpJeqY/FjemPU1F
zYDAlgMHppDHQS5UeHqLky3TqXLd1CZ4ncckvAjQie/vUNdZ2oPfTyJDqtkip+BiQ0Y+JAnsEJ3c
ubgR8NcolA04q5K60JGoVVic4mtwATprnNIQnZtDDVSaQ4qAv3fXLZUrK9uiDaazwJfEIgsW/dLl
gnYrAty1O9Py7nz47pf24CcsdJIkk9U/RkXBlMai16/eFxM3IRIkfdB1W5qLdvrBqyiO8AeXmRWF
iac+sDqm0QAXksIdLegUgzukMxDhHvEkS+Sv1Rb0vT45wATpQBf+p16Vb1eN/qFm5OMYpiQNHcjf
5wVW4CMQXiFD/DkFnc4zByTCI2djgJ7I1Kql78mUvv3I86oaZSqf9BTHLltYPoHT6yryXBWFb3Zu
96fjjrp787I0MtA7XF3/7qMgnxPjat44xXPzDAWG0Ea1DFQn/oxtTGiJPF1bgsWcOKxZB28/61QN
/LV+LCgde0I6cFDBnP3WlWpNgYhClso/J5n3JDJ9lOMzvwbVHLENoyYHPQM0t+TQ6AEFtxRRhqz2
EdMG5Q9CF6CarsKR8uqz5+Vk/tn7KJpQpwgFUEjuBFSPR3719uv/NiuA9k0CW5BCpOPg817PytQE
eReOnvPUxTg+oKBsNjot5HIlhXr7Ub+tOUlhGJgfal3UVf3zejdhVGwhgls9qciX/bwPZj8ZH8Xi
6S0COYIu8jsfd95CEUwMgEQo+nQTLEtbW/3aQmnqVvoh9funyo70GdVNbLbbPuZkvw8tXGJnaEHE
+wQTM7/+geOE2dxw2uXO4e1vPx9muqbABCjS0iZ1BKowr99kROZwGFUov1GTIHVERpoqlQ86jhPw
7SedjzKKTCZfi0Q7T6M4dlY1TwkMfQkO+BuwcA97zSrTqXkMRoZLPrJ01Pj2AzEBe9U/sRzaYD5w
UOnQ4aN89PrT4OkuHCZz860p6BNF2wZbPI45DsWZeQ2aOpsETg7hHKm1l6LROW/ffgFYgWdv4LKI
lYk2nAf/x5HW6zcgS4wyUXnFtzoy57DY0sta0i1Vj0glFy9hy9BEOjR2beSD8Yx4KYobAEJIL3IX
hcPoML4MTg6HhTGi9D+zi0t4R2QLC2ZeXAltOpZ+u/FlZ/gjrP6047T2RkdflgM0GZh/UWBqFBGG
a7r+2nk9xSMxNhMePvjMF1A0COatDhfGAX+ZTZkaOrZqBzw/5rXRWB5ZTBvX+jp3q5jYxmux0OQu
rpqK1/JeCvQtoT2nZppaOmhK/O4U8Vnwfqt1kIBVo2rThiPj74cJSiyX1jAhXIQnUEpZ9u3h/23B
ebaFQAg8TrA5vy/tnswCXPgyfy2jGgm5fVjBoSg3aul0BPCzZP32I/Vu+fXI1UetOvVofLAA2DO+
nnAaZTMGlf74VYWurjGifOGmHxAItFLj2mxN3gB+kepJoiaBDxxF2AyKy3uNovMvl/BXEWpCBYTP
pvF+1ngpMPAcmcvoa1pS/ryM86bLP1npaDVHq+2u3/7m80UOFdPxJJUiFxMR3z73HAXqGcZR1bbf
Buzdl0eQQ3pZJEmlI6u3H2WdbWn+diT0NWnWo/MGZvzsw8JxMjM8IaxPRduhsBtQvuxQSaeMSqYb
JyO3w4qGd86/PAo2rMvJkeqRZM0BdaQdGCjBkPLo/n01At+kjgCwlwg7DslQIo9D4HuENZ8ua02G
LgP4HSx7yKu+q8vEaU535GGATcjHGanDXRSGhu4UYUqgz2sSgnSqD+jlxnO2KzCxsl9Ehb5P/y/8
Ud6+rKb/Qpv8toyLrv2f/z4bb8YA3BVweRQPPQDq52PgOGGncrefPvV5om/moKRVgevKWJI5vz3e
8mw96znl8AJ3jvUEdf3z9YwcMzVVYQcPvl2enoV+hXuNm58O9XuOeo6gl957BkiHUcDkRldJf/6q
GTArQJxkNBlcx4YwqxsaWcVJZ+VtQEXBSJPeWI4tWxWTxLjK0/Filj0J0xZfBdLjGGowacnPxh/d
It1EMrLEYu8sPuTHAUpsriccRT+egoU94bD3UpoYBBVQ9HOdSM9kIoha0DQbOPjLTddADiYzemmh
sSNZuwk9D+69IKDKIVezQBS5fOe+9V9PHx6XkL8t0wKw5HAXOufTV/MFg49s0PdskN6XpCkca2fR
Ht27qV/Z1Pijbhfak7qasacJNpUNkj230uxxCGONh/X7gqZpiJSdMWsUddTVnwLy1/Y2m9ohWkf+
YO1x6LrLabV9Hyob0rXbGPgF0ctxb/B9Lq8iM24/cCNF2ukwGtKN0Sby80IfebhEnC3B9zxTKDFS
NcQAbzE6kgOMmMd1q5pbm1sp3dmZIT/Aahg2XTXXW3ri2SO0SPsyyyy6BEnVUc4r05EWXieyb6Am
nKt5Qo13BbUc1rOsGu/B4n5+qiK8qFZB40aUMMD4wZEqiofRk/1jLCVEUd+E0IwIslN9TXvVPmdG
1Xx0bcgi1KZ6iFd9sqNNMFdr9pM7radRxah72PmAVBm+a6MaKNhESfK5912XqjnyoMhwN+XDgpr8
hvDTiKj2GfbadM07u5vNPy1Uz76Bz7RBbjr9Gjv5/Cr12niLpnX8Qvn5X/fz68OaBUFbmcPMIVSw
LQKFszOtpPzj1Vh5PDNf062yAlQL3azsEMFuTPfT2zv69YZ+eZgHUE5f88Rw5xEJvsCEdo0qnl3T
y8EITeaDKKivrvI8/TDYUquQh2V+R4sQxe23n/3byj99JlgdWjYc4uewid5pFfzzJn+GFkriKpEh
nXa5ROb6nWvi9Df96xo+faVtWQAPEOriQj5PIidM1qwBrMyzGDEXJebhulihKAi0eIoy776wENSL
0f8ApJ45qtrIAVOmCyTv3M2UdcC+AOu5N43bqMvCwCuO+xZfSOqK3WOeE7xYXZFXK6sT9p05oIiQ
99I/FpRn7xAUtD4rTbtdIROEBlWYhjcyV6xjw8tdqjcpvTgxwuc3GzU/YxrR0Urom50IHfPJnDq5
Xpi/d2KhMxAeQ6LDAMIgxkVyR5+HBMLw2slGi+/Z7vXgI3EdXcgyyfbTMj0ViHJ/lYaaNr0V0vSo
G8Pd2wVCPpu3l4CjF/OrmfE0WFPjQQTAMdc7C5BQjMppH0Tec9jTOKCchpnV5OOYtwH9u3Sbwc6R
ssw7mOWxUeV0e8ocuuakPgyVO3SIMIXGzYKAzh47HApnTaC+5QgMOesmNT7Ec+EdZ4lai8zlAzXQ
7KY0mDSU0VHZXy/dRNsF56hg7VUKfXuL5Hs3Yt85u0l8LT1YAimV4n0cltUN5iGZRg23PcL3Uf/J
dKz0zih8Lgh3EuNOWt2IzQDKBg8jTKYEN0uTD8A5RWE6F9IC8JI6oRHCnfgRzq1/hElufxZUtYMV
TQc8ON4eXD1252NrU13wuKTAyWqB61+Typ6SMPPuBc91bDvXRi2TxyrGbHGTIjR+LUZyiXeeKF4D
X1lVngZjkuIIC2oAcLXXjxSmlTU5V+ePpErsS8pmUMkDZESvKFRiBoMDISe9EzbPFbIEjzitdMc4
VuadMSi5e+frf19ahJocnxYQb5C452DAZkQb0g9hEYYTDQby9jL4ho4SXE6M+JxVjQ8oFY68BPTd
OdQKN0nkOvsIOOyGOolSaxqekEKa0vW+xIhx6tIvJfTCaKMPOCO1+1rK6dpF7+oQOl5oo3OrUDhr
Z1gcVDhNaO8NvvJrP1+c6sJgWHZJ2hkfoAWi2UUpwziexFrmaeQ6w5Cr2oUjtzcc/zg95rR5iShl
PqDiWmeaOI+X2Hag6fnoDKSmxCLtx87CMTPKM4lSPCQdk5VIu2gNC7C9lSouaLmCqMNlbKKv1LlZ
FiIa7FUfxkoBni9jDH7WjF8pDoBT0Eg13dD6jJtY/KUvsHS1YwvNzHZIcLF7e3Z+P39YKQrQHNA1
hNh+q+tJi05oOo3pD9+lPrBSI9wgUB4zXUOmjJzKe15abchYGH+iuD0iY+0OVf7ea/zDgkVXnbBZ
gly1qQ28XrAgpVqYLF72Aw22ucfdLJpv3aWPsmOcuSglLIN6wPWo3+HZDf1cBdPXyG9gHEVQaB7e
GZN/2LCaqoqVPbKV5m+I3QXC1AD9MPkReqb7sXZFe29lmOV4FHavuBf7awx7u8vKLvJDNknxoSs8
LjLk2qfbGC1EAMnFOODE1Mu/QM7XzgqZhfTjO2/5W8jgueBdHbY4mGmSyrMhG3JMQFRt9z+oetfh
JyILdCmoJGJz2WKHZblDSk+pXVysuBun/CtaTA8xB3g744X0yvbRQULwaHpj+slq0OnFrTVFHDZB
YNpcQuSf7Zp278tE/4dn8TBXP/7nv5+e87jYxKhwx9+7V4xoh8TwlwnePHVP//UivXX9lPOTjz+a
vCz+6Wf+Vs4Sf5BXSkWKKU4qqmyhn9JZnvyDYhzb04XqAErE5Ul/i686f/AbFDL13taLmij3p/iq
bf3BHcF1bzuEfiZp3r/DtdCX2L8uOSJXTWpSHm/IQ4gl9P//C/jcp7m7xKUPgsVnK+RR5K9QuZTv
nBOv1zytAFcQ9rvEKVKZjMTZmg96dA4lvMh9Ty6C7qKpfCyyg/Jb0Q3TbU45+ZAh9tlsyqWrvv4y
H/+Q3+v5+vUTTw8He+3TAQHiwGC//sSIY3uSKd4BIbCPdOc17bgZJnS9wBmk9zjnlE+hyiu6IQXG
0fDy4h+T0RUF9k2u3NBPXlZzj2RCh1/ZWtZGfdmD1rppgcZg3pShN92BRtq2eJ18gLgd3OduNm7+
Dx9B/Q2WBeUwFtLZCJrwVWTeLbg3L2gBTjaKm7mRoz7ljfOnWqI/G4jUk1sjnwfEyqfqK45cPnTs
cOb9YjWh2GVNtyX2k0BNFpABCv/wAQ76YQK5tPMHBGzyuO92c7GQKxk5sixvf8PrxOxlEVBuQuuX
zhDV+rPErCUb6mdvVPtYViPwQrhyQEFmxF/e4zG8vgh+Pom2F/8FI+U3cQBnEK12bFb7AdeGPSVE
Jo8+6mXTyfrOdJDvevvLzjbRaYVxoyJ7wBLXyeDrFWaJtihyXI/31BSaO04UWJ49UqFvP+Ufxk/H
+hSQoImQdZyNn2o4LiD8+vvGGuMLn1GriFH2aes/vP2gU7vkl0NBf49DRYWDSZ8Lvx0KSQh/bGQN
7i1gYYfFay0U+Fkz88zEzTmEBsxFXQKgskvv58Hxj1UGo9FGoe0+6ovlKnec+q6Z6Xmu3AF5j0ro
WgsQHwwdtbAzgvHojrE2Pw0hapBrxOVsqMHJiFCWHfIQvCmsLa2/eN9abvt5dJd4//ZHylMh4NVX
+iDC6Od5FsrKiqLr61nTwqJ9tDTTfkwkdvVhOR4gSLQHPDjTXZm2uOHJ8q8pawxNMkbBa/aSfZZr
lXtRdbsUNMc1PiYU/LtCbmq3MD8LC/Cug7bKN2/M889O7SLlM1ofBQhSuJFgadawmJBxMFO1ixBm
pX8OJy0KC/QYwni+SMOdSIBOcJyle7dznJuwp5aFVWd5xe0S7fMqwMgLVvLeKPA9Kp0YOK5li4tW
lv5DEzjJITEwRCxEHXUrJGy+R1w867xNw4NNs/SmysiYQON59hF4JEl64DpbJBPw5LKrfu2iVJVR
YgrLfdqU6WPXwuSvsVDHsdC4Ibefn+d51jJzUYe5bCcvnMBOWgR6IpCOqNFssM6y75xImg9gOfPP
eLWkf1UiIopOTYUWh2qQEQJEZtJ5L6Lpi4dc9MbLLYAiSmWHZE6m41Ir94ZOv7/p/LhQKwmi8gYv
UqStksx5MmsYB5MiRQzSHwZ2yB+MIjM2dhgjEu01l3mOMzqmOzVCEuowDQbY3aAKVkT7eNKFqExT
PCiA7CVHPZ5I7STVmhzQ0G3ZdiVy+dWJ3HFlT5F5CNM8P8KKmD8ZWYrkq0D4+Fr0BnnPTJ9ta3K/
AN8e5QWCq/4BZrJ8agK3vU0Yp+LQAQZZ1zR3HlKb7n/Fihhg6/VkP08lnKddGlkG5bsJBwFtWfUJ
h70eO7BpZGqQj8UqNtyPc7+LInlnBXm/5WwbDghHzSvyqc4HQWw9w7TNN7iGVndzk30A0B9RJaYQ
OYRZj/WkxkjnCBY3Jp53VhLCmLOxl1VT+LFIwg/o1X2LQOntwYSY94FYoDY07mf8KJ6svCg2Y9Mm
ayNx1WPnBP5ONo04elM/XqISoFblsEzr3JS4fSS1seoGMwCoYkQcUf24FvTCEPottaBdCO4W/sN6
hiOJj2008zJTsMONAJoRgm7lCvjTwOIacEHiGsJpJPRdkrsxjjcQUizwRa1x5SDgduwMaNYNVuhP
ydia6PW2HuLZM/y2lWkl1c2C6THHVCvqqxnA5wF0SbYXMjb3Xsl2cQ1Y1SkeNxiS9ltrJOekWwGp
s4uCNaT74nsz2OGXJBD9M9jx+YscmvEyxz/xkA4KMkxY2cfGNNAPRgJhjXDWcOgF+8uYsSLus3mm
pIypeSsOyJB6S70RtZtvczNEHM5Ypk/2YBY72hLRwUzDamtnpY0GGarrSvZAE2k5HeMJtGVhYqAI
p7U4JkWPPwhqHfXJEXXjlv18YbgUrevWTHdBMsx/DQjRldeUorNNoEXpQUeYKKZb8Put3N/EITeH
WJAZt8y+2prDaG354ubScztrO6J6CFvGnK8QV2s/L2q0byw26vUcm3W/SYOOnoIJ8vQHEvMjEpsm
fnSIiX+PsP8GeBx7jydx6gL48oNhEl/gCh3dwBchOhkI+coS0XXcaRDKDkB/Uz6g4rGdTDe9z0K7
/gJHKN2k5jKC/SQuNJwKhcBUyMNo1ymWn6p/hPmKHiOWiM9ga0ysSGzOnoaPrCvCL+q8KHYrm/ea
ZXUNlyW49NqGm2sEQbDGdSzdJCCh0QAZ+HJQQjfa9Gnj9NLaoohpbW20Fm4WYI64F9oLP2OpDCVt
fFHXfSN5E0rm5sUwdHwSsiwIYEgP9eIOn9uthNxwIzgYMNKmB1111rI3EzeDV9YHl8QqzhpODNUs
P2suB5f1KiQWjMTAw2M8NJzrpVVfgndF5oDYxroQZl5fwCB2rqgpGPczD4jocHLzLgh48tpz5Hwb
MfVA+YPGxb3pAYpHQrm/b0wkJhsvEl9M38FvBBFI+jTlRZuAml4RL8orZwImXHMoiKaX1wP8ll0V
1dOBWq+7HrIELWgZwBQo0NvBsG89dl28ctLR2SKEgUpZoVCni8LhoqmGObpg+L30e2P7dXREy6ge
WM3YBXdTgTx/lzcmFBok+Y4qyNFst6e5xRTMt+zoehphDy8vfaH/JKzvJqygrn6JhH5LWD8/oXAL
1aksXue5px/7Wx5AuH9AI3VY1b6SNF0JjX7mrAB6/qBNKgGCWASof6er2oLPgsNMzA204uQw8ne6
6qAc7QiJjQiVVEpE/5YF3+sYmC1C45SiCTAEGvHWb/UmzXkBl9y7d/mAKsC6QDL1DnotCrlw/Npv
vwzMP2SOr7PW08NoeCjPRNnA5XPPwvrQmWwYwp19Fxlz9bWwSwv3nkE9pnHXwOewzOpraHr2kxqg
1P0fHk0/3vSp33Es6Qznl7Qc4rmYupJ2CIJhPFpBiT3xT6at17viQWI8aq1aIFxy3QYLYfbbj3+d
QOkvp9xNBgAbHeggAeLrx1sS1gmntLzLKCXFax/uHl6/Xb9UOEnpx03chO+kN9brWuLPh7JUbKHr
zd55FlVUWCiElbLuHOCcDwUF8oOVu0u9oxyiHnUD9GjHUnc8Rd+0F0gydM9uxUGbGS7jUHMBXVRe
mEz7FhXRYLssi/1EGwdLblyvTXE1VMEsNvGiZWhbNMMwls4KKd9JBs8xFXrsXAo2lHN0g+48TfPB
9vcTDkt3xIislT5DGDoDxLDz2wn3u3jWpBXur7dnTDEj/0pmXgYPkxrFrcHG4N+vZwwJXC+ZnEbc
JWIQDwUWExc1sN2/zGSq72axTPeOXYlrOkM0qeeIEOPt5/++MTVmhSo3WlWsm/O9MihVpLAaxZ1r
uNM91I3qK5br02041OIdgMxZl+T0rVKQb1P85oHOufZfMHsQvsxe3NnUNe6JI+mfw54l3AukbJ+n
1LafBtPVu9NEyLvyRjaLgQLPLSLe78lx/NOHA/bjtBSegw7C2SFh2UYJiy4gAuUyrde2hxb50UKB
cMDRJH2vBvBPm0RXBNmX/I/Osy5F/HIwwII2Y0MO1l3TgmMuoKVjlgj++6r3TKA4TWIf5NCWVxiA
sspVtohrzNAmrcWJvPYKkdfyynCH6T6sHdTDU9o/x46Idivw77mNooGwopgTdhkG1Ki+qchEW/ft
tXKOpNXHC5gNhGIEV4Vixb7+CLRbgt6flbgLUBesd4vXNPvTukFCr/raIDixzvyRcw8CClnqCE8v
Rop03c6q3kNjRncsTm2S12VcsmYjArN99htzun/7Pf/hFPQof/gUQHjZ36AlcPz7wQ1scecsHgNy
GmYBPO+rMAPxUFMZfGdl6xv01S5GJIJVzZ1L8Req8jmYBYSulZjp3N6NlSyvnC53niD+6H9Ikrbe
lNNtI93WRcw5gFZArxyd2xEa0ccYMxwwACgoPEuoYbcJTPsLExDu11jaHJx6TZyGqOXWcFcIbakj
HBjknjHlOho4xx0sTxNJQTe+A8h4aVv+ejhxWYNB9wixQRDSOT9btIufKq+O5/AOA0IKANW8wAX2
jOQGxb+52xdDhPZ84g1Jt7Ec4ltU0PIg2qkIQblVxt9truepUlCcsEokH/J2wwLef08NqhfrQoSz
ph44wbIx5aLIbqPR+FQZAMg2QKpghY6AUp01SKKo3ZgWXMJV0o79lisA/Eqa4FNi+1Vx16M/d+W3
eXIkWSqv6dthng2v1OxXFZ2kL2L2UtyK5uy7mbZikxEHRJA3lwXG7jREz7ODG8Nlh5rAJu64vy8B
LeU4GcmkusUzDP28KVIukMWyNTFZinwKMZ5nVI99kSXjRgae91EpwK2rOglTd9VYQz1gBR82UK5c
NTdr0jT/T6C9DaajAB3hUaA9Ya3qvrebg1Vjf3kIwIscrbCPqlU1BJeAGhXK+IPo156NiMedMYJq
WCWObvLXrYVIaQ6Mvrr1wjxr1uiwRcEGvLZ6DKOeazdljXgo+oYQWGe1Bd+EXh+hAXhY0aEQiUqj
89QqmzCh8DltCAE5iEEXTPdtPPNjswfbEOgTxXIfjBqKciLJvCM2X2nPzSwi4VckTD3JyyXl2mT+
QNmtPlLf8cUunOHZwjSOJ/9AeSe6HlLVgaeG2rcKSVUvzBgDGSVzTVm0sbVSuBrWJdVv01y+iNaP
L63Bnzag8aw/564sEVys2ws6zcHOWmT5DdU1REYkpsC1W0XPLJTpR9gHCULdVOU2JuQTiHFBV1yg
rOZgOuwNaxbWqdwRFNPkU4Qx8EAru2e7Nl3wkXFYPRiOH6dXA2xstN2LIlP5gzcEpalYANlcepvc
y32adBBfqU2mKzCKUMbhD1OIgG2b2rEhgO/NCA/hA5QKVX0xosGVvG6a4Hs+13Pu7wxcyS6yxZnu
yzRlpAscSa7MkNoxp71hP9U+qK8tzXgUyXPsdT9NRsuMzUHHpUCC3K8HT3GuYAUfX8SwlRH89oUG
oxW0a9Y0UzDZQwc0XrvUDDKw5VDKTLOBRA07t0IirmXq04EjO7bDu97zl269zK79FDgjphGxibpc
l/mcRvnoPE3Boh4hWLXP7RJpzXaXg8fmHPLsXG3zJkJwvGaH+mv4X/z1CLLrSpV0ICNTmH0EzO9v
0jkvr9IitR5q09F/qMzUsesGzmeOsyBYZbbCRkuIjt+BV8s3ofAori3T5DdIUekA+fDwnzQCG+RC
JvkTTSSSa7RIOWIUDINjWOfqqJBWuEdmhUv9pRqhz0hiOP8YUIC6AozS4Ezht8+10kOplTof2rbn
P09vm/c9Splk1TRdCDstSPbxfFufYpE0c+3mpshTQNThIK77hRkZbCLD2aINM4hFbbFKmu/7mHRD
gs7EnIbuTdRNugCvo8fZYuwFNVkE9tm/WlhraJ+RLpjuE/1fNFYqfLMTok8zHZwnOgdqSxe/fa4y
bttahfXXJMUsZg1VYr4/BQooaxXz5ZRk7tNJ1y9pM6a25mVQbUyebZnhghzTMjggIWteo+FpAPII
EDpEpaM8soyYO0u/bVHWXDxt2exxDJvuzcQkCC+xWtk6Iq2+Bn3GbT6n+NZsA3C5T267gFqDzwc+
tG4b3nzgZ6ATl+M8HREpKXJoYAQ4vQ5V0iXpnl+SH6lDnzlRVD8zZ7bxDDTSOoGm6modVGf2j1A8
7KfIo2dxwbXDC1JyRK3Qh0WfoIcvgj+x6uHhxWkLCQro025AIIIwiJun2zTjnW+PoCRVyxxVgU9w
xy9VqHl90Hw420qdqmAPQ2ltFgQGdEAPLjN9jb2Od+Bzyis5GO49RDQ8iHFH5W2HHmbkOHLjdnp5
OgjlX5shZGHKTlpqLhkIV20Ymf2HagwNCv9RQA4o3IJVS9vCl1vabLwMjmzYctkpY9YJXz1OQ+w9
JCml/W1Xm/EFhArWSBZRNo/ykTHFC4fvPx0CaSan+zkuGJUMRdWjOzvyUCt2WOXqx+dj569xcyEc
60T1NRF0ISDTNHvC/XqPGSWzGluAkDMucsZhZIZUEQePwGOn2wnVh6fGR0sgNbMcqe14MdxN6LDj
mwaoA6BYViJ+NKK9GmOOAEcQo29Fg48uMW0dtrcK+7fx4Jd6gpLa5miyyqDe541Q+LEsk8KacDFa
WFcgVVeWr32ULMh5H2czcZ6kthu3DJ8cQCWkITZmKA+jhGsNhFHbIHHOo583x6r66sJmqNe1GIGM
6i/kJiJGbl1OIGQlsC/QCe8yGtVXmCRsUTo2DzFHN3IJpLQPlPPFAwAmpqXTUdoC6w6xA706T9fm
vJisqAqQL0ihiG8H06SOhUXLIektSvd9TyajR41q2qSoeAtc7+gdseldviIFsP1U9R37tYjoLGZp
wbbC2DPYeHKRu77NsJ9x0PQErZayuSzb53SM2gbfxIgljyByGkz3SKO4cjsOXo1to5PlW0f1mXM/
NSMegwVSxwvcFNN5oj7HquFPq0cwraStWW8fUgxcyi2KeWN2mQ8uP00Dzao/UsQdWSIBjZL1oi+X
GJ1Ezr7JSoyLMhRa9aQaQp2S2x35Cq2I8uo0AC9nkU7ch8TiXNAHaxN63DintRugHRGiQFshROTF
85+04oO70/q0rT64wH6nv8AxQvMve58lAtGbBeWkwyW8AwgKLwsiH3P/L0St0mGdN0OzN5C02GZa
Hpmyrng4rQoX2NCySrE0uXZxe7oQdSGu0VVgENJW2xG64BZQwXFo9K7nJUWPpLYoQkCDj5dVrD/I
GHNWH8aH2bqx6ZhczARCzYbcU1wLm09gyYkH+krluBFZyM7yQFHeW+hNyB0qLNNtn5Sc9jIWN/Qs
lzsydRa1iTJZv+5GtsrpBLTTLs2BUXoMdhcY+vpGqBg1eG9k2+gLCKhXKOdxXQ0dh0IZNkOwqw1f
cVwBY4BK0ndsM1nPPDes5uketbJGKy/B7FDTTODnnHDlM7h6yO12Z2wSGwIyEDmjQpEAd8Fp3/VD
Ed0ILc9+KDhGrxtTG6Y7fscTwrhktZsiWJqHzukJQkIjVY8n2egCSW6+11Pjrd1b3sfen/IbSzrf
IyMw1qlK2j1Wi+jlN+ydMQ2Tv0KJfLxnoUUvXVLq9VBKNvDE9YiSLzfSHI/LuqPkqYhQZvcxTWbG
OYaAsCqdcZkuDNDXOxP5rQGpY7w+omHKD4gAJx8QNRFiza2ZH8jsp30hUH9fZ1VVfAhKmr9qyogX
XGviMCTI1LaZVudvp6ntzMtaH/6XSRBSiKQwT0zV2yUZDH7eB1RFqMJQKerx/sLg+CNaJExPk1f8
s1aCQZLOMt1SAQRLL3HcoYPHuVQPxDgAHqf7Glm5+zTEOYVOCUz+GqbNKVFOM07ZEYEx/VSNfTUb
Xg8KP8UmqyQ+sIORN51Ol0kQcW4vCOikP0piTG4XValtou9wgUb0Y+AHrKBTYhiaYVFBN0joITQg
Oh9KuNjBFfW0Zu9FpTrGKrQPIB/FdTg5Cgmbrn3GjsbfuBIbNHIw5hX5O+5PrPhYrXnIabW4sfUw
8OT16dxEBpHDUXFhbue6YE9kOt6sAuUf8wbXSrpWlK/GyYabkE3jCtE/QrWaLdRloInjwMAiqHR2
bqhP5mUpuYHI7aK95UTxD3twzfYKDSF2XKc18p20VkcMT3WEURM9GNzMeYoUy8HzgNUdSNimbt+S
36xQUW8u6C71kG0syydX6Wg0p6AUUaulZOeg6LamzsOQeInBtREEFplE7nKxuMPsPkRUrDdLDZSp
cib2wxLq4+AUMjtY54EMnVZUyXJzR0cZi3d37qwdT44eUKefPk2Ruxwje44/VX2YboCZKk5nsp1l
x4XYeygBoGGAjkll3AInx3WQcLrwt7KR094KHeO7pvI+J6pffmRElX+V8FcIt8cshBY9W1eias0j
eM3yIqO48gVCmNvQGg4yrMNq1CW2dUln0ZFTfI1WHBz5xI0/51UXfkRJZZjWfY5Kfto65gUmePO1
klXwKUJA5XtZz/xNTgEJhki5UOHtgtYLQgFmOOIq35kN0u5qcF9wXf/p8LzX4aGxQKfif/f0/Pyj
7f7rMW7CuIifXjV5Xn7yb2CiB47QdYHuCtA+0tZktZ9NHt/C+cUCYYjDiu61WNSp/u70mH+4VKcA
O3lAGmlOUO/82emR3h+gEl0NG4LMdJKO/jcsXqAyvyqGgd2CRg4NUlvQwHD4jeAczqisgU6IDm3u
9VelXxDKFFbVXskZBRhU/wl8016K+1YYqzmHIICDXrzJTDHu06gxkm0Q9N6u6VTzkVoC0lIyI2zE
g+MiUgY3Jppd5VU5OfWud/MOm4U0cg60U7xm1yd9gOS7YY/uCqY73sp2CpllUHTInQpOBYJwlzi4
9HhpziEq0bkffsLrSZHFQKJYwwn+osbxEcmAwF1hOzF/glpHqXYEoh0PBgp3CL7chWMpLmnVwSSY
MIracqFnNO2NoL53sLc48iP4BTamN1xUpXH3/7k7k+a2kWwL/xVH78nAPCy6Ix4niaIkW7JdHjYI
lsTCTICYwV/fHwhIT6Bkd5fhBaIRtamiKolMZt68w7nnuFbspQun8srLRD5EN8eSno0qlYUvxyQp
Np4s1J8AqsirOkmdD4gyaIh5HZuZB3s/XVJNcRcu2ZcVPKMFxKVlHX60HVVdSXIVoxjFx7pwEDfc
T5+RkFMbEYTixlBq4IFBNp/AFgd1RgSkHv7c7KMfe/oHKxLlO0uRBVDyGjHwKoJug6Zc6EgWqFyY
M9i8EWvBrM80OCcWvDPc92mmzJUIpnhpApO9Vclfct+PL0lLkg2oqXznznvbOEIKg/C8Eix0kDZz
RS2V2R6BYQX0B14NgE2t4d05Zqh5ZZfIgmSflRREAvmio7icFFB6KV4to+mV7lV+DzW/PhrSZeYJ
39BgVBc5c1kCa/jDgs/nCs3tz7VfKzA9CfvvtO3VV6IT67MQzjkQYPXSFjN1EXi2fZ8qexm9DKiL
bwwvPNwGewfVMzOAaW0Ww6gGaivVPvjyxFpMHL34ZiWWdAdjireEUKq6ro/xLpNgWwawAueWdXCx
maWXXlXcK4mnyXMILypkSZFFC0TNQp9iYt2JcvYVJZ39HA12f412lmVvygzljLuKkOWwRegn/Q7j
Fip1XkEhBnauTYPl/ehDsErT5j6/VtP0oM2zImTJyjhMbnJJ+M5tm99OYmkCDEbYAY4HvFZCjxiq
+8O68JR8Friy8B62ZDFdwGJlfDNIDX46ThqVscIKltoBJB0KHXkeXgpKrnoooUT7gG6ksvzuoBsi
LMSa0GyZIkEGDMxLxNmRX3mp6kjmEH4Wwl0RHYO5LzjCdXwgkwyBeW3dFbH0oVTFb8fU/CYk9IOQ
ZV4mECah0K65ZGsUIDvJRZGyYwRb0r6ATvpkW/FOIDxA1RK1jmVCFQmPEr/qvRMgF743Ddg2HU26
tLE594xgz3Q5dRCBcjfgBMs1PG/IxkIl4nDp2Wkp3aRmerQvDKtKbFAg8beQXiowFlmt80rpypvk
1ge0EoEvHfz4poZNfpEWaJvkgnmBzIqz9tHSOdxJRyRqLnNLDM25kdfexpcFD5HdNAZfh3S7epOq
srXU5chZE/GKy0OclTNNp4VBjDXjC71+NN5kx81e0CeXsNc5F77B9W5pEvyZFu6tKdTlaq94pL6q
wP9Ks3a9CL1DuTFcnaxeFs6aEijOTqpAKpB46h1JaX8ZawgXaiUCt0YBFMuDcurK82VYC/IcaS16
9eaFGNo3ZaGWrABkiVQ/BHWtZkZyUwnZ5I8SGbs82KAzbi/CII1JFtoRjjINOCsv3mh19RWlGW0B
b5m0hhH4uFT5q02gCtGNGMgHyk3KBDXIQ3SQSI0jlqqvffJ9WKrkcCebifwJqC/iMBqeiUO7UTmv
42ONPpAV6XMz8P1vR1wfcCV6uVEVOg4xEN8BEEJDWORONaPwmazI5qExeixug6Nd/0UWpeBTuGcd
1YacT3fjHL359EGxNPRZdQiYZo7WiLQDllpbYQ0NW2QldLbk37lYEGyhq+lyfzyUnFILyXRIUssS
rCUNdA/SnttmSRNPeo0SgbkqbPGjTWnkkpYuYUNmNJ4ne8O7CHRavEChXqYx0RYUNAYETFE9h360
uIQJV1gLNSgky/SdtVYq8N9TTttoGUAqbmxjlcaChDa7aG6qve6SqAvuYXikOTm19QucdWTXrcT9
Kyf3FJGKN5QZLp0yL8UiIG0uHUj3oA4J5t8/LIRGLEmMGtVpCcY6juiNE9u4g6gHzv0gnjSRr7lQ
JVe8AlRtrcr8sKnC8LAUjlX6CCkdbI9hXFIeCOJrchV46LnirJMjgldwy9HnlZAttfNl7pd/hqGS
LwUyZss857oRE2dtJKkNxXjQMIEatwVoYuCnqIWGEkSUeaHe0VsYrpJJemvX3n0upJO70vE+VKzr
lVUhsJUIwa2th8dVpfkIFVYuPaAgkFNtpR7TBDo206bJscgzQvSq/qz45OOg/yqV+0Pu2toViUUS
bnUq2NFS4uZMUAqvZEihBJnu7pkCJZmw1KhzCEvHMgmGQ1cwJ1/LVKpgcKYZ+YjIM/2sxMJ7/Tir
fDEIUIjLRLG+jFX3o6onTZ99ccSVSREuopxBugsUryjPYMj2IpRcknBXR2KlzgQ6u99LME44i9hL
jl/kOK++hPBLXumZJyI4uU8vDvUEmSkIuiuUYWoSH2DpSkx/sGcNCie7rEGrUufCYjachtvaM2AT
jXLvih6MHAJkSQ/vjWPuXkHmmS5gL1jqhOarWjLsx4OUTy7SrFQ/pFAWr0rjAH8eUrr7WbjHvEJS
xwIh1lutUKex/1BqK4ZuEbhiEpM0mZkhTDRuclSKhXBEm7KMcrGccbuBQItoZ9gkcR46y0xKYjGl
jJaDEOTmElYq2mkkc2oHRbFUz0nb+wTaNRSENhwFaZGvBafON4HjTwBrHzQcP0vIYUKRFfO9qE60
bB5lx4O7QsPUXEaGSbnRkXNt4dsH4Vuqeo64qDzBuzOc5HBP8rhMKa/VLp2DpnqRQoG/SkBZXB5F
By5fUA2FMBPqRE9JStTZl8A0zYWVmuI1XJyhOgv48b8eZVdZIRt4IWdWfpi5xwzYm7Evqf6Ru6Nr
UC4uYXctkbx2U3spV5PwVqFNFrW0iX5AXhTqnbXiKsIXpHE96IRRLJnbtEETHdfKvmC7ZAL0bln2
FeN9XMos0iYyxT9RKfM52ISYM35R6zALfKEm0kx8OJ6y3KtnSa5K8yzTqFIqmhO+38OoAhbSd/Jl
pjo3MTyvK7MMs+sy19W15hhxPQd9o96lsHpDr0Nu+kJphM1MfrQrA77TYhHslfqxsgznu4nP/Vmq
NX1jKbCo0+RZ6NepgGu2sGzRNm9CQZXnUq1/zUI5/VIDTwQCqipoV4GblCpVWCeUUBM0pT3tW0NU
CC2CQbrMBWzBXSKZNwFI6p00sYBZHlxxiz11r9xyIpJCULSvkMumNcKEoW6tJgfXATOOIPXMBnNI
L0sm3+diJC9VjRbIiPrtkuKaeWFWAKnVqijIqRQl0sp2eZ+i99Z0AFZzT/VRTfNjZ4sYcnWYSVGk
rEQ3AmYWi3GyPEhFNg+jyoV8MTssJ5qjraSClkuAS9U1kKTjLQy48ccYsjt1jj33/ooyMf0EnWzw
1RaFwAa66ZlXUW1bV64eCFcQWIBzYr9uBFgk7+Rjhhg7UNu1ROJ4OYGkaCbqSrykIVvE9xfQdVUt
YOI67OuY5nC/KrVYvfCCyX5dCfjiMZxvn6IkkKkSJssMMtf3rk212vPC4tYDnrHBSBQLDiCHRUej
L4XX6Eb2E8htJwcUGENPW9aKGEZzv6gPqA2mnHVo7zf0QFvLIBQOOFBZ8OD4mnq81CE1Q9w210Ag
R+WjFlYOlZbArG4KSarkVZkoUYsi+Z+J/7uJNADM5T5zs/ou3yX1/S6lQT59CoybT0/ENJ+iX/uj
nw/UtSq2GYWHCPxC8wakX3vgT4CbZ/mE0yud3vdnIwRwxWX5I12QsjlVKcTC1gRYsnnkf7wLIjpW
2o8nJvhQ0GH00SOo0zztF75Yoh8tws/n167mz/+mN4MfN3q+kVX5wSqcjfFiFYypBuepDjS2nSXQ
wJerYJA7gamOFkjwMN0qkcYZ0SoANQUE1Ust/cIiUAFSVTJA7SSBeb5cBFFoAMG0sGnskXHNXgb4
QhJq2PRp9z0Rd8EUdnrOps9JIA8OWUwDWm2eNpU3oj0ANaTBxh22CsbUxHWEMKb/4+vaVKcN2ny2
A6PbA/xq7Tu1fEPP9vm1MfyxGaBBG+UOCeaQ/uwNbQqWkF8fboL2GdsJQOCA/Trsp29aAYABU7J7
nuTL86+rHBBDU0ALt5+3J25UBwBZvYGrQJO+SOFWFxDrOz0c894qiFOwnuyF7qiNaPqIqg82gsqU
M06VjLz96Tk7CKLI9DVAbRp9+c3TbroRLQKtJSKVjUEnQdHQy6R+QuPoaZLNLF/uAVNp6iW0WnUM
EyOavsrZHTh7qkGSqlBeAql/es5mTyoLb4jea1a63SSnLxzRIhDsDzaGyhQrR5sCtA2n58wMmBIM
IHA6wOTRLtLojCE8eg1hxqCDwFaAsgJUu6a/uQo6fjOLBLNF9/novAJyXq2f9utegSJO1YaakBTa
m+cB3V0dWgdih9HtAXRQBxtD2Zjy87PNwRWcHqxrzxhyEmCh0UFDtXtkdKuAQ9809ww6CZIxVRvG
Hcqhb24CCu+N6ryCPmn7+ehOAoyt0uAQkRgI3wgfsTsKZ3vh5B7oMO8BTxjbpcBZEIbuArlhcMJH
Np485LMoyeBmpHuQCLoLoUe3CugHNExRg84Cq6BBr2g0kgSn58xBMGDHUkgoKTA3nZ7RnQVR0cXB
gYIyhTlPoN22s3tnHgLQFzYDwhPcj2M7C/QhvkIi/d10kSJMReZOOqgLFV6fBb6GDujnwzK2VZDw
4Nuf5tedA/KnXeP82+GiKGrsApVo0WgPQ+uYjslZpm1xsF00YR0gN0wl//nEv/QRyJ/gH+EjkkE5
PaM7EbJ2am4cZBcVDjyiB/jd3V54fSLAIuNF0CV6ekZoF2lNHng7kECh5xaxCejHnmb5ci+YMhUH
oaGB6D4f3x3J7UZj86C90ERONAAYDRrzrfjRUDkRsAbLYrcXRnciRIgzBkfRBl5xQ4ysd9WlM0/B
JLaAB5cwu3Oo2s03Juto4tEP3QvCFJQqWx5QbvucRVAiuYZGDcvo7Mboamxkuxo2jEEnQlFJqjW5
wxe/9Uu7oJlTiT3XNOy3izS6VZDIfA2NoLgjjIYAmlJjO8szrxG7oMsCigTNfdo8o7OOkoiM0NC9
oE/JoMNfS4zw1h2BJgghBrkLTR7fLsCoD54/KSXyp00k3c7/LI6m1ojB0Gks6uLs8e2CZpMO3QXy
lN4BjOLTLDG0Ly2C3iTeyDVQiXleJUzQiG6HRk1r8CoQRwEswG18O7+m41WScEACsDUI40NgsAqD
82uyMoW2quEZ6U7E2V6gp2kKOxELZYwugmL+2lBPCa+Z2rqkNDXmtywixVfySogzPRXmRmgREHIb
aBFkECbwzUHH1HlCHK6eRTCnokEwTfNTu0pjXIWG2WmYp6STP6NXy8AutE9/FbATVOKbMu2TSTh9
4ZjsokJuZegqMEnqaw2LX7sI554SuViBvdLw8D+dmJHdDrTSDY4dOBFIyhNPt5N8VYomzsQs0rrX
VeBa12RUewGjNXQvyFhHmH4Aub19IiRh+qyp0By+Mc2fgsDQXUCu1TCpyHfZtRPsomcX9SkMfkYT
Zj+flZGtQgOsGroLwJ6gq2FCbfo8y94q4C8iUSA0+JTT0y77iPYCMMVGD2jQ7SBzFuiWw1vq/MUz
TwmsKoI+XB5Eq6dndHdkswqDi/L4izLOEAFCO8szT6G5I7mDKFF1225MuwBy8MF1BxVEIqlFaGbb
i+EsgiTjTmO41OB02s9H5zUT9L0S6PnbNSiFXDO63Shq910kMBka5W44hzsXanTpVepir+ie//b0
cRRPOhi09J+e80NwuhabbHaH3RjfJtDMBms7yCA2oRN5MpIlXTLp7CiQSME5ECG3hg769Jy+8L8y
CP/FHz13hMwdN3g89YK4u/StlpEf/cFTF8Trz7sOiPXjP//RtHr0/rBpDWm/e3dqUmn+/V89aPPJ
C3rx4ZNXdPqe7n/vJvj6q3vf9TSrp/946e6SLeoA9emDunvNVlfr/4Ltn9tw+5K+AmPM+fz/N3kl
2/X8+/+HgVP/bNwmKz143ATi6H1/4BOSdvjA/nafbtOnV2x+xhaaOHTk+TZw/4qSM5aQFvs5eOwo
iJLtY/TyrdvukuEjI2D4kLkPedYb/ATRGzr4Yhdsy22yezlyC4ofPHKnLvcu+uvdPAry8M8+OQt8
+79hF6KokbiP/V3Y4taGvv/FLoJRpj8yTgHe+NCRL1lx130a57S9ZfBPT/+hbV7rmaQXpv5nR339
uHV6G7AD7Ax94TXslPvI7Z/IFgszeOj9o7s9syItsmLwyFHZ//EQ4+POHDrs5rVtaiu+gwdmgPzB
r59e8bQv2pL60KGvI9SAXi1zW6IdOvbN1t33rEdX9Bw+blIH2/3jy+XoOrWGD52m2wcnT3dZ1tvT
EuKSv+HGvXEfHNfe9ltO2yLo4Fd3uQvSKOvt7K53Y/jYaeryTxz3bFMHAP0do0d5cj50g7MePDR6
pGc2pKu2Dh35dvdnAqFzf7XbQubwoYtt/97qcHXDBy7fXW7DOHXc/rXO+E3t8XeMf7VL0l3PUnUl
vd8x+M2uch9611hXKfsdg3+LEv9pDU7xQVuEGjx0lGTOu/k2ibgp+9uFdIv49I2/frXfnr5gsfXP
z76sNYWToe//3nH7K95WIgYP6wd4JP2oBp2dJr0/eOhkZ5939Z8y5kMH/rDb71Mkx7ZnYQJcSU1C
eujw9070uHu3Tl/dbW2md+jwH6P8BxuxS6L+ni94vRG77OTQ4T+x+rs03fVcCrnN/A0fu+pHlV3/
+9BxP2db52ljNDalaxkZOuxPlLafMxe/lhJ4kyuz7Xsb+tI/V1sb+N7/kehz6Phu+hChVNjz3DqI
8+CFQbgDGbrePmmzeD8f+a1M03Oh7nX+6Ykg5K3/rZ9ca/7iIdhtk3/9GwAA//8=</cx:binary>
              </cx:geoCache>
            </cx:geography>
          </cx:layoutPr>
        </cx:series>
        <cx:series layoutId="regionMap" hidden="1" uniqueId="{ECA4F068-2D87-42DA-BC2F-17844340F4E3}" formatIdx="1">
          <cx:dataLabels>
            <cx:visibility seriesName="0" categoryName="0" value="1"/>
          </cx:dataLabels>
          <cx:dataId val="1"/>
          <cx:layoutPr>
            <cx:geography cultureLanguage="en-US" cultureRegion="IN" attribution="Powered by Bing">
              <cx:geoCache provider="{E9337A44-BEBE-4D9F-B70C-5C5E7DAFC167}">
                <cx:binary>7H1pb9w6Eu1fCfL5yZcUN3Ewd4CRevUWx3ac5YvQsX0laiG1b7/+ldztxNbtxB6MBw8NvE4Aw1az
VeJhVZ1ayP7nbfeP2+R+U7zr0kSX/7jt/nwfVlX2jz/+KG/D+3RTHqXqtjCl+as6ujXpH+avv9Tt
/R93xaZVOvjDRpj+cRtuiuq+e/+vf8KnBffm1NxuKmX0x/q+6C/vyzqpyt9c23vp3eYuVXqmyqpQ
txX+8/2/i3ijy035/t29rlTVX/fZ/Z/vn73r/bs/pp/1t/u+S0C0qr6DsYQeOVI6iGAmH17O+3eJ
0cHusiXtI0okZow56OHFHu99vklh/GskepBnc3dX3JclPNLDz6cjn8kPFy7fv7s1ta7GeQtgCv98
/0mr6v7u3VW1qe7h4VVpvO0bPDM+xKerh6f+4/nM/+ufkz/APEz+8gSc6aS9dOnv2CSb75t08zg9
bwCNfSQ4p7Zti+eYOPzIoYgQG9lbzOTjTXeYvCzJLyB5HDhF5PQgETnblOXmNqzL+6p6Q5Wh9hEW
NhFIor0qI/ARRwzwcQC3rZ5ucXm1PPvRmQyfYHT274PE6EGlH6fpVzrzv9TaQg1Gv6XW0iNbEtt2
MN2ujonyYgzLg1MmOeMPBhU/Pv2jQX1RoP3L49+PTzJZGP/+dpALY3afbNpNcf84O79aG89t/m9d
nTxCyBHcJjtXB2bzqasT7Ihyh1OCwSOOr4mre41E+6H5OXKCzWx+kNh4m0T9ZQqt3lJvxJHNKOcS
yy3RAL14ig7G8oiD3RWY4i08jytjqzevk2k/Pk/HThDy/n2YCJnEFJs78zhHb6A9zhHwRMYQtffj
g9gRo8IhnDzedAfMK0T5BSw/Rk5B+XCgoGh9f1up27p6nKL/HheKj5hgmBHC9uIigEUSB9yRPTFn
nnmVNL+C5sngKTrXB4nO9X33poEVBm9CHOpgvBcXKY8IUHgpxI7EQ+D1lCy+KM5+YHbDJpBcfzlI
SBZgxNTdGzoZ2zlikjFMyRYTNHEyDkS7jiDUdnZvmNiyVwi0H5YfAyfALA4zsrq417rsk2bzphSA
IshFAAPYZRrQFB0hjhziOKAyPwOvpyrzWqn2Q/R89ASni8OkAWvTvqH2QOCLBOVMULpVH9COpxRN
kqPRB3GMdtf5c5P2kjT7cdmOmuCxPkw8lvemCN6UNdtHnIJ3p3K/l3HIEaWUCIp2SjUxaK8QaD8q
PwZOgFkeJjDru034hmSZ0iPiSCTsx1hlklXFmB5xJolw0ISVvSjIfjh2wyZgrGcH6fY/xAmg8aap
VIhNHELBdu33+1KA5Rp9vhDb2HKSUX2NRPuB+Tlygs2Hk4PEZp0kShtVPlr2Nwhg0BEGPYHAcZcw
m6RlHHmEqcMJc36mbZ56/ddItB+bnyMn2KwPk5Wt9Z3avGkuUx5BOkZS57H4M3H4UIiAwBJUBkoR
D6+pMXtZoF8g8zhwCsz5QSrNyVsX7RwIUygEjsCEH154QsQccD8IQ1VvpzKTQsTL8uyH5XHcBJWT
q8NEBaxIfRv3b2fKCLgRW9gOZz9j+qcE2WGgL0IIgnfh5URfTl4h0S+Q+TFyis3Xg8Tm831ZvbtR
QJbfNMIkDtBlmwnIhm39/KQ44yDIMRNBJNrR6QldfrVY+1GaDJ9A9fnmIKE6NbUq39jvoCPpAAKc
71L9E0ogMSQKsANFtl0igD7q8Dbl/CqR9kP0ZOgEntPDjGzO79t3X00RP87QGxA2+0gSadOxAeHh
NWEFUEfjcIXxxwroJA3wGon2g/Nz5ASb88O0cmcbpe/fEBh2RKCCRtkTt//U/XB5ZGNABZI4W+s3
UZsXxdmPym7YBJKz+UFas7NN0Scbffd2qIDPkcAKAJPnJE3wI4HADxG5Q2Pia14jya8AeXyGKSaH
mQ84U7ehCjb67TCB/IwjqJBABLaaMMnPAFETBEmIbHbXJybsNRL9ApsfzzLFZn2Q+nJuiip8520K
A3mBzdshRCBjQyBBxgCGh9eEqQnICjiMOJxvu2jQBKHXy7Ufp+n4CVrn3kGidaagbFua6g2Bohyc
joSK2mPZZhqL0iMsIbUGLVGPq2NL0l4ly35wngyd4HJ2GAmC37e3brNbW6L27J3/aW+vhKwmgXIN
9CruI2pQgoYkATRsPHqgCR+YdN3+Wqz9KE2GP3uSw2jpPVNlOf7PMvW4dv97+kygIcOGPrQf6cwJ
L4B8J7QG2tBns6PXE8v2SqH2Y/Js8FR3rg7UppWlqYu3RAjSZ1xAzpPusgBguZ7y6LEnHpI4Ats7
djBJ44yT/JJEv4ZnO3KKzWF2PH3uDWxgCN5OeaAEDWyA2zbZlZgn0GAEKTjo76BQ6Nnyhsd7b53O
KwTaj8yPgRNgPn89SKXZ0pvZJn5bLiCg2swJcjDZTv7EtIE6QVPU2B39M6+z9SpbdF4r1X6Ino+e
4HR+oKGP0dWblnSoOIKdCQxLaAnYxwkwAvdDGbY5mbCBs5dF2Y/Lj4ETSM6uD1N17r8XmzJ+SwoN
LZzQ10yE2MUyE6MGPA2yoQKM3q58PWEE56+QaD80P0dOsDk/zOzN+X2zect+QQJNmoyDN3mMQid5
Aow5kDUIQ4Wz7a+B4OeZQXtRnl/hsn2OKSo3B6ox7bvVJs3KUL3lfg5KjrgDWWb5qBbTPPTYGQ3b
PWCb1tbUTQLQMZv8KrF+hdGz4VOoVgcL1fF9Ud73jwv5vw94oK0T+ACSjOyn0wJ6oSAagl20O9Iw
cTwjTi/L9GuQHsdOETo+WITO7jt1+4btarAJmNrgfzDdOaCJJmHEjzD0R0lgdo/rYsfYAJuXpfk1
No9jp9icHSQ2H0L1hqiA3lDYeA1U7We789MwFJrV4QpUq+nP9M5T5/OSNPtR2Y6a4PHhMK3Zh+I+
MG9ZNiBQ+XRgjyDh++MbG0H0CVwNNkI915OXJfkFGrsnmOJxeZD68T9o6IBwH9uOhHzNFpEJQRPQ
8AGJaQa9uNvrYNme6shrJNqPzM+RE2xu/n2Q2FyGcJTCu3X5tsVP2J3GbceWbLelVk7xAY6GgTuP
G6IfXhN8XivVfoyej57gdLk+SJyuTP2/KbiBbUNQCbAf96tNOAC0RjkSthHA/vUtUpMg9PVy7cdq
On6C1pV3wGi9eZ4N+BqBRg4Ib7ZYTIqjY57NJgjKcnzCpbez/LI8v8PocfQUodlBIvR5A2GpDqo3
5QmQB8UYKm/OL/B54AmwceexwjBh1a+TaT9GT8dOEPp8mJ7pGjYbwslB92/YKQXdBQ6FFlC0S9ug
ScYNGtsJJfZ43sA2dTAB6FUi7cfnydAJPNeHUbt+JjWcSfWp2oSPpOq/TxaMGTc4WwfSNrtc5wSZ
h+NTBLR+2nzigF6SYz8c21HPngke6TAz0zf3RQpJ+rcDA9qkkGA2/JuQAThUgHObSw45gYfXpAL6
Ckn2w/Fj4ASRm8NE5LMqb40u1VvGoJAtg0lnhO+yApMaG7QPCDhWgMHuwh8FnqcRz6tE2g/Ok6ET
eD7/P+LSvz4Y6sdBQLNNtZk/HJb35ES33199eHo4wm8ydBc47rVx2xle38GBenA+DQQ5Pw7hGz/k
Wci5j4I9GXi/Kas/31uSQynVwRwCJ8LgXBwHPrOFTRFwCbZXH0HABPsZmYRNQNAs8v6dHtvw/nxP
2ZEEvwX9VtCOBW0/oJblGC/AlfFkA2ZzAYsHc4Rh0ONjXpikhzTJjznZ/f5O1+mFUboq/3wPZPL9
u2z7vlFWBil1DBlbBAUQLG3EMDDQ7HZzCUwK3o7/j0Slrnw/t04oxc1Hh9F0PtCCrdNkiOciq8sZ
Ghr7kiS8WTqGDnPc9HLtYCecBbFpr/uYpyektFMP55WzihVqmOtHkfa0wZEnuA7ncRVcBhlZ0bhq
XJ8WiUepvmnr+KK1aeXGbeB4VmyHLuZR5/klla5MdeKWNEaBm9PEvqp0HrpZZgtvIEF6TtumvNZE
hm4pKjrr6yK5Q1bt9g75FJnoL5JVuSv8+mMv++oyMpwt85ZR7ZKoTi9VNNTHJnPyk16ETeV2eRov
GzKoWZTo7rRvuVinQZfOo2iojmnhy0VV1sSLYjPwWQDTeV5wy+7clvb+rOm6LHVFl5PQ7ZHuVwMq
0Bxl1PcylrNTVDirJLEvM4SFSyqJz9IYn2i/S2dRJ2s3cCp7Hodx7+a54y8qlKUeLBgzdzQu3DyI
W1e1uRfEpPAArPRkqGi8EMwSx2kUcc83furWVGSLzg46veo0nBHpsbIL5nEyXOVM57O2D29kj+1P
bcr4uqOi+aqxsd2wzOUM9cT451nR22ieGKj9SC+3QoxOGu2T4UoXJI7ruWqNY93GSYfF4JqktoZF
zcuocGttysFDzNDGtWiVV27Fov4yJ9o5l4FE1rx1ctK5Rd/k7TK1y2JlC9YtRaq1dhWm4kOX6urS
EhWq3F5ZaVi5zlCSxq0CxU5FXCAvwp2K51Y8WLFbNTJN3Kim8bnVK5JZMyvtumBYmqwYiuLMRImy
wsSNjeMI5sIHlUJ6WdPpQR8LX1e8+Gpsn10WQ9aq2JWlUVYUu0Vliqj96FdxutS5cUTwgYihadqF
9ENUD0s6ZEV1Kcve7vmnFtUlurKanjvB3JJRkkrPDtK6sxeIOU6nQABuGOrO4OzRPssXeenr2sMJ
wp+Nk3Uf2y4fUrePdG4vbIUj48VW0M0UHPDpe1ZdlnKu+sa6CWOm4pk9iLR3K552ZzGEjY6rZX7H
hiAfZia3/UudhFbmgSXJMzeKs/DGZzpOz62ot7GXZj36MDQtbxaJJVrfq/PQaBdXWh/3EQ5XRifW
XA2CBF7r1P1V4YcicIlVdJ9jlcjYZTkn3/KQ2rMkSIMPedjnH3iunHnVZJnHQ6zbJQiAzgZUsnka
5Gje6WRYqV5nF7ws9I3s8q52RY7p4NI+KhMXS1ys7Sjy16HD/bWTCat1WVmJ2A2qjs2whavBRVgL
gHyIUzdipOpd3IT2PERldVk3Ql/kThYsRU7dEDfsg4ya4NpPsu4kSzKbubkVDF+fHjr6zIjemqwv
VBDuTnz98eu/rk0K/x9OIf35x/HA2J+/QWv59qTZ374Ljl8YCzDl9E2jQ/zxWWDRdw5ydELPfvmb
R3x0BhOftz249hcXX+cQsWQQPf3aH05PkB39y3bMzhWODZEUDkuEnDuFZKIcW713rlACGcJAQ7lN
BSTewbz9cIWEQ/MrlzbsdUHQLfbUFxICfa/QPS7BtwrpwPEZ/4kvZA6EJE99ISTM4D9BTGAo14Ck
IMRTX5ir3KaZXdM1SxzHq5nVnBe6apaDH3bHSZCz1WCZqPdM2/Z3zJTilMU0D1zItbWXxtTIrcvM
2iQiQWcxo/J8AAN6zaNIBS7PuJ4FJRXnYdKUl33UqOu0ZMkyrhsF3objbybznXkSiejYsfm86sv8
e1NG0aqznEK5Kmq7wi3rbLhFWWx5yg+47fldbF8VpYqPpU70iS9IsqxJ6ZKu0meG2cqTiZ/OrCgN
j3FTtmut0jT1UouTmW0F4ELyOktcP+k+gENMllniyNO+DJrIFbyzP3ZWLc+FitEZ7hU660lvNW5j
SL6ARphkCT4k+IKlkufYii9wx+sz38bXA+rNDHO/dnVOpeWiPCN/kb4P3TbtuefgRttekRbVBTgl
6uJIkDmwpK50i0TVS5ag7K5t4SYEfI+bqyJZ6trEn3Ia8dztEhots7SLVrKsqllL23SGRI+9Cts1
2Fblf6jqsP1YGTXcyr7tv+iiJh+D2OlXpI+Kc06i7iO07ioP2bZa5D6rT1DH8+8pqbtZowOxyJqk
WQocw2MEXefSWCerRre2m8e0vrMkcVXBeo/I7MTWwZr6VjevVYLcGBk9K5kPTj5L15ZjrZNYxLMg
N8Nn2hT5Ms8b9lcgI+OWUaVOKk7bJYQI/tpOw/QCD2KwFxLc0XHYl741J0NUn2RgMG+CXsmvIudA
SxTPjv2Mt1dZ0+bX0qcK7C5HZ22JusatC6I++xUtT6MaJVfU0GyZwuEz0m1zg1asS0TkxgkhH4de
qLMgoMOiFyJJXCtzxKVWGW5cXeUOHGhNmlPeKnQhC1grJqi470UDTW5rID3nPufJqu9qcsKrLFmm
GVdfa0eoL3kW4nMdZOxj6oAT6MK+O0dWQ07slplVUZvgQ0VNeR0NRHpdWibr1KrXmfZb35WaOed2
ntlfNRDgszyg8VrhJFtFUUJTN43LZNHSkH1IsvbEDlsKyzEvVhaq5nUYQI6jdlDv9l2M53bmi01O
2nuWd+k66LPGTfuUrU3u04VwMmfWC23fEBrf9i3JAs8KqP1VOPraABu8KcusXw5Io48m5Fy7Xehb
x8wqUehCdRGdhw1m2Gstnm9Kv4guRBDniQvbLeWt8p1wqRsYFAwq+eQolHoNuNM5auL0JAoAxJYQ
teZ1wmcOTdIrQcrqO5xF0xRuFeNrSHOuA7vlx6bNl1o73Bs4ECZXJVH8kWCcXDI/WfG+rY65P+g1
jVMzK7M6dmswll8rI9VasNRfAEHKZ6KsOtfXXXSZlYjeD11uPBJHoTeEfexGGYu/CGR1n4TOrI+Z
nRoPABXILcLYnuUcZxfABBZtwvOTvGicyJNywaooXfpli87gpK9kmScfG99vvlh+a2YxJ/hjhAKy
0nC4QeklLWrONWqKW3DgIAlFsxZ1Ymlw282bBNfWPITDD79Uogf6kqEhUW4rejPXQx98GEoTL62u
GpTb90x4RdNx6TlWa9zA7+e1HsrSHUxdOzMpm0/B0NPITWKZzZIiyMHMlcDFZFagkyDLs7Ne+2iO
sfUlsuPCcYNgIHPgOMIFC4A8WWjuJZb6HDstWieoRHODoty1gfx/T3g4nPgmlB9Z6vB1WbIudYfA
qj6qyopnQmiP6azc8Eh0ywho4AUqeVp5WUrQeeMY5Dl+OiSu7SR8nhIjbyR4jfOBhuHnwqHqNB2a
b3Ko+Ao84uABS2rOy4AqWEptdFpGXHtVb8nTtKbFRRX5+VmE2vzG8lVyXsZpNje4DBZYmmA22GE2
Z2VOPsdtaq94BU9Z+I5ZhF1k3w8iqM9aJrMNJfnoXOqBfgnTRH2qbNwkLlexXJBIBst6COO56YPW
s7AfXmCswIhLytwmyLsr4MClq0M2zPq+yuZlZzsncMYVi2YdRBJAn6MWFhpuPWlRlgOywKL7gNRL
rbpqHcsh+5TU/lLhLJrHvT9cxA2h86xpUOb2FRoir7Y0dVnQLXhumnPcBPaxxEH8rc3teNba3HEb
oNRnClT8pPTtbCWw0xk3zgv5NeZczVLdoi+JX/grsEzh2q/sWQ+x+MVQR9ZtBi0Zx1nlWIs0EOUH
rHSyZtTyF5wG5cekb51PQQtBGUY5ugobBby7Eb7l9b3FFyQUxXnR5991OfS3aKjB/NdFNZRu0tFg
2ZEWzwbiENcurROmkQ2hpi5Ul7u1aVlquVjXSIFFU+gjbLwqwPdHUXBdMyAiEN7kSe9BiFt9zIM8
WZkQVNrtMhHH7lAWrYbw1sn/kkUWr5sktF3atdapstN57+j0oml0vKpY/ZUVLHDB1kL47NRt/T2u
+Femwg3y679EMnx1THep8ZB61tBmcL88XRda9PMiV9d2HmTHWSjEdZPF9k0ctfqWSN59LnwY2Ghu
wVJXfVXEx1kAT1EfZ3mZN9Uy4RDb8DOgWjrg7mDHiM2VbSo650aFpx2c7DCr2652LvIq7/mXkvt/
1aonECg3LQBn9aGdLaxmaCC6Rcu6B9azTMPMnKkst8zXDAwocC/ZzHDnx4s87oP02LHiYla2kT0D
khef4KDXx7DdRHxlPcu/IeEH0YXfhcmJCBkurutwCP0lZDmSQXtd2Q6mhLCDRXdO2JXWJ5b7HZvj
sPG1aywVm3UuFJlpC/XLQhq9aHj5uRRB6xZdkEAMDUhWAf3cWXa74ioTXp9W9Tm8s1vIRACdTMJj
VdDTWtpO4CLLMDcOwMtYorFWwEU+6SFM5iG3xTF4EOsqtFRw2okEe4HG/XkTBvl5AWgeD1XrVqFq
NzSW/XEhuQWJEqteYt31rq5HukUGu3Yh9VicKLWO/UUseD9rjF+tnIRQL84dtSzhjC2v9+nHdAjL
WQSB0nqgQbWufd8/LlJbHVcoOOU4STwkcHYa+rya9YHIv9WEJ57TsX6p8kYtogoiVStA/rxQiZm3
Ps0614QxODI/Kz0GMK9qlNluldjpkiEf/UVrH2h0FmeqUy4kwfAddzR3Ppeo1qK8hWRGHrNPfk6B
cXgqTxTE+/8/iHvyTSK3T79247GOMAZkNoWg5tcx3GSr389s6MO4XRzH+ZEUhMD5kbDnEHaM/ozj
oMw2tvFAOe5nsnOX0YQvUyDQTQWbFHdHGO/ymRh21RMbmuMkhohBwrng/0kMR6Ce8SSEG9Or2EYS
zn6xBexPGSPCZyFcgqNC4zZm9w72q1oCBaSZBSs4a9Rww1idxRtqFaxc6Lwvezqr7I6FnWcZH30P
dEG15Rm7i8WxDFlfz2Jp6XzVQr6pPEtYmlm9a+KOZd9ZXEWdmVnAgCPiBUJQfC8609eXSQhKu3Ec
lvm3JCU5Pw+4gvjHTbEqQRSasSL9AOm1qoWAMGFFnLmjO0hPMbAfEDlIU9yf2CnR0V9W2RgY8wTS
Xf7iadJ3TOn+TPnCvh0Eh35ICG/HM1phuiZhrsCpqkMeOvdA1XSUr6qUJnSV0KYsxGoog0q13qAy
ODo+Qb6y/cXvb4+fh9lw/3HPHYFzR6DoxGGfynj9Scp5iIhTQpZA3UU4JrHyKkMY5E6ltK08WhRd
GxTVrAjBmoaQULSGTF+0lPSl7UHuiLfkuOKhLmPXmJwU+Bx6lnK49nshIRXxdI4E7K0hcFgd9KPB
4SfjsnwuYxcqyw4LYt1xq2iQPQuAMYl8kTi0Igi8eMX5txhsWQUFlR/q9jI2433pWAyAqumY/Z/e
N6t7I4xFnLughzXHXSBCSfklpD5EmW4bqVp90D5851HlhqGB2urWLG6/W2HP7aHmNHlsAcWKMRak
kB4BHXr+2AFrlIW6kNxZIhE58ViLONuAIlnV2gxKJOfKwgafkTjv66u4RGiAFHyoEpiU30/E3yWB
vRgcDnqEo4HGdqaxbvFkkYQi9JOoR8Ud5S2o3KLHfMDxghVtXdK5cnzKv0Egadu5W3IoQ38zqG8K
OW+UQVn7AipQbnk+LVBwgaoLgwPBYMsiI5PVUHGFoj7W/q0vB82KpcmzFCIPy09L2S97p+hgifz+
+fHEkomx1xFKQKOiQtgH8eTzCQjkEAE/r6zvkJAXqbXqqnBUiLQzIXyrUt1GdKCeSiEZnbmdtAlM
BFMorK8gDAfnqi1c6CsJOYVCz3JmCvsybZQuv/9ezNGePrElkCmD9iSKYKMZnF0P2jKxJXXrOwXK
h+57V1QFLAJUxwjwQV1LmOV2BWmsq8yO81FpqtaMP1QW1C/g87fJgvIVHGhMICqCatnfM3dObpeQ
L+Pmu06YBTY8Aus1tG7To6pnJ8RnYPfLoIZv5UojpsGiFllaYLZyrMhqIMMUgrUdLX8fwiithqQ5
oV2cmfQFs4Knyxqa7qDFFcp3jg0Icz7xTxAT6EzqgXyHWIVbkMqpyiypL/KhUpn22rzPQThLpA1c
M32emn7mxENvXbVZ5q9LWSRR4KUDJNhO0jCH0h3UARD3K8hWIiu55KkMgMvbRHZgEm3I/mN9jAaZ
wKfGym/z/AU1xZACfrYAoLcGzvqWUImEDVZwJvvEYsDK1Hmjm+ybYIZFzMsQVC9z1/drKQsP0lkW
mHa/31rPpKZwrX4wJxn2HbjUtRXh+aJuycs6RKdWHDY/AhlhEmMb2r3/ltCNu7hM/dBk37ICtCif
kzJ26JmNQ9JDzbLuYTqk3yTDTRp2fS/cOizaPPTA4Lf8EkorvrUqUhoNNwXUY/i5o/hIEDrapImE
xC0b4TElkbCE+kaw5jIroni4GRIet7GLkmR0WgpmHwAyWobwRwIFh+HGgYIVYEegUAY/ygEFlTPL
WEnKBRf1iF3cBQoIRv5we+kEVt+6EKtF8BEGyANIriw9coMqY2m86Uqu82wB6SPcXFFihuq0KGK/
cJMkLaA4awV+2q0CCBKDr9rRPr1pUINhkQknAJ7R5NoARfm9bZhaTZh9AQfxwskUVHDYNDRZGsTv
dYBllnwbcFoWgdvZSGSl25rIJGtS5y0Yit/fcWqNoEhAkY3Bb8MOGPm3O5YFKsM2Je1XMtTjYmxr
Opo/uxQxOG/e5Ix/8yOIjnK3teuqDM4EGBZYp78XY/xGjmdKQeD73qCGCb1P8NVuUOCfPPlAmjqH
zoD0JqU6rYhbGSgm3Js8zMEahXGpMeRihFEXTekEYHGykJlgPhaCG+PCwZNtArVPO8hPEt/hVx0p
Eqd3yxbz5hJyFUh5ORs6cwKLCHKREaK+ylzqczwqe4hgHZomBHax9qO4GjW/gY2RH8bvp8t6l8QF
6Zrl7594ategT8GBXPn41PC0BGKC594q5n6o27wUn5paIyCxrChsILHNMK5bCiSLrkJI9sGy7WJJ
4EdQPTBbi2fjkiZ11Nr+ld/xcUnbuRrSYqUym4wmMh9KhBd50mSlWg6sj0Hr/DYdOTXunRS0U0Dv
gf/C6rUnls0BBuSA2wSrBghCYWhiqqF+nQ4m0vYnpwoJ6FaVBaMAlUXqUXUf9BhaAXqQDepDo4qD
rRxNSpHl4Giggg40HkOYDH8yeQw7kRMZCbpSbTLOQ963hp/7eQfvUiEZHxGyGLxcxJYoyCJzioaU
Xg/+Ah7392iN3zv4dH3Co0kMX44B5144sMUF+N5ztCpIjoukNv0nEjSjpaqKHJbWkAzK3FbIiW0N
2TeTDzfC1qN/TC2DAZCOp0nQz4eU4ypYSGLV7SdgqQVMRysiAquPNANYE60sCUuMtkk2WrcazOZK
2VkLZq0CRgI3VJWP4DeIsTBMRRpQmIqqEqFVeSypI1CJUNoR/Ladn9EUjhu5f8e0JzrqAF0AdiVs
5kDYif5GdXE7UN7z3LpuUmHAOmzprR06XRN7EFmGgX7JLEzc0XhLCntcbQRuCRp/poEXigyw1qwT
12WNYYVUPXzdoVqC74f5oVFGDZv7rWWgDMYT0sOEJ5B9AsoCRg9mqS26pLoQvHT8aAHlHQeMAShk
c1nAZjPwAKkFil91GhzVDrYgbzVMZZc4GnQFtGiEI4i7EQgrUhh+yD6SzSUyqQFJWByDb4p5Ncap
v59tKsl0zUHLEmy/hiMjoLHq7xEV0MESkkRdfx2GPU98t6pjknl+i/zonNvQc9TP87DgmeNK25ZR
6BaQgsyPUVKTjrkZsB3rpAhSi575KRQLvLw1XXCLoOa2av2a8lkstEnuaJQMxWVqeApf+jrgpP1A
G4y6YeZEWrLMy4E/lvWibZkD1d089CFZzFOU4lPIwGI507qQ2Iu6qi5813ROPkRuqJuCdl7QxQ0o
QzMUbZ+4ncUiGi2kjWt6xZOqp4GHOgw51mUm2xD7/5e8L2uOFOfa/EVMsIhFt0BmOr0vZbfLN4py
VbUWFgmBEPDr56Hsd76ufiO6Z67nxhm2MxMQ0tE5z3JA/saAp00C1Epb5Vvrtw1lLaaiOS8Au105
jEZlx5nmPKmBBy/bF5/pWL440nJWJwRYfAV+lOq1zDhQtprK2DcVT1t+gQdbTjXoPA9CgvZheIp8
JOIjD8ZChAfT6I48r+nMm+CZ6nBZvizTkkw3wTj1wSN2jNz9SG2W2ectn3mvS6N1JMYHumxtc2IS
6MZx06TodEkbncSiyu02DsV71Kmi/wF4Vs8LeJ5pHX5SN3kfVk3rx0hdTKwf0qJGHZC22Yl1QZPd
0igPGkisMhOPrfgpij6BDqpaoqSw5GZL9IwpvUV2NOIBeskpCw99T4zJz44yKdrrPl2agR8g7pj8
fO1TxqU8MtJ5lz6yPk6Gc6aI4MURcyUDZWzmLcS23o6F9LTkAcmGqRbMbmo9ez4GQp687LDbVA31
BAF2NtKlrzpwWTqeMTl8wCqfIG2Jbp1B1kXLCfD0kt21cZ7jZfr4YyBli//B3UlwOEDIZHjf3EDj
+VJl1vD4IlqCIAcYrNLG5aelVxGwzJTM+74YpoHE5fAkxabybWEreOBKpYKm/G71xpv8XrFA+faY
N0kQm3PjVlrMd5lKUknLgdIdk8jtlIrmJeeMBRtkfO2IkQrWASH7BlF7EOlVkDCbt9eRHMCk3ivl
VcEOXiEQ8IOWMH3bCiFrPyUIjtowPoRcrHKoITRQtqj7KQzS/jXmcY/jdaql9NnxYhgqi9IbIxsX
TmIHqaJM7F+C80fKAjkb3XN6IkZcfQVKuE+yoxJ+H7GknRq86FFMwVPf5XvIJ/PEi7yiftKYAFuP
fOM0UdvhfebjUsWUbhi+QaE3d469ZGQ4WisiFJl9JPfbExki4vSPCDI1vLEnVAFLClxgcSuCvikE
+QmVHUXFYaVEpgW5U7TmQyULkboAd5C4wb1Mqneyx3gFYtMnAXIsWm4Kle+nLHGnzfaUYWbhCAn+
NbyD/d8nWGbxGOb5Ml0D/K2l3T408xzhrdhii8HjHGaIjHGNn9djbZIM7wDcBP6WLkZnT9CNMJpU
xFMAQKXJBUSgh8/Zw7aR4itzFewXx6b112A4zBpbfea4NN3S/bdkTBvwL9IGT59DHXy8/T+D/PE+
IAVxc5PHpsMJRH0g5vcG4gJpT7JPVlz0EG941nbJ44TL8AkFONe0TD9ulN7mCVMNlbez/NxHdGVp
GTUCkrg72jmNUZrjrsVbYgOMzVaAOdhMIZFY96SXd+i+jjWa83B4px8jqA1WEOLaxzWJWKJGq4zu
Mx9drK7Yq/Pw49Z+TI+MNS3GJyMSnzikebtf/JKtAvOUR3Y/jCAiwx9XPYS5eN4CSdx0iStN9uH9
mEgbCCacJS5y/5ZI2hGfgysowewaJ7Gf+seAgiPb8ItuE03yQwB6q1HnDWzWYk48BIgUHrwEuTdf
U8V35GOEiOVdznk8vEcZ7zF9xhQZKy7ezkh270Zg2fsXxvP+QmZe4KXtw305dFu6n3/vMi78s2t5
y+Wx5wW+VwxJBHK9Gdc8mq6Sj7ki1Uin/PQ55BDCWZzOIpMGX4IdQOPgysgG+/wcgZ0Ln5G5qWKu
wahNPaQwI2c4eKoEHhhaT60BttkCMABkg9sk3DnXfF/ODvsr/tasLlPFsUGyuKyXCR3bRV9A1BFC
XdRS0nZQ+o5gxs9Q+Tm8X0zDiBckjWl7C9ERfq6dB26Xhj4CVDQAy29v52ZiAAW8VTh6JLieXzIo
ZVEFsHXb5z6o5wwg8ZIMMSJMYUXroJnqsMV2hyXoGR3PKcVWtXwNs0Uh3vBW66a5+IST1dQKq45O
tKh3v69khFrjwiiB4Tglv9YMdJ8tBmxkvmHbSyIK7adnaEiEzy6mj0tfKIegsU7MsjW4ooZ7SB6z
LYwQ5SZL9uGLFrPPGuBV+xT/wE+LsfEYgcjF+/VOUsZ4sZjgeD+UlCl+k+0GXBnezqanEF/INetu
EhNZvCNbo72GnVM3Yl59gCxblLaWHV0/WBafORs2fMf2Ab0xlOVADYd0ZwlPLGpQ+nYdaidICFoA
E+lV10DNACqRQAMrIS8uJoTKJGMr9rxxRaRRR9R6++A5mexQQeyKBlg8NNIcH0frYlzlV4/0DLIY
z0Zr5S1N1A5Saoft7iZvWJJNDwQw1soOC1OgdY+ZN2k71oAu4Hksc4BA2RvhSYSSHJshxc3fArLh
qrK+27eNLmX7dLOxjTD5PkZSTRpIdCJDmcyXfoPMJX9oNueDJ4tkGqjCZgaavSHeYn4F3mwYAUXC
/RqY6aHXOaK83FGqViJfRWZNO+3NW0ZXMUTvZGmz9jbLBrOyI4n1OAV/euhzF3bAjpa0UBS3wL+D
qmij3L4AkfTN9CXkg+K8YumaiOXR58hthh90lvMQfx1ZAWjiZCH1g0g4iLexedmIi4kuHXYHSLam
KNLIKfM8pS5ymOWdonE144+gh8vcg5la6s8r+biXg1EAiCv0NFr3y/oVbtp23uMfXfkeTZD974tX
jt3+jv4Xes9UvP8tjcIA71j5ur+RJUAnugMq953bkC0zWMoc2SK73aY1MgeFhbqvStrt//mcssgp
EYkorK341wcEv4fTgFd2WW2Sl1Fsw+LeQUgMoY4PewD2ZN0Yjc9+gC5SIC3bdjhwBE+EFwguEC0G
6IeDJxKCf7gFbrmfeSNhq3j7PFBqKba0AVMlePqo2Hqo+XOImHrjyEPzEbCaD6BxQIcHzIagHXYQ
crSZJaTueDdoVoohc8GTk6nBNU8eLN58KWO+p3GCLDhGPrf7ablfCy7QDfaREkLBfZGbeKcZ694v
+5zMGQQOskzF2HfdQagWq/H4MSDAgfeg16ARBb6XjFGgrkScQA7wL8DX3wp6YDmID5jBMYIbhLR/
h5XFBA4BeHX8JLTOcNY55wtWg9cIs0NA9hXUzgBeRDnLYT/3f6nufq/t9sOjXT0EA/szOXH8v7EA
1i068GMOqOojNCpgwDgL1AFYSf98qL8B6FhNIbqk4FiArPAz28v6v/BCvoB4gSGV/M8cCZtF62ow
jJA79AnfZzfNxH5TnVS4w5pYglv2GRz/+Vx+hxBSqOyBCuGJvUUGOhzzPP79XNicxIBvFX9Ckz6E
MZlGez4+jngy6WHTSJ3/bZz/+4DwugI4yAoaA1ykf8MVG2HDqO1C9jgsPTYK3mDHP+cr5B2ANX+t
7H++wOjv7qBwx253QTR6P8Cu9Hcgc2kV4f3UZo+fEcOLbQft1yxZ0/S4kLGYj8qwzT44D2lt3TlI
Fd9IYhEagnEj2I/+5Yx+n+kYc5RS+zNDIPhO0c/t77TYCj8JlIHJ8Nh+LCqPvA5rfHENQ1yXxSxx
CwRxK1YmTbA5ILUIxH4iyiSD26p5QGV/TKG+S8NyQWhZK4T6AW/H+mDRLWRIqCcr/8FnmY8w+88X
8ffbiBtHdp05GBPYYPEk+9/nDfbdYYoXqMvF2OyRafuVCJkx7d3DGhSO4LFm//dQVwoCBLr78LO7
0N5o/ffj5dDq4gaH7vZz21u4GFQZakRWXUI8zv+foLUUciD4v4AsInBjqf5XOEg8AxI9S3X7sS0h
Sd7vRt60WBf9OOwbxj9f4B5f/oeFBD4LFxsm6i5KAVOM33+/QL9ui7Rb2lzkfWCbtMq7Lk/eMosF
829L8L8PhVtXgMGD7xxF5t9DXcfibnU84xcfqcicAh3BPIqHDi//fFWfUoy/XBiwQhzq12PZ8OjP
Ah2Lfr+wMAQvA9XieLJbHIrxEKfLrkZwaDrt9J/j1oNDr/TIga3SsmMbqkW4r/gUdVfYrSHB4ZVu
DJCf65gAewjvO5Zyri9W5AapvmUwVUXLWrEYlNPXcRg6lEFWxaQfDl3rtniqQh1mY1cXNgXUdp0s
kU4yqPZ/8XlNhmIkuWN9Fw2wJXExU0hm3JzJCJiIglTjAoVGLru6DZTBrfhMUPIAHxNl85FWIEMv
sFlkv8LYR6nRwFwFylN0MUI3SsM9DfBzHCCh1XGBOqGPHd6AFCtz+W0ytnsyF3xEQANyFKs9NEUE
wXAzTl20lf1oaS/rzOStcuV/II8B26YoPxOZXxkUmDWP8d2GYt/E82EGsoTaosnigyk0Dtk1qCrm
yxBsheRVC+066ing+a1qnxOkvTS5zdaJEnNWWRjsYMA4W+CskGHvdRj16wg9tmhcB9gVCEwOlqFU
Yir07vnS3IddOeDZyWl8Twdqcn/gAxb38CVd6bzpL+AbdkYLOWAYZ7d6GkEifJEGaDOH/JhATnAU
dojgvOwiJJ1/rig9x+IyzRYfv0Xpsk7FLWAzZh56SlUTH1Q/BiEqYTzEaZkqmFPBpR96DVtnUfsl
3uwKrSKQiblCahalRbXC8+ivG1gvxg12DeUlqmlaWPCiUoTjiYTt5N+zsGtWUTOChLsvu7zv7GsP
5AUeTZhld8rtMxYN4MN5dl10iNvq2Is2ix2y6F95FoDvPU9c+2nfdD6mRvsrG+zztkHJZikUMaac
bZh1ESIZ1zlOI26auPRNMNMvCOK6eDI9DdpjJ1OeloJz/5SuEhLlVXpIj8mcXEgoJs+dXeYLIBn6
Mbdw1iw0FXC+TG0IzHi2Xxgm9QXhsP2UWH3iXVnTvvJQ6nqhEUMt2ibTCcUuIKW4T68KE77pBsux
9ybbPRSmziHzxt0NA3uEPpwclJbublPtFB6wd0+HYg0TmAahGP8ujHuKI2KuLAn4VTePE7TcgKCh
feEXs3a0FtQXD7kRA3h9I3/IcWB1KwwvV9L3dcrocFlscXdcWQ8WuDcpwVcXa18R1edHj688F6jH
3u2i3Qm6B/ZjoA3cSEvUbuVKVXoUKtRPBk6urWwB0YxlkGj+7Jet+NYGfYpS3nVffBHLQxhP4SUJ
qZCQygbJNQFMd7TTiG4gKmcPAA8l9EpTQn9EoHpQz0QmepxjJeTRrH1wiMZuehxnAsABoaAeYSm5
TEYLa0La+aJiOfyXxaucY7qeoUBw38eYqOignZlQ5shOrOWcpMXPYkpzeJ1YYC87CjlCTaJJPSxz
0qBO6vQVvIXRUMGaob+FajRQ15LwasyifYaydOdQ+ewvF6SzN2HezGeg38GlbBIR1wWi34/I+6Qv
t62IBMpmE3z1ZvA/hyBYKhg4t2/jqOCppcxAPrhtI2auaGGugmLKutpsvlkuM8dhGAsjI2/XKEcg
RklVzT5pk0t0mWnNpV0Ge4yNi6/StltKIL0vqYe6HLLcWxJh+cyjm2pAi9Abw6I853W66uRA8qm/
NYLYr6tZkJOFoLf5WLoGGoimyiVPTRm4hHwDM63LJG77kwZQUMZhNz0sUd88jGKdmqqZJv68uztf
LVzNsDstDo7syBpVKpwfGFdYNRssvEVsFVkKf0/jUbRVv83qm+rMVoLk6V7w5Fmo/c0cPVCQCGcT
WwigbcguiezJt7HIlmsFvH8G7UAcDsqmkrlgQEXqoDkuAi3LNmroNxugGKgL5GeqTNU43Gc+a44I
9FlWUfhVL6ZIi3vodKDt8MI+x7o3p9kt0UmZOftmE/bsUSc/b0O3FafBkLVUQ8d/rhiQk5hy5w5I
A9enydKUlZYMYGwbPpWhmOdzRhtzGpCHRiXMAfSZ9hN9TxaTfFGW6Xeo07efDhO8nnMd3xAIC04h
dop6WIbpCfllUKa+n68DOzZvG2xhp6SNGJRZgJNvxRoS7GULIlKoZAE8KG2yixzETGXGXp2a1Nln
aLsSnP8cX0ZhnxxVloxfgcsN97QX9iJaW/rUdXa74qMaDkuOkIsyuJO3PQmnS+uIv+9hTPpii4J8
T5oZwSEe1vmWrB0WDzCtuyiZ3NVic3+Wfkk0cJuiP7GsIzXKYygsAXvQ8xZYds2YsA9bXIjnAtDJ
12Erpi/Y8PkFFlt+s0XBBA1TJo8tZek1GO4oqaaOtnWxrX2C+W77I3wy+r4BBH/PF22GCsqQ8Gi9
Gr6ayRGO4nrbri0l7gpCJViAg05/gUCedojZ3XJI8qa4iMD5VbPZyF0x8wTIvA1+BCyGBu16Tckm
KVT3C3LdOneAtIvrJk3mfDqEeK5eO5UtNezaB4bfA2VpbwOy9i/tZL/hMxxAr4xexg4ZjHK5ul2o
gvwyNZG8pNrEby5gzletgN8JUh/3LON5Hk4i3vX0VET5FWHaFkcadj297ERhavC4sDrP4Lvrgm5d
XqKZAIUDLWH9rQ7A91+twZBjrLPQT/Z6oDOInmixEUyaZOjukoUED3lPJfzVixX6IOBhelRczt0B
lO8qrjrYEmQd2B5S/JWxKDjl8zhuj3CAWCdOe+oR1nRYdKsbjJr2vLlsUJOjAUOUI3Op0s6x+QZo
iRqrxEX8i883DX9r2GbXkOuxqPa77x4mxTSbXmAb2QqLOGLNlGZInHgPWdHFPGX5ZRovYa++bMnK
4hnuuyGk7jJGsAvPBQEjAH/Y2ttazGPqnmjAGwUFDm+pLW3AeNtUAaHLk0ygmiljQdoHvUbBdvIo
NBX8B0McXnuqlr6KLXD8m7xFOK0hkIP7HcjWpYonWaELVHM5BesyqrsWBh26JRj+PkSjBeA0XbOr
tOAJ7+6miagCZoZMZW0MgH3UWA/oODBULlrhoCERzBrXjQA7W3Y9YN5qm5YBzSO6FcRP7lRz0UuS
6gMHUXjTSMCktVrkcpFw9BSpsyIUOSAxZaNzw2HQKY1L87WMPdjvbIqn2yClS151ipGxzMne2GEF
ZvcSmcD+mHf3VGLNGp+0ZlFy4PC7u7hCCicCXYGbhxTNl7nIHteA6ByJmStW2VaIpBPeoMMArorv
CEJDkR0EbPCwTw3RQg9Nl0e5OJh40Wl6EwVz5p5B5nbsQg0F+cbn+W3bBH/mwrxxalJVokzonjy0
HQdWMHsKsXmECBKZBf2Vb1ftGre3MJu64yzQNMIMZjMlGpfAvNV1afdke7gbrc1WmBIlQXydp+77
xNl2zDXcpgNf2A0YxiKsIhhwhnrDZkPu6SiSpxwCIlvLGVgP5gMmTAk9nP8RadM8mKEfi8OY5/x6
1L1+csM48YNb+MzOQI15XqIfBD13WsH81w/tsYHD96lvwuhAJ6GvGpYGN3GzkKvYgLTUfAR5TVEW
1XHM5m+9y91pW+K4LdFUqYW3mM7DeDBRpmGyK/x0Nnb3qcL6uFRDw1VFsnE2JY06OMM0BJHuPGa4
uMMKkPtpY1b+YOC9h5MCv1ZbLEpfbmtjb7HLY/OXWdPWUiG/wCmwR+w68uhymlWuRxsHeMejNyBv
yxGiHXrSIe2OucnVfaBCW81dJl7DvntuFZRgHIXbMY+Z+qp9POkyTbT+moTMXro4YfBd2kUVlQQ4
CvdwjIuGaedI5DJXKHaTO4Wy5HL2kfzeiCR/axiPXpso8dczmNs6NYM+J4CMXwC+w3uHmLYY9FMJ
h5uMsQR5K4LjPgnJd5hRUQyvfbfv2ks8vuu5COShzSSIUIDJOjv3aS91NcINN4Fr2jTAwtyrqEpa
xJEyC6RKb1ozxu9CiKkp4xbnUKo2F0XV4HsrwF+YE2I16FSTuTivJwEhp0Wu1fDLzujpD4OqTVSN
SZLwDRuvtyUNCj9fBFOT1ZNRwYUc0vh51w0co21uXCnXwNyl6aLe3VwYbA+oPI/aMaihNEuTa1B3
9sqsEJWUliOluV7gxn9v4mmR1QiYcS7l3C7fp2nFWsGiRJ3mDFDMHzNYq7kEIzcfejUnlwCpOSRT
ctmQzEM2+hMPZZvZscvFdEVW1G9lgHRkqlv05UkPwdBB84suPOnLNLbt1xydTKpmTMa6DYMhvHU+
j57ArhUUqiDkcGU2edGePJKqS0S/3h+WQQiFVI4i9YSKI9C3ifBRUDm2K/HWLkzNwRr43ndFCiZR
RUQnFGnmI58zUCldg9Y3SNLsYS9j4clbBxkjp056tr32o+ubuxhW3rFGVcEahDSa6c1UNnK8XU9B
GKue3GUuYUXZRINMvrWQjQZ9NQfFotgRhFmzoGOC0JmmFarthZgSvtNudFWODTddawH+qmhLBzU3
Wet+XlnXXK0Fi5OwGh0KMHPfzkCHknKBzJu6o3VmkK+cN7CQ1R5LBTQK3DhJb8sZ7udsOnLkav3Z
CRd0f47DuMzpQUD/1PWHdADX9sTCGNzLyUAoNfW1XUkQqnvlTIP7QALIpZyCkhkcwAyZOy7/ZxfQ
PMQ4jqpfa2rEkr7CrheLpw+wNjA74TC1dIdG44gt5god2XbqHnqBnQfBOtzyH5wwtCJAc5xgw3ob
opHCU2+8CETZFwC6AlS2TPkMWwTC8fTiBACF4npCQgmPvaLhSirHRzc0pw3sFu4Wtjy0RIK33PVz
V6ft5Nb+KnG4vK2UGiqLsYLoJenYUzKlRmbwaA5CJpehc8OqoUOSE3Ic1A58OBpTKMTjYILHGyqk
mxhiLqTuhiJirvCnjlNBTnLKu3U1QGFnIKmygqTKtZ4ceL8Q2R6Mh+KGAjvodXG9IfUrDixoMwYW
bGbUuDIiAyWHfN0ScgLv172YwrXPAdQ1UxlrmM9K4rB2DlCbdD/CvkGWBfW7sPApZyMV9WyhU1nK
LR5APm6ZW3+p7C+p5PM9wNL5AjiwvNYhS6omRscKFa1rdzBJB7HWTEEEm6B9UnTx+XlACoemTb1Z
Sbn0vulPdgqhYlwKAwcuJNTND7OFrEFoJR0rM+yjrp6SbX0cZQBvO/dBe0AGigqRKZOmJ5uRqatZ
VyzvwcaW1ZQR90P0WDSySWt0Cuq/WzzPFI0+FPpohf0WwDQcWvToOSCdsOOFE2kz/+DBsiMuyKjj
vtoawY/wac0MNmYXFRDnxAPtKxYSrQ9kDceLaNT513ZuSTRWOYu5rgAoyhQVar6Ot/Cyh65GdzA3
vUL6ANkENKxQ2VXQdAxoBeGiGLoigFu3HJV3V5IBefjNAsJtKX3S5Ie8ydrLgI/oaQHhNcwV0NaZ
DtKNeEUDsaJPKSipYBLopgD7/5YvPCgTaOsuBtMO8HgDMHvfIFjA3GD0wQWhxnVu5ojOA8v9iptd
E8oKelDQVvwMIF4CeKgMvw4Qhsc3FJdePOSqs3vWlcTyAhlMdmnRaka+I0Qm6ymZiXrUPmE3kEny
H9xGGPnCbwvkaswBGdk2uZRGhv4ZxlZ3720rcAmwsYEdzjuNaJp3MCs0KX2MAB/mNRp4+HME0ELW
HtqYP3xC4CNMm5Fc9EQpyBNt+jQwro9T3IevmR2jkubQIQqLplwkGbe1hOVovYWnMpZ17MYZpq4W
3QNKKmc6n3lmoU4b+w1yUM78gtOl7S6NQDVcGVi00TUKvQNzuH1hLKz5nMwIvQH8DjAiG/Q+KxO+
u755v443iTPumsPaX9Rhyk0O025rvvgln6A6nuD6LqEGyN+IFfAmd0jA74Zgz3jHghR9iZx6lWXW
MAo5SjNIUWNDV1BeAS653zogAOWWGZMdmhkCuzoJO3nYhgWf4SnkdJCNdKaeE/OnH0V/iNm4VH5K
1685osV8hU41Fq0ahrl4HFM7ORwuTQcUBBIoUBfrm6Rl8VUh0EcFMiG2dqWNGL0KAhG/ry063yyB
Ge+h1VMVNGDxN7hiXA+eIadrJVN0KKtyT+RaO78qWPNtMTF0CpFFi/hrk/ZKRfGaHqfMp2ikIMxy
C+SqSQAGaDTcak0XfZUUioeygxDjVkNhEh5yn64oCmgMV8PAwrQ7dJESX5p0sb7CvomsDvl5LRI7
FPu4ZXc+8YChkxiN1oq2S14HqCx4Obv2azJ2+tVOWpdobwzsEYpKCKX4jCnf2q888GiB14xLUAXI
PG6sg71nBO7y1nMXnK3Coq6tbHK0vJn05ZQO8HrYvLkGLpBfBCwsXoAYyxzTgGfvJkYXiIWE4+OM
bm/nBk+YjSs1o9MFsrWwg3SmB8STj2NxMSaiz+qNBkicOkmXU5/Gc/sIt6ysLcCt2mKqk2pIUndA
+oKGdqsW0Ab66FWwdXmlbIpKM7oQ1sm0OaAPDPsTsuKwJimZnguk+6eIsOhdQ4H+GuIjaRksGDhI
/l/huSluFpD8JzNPWHWF+waB8nRvXLiysph0GGEdbPeUBw0ymoh0J+wHtkeZMSY1er5dAUULrv0Q
2z8UwI66WFCoDOiRuKGJS6RfgqIlT0okpKsIUP2zMX0EKgxKyyZJvq8O6L89NAZ4kH3HBtV0cw0O
HC6mV1S0ujOPloyapHeTEgOi/IgOKNAm2QH+Z4gEllV1A7gGEI76jqyQ0qwnH8OrEdeJDpdJnEMn
OrWdIeRep2cmF59+T3uimwuli24iFXokhlNQF3NKvEXwaqBmAacFfYSikczCGsK7aEPaiFY3srJN
ZsPl7NYFKGaZxUt6RH9FX7xlfT8hqAwGXftaxLFUhGmNPA86hTpYM84haCHQWEGOjDQeqqoVXmgs
GsjY0eBjnYXRP8MhWPOxBqEJod5hNH5tBBhLyRuohQxnu4gcc3AADcIV38LhYU6KCSWMTJbM2hdd
eDarGkRsgboPliG5qFul9OjQr8bjER3RITSJG4d312xztJb4FiPXymuClKzcjEBkuGB7T5G958u6
XwnJeIiWM4Ivcz784dDiDZ3e0HKnwf+ghUfjqqtgGlEwXyn0UGqzaglpkc/Hf6HnfjeIgPyDgZrC
K7v3Z6UZhA+/k3N9iJpDLYZ+DxVcJJ+sd5w1Kegnm3Qcak+PLhldFXbExnmZ2xZGpLIFjzJWU9Iv
+bP6RXT983n9zi7jtPCc4Ax2VfR3AHkIruj305LpCmsSl/mPRpudaOk+hB9dQ1tMxECDLvsXovJ3
Tn4/ImzcGI3dOwzKd28x8FdNBkDDYgrhl/jZfRxx/lDVJGlvQc2PuSAOIrg5RG+MSkgFsvLjVnw2
vbv/YEQ/+pr+tSneX3vk/f/Zkg/+Igz2/9EC/FePWrQXtFyCvv+fTg7Rx2f+05MPT4OAbgiW8xB8
EsyzmC2fPfmK9H9BOUxi1GJ4Tg44ffzrs5lDgjkH8njvR5uE6OsA7y2UPzDS7D31/tNk8Lfbhi68
n7//tTMBvN2YKn8hvDGHsKbwZeFuCdu9V79PJQoAv2CQYF4kBf/qG7GU2Iz1IcvDVwj3nqAruYC/
bHgtuuh19T4CUrIeUbxdTitEVVswxOfEdysej4IKA50g0jN1oLXsGoJ/CwaIH2cKVpTNWa1FXtS6
GEOkka15g1s3fAxiwG5bMLk6gV2jMsVuMwh69Hbj+SNa9hX3Hl1iIZXsrnqPNgkTdvAyQT1/GIMY
jYU8sZchSKlh7u7g/YRvZSITcIvlbMd8e0hHltY699Bar959iSWFm2Nd0ABTCrBPQfTgtyQ9Ac76
IyOdBGLoW5SCrbiZQhldKehZqjDs5X2UjfaQQsl4D6HMAVXVi0PzF0gxwd0NWXrR5fO3/83euS03
bmTb9lfOD8CBTNwfN8G7KEqiVCqpXhBSqQr3O5AJ4Ov3YNk+bVd326fPc79UhB2SSIJA5so15xyr
RkNFF1N63UFkeU+rIL7JNYclK1jIexStS4dYc2K1O2+nqRJDbRfTBi7cB+kPa4tBMVqnOS5NwiJv
Us0goAZyDUFeoqW2ep0tFXm8oYo3fKsrnXjVpWz77VDMREeMu2jOig2izrRvLArHyavFJWhk8TIo
p/nsqGxbBvphEUN54XDvn9LC70ZUJghHITX5bddYsd5IXyHAVm3+Mi51+oAYZx8snIIhZ/mJ5GSs
usfWMqJHyQyuGzufOa8ZpdPt48FtT9Rz6bmrC/2C77D/QDwMnqfSyuno1KNeu7Xnn3AtlJte5/ah
HQs0VY34QBlEZVFI5ewHy29evTTz3DDDE/hc5ai7TpEEO1MW4mxXi+mt6AnVOS2FpjvRqybKi2OW
ixfIUaySkSZLL5vq2PVRlEEqM6tjaxATwfRMoALHZa6BQTGB+WxSB9LXsMRW0nX94klluOspimlK
yDR6zmRRP1KI4HUu0/oRPKE4Wy5JUFtnwQlQYfaFmLgBU0cg+W3TfBGUZKAJB9PiIAXd4TwOeUyh
RBJ4w8h0vj9Nzsyi108qJVUzRQyt4BYh+nlOZ/O9Gz3rYFjkM8O4H7iqHWGZLlHTPRfQCBVF/rJi
bKN4UrVTHadroM2T+OnXJjXzvYy5NZ0xmvM9agQfvqWBePFoXMG9oha65O5Y3/S145K5m/keYFDy
B8UwJe2m6NJqM6tyXk9D2bwmPH+7FLqJt5pgCq0xr6DQ0DMrnhtRoae2dv+RtovaYThvvlGLT/cR
KYS7H+8s4/ztb9Uo+PMFSdiHeEmAaNKhcUMLefkBMdM/2cZQfi/KxD7SoByf+sympUlM0A3T6wcf
UAAu8+gMn7yp5AcLXHcHR7GIrH2rnjdm0Ktdpu0Muyp3WuYMvNoSB4qmxiydGyq9YAMfrb7TTUAZ
lcTZGDpLWzzbgZafdWWk9QYci/cAtcs+1Hk0XcQEUK/rKNRlPBIfJdrEqjfa1dEoF741GelmW+hy
+CA/ifZn1u4dFov5po2EvERm5l90i38m4Y4EHUZj8QvnFo61TslJEXM9f0j5vKI3V/m2iJOrsbYF
eupm9SPoMXrOxRBsfnxbpS7rxzSeez/sc0DKoRiUH9YZV272bOck6JfQBfE5PK9JLaQrzlxx6BUT
d/3CP6nvv5L4mkNJMR722XLuq+Ss2vl+NPon1cb1Sjn1lyoFy1dizAv8WzmMd6aO7xNlUjoNyb7M
uu+ODm4Cqy44KgZhJb3L1FtbSyW7wV2e46531zTM/ZNLWmXVRM4m742VbOY69CVHrIF9bFxJ7Do7
kQr3YjfZJ5Jr4uwq1vBc+PHa9RoLjay6EjbmczoFeGGydR/VR6vyontBQ+dOTBKHfB3PSFm+m+yw
ymcrAI72Zm6AFXsNVEqliiYc8KwmyHTio4o5GbbyW1up+oYmW3MDibzfVLIUB5LIXzsx7CvfeWCb
vKa2R0LbdIpfjVi+9IbPwaQGN1j15ZaKe4BlWamNUVrzOutJ7a1kJ+n2uS6KCAV8qJJs+SiVE8ol
qVYOlK8tTrDHih7mMfDynZUNCb6IhS84dcV2aseIE9Ccn3JXfHJx7NHHbQ/5NJcHkyJ4r1mE16Y/
NpCd84jMG7i3mCaNgcjQmuO1QVYjw+amd+y48XcZcba1o6JXU9CwN0q81GL+bs3NpSEC9S2VXrq3
dWt+8VwDzGqePw2iz95A61m4qFW/glzphxDBepIkARx2OKct6cuF9cBSxT6GHipWOERtYltrGUSP
bdl/0I+MNmblz+cJmEOzIeGcDmE1SKCg1dKNm0XJ6lQL91yw5j9wWwHldCNxT9PO3mgJzTwsRyPb
51XerO0e3G0vZPOtd2RO8lke5rImr940b2NRo/X7xDIzoV7MCFidWbPbB7J1dgYuFdM2X9sEU8Dc
YkMQ1+w93XNUGTKcnB6N284GcsbBO7xmXFYZTP4XnxNLWHGKHbAen7Q/xhuKBP+DXpa60M8Sn/K5
vdYQHiGxHvPqkT6/hsYoI5+Eqso+ZR4QUIItQKcjL/s2dF1xJETnrSD+RzRuDLVlT9fbvOd349La
zMtgnr0oqx9IL09rvKFUVsR0Vrrp/HOjGnoN5lx80UwePbtEfEKHCmvVuemyLniKWMmHdPTCpKJr
E+WlH6yI3sQnNQEyPfYyEhOc+cU9y6Adt37cliaPRPw8uJNx5wqcIbklp5YvET5m1MXGRuXZeEIB
tLljqigmPe+Aj7MXzTY4jfW59oV3tIl9bKKW3kuE9+k5aNPhovMlzTYIuTh6hqAyzgQKnQOVQr4T
Zt1u0qmIgJGCqt8k3fS9KqW8w5I0fNJdqveQDtvP5PjqVcFaSN8iSELtIWsYdkM+ylsOeUkVVipl
HM2aBQxXbbtHGupDuPBZmEUERmgO0s9uUftmu3j3+sIneBDpu9w1zNsuqrot4THkIZkoID55BJqs
u53qbGsbxi6WMfBRf3nNuq5u1lmlinDSLWY5kYsVPlBcbHg7QuwM9m6pl1ssd+AIYSasJGLOlmSN
ul+uDfFc1T07l/IJkrbFY5v1eu9bufFK8PYs6DJ+0x4WnRaz4jZo3Hg7EvvA4XVViEhGrsdu4REn
Qb9SvnlhB63v6KmPBDFHSBQmvTKrmXaTnuJ1z4wADOHeeUqlIOfoZ7u5Ejssb4BfRbepVR1/oxu4
swa2PNXWdMSx5m8mjJfHVHEWxn4QEQqJTmncXuzIcchU+NlhXjjBR5mfBMMa6RSgr2stF0w5eSlu
vNFwU7XJ6A+IZoeVNIuJDqP48gj3Ol7xgYnTofnRHXiO8SEQwwhMqFp0A4t5OkzUv8vJoVRB3IrL
3NnMtNzXNPYlouWIzRNmrBrpUpTAUOUKJHYyf01yJER75VpRLffshp+n0n4wEIi32D7GMLZH/Rh5
C9rEvPTnOHPqLX18+xZD3Eu7WLRFG/eSBjWEomUYLklQAdSntXHXeo3z3gOQCzNZLe+iF8OtLj1j
mwr1rYtnudH03259paw108rsIyQXzeqX9PeBLuRJe257iSlVaK+O1prY0Bf8ZNGqLcfsTQ8xXR2j
sy32++hYGqlLm8VEAG57VDiVok40PvM1IijO0wBvFsDfE8yvaeXk9s1iUWgXRfbhSa1o/pcQtEUe
FrX9NSlkv46GNDgS6XSrDVIKRX88d8O7aevhw8ud7KR1hXPZpzNuualDzzJ4RLoKTBpT8EHWuRry
w7KQkaJIsOeTTWj1oSnK5XPRmcVtn5RfOYDG8JAkrPKVHhbnBoZvvU6r5Gtbluz6SKQfnnKva1Y0
DATiUrUlL0b7lBzYRkprugygu0JqoIuFtHxnZQvuOIF758j0PQDJ88KThpr37BLgvwEtUp2AQPnw
AuahuMur1nPCa/ThvWp7GrJRlk7bUiRsBSh4HlJQ6tfUAUXgf/g0p5JQxY64pKSkPw+d17wuVlm9
LwlsspWKLNtgyfeQaEZTV08VRf/GEYsPWniotz0L4wbz8iHFu7lCZ0rZoJf8nMajfmUigli7rUfG
3akSen+EueuV5MXvWkShOxqICQffNBieYFB0cbSB4wFviuYm++AyY9LViN1rq6fR3rW9+p70Zbn3
rCHdd61ugM1X3/IJ53Q/Rx7Hx/6Ud2PJOavzL3AS1H2cDM0FNPCyznVLdZvZ+Nzi2t90kcUAlcCP
jryxTxz8orUXJPUW9rx/KJDru1/bTv/t+vzNZCK6NbRF/n3T538gSNXVn5s+P37lt56PMINfqD1w
HoDxpM1yHQr2+0giYf8C/8/9NfITmK78R8/H+4Vmk8lJ3PKusxuu0KPfe0CwPbHdo0taxKEI5/wn
PSApf+oB0Yt1eF/XeQ7MY7D/KXRUtggQU+5q8vcN1noX5Wsoi2rlO25t3tSN8gFaZa03LOMuJ2Be
mp8xiNNIzqum7J9kaQ9Lh1HVAmRQdPi0NXOIFHgs/zF12fpcaGlZlYoxbPSEY8YGylaiUgfzPjO0
NtA9HSlLdUC2LnsK0QVBaWhuq4JhLQT6U1aqwG+qk0P791gbpTIPIPnn29mOoqfMahsc8e6L0ddq
p2vlXbkgsDucrDllJefjMptoCzhOLp8SiqgqTBOyq4w80vQcwP4EG1Lj9FeKbuH84gJTviy4Dt7M
RnKCY86TugX0hxtDJoPmKVbj9QxuxSZTEibFCq7gRa2doIYvzyQW7xwEg8rCHkTxDrMySpPbzMMO
bDPnUuOKhktKO983Uae32dIx3gdzBn8YHTOaaB9H6k46UfU66FlcNOxNtauHDJ5G37PDxjjVprCP
52UFgrxbZ06rXohBz8/RUtM0AcHesN3W5BNRyR0+KA6HUb6Ad2wheYhi10u3w3OXq40bN62g3u5O
GhzJ1TFPAMIkpNGs0pxenhv13nOQzdNJDjrod2lmt8M26dknWKqEvTYsgl8PrZtv5GBUJSUHBZ9b
O/TFVDZ4hGGzzAgdhW96BX2yq9ccXOjSuarckwpN1pjIRp/mi9YbPTCShy6+irezHEwudNw0Tij6
Qn/3otR8W8j7bXOHp3GbRynHiMqe30pItwxw6EpnN9ZT8yiqLrmBk1K8gJF3V5GpoKE3RjwA90li
cy07745cdrceZQJBOQFFBCqjENw0YhJqE8dFu50VbrLE64K7yWnxJEfdGI5IN8ckiCZvVVtlDoLG
wuPtJCOTsDKjPhBMlIehxBAPyDf6wtOA3Rr8SPAelUqA0u8Hle/ioZXMy0nHg+aMsMVn5UFiraL+
EWn2K3WesVazv6zBPCK88gSkh5qzcYlTe1JBGLu+OJVuYR/zxOFs71pyp/rEjZjjswjB8U/irJWl
YXF4bp8IIXTn1jeX92IoozXQhfl5TJtyHy2EiEKDSipbNQYipWqM/m6up+rcOmxxq6FmispKqjQK
HUx4a5FE9Sc3ZtiUNoLqgEs2/jy0V8c88m5xye1Ghv2CfxvL4W6oSUl1XmSPK+Lw5oOTtGM4k4oK
tnVlS8B6TiSimx/mFpo7zV1XMvILRm3xrRL5fGiZEBXSkaKdOs0BNdTwNTNTew0fQocO1sb9FYnC
mU6+TXr+TCjfCas8DqZ1oKTX5WtUUr5HupVt0ozuve7xvPKyZPLH+b+74v/beCJpkTz+q23x/E3/
n1dORn8UQ377pd82RhjVvoM73PNtgQ6BUPx/N0aPaYyuKUm7eO41au2yaf1jVt81+EQ0FZHEIgvM
nvnbxmibv9ik9660NYgMmDGc/2RnvGoff9RG2N8IOToWCDFGHv1TjFMot1WmGdcH3JQQG/IqppCl
x3EGLeWv/3Bp/oUSc9Uuf34tYrYm1yIA1/WziKh6E/+ZL6qDh3HhvKhZnLPRCp5nrsCpbZdg89ev
dxUlf3o9eGj0XdER5T/TbjsDoHfjm7xeiYMTXACA3VU2LeI8TLZ1AHTqMiJo8gWIrFQ+/fWL/1m/
dLDZYKAlyknJAZgVGezPolNrmJy8QHoclm4YPigo6CsXeGVOs1imyxQtwXMkzb/7yP/iEjtcLct2
wWCDGuK2+aNqOvRD1mnfY95CKab7vEiGD8Ti61ae0rmOzfk/fkFXcJPycty9puX8jGrNrjk+SRBy
nxhRffPr/Jvk2tr1LeMLZB739a8v64/ZkX/6Uj3HtFwfGxIBZMYa/KQLz70wlzi6purqqWUyDdu3
vFuW1lSUdJAxQ6xdAj9MZV9D7OLSKqd6rprG02Hi5gvDc7zeuwyzZJpBB/mEuFCT9Ce87NPLLP2/
uQsgU/x8E3qOEOhE3IJAp+XPOnZVwlnNymHcU5/G9pNRUvbc9HFhAhOqGYdEOlboI4mjubjmRRzx
xDM4XwyMOnviua57THuomyWu5LeYAJu7StyCewnWL7BOYmO0SHDWHhXKEUSOTolzKXFv4yJ3ONaN
so8z0hUp6cVZLv62cSZxxs3D3KDRM+sb8PPoARwP76M0oPW/dDRm3n2cVTPsqWVSGzrNMrvpLGe6
p/eDdkQgPg/2mamMzxmaFeSAq6Py0EUZfMuV188GJSYNYiG+cZdODCoTaZpNt4NNI/thqmZ9qsyk
IFzhsAurANGW0SQsBJQDPKeT6qd7Qw/TfcDEFT+corZ5HTPJgbczrYMLz6cNJ6WaV7+01L3Z9yCV
g3Zh+Zowq9Iv6Jw30jvTpe4KIVcUm82rlQzTxWgN8eQM6DzpkjpvkIcl2/wcTK8upqUxdG1BEhM9
dbqMdscnbXIbZlLR84JEfaNnBvYwD2T0tfNWjFxHf0G0wqYpnsaAL23x2+CZA6zz5hoU2GnMEAsi
UY61net08MNgMqg60aymy6/3apLF1kgHIdXjbZpP/UeRMRdkZTt8WDnDJt31GpQw7iscMjTYo7Q8
QIlpywFLTuCPm4HU6OdE6eDZb1hP1wNAuGlTzjb3iapc+63uURqTGMsjPdLgFMxd8EwfJGN+S5Vy
ZwD4MEKb8NRNhw8K3bmpp/txnBu9Vi4IEpy+ffOKCAiCKa7zBVoQxGt6YImwMDpnBBx1c/2sGmvZ
yo/rbv/j+tvT4BD/8WmK5h7ORt9IeiTXwDz/+BkcklVYzmbGurEke4PP+pB4g1rrmDFQhC+4gZPr
4+GCdGv2hCCj6AZnpNmEqtcEwtvJDy4W1IAOEi51KA6/wjez89C6feOs/BKE1CPj8WhXrKJ6ihhS
mdGtjyyDX6iKVJgHLQZPTYhCRpUce6Jaxm42x0yvaXrM0QX/llOsEmItDdOIwLOeJOyYV+hL+kOR
slKhRiJJ7/VsSP255/Inu77iHNNLsLWrxczrlUGWnfAMJBc4mg7XuX9qEAYhaDG2LuJwCPC0CEH4
TgeOZ/YWJ7R1dgiF00DT+yiYp5shrqcnF/JZmDQRhkmIemebXF+IBUa89KZs1w3wyxUzsMSd4SY0
rJO2j1dDpJwvDHUNbO6vXjNPIkinG0VMfm8jMDHd1ZSIXWa9nJHI4w/MVohVuPqOVZq458asggjD
PL0zxnCWfOETZ086MzGDo5pl+AhSbGprgkNxuubmDo52BCd0TSgBaoDwvOjZquBCroVhf4Iyjyza
tW+VIAWXFaZj71u4VYoftLjpcJ1zS825g9Qi+A8Eu3G6sM1xL8uIzs/eNSJ26aVLdxwxmldHDMFz
OSfY5b3YL52VoxQHWoapPU+kEM6NLZrXub96t2DRvnFQjBFOXRbMWuZPGa77z1kHmjYMZgeisckB
OgUEwbjQ4DqILYgw52u/fnJRAuj+M3yPj8EQLKv0naOD2Sr4vPSN+FJ2hrEcFrxI/sHCHWnpUDT9
xIhBWKxHV1rW+xIrx92QRjj+IynY9VlyAMv25CVJ+/+TFgQG6j1K18894kz64FijodZYRkT4x9hg
Jau7iTjQuIWJBI78z/lBe5YttobCdn7LD1aeYb8TsuTnG3as7hPQSBm9B75OGRkMDafeLn7N2DMZ
5yMDf+CMnJjuNXLpSvr8C4yIFwwz9T61K//OSywTDRHNjmR2l4czFt1X2KfUIs3g+CdLp0aYC8XX
CnOyY1oa1s8NKb2Y+Vd+Px9mK/PPYBrYFkhdYS4s3P7DLPAkOBGU0VXuLtw07cid0semvwZOdL2V
xrhiinRyNTHIgLW0daFtrbKAv6MI9O3cIQlOvearCQvYyTiTx4z35Plw+dLG5n8kOVPlVpMVBye3
aABNxDJnve9Ut58TxTqonLjvd6jx/om8KW13QAvMDmYzKRmW60/3eDR5lhxEkp03s48znzvdWdFi
vy1zxoL/Ywn0kpF2C2yr662vzSK5Z3gLxmiCGfZJj6O5gzy4qFU3GP1HZZEcXAkLGZqdtXXevIL9
sccTp9elkxbdGjZnkawL0upUDDPnmt2vb0swW4JJeklGJREZ13FWHvH8m7boUJLncbofFLVviRF8
I5aimo9SSxd5dJxLe7oFMCit0GQ41auWTGCkaaN412nZ8Fm1WnhJpo/N3sXGdd+zW1y1vBJ8Ztzm
uEN9U4HDjCfbPY45gWLmLjnzY8ScqlfG+7Kwzp1BL7/pJqga/zIxajPsDI0Zm9hjURvMVRsT4zto
6YCcrg6mFe+ZKic1vOBZTprbwi86dvI2GMQTTmm2p7hDWt52RCIX3kl6vaIYBTBsODPb+tj4Dhtm
x1L1GF2/0Swj0L6MJXdcQYbzDHaTU8MgrwO4107fXDNnHO3NZ2HM2I65TpSWj1hQjfFRuWDemjDV
SZz4lyKHCcpW1ZAZJRgQt3O6nfPUiAUJSaplprnhWAdcQLlRmHCaU5La2JSKMl0DDyPM5WIcIwFE
DeLJxDzmWOnPJEoUukvCpBAS9esJLPexyJbmlq+/vdQ+K0uuEuNlMoL0aBCMJNyfsPUANd/H0hXk
aFGAilE7fI7WXVcmwQfTCwiJ9VEIceYh9lnSrS4et8KMBcZsgTt+mtpDDaITxnohLhUQjRodaOiQ
ABj1J3IqEuZI599BYTpbn7FgewxhJamBVqGj170OWRW+V1373Sjmu2Cy9YH7msJgbM27YGjMO6ec
1Vox09Lt53I/jQ64GIwKjxP9jG3GJso8sYTcGUwu5Er7dkJWf+DbZl+upuLIzlfu7DI3aDRaQ+iX
7iYOitsxJw5rcanuzLmJPzVo6K9dLa1zrUpacTQ4KSCndlcEBTxEheVfXKj8SBRgkv/uuJFztAh6
pAjSAKSJEVaetiN/b2TLN6d1+UJsvMLMkEGBT0BVmQVcOubZNvjaItq886iuK0hiskKwX7Ea0gG8
GVtpHIghMzmyzwtu0jJhtUndjjtyURHffTQVyHBzznieUFF2/81R/HpK+tMpyqcR4cGK8iSsV/kz
vQm/Qhaw4zX7hsHgFP0KI/mquxa+f31c+6fTj8/wLBoVwuHYD+ToJzszjI1hzOqh2RcM9sO643ni
qe07tGUb6s+New0FHn8sh3/9uv909Od1oTg4gKmwpXBS/PM5mCN5YWW0SvdIru7bYOBHK/upYN4o
M4CQj8tqvrhuwlrcqmuV+9ev/pPYAFQJc77kVMwDzpv42cSN6Ev3hGjvHqg0BxAC7vKJeT71Teb1
rPZD3PAvGj3HkmvlzbQHFvcfb+G/Otbf6FhwTq+zwf69kHWbch4cu/RPHbtff+l3+zJKVsC0cI+J
nT8Uqd/niTu/4ICRv/Xwfm/Umb+48NZ4hhhSIYlF8eK/K1juVdySNIGugx4sKIP/UaPO+ulZQgnj
YUUs+6GW0a/7qaPUCZwIdLeT44IRDc5oEbvk+NBT5IzYYKtXMy49MABOfUmbuTovmrGNrV+aIsRH
kG2wb5qP2cDkn00np/wu8YeMYK9RZYTIut0UkM8cyOVxYE6bdu34k28RUg6ujMpce9s5cZIbVej6
ZMZ4QVe1LE4NCcl7r7b8XYlAvYu8yNvZeWEPIceqaN2PuUtkNOkOOZLc7Yj+u16A2BgcDWc2jxLU
z40HRvhLjjUvX08M1AytZMTwaMgBsDXZ9bq12QCvycfDaL7n+VK/QX3zb5fcIiHeTf6w4QdiWF7u
hGYCAFlHkx+T5AzALNHSNw+CkZT7vJPGV12zA3lNGqDWV/6hjsruWzzJqEWuasQ9julxN1hWd7F7
Wx+znNlqnEvI+4QWE26BF5mw1DNK2ALw38oAsHCOMaXe9M1ifK3cuBtWoqnlmUZndYB2/qKCqb1k
lFS7PPHVp6QZhkekM0b8FsbSvcPMj186OPZBODqAZHAXwhJbqoD4qV8xKjj3UChAbh8SJ8i9kEkI
3Vs7T3oMpa0/uxI0DFnp4r1Ih4EtNx22gs3q62KOxSk1uztjiZ0jsRogQNGy3DRRoVAivX7rTX4v
1xiuOIma8yg7vs84f2HsOvk+rtLIXyuNfit74myz8KKwq0uXDwrEBDUtGlFSHWOfEZLdTW1UPKF6
JJ9zsON5qBkNISk0sCCU9HgE+CQHkwKUUtKEKffeoe3s8Xa0gwWjTs1k1dUsCKsnkLQJABIuDTUm
znWBGS9ewbXQ39NMkvdoJqvCX1r0yw7AcnWfug5z1NvZO+EhXtbOMuPB7PzythmoK6VhiTnExoOb
oLZJpa6cuomf8dJIdxVgV35vJ00sPG8cwtFFx081ZrlfmiX24O9AP6v9ikZ16QQPDIXGuOUbmyYp
VZhQqridc05JXn+tME4czA7Sh84IEK6BKc07u0qmm4UpHP02C4aKeQlZ9GKUbmwco1a22SaoPPHR
arMfV4mpx4tadB1tFC3L1yEo6I7EVTs+CDjMXwgaMFSj0eIt76xOhWoeyAJrr/D3tpVrBtz7Aacu
OSMhl9aEtx5TFJstoI9nS5nJTWsm9vvotpQvwuamDYFZF/smrvwvGc3zWzKGs3mYgjx4wseBkWiG
QEQkN7kGARsiuFs/qco3J06CT11qvxumbsiiddatGN35m9MwsJh7QtTVlelRvWTx2IsQmRx1tCqq
7nXwbJJ0s5c15NNqUFOGwv8xOE5wSiS0hmboHkSParACWj1sOhPXHxPw7I0PkyUs0U8oUUj9EuJP
Yf8HOC710B6xqkOJMXsvXKwk87kOdrarCdBnZKVmLzSCxtwRUE4veN4dHC+AXddGMEQ2bKvOfJV5
EmwWm8VUSbPBGkyrPKNCa4pDDA70nNvXHG9QW8OlQ5G7hhbK7HOeZu28asVgaRazaDxE8VT519nh
zRflzU23tw2/30OrofgGBNXf2VQ8X2vHK4lgi0zdz+1ssLgsCcMKjAxeDS1QtTX8pP3i6hn6F9SL
V5hr4tbqU4z5g+6Z1WQ5cxeFAXyFu2QOImgZskGITTRRD6pVJlmazSP41obpboG+gUychmWRkxqs
cDaizq9J6RUPAY6/tYrT6JDlLJs1yfgdYdqnuHLGXX+lkKSWLXCodinZZyMH74bU725aBp58LJaa
oDoLt13XoNqAICVKrgrTz+4mMLJqvLHxwGHittGQ0s8LKZhqj40bUMqLD/8P0xsTMMUwvNBjBKkT
wfleUVi7dyLT0ZbIQ4cjqDAvcHdiwE5kRD1m1R1UrJ8dIHSXFr3lMgq63yszzaJnjnzVC009H2uB
V+ljMsf5s1+5GO56zWPlMwLv3hyn8h6QAhxdBgSEQ5rb5yAuMTOqBVqh00HnEux24VTOpBkkrIfW
Bx2Io6ksz/APeLtubmyR6RMuTGE0POqBtFeE591TK3j7yzTIW8cBXgENY4gebb9zMXDk+ikeDb9d
MfM5+WYtxnwH32hEPjba+jTTcmWac9M8YgL2DjEf/GtD2uCg587BNIe1leb38iW3mQsbLuQ79rEg
CZPRu1lNYhg3jKgaN/ngsB4heyw3cli8a/AHk4HO7tti7FZOC4YlqmmvsMjm0UUv0aF2M3lLQUpm
v1psJon4Y30fLx4TTLieT109CaYNLPDAbMPbZW1n3OXMqbGwvWnngRhU8sGwoHSfTgbei66dGl7H
HObjvHjzg8w7vaPhEhyUGPtnuGbMDhcwEnie4PZUY93RZ/aAcGGqVCncmtlcMx4D1AsqQPtAZ5CT
Y59ZhDMDT2wSZlCCEyrsuzEvo9vFC6ZDz8aYrhqpz1XgfzXrNPgqeqLQeASc9iWFtfTF1FF+6Guj
2VVWYviAVFhquP0SNmkbY0Nomaa3TVWW30cBJUjjeXqdD8J9lXXq30lYM5shuS6ahOTlNdWinWXT
dVLWj4gGLynjU1mxE4r3m7ZvRxFiEWeojWK4yGtqRPmjI4K+vSemn/Z7C+M7IH2XKCeQJtGaJ+mS
5NgxxaIyAaYwfbsJ2fi58rVc5seujYFAWv68tRLX2zaBe3VDV26Es/SacJJ1djMQ/iz3EJqSF5Dj
TvomXR5xWm05s9E72qXxtU02AVG7FQK0+rCrfx2pzi0raVBiYHIZt94yeZ2yd/qc50b1NVOTfA6G
0XsS11HtLTPbW8gAG8YOlwev7ZvQGxWO13q6uMx6ZwH8bjP7PRvcV+86DN6qr4QA+zoivmdWvBfg
e0chLe5bUWy0XRonvhyJJ4kh8xVSzndrcRTW6qZlCr1uLT9dpWNa7MnGDA+Wo/M5JJmSgP7r4Ck9
+e7YbcpFLg/JQr2DiYPQyW9E6P+env7m9CRME9/evz88/U/x9v5W/tkF+ONXfj864fTjnIPZD3lf
kN/mvP978tP/xQb5bZH5lCzef05+clCiHRH4JjIyoFZOPr+focxfpLStgGaqi55O5v8/OUP93PW4
tmRxOwhpyutZ7WcDQiYaafcYZfc4uG2SQ9m87MfA7p/+cE3+hc/hZ0/F9WWISlzdHlg05M/zwhfR
dzMgR2MPrBw5F+TD2hpN/67UTGD99Zz/b4cr/yz481oBDRYG71lQ+n/YLv8o+PNdZH3wv+ydyXbc
SJZt/+WNC7EMrQGDN3E4vKPT2YuSJlhUQ/R9YwC+vjZcEVkKZVZE5TwHobWkIOlOOMxw7d5z9hnN
8DDrlXcnnHa8xVUO+HMR9KGZ5/wdFtvU//nXk2vGti0QNeikcSKQ+fklp4wdVpdteEioR5iuNVV/
BkbKzBfZYmWzZzOOFKtsaycGECLggUhdxsoEw3bf2BHutHHkSDdMqJDrNGkPXjVR+M9eK76UQLfB
FnYegrTI219HPhwNDf9qKptbvXjIM4JSc63tXxhblyfiSfELhRgdw7lPLhYCeXJUmALs5wb8BENY
QuD6rngwyAD57tHs/xDTSf0g6+hWDHMSUEgjmgYceVg4oNwyjXZcP6ZP/2B0Q/G+mEt1x2QnfeEc
lm7ol+Y7u4lLwCCcBIaqVAdRoRxvlsbYu6OAft7MKtDjqd7kvdndSL2vLuBrEJyBgngTeaQdcmdF
07WaOjQzDAS6YV7oUEIa1dfOJbbdWYoJzOkSDxvRKPgplLY70RntpyTTPMVJOW5l12zkrCLVfWKQ
bc/dOS7rdCevInB1FYSLeBWHi1UnPrSy/pSu2nHMtsajdxWUc/zwvqUukXEbomWQnBfGjPwcPNW0
azFp0KVa9elZTMvbh7Ka34mrgB0ydHVed/ubedW3u6vSfZUrbgHcce9dhfDWqonHsvoYTwkenCmd
H+NVOY+Ao/1EPOK4qybR0yteJfYT2Xrf2lV3HyPAn9u03kbEU9xEDLmZeyx2jJ2WixOXYX6LJG95
tUxDe+A0uJzFVebfTXoGqW8UiP8pDMVGq8j8WL0BISKhw7j6Bcw5yc6C08m3CMHul+xqLFiuJgNt
9RtwCToS3ZyvTZ/7CrzbpczXUZBE/rj6FRyMC+HqYMiy6MXrYIk0q7tBW30OC3xAv5tUSfCSJSjT
8UPIur9JrxaJaXVLOJTJb3jLQr5YIo7BUxGv7opp9VmEq+PCoedrX00YtDctbm1Wz7R6NMzMolDF
tjGt/g271fpbAjWXL/3q7uCTtb/UMHnvgMpgNlxdII3dazjU3EfiZZJgwCqiDa15QZVhBMbqI9FW
R4nyHPVUXl0mOn4TRj4PDHtfGcpiRUl++FL6q0mlvBpWwqt5xfnhZJmvtpalw+GSXc0uULYxvsxX
E4x7NcTkP9wxTIOwyjB9wjaT/fDQ0L1fHTWLVjXbYR679NkiOIrhwoZQHHdUz5KKKPD0TkZbG3wd
MM+QaAGqWcHZvXfLcs/4yZHMOSwi+pD6GFD7XNWJbZJrs7vr0i5pLKb7PXlNmVqixzGz1zC/Ohmj
i9MAM91UYM/VfYSNgE5X7TRdfOOF2oj7jKgm+5NRx0NLpkEZanGg2skzPqSIqu1dA8dbfpPrqHkT
96TNnTKGC0P7RHkKSBBid5d90uw6e/LGItm3uOvXF5P2YRQ4i2U4a2tCjhHOGzU45smexkps8FAg
kLY1XOA2PagTOPgGXdJkH9C6rgblDPf0tlg8/dmIK7QbHSIzCCChEz7N86C+OkYJDa/EibWD/2ke
qxxp0AZX7wxAP7eOdYdJPFntwn0xIBEvmhDtNwBDxoGWRf9CjlLfgQGokIljk7ZrD5djJ9yJTleM
lDYMvc9QY9EWIYR+WjpiNnGMaAMgplEVD5Np1d8tKCJMZCDZ7zLCiG5qHNjLlryxPA5a4mmPrsi9
u9xOnLe8APu0McEw7tBgFw+ayiS0aLLMSp8MX/6fvVqnIfHmH0zBvDPPUofQzQXDcITRGCkNZYTO
5oHjm3Wbb//TQy/7pJ//rgqkRPrLMvD47S2ufm6g6z++4w8viK7jBcHYSSFIeh+qqX9Ugbouf2O0
rtsIMn9oYf/oo9N0h3gjmEVdpbBrbfZ7DWjpv1H/MUkx0BeysChR/x0ciPVrH339CehqHehKuoVY
8pfkkkwPmwH1unOxY0sj4aycmhsOONjhNFefbZ7GE2BfE/AAhJ78aUmYkX3RDfk9rhb7ySI2E8F+
ZT47js6RSWrJjY1QBc4aYXPhpi4dt9jQ2PQqnAPL3D9qOanb2PKVal5E2dDwIMckN4ubzEu6PW7u
NCVcN/awzze5u0u6uDwW4Wz6Mh0aRFJ6tC2L3NpScgPQT3SDJ4E3PDBXXsevnHLPuVnX524w+v3s
jM2JUAP1jVbKZ6vocfkCF/tE117uRZ3Un9siEz4+V4f5Y/dmQgHk93VjDOfSwFWwzPF0EBDUwSq5
2qVMtXAiBGLcxaQW0X5qPQM6hi/rQS/Gnd1BftwYiUrvtDg2XkdcFNZg1ls9mWq/I7vhce5Wd/zQ
YHLpxSvr3nuZaDfeTeVk7mvDe50mkMKjIDDEHIsHK9WagzW0xoVqoD0OgCl8YObJuRhh40GITm7J
XXjz+ga7fV3WbFJOdtMAItqjDxi/0BcIj2RGmrus1PPv6FPaYEldlIhotIGgdW118Izk+0DHO/DA
pX60dRfsYpSg/MDNEzECz93PqEOzwJYkBk9u9VokxSuBP8ktfp8FjrsaP4UA5QJMwLAQs4SczVoW
SB9Bs0ODwx+vb8zEK57kgvQBf0ZcH9c78qUZO2fn6sTPgqbPiZYxhibZxFL2vHuw+6XGE38vRtOZ
t9iUeBw4mR49Wpme3cP8Wu5CFTPTWKzmHFP/0EwXk82rmBW4FGntCSomWwNnRPKknC4/20U9n1GH
mbcG0dc7Jw4VGELCAMquAyrrWjigdMG4fMi0+t1DZjdsImXpe8JT1Rm7bnKY7LI796EL3mVyVPQN
Ornm53Vtk70OpoUBdy1vdMgTFQHcUlyAvoiN03oLWpwSIarfOMRzRm43fDAnnlIkkUAZzAi7wzco
JJRCIl5gPRu2n2mFlvKcNLwbZDagHfraGvCSNlW789R0JmVMgUJx6hOgw+4lomAt0HcZ8XsFxyUg
w8U7SOAy59bWvjlMyTYmjFrUryF9EJNim6bZEjHKqc16J1NEXMBJyF5uJXMRADjA3WNgFbb4Mjp6
viN+wfkK5nk5EVc6xr4zxg79MapVkArqIyEE5r2WhXIrpEtgYl95EQ4NNd9USmMA5tLpPrkO8sUt
DOc4YMay3EvbqoJlBWk6Dmo57CLGsaNfhgAEkKebq+GDHdvVQ4IPlViBcJUzeFFyo9Um0wu0xAXH
K34lhwQEMjRzr/MLqZpVtTuj3xlTuobhHCTKXV7GqZk2I6KwXcwwkXAPwgDb3gpviUpu7x1auAQl
ts8cKJxHcjcObWkudwr3qF9NtNUHljWUIWM60oLG6E2M9H1aGCRrKL3DElO78xN85voWO5vxbDDT
+JwIvdlqsAlhdLTq6M5JHB5LBptPU9owwsA+TtSBuKWGxdhUqYfIatrznNapz+YpLh2tex/kC2a5
IsGvIxqPY4ASx6XRCcqwkSVazNVAThpHQL7OJiHlw5/K2qCMCaN9a+C2CpP6WZM1UL/ZMPsnDPfz
90LUNNc0OR/A6FkPkvTIhE8Roghu9JiTnJ3t5TDV2yRkIxfG0t/gn5teKP+tXVOXke9wTrkVU8mM
qGIj8ohP3YaZ536Cvhcf5lrlvjblHuCjftbQvdnOJx6CywErh/ZdT2n9TSo2/dmxhnfylys0nEn1
2DWO7tfQTzHUirdoKaDn6XmOYGYcOUt2lIlEM8SfjCXqz22RP3YQcjBoOaVvtm19Y+RRf7+UOMLV
5C73Qmew2VEsN5t+CJfAgve5LyyoAgY2hy0eJ9rEkNO+RyvlgzzJr7TiRj9jzyT6N1Ox3zq2do41
mBhVbatXhn2Jj5ZyeXQQiIGqqZxPJOayNkyn3oLfy486uuVb9LEaG1akNspOrM9ZTkOPBnpy0UMK
dXIq9Dc0pBbMneWFY0/oG4jRDzYg6IIkoNB+ShJ92tZicY8EPDwCsztSPZC6x6wAAqigo7kpsQRs
ZTI+KNQTr9pk49ccChQ2ThmTH9rN5UZrGBOIyGlOntnIU0Rn9orK9A7sm5rf9eLcoQ56XJbhHt0q
FMNc5DfDerqwufeeU0D9p5DynyWBzJXOLAfxKD6iXn7MqGN9FGaVuzFNptQWqbn0v51hF7l9HnRM
Q3zhhucUlMAeZjBjITA54EEEMNe6sI4sqHg3FBVMQzQxGwNYQDC5YXGO7JbtW4XqLU5EvddG4dws
Yye/6jLPv7RIzi521z5AU7afFtd6gcbcXTKPw4FSpjyiD1z2Lnz5oLHl+NIV8XCyneKNiJL+GKcy
2jVZUu1HzmaHYckZpU1QdcmlZHJgJZGFerKs7tEUMlDiyTVu0vRBj2rjk6ZKdWbcNFKj6+H4ioif
xsUy2ueiTtITqN9dZaLpE4aARGF9YBZg0S8o8iApzRBh7pg/Y36o90PvNne12xPO3tXmTjThdxdg
lA/NJ967nYeEnJnUoavy5Rwzy7+p7Sxict4lmAmQj9VL3mwtx17e7SZ/jgta3EaWyic6DjBW9az3
eX/MzlPzdmRXZUSrfw47hr5FZcV3aV2dc6XNt5MznedQt17yJgOWhc4vsLR23Cdt7O2SKQs/t+Au
9xYdqM841sEZeIMHacIYj2Dkhx36088KKQFoqkLfRWALspUgkA/xmzbAE29nAPXSTZeT580bmUU5
GNobWTnYGxBFkpGSV5EfuwIpt5D5S4rM7ImiKrspG3c9+emY4xOVMUurql7fezKqL3lk7QrHrPfu
JNpbZVpEhE62tgelXuxEbERnmZZsO0Y6HCIIAlBbVOrcNzb+WMS0IHjcAXFoSuaZstTnTmevrWRr
13sFPPauhgjmYzfVTxWs053tqultcEM353C5rLqPzrFRZkZge525sbZ2tUxfS7Son50ZNA1l7lsR
eeGWN/JeDEWzS2FWVD4BTO1x5uTIqCPTDtHSIliXTVbQZ7Ky8rYmT8unp+Gg2iiaGC5vxECpJde9
XBSPNIRwjP1xcGRZekfdy8hO5DtUFMtOhDVPUGJETgv7AP5Iqs3YdcUBab94x3pmI4XPR7DuIK5g
siMESZi7Unq0QZdnD7ZEOLLpYEbfhCEhDU1ppEcELcPnSu+igzGFYSDLAWQySKoMvNrQ+fCrum2j
yDjYNChcPjaxaL2dPkgIoYt4kDUPJFR/UXrRVa9/nUiEYyA4sSGMRg4JLDN2YYm4Vn9yp3BIw204
khf1NRmKERJeURLr/kw3IcvIUMD6STYK7obqWc0jV63qv02aNmOgpVLepK2jLyYYOZ2QjlKl9tb2
IPVuZ1CZWySHab8Zof99r506/qY83iE1gv2R76k+axEj1tkY6yNQmQk3++hOW9G5yWkY3ea2qfnq
qnOId2Dlmdnc7nhF7TbzgFkM4EIQett1hTl7Kr+1odBvq2Ryj46hk9ChOMxd5OA8LzFatgYC2jeL
rAVaXXKpb0LbU4G9eO1jWzTmJnWKFtJYXTwIFcdbB8wZQJ5YDQcr7911N5i3VH3GtrIoYQzVFZso
SrIDITMw3AnmuxFlZ51agd43YWqATCCetrYzF4CGNV5PZHX1MiWj9doB+Z82HX5gyexdI3xKEAxD
gEH6qGgwElzRz5+Q6d1FqctlpTcxPdEhibYjTofQ74eFbB7yC/y07+ATEyWB0oG4m2ETRrV75/IU
Xh28zXBMO50auUMYfZqKNH2O3Lz/1FN6cmbqxstcLtFTYS8dHU8uNiT0dI8UYdW3GEV80cIRKHKF
1z5whlocwUo3T2FYiH6bVHzpAGQNtnJbPvYRgoGo0ZsPTDL1j3rtNh/LCllLIcXZMmrFQLUU2sE0
6pqhuEcDeBjFDePW+mmMp46gP/Lz5O0wxXT74uZNLi2gr3ohwXOjxWLxQTfz2E+WiCa9yAFNZ/mc
v6YCpBmE7nDvGh5W8nnQjT1Hof4FmAeWGI14JuYraKGKqCaLOyp3aQtIZDu1IJJbhyE1nfGWWqdJ
GmMbxrb6slD1UfFrNhqWaprvG4b9KMq9PHlsI49KrFmgyo3pYASdq+mBIRfvCFUxOcbLkp7teEyO
BYORS25zcpCTw80ktC+5Wy0vMakHkIt1h18OQFgVCDubXzO2CoM7Xwl/SeVyp83ohvKhDvf9iqIu
1zrJXLiv2gXsFmPa6BRebVBUvn4CZedQpqFOdIXOvIPLSCGr2+3ZNimukxIUMjsY7EpCbvC8dwnQ
5o9Vr9ziTs/SzgxysH/mbaPzFNhAUyJ5ZIgd0Ed4yJ3lmwa3S93r14lpjIw+KUdtfu3LqZ6eF6UB
AdxoPQfe/n4QnSmNYBikIUmJMdtJ3XBJWtfdVVETgx/s9Apm138V+HFiC7TcZYmmfajJ5jnH0f7h
ryde0Dj+pCcWrsAFil9ZUpXR3fnVBlojpEpzU1eXSOtsJDZGDAiHUL6pOGouWMXos1GY+zE1TmZm
7zSr3dmxHriSrJ5hCUCGB/yqe29JcXYl+79+c7/Mq368Nwfuh+VIB1DCL1rgQh8bhjYoBeq6vcia
WpHR1fg3EdL/6kXgilgSNJwn5K8XwE57yNTeqC6JQdw5/zmkQ5ay2v2nJfl/aUnS+ENk/b8Ppv23
PHkn0+XPWOIf3/WPrqT1G90+Qosdw0BEa/MD/yDUGNZvCGtpwVjMJT26gv9jxDd+EzqBt3ysK2Tj
Orb+vS9pGr/hm3fXj/wHv+bfmk3r69j0J0m+oMOpI8ZHmm4yBjdWHM/PY9WeJ3S9upkupTK9YFRg
ZoFwpGtHXKrxgSnZfEqnscwCITKeLJU1vmBuWJ9HXtm8/nT1/sUI+1eb9fpuLOGtacRMx9aJ/Z/f
DTODOvMQ4l6MBglkhHGaQz21bIzzlk4HVaaFtgOiBufowsW2QAI8ovZw6aS1qnbKb17fcy6ASEoK
SJ7rL4tNe5UGpR1+12dNn36sjP91EH5dxr9cv3WBI7xfe8Su8Utb10rIcXK8ub+YE2CMrTMt+cuI
Pd/c9XKuqIsxSKbbBAocNYlDjgRUSXNfEFqAx2WkyuLZiGox0Wp72/VJRXRMETP9o1jOoiCq0vg+
G7xT0SGg2+I98D50cXOTQf6bgqTTnFvOEWPxN3vXP/WqPUkLHdW5pIxiYv7L3iWxUpMtmHcXYAXe
hypysRNYdLxqnj14t9TUek91qOcf//rj/3U3kxg0yRA3PYN7kT/Wt/X17RFYZPf//5/+X+jLI6vm
XHgpXWgJehYPF9KO/YSQlL95cvz64FhfCVs8hAao/J50f7nPavA2SwOh5uLWAkYw+ux8H/Yu+ras
jgMBPXlBpzW7lZ+iBSr+7qb5NYt+VaMIw0ZigvCE3eGXl5fSTCic0Q5wOLHfinSw37J8fQ/2UnQB
aSnVZhZ89HuVN7QPm6yS34lb6o7Km63z5Jit8JEGEIWY0ox8MdvaYKjrzvP3Gg/QFuBFQXOYVmF7
sE1nGf5G/fGrFmNNRcdeACQT27HFWl2dKD99UMIZ7NK2Qw0hbli8JW2P81fXsr60qHnmMjqpOMm+
YDUlmHZp4h19Q4LFaKDJ954BMCe1OJLkVaTj96Q15Tco2rE8/fXNZNn/9CEzC+Im4uHL3srqZLj0
87t0EM+KNu7N2xSbYOi5296LFzqVE7AcaOeD306NeADKTE+fbDbpt3qJjbqt97kFcyfLm+Kxzm1A
PDJX0atKi4rTZd9varupXwgVpcJoyhAxxgr0IVoKrECYduVFrcQfZJMEHkY6unXikfAtGmNcHGzw
SY9GGt3TCzOnTT7I5tKDE+oZtpo4wWAM6clssDdYw0LTX7npOV95RICmrFO8MoqoqMAVKcTVhc9O
lVDqrEAjtbKN6FZq2yWdvtZd0z8NQqMchKcsmXRyVrBCw3huYl1lWCY0wElLnOG0NQU4paRstM/D
yliq6448FdJnj3rj5d+SkUPdBk5S9gSpYQKkt9Ka2pXbNHMd9jozt7tGEWtKwEez06+op9yW1Oqj
ihh+jCsNquhMCAa1dxeHpOoyVKr6A48aQ/nlypJye5l/nApE40br1U828V37wcONseucYnlznYpj
tJjSZTdmbrTTSCB5I4dQvZMXX4MzvEKtymgFXE0r68pUUK/maASA1a4sLBQxxQEcB1HPV1QWkKyR
FNMrQkuGinF2tYK1rJWxZV5xWy3gLRiYILjUSuNKuhXMlXIn9TsQ4wC7JqZvZ9AeSx4+DKrpi2JD
dOVctt/iMDaM5VOntGlNWvJatvLqqzEXaW+2dAgGTlqXPusJYD956G73ZM334bEAVlpvrlx0Qbvw
mM4mRrGBz4CeMrJu0qZiZgVbuJc8DxH1qCagzx8Jv817PbyL0SgQw5zNEkvgTFe4Pztdb3JHqZAm
AypXnoU7R4vT8G5k6TgMnWinc8Phjyh20Alab0NCCXDiYCLKkcG7p3uEp4TQwPyqC/Ego4HnMK9y
CfSjC6kKdnYZFZzdFuzp4KszIpCLeDXajd0cdViFtQLaZZS479ow4gTaiop5YWK5g3uxaZ5DWDRl
L+3ULyd6P/Ohg5HWkuwZxXLF4Y6gH7y2K/Gw5k4xH8BuFLVvGzMcDznZM3kISYOlm4/VeNXqAlcu
2XkZAvWsENod9AXGVUNflq+gJLziaLYebdMs7p3HZUDusIMvZug3MYd/dEgyNuJ+H7ZjXT7xMDZP
xMAY2W6oeQdB1efRAs1yWhAIp/TebwuXsPFAY6m0xNjrw6lllJxvo9CMhq1k3Arr7Wq9K5fUXL4j
w/IcwiZ7gjjNuYibow566xAlZI7RWswak0N3glVpCDMihFRbe/dpqFLLN5lBLaQ2pYt2gxDM2ul1
GOHhjT1ZB/ocLxXqax1ZPdyFGDYXX7fR8dQgMGsiE2wJrvdlQ7ij9rkl3GjWUCVnrnHRF5RMycYd
Lc18nnN4sxen9uaKs3DT39pDySMpIuiFb8DiwdVihKiXnxjywq5o5gJnY4c6ObnR+6h/tlIDuskU
Ylxmos1XD+TCmEHnLPieSXNbvc1mk3Wc9MMg0ZOG+bCiskijdHxidKG+1G1sHkapEDi7mc2JmQQN
fo6dV+m0u0JmFjKrrYcrsEbviWPErayBcO/1GWjDaBQp7M8JufixlBGEnqtDG6HzenOmadPht+kQ
O02zBRcFiRu1Y6xK3ljVsene8ATzPjC65+4u2CXbrat7E/y5zguN+7QlgvzRcEvPOk5WCjulBwtN
8RnP071N734KKlXw0lW1YPdmmt8vpGjL9Zdv4eMo9ifeFylcTGFKfouhgfuM7x++ie9lI0uHWUaW
PJStZMm3A1XBD/aJbvRlfNfo1oydxaxjwceNMGi4LQC7rNPYoSFTVXBGJmOgwYfO39HV8BuxgZAo
udbJfVlAfjK9kzsmMOldsve4L3CSvamSwMTN1KKUM/tJdDdgDYwUOGWZpU8uTwv4IkK/NF7UfLIQ
UiAqsOLEOEG38IabEE3QuJ1b2QAfkfM6XOey+kI289csz+z7aejIwGvEPGavCohjd2AuWbzPi7fu
IQmmky3nANcMcBKtXHen8F41ERLMoWoEDBKuejC3Kn5Mqr67IcBzbT7Ch4/Y9myLx1FswGpItTEK
cqNkmSxaaHpHq6z0hkH8DFvA1bmlAmLBuUdSG5PcjnzKMeAho5obvR0Mxw+9vB950mJcovRmqMip
2nvWZsr004LiQf/Wd+SKbAqkJuMxUQY/aoKaS3K8ipzoyGwXH4FGuhWBIePY306zzJ/SEbGkK7uD
VZAAdVgUWjWf8N7VSJZnVXVbOpN11nrBeDZuymK8iWZVx75rM095phIBPQEBCNCuTDoa/3GH7cpT
dPJ4CszNEx1yPfmoV9AKxs1CBTa/1L2pefww0tLBLBIqdtLCWn2Bz6iNfi47JzsmntAfpk4Ll307
AGAJkmXFbiZGn5r3U5Yv9qVw6jXVuGYodGvpsTX5cDFUFyhCmItAuUB8aFVJxplu1+WBPplTux2Z
prZ7aETc/Zk14WabwxlTXVh3TvOq7Fl/TmN4hCyHZMUBYYW5Lz2whLvBqD0CCIrYUZtp+GS4g3J1
5I6jfAFvAfBF2VFvkUufu+NjA0Kf+NaIOzognIRPk4MDCpDE7DPkoW0dm/fGRO73MZzWcM5kYvJ0
m7XaCq3oyEIFgVMM/S2RF+s41suiHR0xGoBqEnRAG4t1T78MB6QVxvL2WpX+R+L/N+KuNXfpp/r9
n9KdqFSr9u3bn+RdP77njz6KoCVCphOaLJMjk7Gemf7oo6wQYNthFIc03DPoBv5PH0Wnj4KAiyYH
Z4A/k34d9F06uCpHQkmQkIT/HX2X9euRjhEP6nuPsyQvZ5Gl9ufDhijiWoQaz2egnU3KmMbz3Hn4
2MIZK9tTKoqVUc/k3qWrLrsehfDZZAdUQVR4li0ZPFWzVUenNR00M29LjTMyriWSRiORwvFAGtnt
h4yGX7jP3MRGm2QzDMTzsvCv4XDAscVrvQgb7cUCMGMoaLWf9bEg3xGHiyu1TYxZ0NdGh6D0k0kH
gL3IVHmCqzAMR3yJZRsC5Hf6tp6f0gboKSMOK1LywY2nIfbukqQPFAGnjO0L19AKnwoB9Bp2Lxxm
iMLRyvqRDT/rP1iB/xsIlCYF99Ff9B+rsvz+tU++Dv3Pusgf3/b7woEECvhS6DA3TFo5tGr+sXCk
+ZtkuWCl+R0Tyjn+D2Ekqw2apAE5GEcJ/Grex+8NSEigHoQJ26WYxdQCWvPfWjhXFOFPHTSLhg/N
HhiFPIZtlJi/dNCo5YlRq5LxUJVwX4yYXOUYR5pvY9ecneyLK0ZIutVCs36YPB8xbreZpjnjsZ7V
vujdZ0Zb2UnL++x2wn8+urBXpObQQ2xNTKIadX3KiXkeyPglOXrZWWYhwK3VJiui8XY1wCYOEIPn
0xF7qFkKW5jUZLRbbhboDfnLEerkDefW0U+ROftCNECmsu7jmHvPA4oanpSVsXIFvzhaLbZ5wZdn
6KJwesr2WI/tRx1RiI/jjCkkp7CgCOUHSC+Pqal/GVte3rHrj3lFsznqCf6uJKcbx3hgYNNtjJLf
x6mnPhBt89HRU28Dhx974JUpR5WLf7QkR1NDlNG6x4igTA5OXJqRg1zUM5xc0uzdyLQJnz+XsnLb
bitImNrkI5fAwlTAr8BlEMhgwFhsOf8wXEQk54+1pQVxSCjuEBvVIbXwvFR5lIPtd/i/mfWg3KEP
1u9MwdNsEoAPG2zuCBtnLkGdm31g9/ryEFU4gJmPBzlSDLz25B7YFiNZms6MkxrekImgcgtj8yXr
OOkS0+Zuvap8n8uG4tFsDd8meWuLLY/zrJdHX8NcI6Gj9Z4R9/aBWRJO1AnCitc00h3VvbupGIMT
KuB1z7jDM9w9mBhrLV92xFwvB+Vyc5iUQ9QW8ujq2vP1Jkma2d3OVtNta8l9wDHmoRhdwgmE90xN
MnJO449C2A9jwpuKUrLW8AGz36cYxQHcTSfp9QbQ5/Uu6vladGiXhHnwtqk6I5BEGflO6HCYp4Tc
QGWv/cK2L9zP7zjhzQ2+LneTq+QLjjI++4W/pSGz5FHXyq3qXUKvx4rvKbhKyCrcLZO45VY0nee3
Xfvx+nkXEUCvMee2Aui07KKYW0Z6eAqqhufFQKjVSejRO4ucu5qnAacB7k74rYA31rUAi3p+yWP+
6rikreu8EVaeuxnrDJ8ylwuY+fPM+TlQDesEA2t4Yti43JKbV/ue7D5KtBq+I/mE3YGbCXwneXBc
DBh+AAxJ+7ol+eRLgTcrCDkqnMjesAMwVLWfZ114mhFBPRZdWvsMlsmiwNhGW6audxiWjaDNKrEt
WotLKkbeQxR3N26nTfuIbvbZbMKE4w4O60yyKMn/OSMUhqA0VNxlOAQ4DZfZLS52scXxK7buGNMR
mKM8EKwTnEbJwxjbl+vyIlxjOQidQfBkAaIfQL9vKtBCG1HwcYMEyE5Alkqc7GaGP31dhhlN4+tn
S0yUiT4QMRfkTbYQboGybjx6U1yb612+yGzZVRhM911kZQHnaW8HIT7fKo3b+XoDrHc4S/whsZZy
b85sY97I+rYwoR6uH3M/KFCULbfRlBl9MKZ6+FaviAw75lddOCD6wFU0qI4muxcp4lDa+Aj07D2i
4cAMl9Uj0J35BXE6vlHq4Um0Q3mmVzNd7Al1qEq/aBFFgobO+IyoJAtyyYpAooDExmadok/XCU1D
ziQdbrKyIHFE65jlLyXbl0yLt7Jjc6DZQC1u7b0475DfTfwwXY0+1kjkJr0wt/TJuk1jdO0RFbG7
NlDc7ZQUAqObbQZaHrEpRjqbm+Kj0yTa63AwHmIQOPtFL+c9Rx8jqK1x9DHK1X448hYUpv0NS6Q6
ULHwB4CmH3uT4U1GcF20tLpGX4u0Z352fG+33BKtbT0Y8+oeDHFw20yeeOyAOpixnNORxDKdVeQ/
03Er6cZb02WQ2TtlHJdmZgVcrzXJoNkWQFl8P+h8rlZJQ9EiVHCruTZboGVzts218B4dC92qCmif
GzbvjeSfYQMGLHogcgn7iaXlyU5v26+uQPxdajRWq0Z+QGVWBZkWw6xFAkOKAeGdbnSak2kl7+Zd
TrgK7cvAyBQun3ICQbaFWvc5s1GKb7BGI4PyXJ04OQb46RcDbtUWmZaHOEUYz3aU5dvOVXV6Sx9v
OCVK8BGago4dEhTdGoI1ZhlOadLfI3lwcGQiXo7kru0mAhrmrBcBEMW2A3QR17rvNI12qsPhTSMh
5hve0a9WIipk3+aUvbuNqS00gTUgPT7bvzqQo17tOOtPqPRarUHikcLBK1Jr1KCaGbDddDe89VS1
AJUzS4Uy0YhdeaQ3gzW9JwdM+zhHFsgUrKA52Zme2W+ID9MdUnCY9V8QgRpzEOEY0h7LgfIhls7z
T6XYvxhmrhX/L3WN5UAL5agomA+a1F0/jx9yTzMWC4cq4vCZZKslfk8yHi5m6T4PbWVyW7HqLDDL
279+Xc5V//y6lo6ghPGxxHPy59dlQmTMoO2Gg66umx1r0Ez+m73zWJIbybLoF6EMwqG2CB0pIjNS
khsYVUJr6f71c0BWdZNJFrNr1rUYs5meZiKgHM/fu/fc7HM5aVkw19nL74/2ama3VG/L/NNwTCbV
5J28OpqaItLtVTnsc8kDslQCfhZqGwQZ+rfz+nfr/MbWmSk/e92/3wSsv+Qfpg/tl+93AN/+zV87
AJuds89AF9EA2wAyif+7AwAuxigP5dh/tsd/bgAs/w8eXXYHvsX2E3UNj+9fCgQ89YD0UTQ4tukt
lvZ/sgEw/GUO9/2L4rN5R01JdjMufuJ4Xj1CWUpNZCi/2UtHxs/EsZQL5sdCmzrjuVvNblv025pk
zRxExbRatOMY+0nLDPWaTLIE7g5uaeM5RNkYB2VJN50W1/Rl7p0leJ6Ciy4yiZuI1ktPAxwy4FGC
3YI9Pqm3ZcQwBw1ttMFqyY6bi5jsQ2oyoGV88GbE49d5avdEawzUjaAoQlLtU6SEjgEdcqj4uGtu
Hgd9jGiMDn97MTd8Bp3CygP04ulu4seZOEGc+uAqADgVJvIzEcZICbsEFFKjPSd5wfenQf2L9LBk
9GVGjEAolWuvqxF1skgUc3c7etFnW8s4SYR8gRGbt7zr2db36V5J29JopZf9To+yFyhJ+Ch0v6eX
r7N1smuiXcymr7do20hrG81bx5rRDLn9FS4AKxhMigzDu8dre2WEfhnEc3lHJ8G4nPkIBHlWjoHp
oT42veKyksWl8OrnsCDLldjjGSdq9J4C++A0KBjIXb7NZPa+IRmZyVqFD0NT77Kc8qjGG0PodD1s
BzrCSNvKFY/g/WwRgOgyCMxCZ/kJTeDY/Gm/wa3lKlc/kfenMbTNsGB2fv5YsZl7pOtITbRU/gA7
rS1N5JlIoZ7+tF68dKq+QXij9qHQjr2QzYdKGO097rUxiBM64fhxAINQBt6gpdjjNKIpbvfNSY5x
+ywy797p0K9XM/Bng1nWpRNm7ka5vrH3G4eIsNx7yFWtNYGwpgdEf7RuigomFHMHTP9+OHzS9KYt
0R/r1m2PQf2apOnYWE9mjKC2ihu1yePyzkKTsrFaonWwX1hnnG3EtUCzYoyFng42rEGa5pis45z+
7VjMIGjbxgJiEtWGQYEgiUMj0gMa+ehU16YxDxdRpPXDdrEMPdA9Ty5E4ejvBSe+7kAVrIBNmQlx
NvSft4bHIDfAIaVfTIRx9ocq1XE7oyuTL1ppK23nIUYIX6TvTle52VpxEJWUqrmbMMrkg7+qocrc
fV2+/l3o31jo+ZCav22SPvQf4u9X+T//wX86pEsbFFGYp4PJMAGQ/meZN8hCY11FomTwJUBUhrLm
u0YPMwsEHXzZ/1rgl3w0ukK6TUcGcYz5j7JeAE7+sL7z2fGtRVzG5Hbx376msVZwj+NKevLKL5Wm
MsZ/tZTYCyb/sShIRMnmmQnYGEX1RWcTfG1ImezmhGwI2ZTtniw/YKVLQEA64Iwgt3Q+x1LaN6AT
O50tK35zeqaUv/owsisqHBFOZ1xXcwlo2R/huz3E4YwQeT8UJgvzt7YpEmPt5CNULY4VyWrsn01U
Cd4LiCiZDPsJLsw8HiKXmO3wELqzlpKE4DXjXT1yke+0skIJW4vYFJsonVp1wbUU1smDBUnSr499
JaqBBkTFYsONxGLJbQskGwMd12tm6fGucU1lQS10wvuyMON71VfWnpPCB68G7eMUF8m9R8+FFC1k
27dzZZMg0zYHZeNyjyuKaZ8BctB2BYb4JIO75uiphd9tBO6x8mflmiUT7DFZzMUqm9jwTJM+Nhfo
mYsSNXHpzddxlI3agWDuCbt+pkXyTpMGe7s1X5E02oaitk13ZyZzPOzGUK/6Zg+fOTQAshfZ2GQL
jglQJN6Kriq5C4VtmuTN/bsi/C/6UxMS7G8t8TdfyrKjb/bhlQT1z3/4VwEo/kCoRXsV99rXXu5/
Zyee/gc4MMPwTdYeRitLmffflYH/iD2EbhJhSFQTZeNfC4T/h8sS47BsGFQ04p8xZr9xn7+vAD2X
bMRlBoOaDKrt1xXkOz1ZXlidKmpdklZTZnI9GEQPw++ZIIcsM7wNLmJk/kWRtMV26p3GD+gStAcS
JQx9i5CPVMSYRq+/aro+t/Gc2o5GhB8qjNb/VI99eJocYuQxtetrkQyzESgiFUDOal0H30SKtXJy
cwkNxqyxcZWs+wDVkkGvKUUypoE9e2w72R4lMPDrpZTdYPjAVAjrkzFh7gKZwPGQbpDPN8AQYb/v
9cYnSMRgLP8B9QfWyYy0HVpwrI8UZrWfge2eCY6Ly31CWfhFM4zo0wSK9Apxk/tsyyod1j4Y9su4
yHnB6cIRN4J4ssuDwY7MTaVN9g1Ot/xitPz0hF+jvxrJY9sZYapWoR6KPKj6kQBWiHRbHHkpjREu
ympeHN5aS/Mv/9pG9Gu4NWNuWw9ey2U2aK1wCBP0O2jZYVMCgNpjtI02pF77gUiEcZyUX9z0muVs
ianHT6NyXLqD1yLv8vCdEXBfHm3XrAkpUOEKiyd5fMwA+tVCSQVBGukb6TpTHLRZrdD+2PoTis3+
cqjEc8es987outKj+GAuvza1NIJVzi59V7aD9TjnOJvSYaH/1lFKDL0KwytRZcmaMj5bFVWpYCKO
3dl1ANNvnK809YWrjly23AhQ6+54g+GTfI0JCqWI9BsxDEm16ioI7YbWDe+MhdreQjU9wYixVz5Y
d2Qm/cr+SnqPYb5bC/2dtKSQMIa0vLV15tPQcp5IpHHWNCgzZsgQ5MuFJS8HqPIoqYv9BGgeW2qP
+TVNz+HQ6Kdh4dGHM2T6yKl2WWp5m0IQxhcPerUmd5IZtb+A7VM/tLfDArv3p+kTJbq2rb7y8OMF
jc9DDvhuweV3CnC+yn1rA7gBsiDqXlCc9m3F07YiK+6iWtD7xQLhJxznWRWY99QM3idGhhHYC7B/
6kD3RwOtHoOv35F0R+0ZGSgqhwX2b2PDJx+UAADX65p1CuV+0xoz6oKvQQFjw3PzNT1gXoIEaiRS
wVDG5Ol+zRmo0Y4iorLns1xiCCCCCiIJHFFIAgq8kG/5tvONiegC21CCnlX6LdZg+hZyIDXQTHcm
0RjTnd0R/ipg82Sx8WgwPE0x26TJhdPq7m3vIcN7moUiIgDpUW5tcQgiG89BD3P8MblmPms++SQP
6UFOeNC4IvU3XtI7MQY9w0As08NULZrnvFIpuoRUV6JcEsrb8Q4NjZju+iwZli5dpJGfk1nMqd5l
Wd+qcg3PtiR8NLaZzsjaIWF47MyZlW1IouhdYSRRvkpjI+H+aFUB7H+qaNXNUhkR+7pkXpIbJgmE
KOcj7W3IR0BptJegE94t6K/+E91PI3NIpFH+wIYLDMAx6UuLQUEZZj3KUqqK7AA52mb8FevoC+/L
bHAkoicLuYuJ6zHkxWLv8e+X+n/5UsNaXxp8f9+l2aJvSD5/+L58//Pf/PmR5kvMn6DkxgsiFhHD
dx9p9w8mtw5mFDTX+tfsxb8+0hYCB50UZd/iB0CDtyi+//xI4y5hFwBvhv0Aw0K+7v+kTfO6m0nd
TvkqMFnxwSdZ4VU3M0Ico7y6GvgSDFHPmMZHDirgxyzkFZ82v92WlwCREsKY4jeDI151GZH6LbNo
ZB86+xSMNMuv+65AaJpI+SOw2900mOPGlazHRmLma+kmxf672/KLtu0vD0VuMy0kAc3CeXWo1kpH
wyjsfke7INnlpjExJozrDSr+5ltH82/NI786FJfSt5ZCikH70sn97qyUQQyaFAIKyzyz40HKtCa1
MVv1szt8q6D/9lDUat/32L5eQOD9utAtHgr7NYMS98yQ5TYX0E9CbDTSRGU4OC/z6KyjMiRUuqJ7
tIC5VhgiqtXvL+mrDeCfB2detTzFSIZfnWdPQFZogaDfaRVcGkhr8aaE/3z5+6P8fDVt3HYmOhz2
0RZdzR+vZgdNrRubcNi1vnBank2CwAJ7btxxk9YFAvzfH+6VR4aTshdf1lIcYxd1vsoavrt5REOb
FiyaYceoG75v1n5xLfOFUJGCvkhx4YSodn5/xJ8vI3snyiR0GXjFfuqThjEzKM+qhh09GlJ5KY24
WX61+f1Rlsv0XS3+9bxM9uk+nkpGVtZymb87LwG/vcyabNhZYGrIsNEu6eWfJPwnwDmF/cY5/eoq
fn+0VzcNN1jURHY+gB2BardAMKKRL3YNz4JZNF7cNss+/v4ETRbSn84QuZZjW7S9eSBfLWUyzsCK
TLx2RuyQ6lOJ/DHSB3qXlfLI94xo6jaUiNJbAX/uPju97h1r29oP0P4BWvjjZpiJPG4nt/40z5Z2
kI5gRxL2zZ2Cg8RuIFoZWaPeWJiMX9x/i9YNUh7bc82fnjivY75d9bxG5DaKLBALuA4ljD1uNA0G
BCIDOgVeNa0trt7GzGfxXlcuuYqGV18TMU8YXx35J7S20Rvvgv3Ln7ZgWXnDbf5n+f9/99Ckfo4T
ws573DUx2XmxvcaWNuMvcPpN10QdrngrXekT4RhreBtAzsq0vcRSMLINmmnJjvCusRWmQYMZObDQ
t6/DErdyaUbyIhrM9hoKg3agiwHylAn4egIKwJi/9R8HxO2P/egBqUcnv2qF5m7h6yTBaLXehrzW
Y5+1HXKZfFj1IAGCObcvYpE9IDJlbigkWRuWIquLcQCT9/5U+a7aN2zKAgmwO5gJRrrUY6k/aW1D
REiZafRl5UsmrXPv9RkxJlG27524P/GXy+3vn9afXxDAdBQGvPUECpHF8uOVnTtG7Pa03PQOu342
xNjhdPA38/2gwhordmH841eSI6KcpsHFFo315scj+u1My0xl/a4Nw4PRiQ0J7p/8Uly2Fj4QFM7P
vz/Dn9dtDNysNrQhlnDd1/qvLvLHknvT71KZ14EJo/cQVRPSQ7OV698f6ufH1LM9Oh06njAdH8ir
xzQaGEhMmC53vjfaF5XWGIdqGtw3LuAvj0IKE2UKngiu4Y8XsEAHWvQTF1BjJ0KGISzyPT4M7+b3
J2P8vI5xNuRckUqMn5HP0Y/HIdNNGU69WJEItVpj8QG1Nhd4UGHfoV3uXEoKHnxmxPi1vCck87sK
bNxbyxINqVfL6ZIHTsuZXZtFp/nV+K5pKqGS0e1A2OQuiiA/32Ja6bdi6hMPFYsSB6OcgcXo1Ze8
mtxz1qfTLrL18apQCgxpVoVv3IGlSfbzb8JGyUAReLf9uuKIhKZpYWx1uzIaSlJS7I2vA4FTZd9c
h11N+K071O9yXBurvCEdYagTQLkIH9a+V1ZIT/IvOVva6wxUiVLT+wEr2qpJ+vpOlgMBAH1i78kl
mY6lzK81vX+ruPj1CdCXoyvG/JXx64/3NjRav5BwZXcilmeQc/V2mET0ELOKrerGTddhZ+hA2Jye
L1ZbHPEAffAS975rHf8AVyJczV47brCK+LeVcqt7Dwq1ssPyaHkIdbBWSMR0qca3os+3eKjqNz4J
xnLbf6wjeCy+O4NXT+fU5/zgSjJbpX1zJHi8PPY28DliUNd90rLIsx3FUacf4LCMq27hkf3+BbF+
+RQw7mC+7Jl0P1+97p5kLcHc2RHrFPfwSMBJf6SsunFFh2rZ1z9X+Tg/EX8Vf8Jm3A9jtErZ8dMz
idHPRaQQ6UBpW0e4wYS9qoBVOdQLSknfMddNV8R2Gl9kaRgsle4deTwbW0+rtaP5T0TqEmMx2vql
Zhv5XlXER436nSM5UCQMrD54CO03rvnPpZtH8Bs8CCoER2e39ONDw7DezUIEj7smzZ/KcOeOab7W
FNmySLSsN+rEXyzbTJRsdp5EllErvtonATVyEOkY3Y5AnxcfjzZfbca9AnvcG0da/tKrJ4kjLQ57
gdSEYLMfTwsiO7DH0OZJaqP7zLAi8r/VokGX7CZsmeFU0R3NO4aO8RZ2/hdfX0eHvI5EmQ8ThfeP
h+4jmDFhqqO8dyXwTe9mdpszfayX3O0/suV11r9/ZL/Wnj+dq40rwTDZcKOv+PGA/qh1c5LwyLIN
L8+DRd0jQ2stS0QP1qi+YIy6Jwx3XkeyprgRCPHGLmqBQao33p5fPky4Kviy4AX4SZadDP0I6Ib3
l0Tifq3XLtoEWmqBloATs+P05fdn/ouPpsOAcJGTs/f+iWTi+Ck072HmJssWJWdthCsF8++NPeIv
r69BJ4Mnicu7DC5+LFQ7ADq0Crsde+R25Y0zwVll6iPJ9bTDhEl5FWHEW2uyQRwQQu2kG5Bjh9VI
1SJj9ffn/POmHPoAu0I25eA87Nfv60RfWMVdxo8BUrvBEo8TqVVXciQrKyoMbVV3RbkjoNwMqmzQ
33itXrv42ekBGGEY42J/Yeby+lmDsI4MgqjynTRE/LF2EQwEE6FEJzK5bQzlTuU4q2rgDwDiXkKN
R6dhuoIdhTylonGXyDVNTldjbNEqNvueLBo7Ik3791fpFwsNSmSH2ZUOHgIF04+3jAydRNql0+yc
OWy3g8C5J7oGmnhoJ29ckl8cCqeEAA3BLMrj6vx4qCQ1urrByrjrVVi8CMK8blUZw3HTHP3/cVrU
oDZT8aWl9tOqBkRY9bXH/ME2k/aWyb2zraQbXqRt/+H3F/AXixhHoi1CiQis4XWnwlRhlFYDR0pQ
Oa1D5FV3RdQA5Nc7CANzIeAEgn39/UF/eSnZX5PJ4hgMA17dtYh8QnALdrPDhYpgnngBgk8Kov90
s3vjUIwpuS+vVk0qDR33FSN49OivVk0vE9UQKYNHRLTEbTlS9mBDYjERzgcbP185LamDDjU5sffW
OGlbdo7DvGHuYRW3jAJ5uRKLHuMhZNr6aNYjrtS2zLwBvCgTgwBPV/yByB+wdODbOiT1+ULCLw2Q
yiWnBDWbWROWhdGejO2EGkJefEXqE1biqg0gDkZ/EXOKewcer7HOBfkK29QoZmdj+XVsPvsTwMAv
BGQJDA41O5j4grANK1y3TPbjhy6vDHmA5efbO6zehdhoem0cC3h/2o68y7G7tguErFeiH2R463RY
tLf839qEj7Ylkh4gv59BccRnHF15LmGM68G2qnTLbCq/GzXEW8e21Ko9ZEigOzJqTQLi4uSx6JB1
4MqE1nFwoynCKDBUVbYlU1pGG0jPZXuZjmwnkR/4AGl3XTcx3MTvKuc1UoRQv2DMGur0HYraXNeF
vRRXCZajDy4mVXxjYT+vIIxW7V1tY9je4fNN5c0UuuNdmYi230it8d2zXhXka5LaEA0Hith523hw
YhFWR/ApmP4otYIk7TMj5BO1IcuQ9p+umX4WNJ3tPaRxk6/mvKisVSfiEVlVDU268IZb+rzbYbTr
p7A28+dc8/RzXzKkDYt03msyzTdW458GEtDKptvOmBzOoUsTVcQY7nHQ70yRMcjxs2IbDePRGuWE
b6H7kIInDeCvMuRNZ2uLgf6zsLRpM2Ik5je07s7pJn3ji8TZkUlZYfsQKoCrCcxO1PNHt8f5KgYY
6aU7flCNQ5CDBaVinIEyJ/kjYCmmik5zY/tFuzGIe7jBz6dWg54YFwBR4yswGISwu9BJCPR7nJVl
72zNAPPMVAvXOroWX2SrOc0Gigq0azlfiXXXueo2y+dD08OiS5RccJPZKaO7RG5le0SuY66VnsGR
JQksSOMQlq+bFReTFa+Rqnk3zIDPWNPnjTGBtkZerlYSSdqayFhzpyhdz2GU1+9xB+iXZexiuOmZ
RhLL0r44WkMKQw/ExqNhvUM8aB9akt8ClySeg6UngKuli/xuHo+I3bZE0RvbzJbPBSb45zIJ96hw
7pJBPgMiKDcgBWnUDeFzQdoG/MKs8A7j4JbbUWsALdjaPZbM8NiFVrJ2osrDAgLANUf3SMItU7uY
fcM5abXxpola79wNJKhOFmRyCTQ1n2EnSK380jVTvfesnmQ6kvv2ZeGNL6IDUS8T0jVwAYxJr8gT
q5oS3FZApdlCOCA8riemyYtVYPLwPBUIbYHeN+wj+JiySJAYM71Dt5ldNxNPWSrx2niZcSDeiBj2
qq+QPCrvgv+lAunL5Q5tc8nj8b6l8xBf4nZEvJmhILlHAbZ5pxlwcNMI5oeGS7/euUvyzwyatN5b
WW4O68Jr3TGQBFx6l5rmYCrIXK+F+ylHmwhRoiw7mrQNkIWWKxX0WZmvFfze+5iu/o2Zp+Z9WJRZ
coAG225ghDawSU3ogMk4qWBuaMbFSad/dPSQepL+bo3aAhgy8abtp77zIgcHBfGAKUBnC+1t59yJ
MQtffJr7BDiVJEsFXw16SnrzA3Om4qWtyQ4MZNEZ78FNkAU01PaJQJr6HfyLaQ3uQe56KpZ7T4r0
3QgxmYcxh9XQm81RVeynk7kUB1NY3RNduEVE28VqAQTxJGAuaZ5jKDafmlpk22zWmme3MZN9ilU2
P1gAILYJHvcnXK8weNxqmtbIDYp+PaiOlyM3NQDzOlalyHHsFaHJ1gHsQ7Z2aSFv2JX6LVB6TLro
vuA/BX0SjY9NOC2gERs5buADT01WlS4wDpF1bB3qMs6XZ1CbjpGfxncYj5F5uO0AKofLqT1igeAU
3YWjdhGZip/qZOMjIYTDdBWFYXRKPHQpBDSpqwqb3KWIkeCBL0h2Qk+cu7E3bRVQiTRHWK5wjKeu
fk/rDu3YWNknooYbZ1NWhdqqYc62UzWLYgfPLTrleT26qxqQ/ImXqOGl4u7ShCcwFYvzycVj9rEd
o/ZWqNa47xKud5JmcqdANOy8mItKZpG80Hg0b2u7rT/ayw5zVTqqJuqnSRPcOHayt+eCP6uBITNa
0Rxr/JCXauzqjz0ZqM+gRk1Uum7zqTIi9NgKzDYgg7IIjxHdCJTVfffZnzr7JAi2nKBh+tFpxk4N
S9YpCvkZrY5AR1ybk4V+xppAPF8SgW3W68lPo5WGYxQ5XxmnJSvUEGJYqnTjvibB45TYVfhQOzE5
P/ZQvXcizIX9EAM0NiFAGcHoUUTaAyalCDT1UbZ6uI7A4ly0BScvfHd+8LSUdTEiAOGrH7LWteg0
oDdGSuDZVOAlYsuTsJr80GYLZ6X3aeKsyfsMj3HR81/A9OQhSJjyfp2qGoON4j2njVV2T0gm5Yvn
jt1nNxL2KgwlGHXI/DzlAwHUzFxMiOhFPD6Kqh/c1VTxI3Nbz85e39YfrDR27jRfNTkQuCk+SQcN
YdDhbn/OGzXfeA5ZCzp5UOdkud1mG3qXNm60cyNGDpRpcktYxMJ00aqYbFqumpfG8kaPNPmiKwDl
2gwXBZ28F54BuYgD+cGY56yJv1ip7EzJPj/4OhMZNQGsOSoc8fFGK2L54hKDVK7CgdjtgH5L1yJ/
gCO+crQKoyzBYAUUVc0JzyJmyxXUQ9fIQzGOTsy58yQprWlZeh3Bk8aaFZ+I/KmMVQFa90azUpq4
SCq513rnxeMBcLBHOm3Xv1TYCdCw6EVKfsfUvGhVajyKCNAEQizjC25bKGO8es0tq4V6qcy0blfk
JZFX1ab28AXQhbK5ZzgOtLrmsjh8ybudPmVGGywJfPeK3Iuz3+usZq5DDlftNbd9SADJ0Jj1dT/K
+t2chs2t0XvRKXSgmPY+ljxcRQCkungBZXi836S/9k8Nanv9tiUlmDW+ygr7UMECeqGidq/YE4fb
eggB5aIlcOmb9tbAQNjy3iuETwhW64hM43zcCweqfMNn89LCggk/3I2SG0d09RaqXvfQ1iPsGsxO
fVTxH3V1XcOdrq2Pth/ZW1FD4qkFhCHTmpH+j5azg/qOII6JBCmoLe8hqC55Nop2vqEImYKSqPlH
EgfEKteqO+gDV6O7+Jp0CPfAu9v1BCjsuqH/ow/xeEyLuuWwmXPSJ0g7MYySnWMpxut6ogFj1+pT
Ke3wzgnN6uDPyRCx6BYqMEqGjQ2ml4Od9MdRynyd8G5e6dHUXpaRW2L0LGVAqU8J6DP+o4X6wbeB
OGVuCTG8Gq3PZD4fm0Q3WNJgTiqrazalY+DM7MXFPKfiiXpbh+w3Vx/9aZkzVf02prN8aMLKZVoW
U5COaSWfvHmKzjrJtFt3rvdOBYjenzSYKwluaG9SH+j/Fe+yAmsE3xwuEiGDEQs9O5yVK6WIIQVn
3SHTkEePoQYQsxAYFyEKXcTGkpslp+kGd7u+s9K0uxsajaQS8NPnoeMggx26NwPgmYDGtCQ/OxQf
/MR3HsGJ5fskcR/RQhU72qUxdSClXFAsNoQqmeKrhJiZVWWYhxDTy8dYD6ft6Gk6mGODCK2E7Llp
5GXs6rgPpoxWYSSlc0FxIZ5SYe9Ke662vE4swFXK7jRC67nzc99/GbPBfJprYVz7ha9QLRTivo7n
dDVTw25t1q6LIuzyR8N23Vs5cpdQAM7N1qUuDNq+haU5z/UXxajJXNURkY1NymOQlNhKsemUNcsa
WrVAFGm3mrEbgj+D3aZwoQwoFVcgptMPqZwx/E7lvs+anBAyoWGFSedbpZtPPaizLa/iFiQNdmNm
bBRk7nBdCDt8APZDmUHadsYSCM3A65Ozp7cKg6jlXXQSGwxxPUQOQ43OrNY+FbVdAeyffKSqZa4O
UlZLxKbGZ6fwtIwXjgzKOppTEGcWITjwwRZmVFuyLc0JUkSVVk3jlR/26XNhCmeHCrjkkzNXfLFU
TUtjSLT5Zon1vpQ0sxf795hkAclz2ZGAIv1skwTYpu68D8d+NXpddgUppLroSmh5nahyhqNTj4G/
64GMpOQgdOnemDX/2Wdmyj7nQ1uVCwzOVqumxmELqTLGQj72xjP4rfZQme5HQzlfwrZq3lOx5u/z
DsBi2nXaA7B1bWuNQ7Tp3aG4lQ4VS04KJ0Nvv1eraAYdSDk07yF+jclRs6pJrEdX79y9mxmYrUrh
VCdtisBzldKtTrRvkPmZXgo+e8hzFqHKsNP3RYF002y84hZVIKLXRLKApvHUf847k1TQLo0/N6Gu
8KFr/MEGFcDRbtPqDo+lNz23VDzct4RNDuiinK+E5liHvPb4ovhz/Y6vJb0zlRtQn/DIEo0XJuY9
9TE706yIxTHK5u5zkUGBhfdPE6GTJH9mYsnt64jzfq93qUEM5sJMqgSUsa6Zw/fk9rAJF2GC3rlW
YfeZyD8CXk01+hiUMru8yxu0/0EXo+rfulE/VlvhT3Q0AMLweMTmsLjYy7y6i8lUBIkYVeF727D5
N3495+3aJatzQYrrPEalJfsM9SK/EnYWcql1iUrLZRMzc9A0EWV3kSi7Z9+ol6MRryZQ8NGW4pW/
rDQPfJqYaD+uY+FLbafJpQTomZCiCp0L/zKNdcIlHLS2wwroO3dJU3zqVvk8hO/HdozxUQzJgoSI
bEL5hoGjDo0FPXcSlv/+28W0R9LNA4vxJKbzTkeZ5hpqrgL2E9XO8u1oZTXwOlf0grj0liFKQrIJ
0t7lSUq7B2VBwgYzm7N9bdAFOpmNPRvb3lb2hWz76s6eUFRwC5m3rqawWUIGXZt+SFvrWQp5fszG
XYHpIr7CnT++jA69URTUUE2vHM2I7zM5mrtygEJYQKO9zQjlhkVRe/o9LIBO7mfa8OFJDJz03hx1
fiNVOb86KUNunoOTRWP+V9n5invCu0vvP5Zr+jJcxVHr+e+r0uw+J+xekoAf61/Kbuy+JAAu850/
tIDvBh/fFzi6xJxXOQpg6l1up9qX9P+OEyRhPeA5pKIjnq4mmsJpaaK0zFaAHTSJTTJGKdhw8xHm
+7UqBp0MxxKaClxTBfP4FI8WqRZLCZm7pUksHdrAByPVzU2TV/qRmXS7n4oBnEbkzRiys+RRqXh6
mExc2l9bj//6x97wj0G/WqZwf69BPeR5UtLI+UGE+u0f/SVCdf9gn4F6zrB9Y0mS5u/9SdnyjT8Q
hDjeMlP/CtliJP1fpwhvvs/eA3sxf2+xl/0pQrWgbKFaoZfuO8x2dMf8JyJU5F8/dnpRvqFx9REy
+mIZWyyZ3d8LjRInIWzO6OLj3BgQ2qYaxLadUkIwFIf0CWxb0DJL/bs6a9ipLDMCkvxGz2Zi1mF0
3RPlzHDcq3LnqJQrwk0+VoqMZF2fbwdeKLEzUkhWt5mftk8N3xEbCo4VgTQIc/qMo9mBCZyQzwd5
SG8vGApk4fREBufST+GvBh1esIMyVC+CMsW7QvaR1W7GRfUI+qOi2dSF9RgIT2s++ql0P5EiMq57
z6dCUTo4LRB7fbeSHs2ctRFNwrz0zT5ed5gQribB0luMAz5RU9u6HcPQAHsQ8AyMosldnabydo71
/rqNzOJcpBQ2G3euNApCb4YYitEiIpsqrc+5XY+U3sAV2eTIfYQ062jWLSjP2MN8Z7ZsC6ukgu9q
IxfvYr6O/QT8Zj3b1Diid82nnETnAB9ofmeY9LH9WLyP2JCcIJn5azpd1s1gpu1hrPDXxIZ5Ezuq
W9PDcTeaJKZ4BsZzY7lafg3A4WzrJPAQ2c1uvZ7d+BP1eb0TyFJXsI6yC6MoKMiduTmPLREU8IiS
6IqPprie4hKjNYkpw6U+bRqzqq7Dui1e0tHxoQULue1sdCgRzbAzIulPdkhqthFSpoLCxWcMTh2d
vnryBUChljxFKJz2cZwqPiJ0kO6wBlpna/bnC5yB0w3dK9oTWfwxRf75wa6caQ2Q+YIgPbm2l9xe
h35bgNdbux2rubjL26wgnw+WOinfYHu5IvBBsts2T/trbc6GFczX7iGbVRgIPALXkh7iumY8sDFs
fqnGVmCtj2F0r0C4FUHuLYDPtKzIBQNp2m7ImDMuLFAkR6kPn3P++6doEPmtO5Z88mny+meXLumt
x0IbqDZMCQulV34N8rVfpTX5Fxkbkp3ShvKsmzzRrjP0l5B8xYXMzQAjObhZHvurCoHyO1ILmbpp
fR+Tt42bma5Y3hBNNop1k2XTjpgh8MzNcOEgCj/qsXM1wsCkCHJK2jDYcUDnzqTElPmYBR3PIG1f
GmdDqPUrR/WPGvkVcafOzPz0beheiHHhHDXls5yG9Ca22pNGlLEhW3/t5+JsNHq+Kb36U1e77qFI
q0e5aDfACb0v3Dbf8rnrJY5nE9wUWXnlcqfkZy0KUZcaSELUoD+JwcdDJP1wX0+jdjWBINyEQx0t
hpV3LIbdyayLeauR4YnsPbJBRHbiUdBgoHNOcncRImbRLJPXSju6aB8Dqrx3bFKbzeAW7S6nYUhZ
e1T9/7F3ZstxG9u2/ZX9A3CgBzLixn0oVM8q9qRIviBISkLfJ5rE198Byj4h0Wdbd7/vF9sKmUQ1
iUSuteYcMzlJeDAr4EQrVSaXZUjgke0KvFh2gQwyhaw51sk2GzE12QS33MItyG9q34kOKDlo5ZIh
dUBDN90UUz7vSpkxT6lrmJvZ5J7tduCAb42HVkFSWo9GN96MtnzsyT3Ya40CaQTKE6TvqursUb8j
ZNXOxboxSPG6VuFoFSeOGJdF679h2XXwTc3iPiXDZouUOqMBlYTXyvKTKyfuXku7JluuKeiwJcar
Ww8OGuhWly9dy1teaIjrts7NiygvCQwzHZa0judlKOycDm+cXyu2XRgDCz6wwmIeeKV6mXvBkDlk
fx561mCiJvUi1ERJWiR6c0eP5q7U4c+CtyquKg7QDGEEKTrXkRMaB6sG4ryrsRhi2XHguHZzWh3q
bKAplJQS4WldiluZet+x/IxBZHLEG2M/p4XhAyNmxksIVO2WRRWCZUGLAGend4gmrRNX2xozTWHf
lMVWxZzC2dyZdU39Y5yrzrD3aijlEQxb3PNs0Zr3TKOOB5SbMlkksNskzaj1acdB2fH3WU9c22my
W/dm4oF9Z7Uht0g2svQOrRycp85I2mM8FwBnke06b5LVnwQGIkJSI7XQs2lW1t5tw6yKSCOS7Y8V
zoljo0IgCSItI2iQ8qAYaV7FeZ/f0Va0vFULIm4H8Z2FK+Yxfmb63G0G0y72+JHi18VYLjCGtSib
IiXtU2S1MOI9u6ZVP48IpIeaXK7RGoZhxRxKu6nZ2r+Xma1jkbDN8SyHrrtWkwkdj6gLor7AMtXR
ik4XhiSEQf0XnXrztWn15JlncgTDrujPnTUXV+HgiO86JmNmLnlo3Wocqb9osGgvCx3eGHFK34rC
cr86pXBg7cdW09OnGPJNxPjs4FTDoWC3DTrOD2qtcmyGK4FJmaTiNPYf+0E5J4L08q9aqqfhsehN
ptBkfY83YWO7jzxHxKYmpXXbE8isEVXn1ZjlMiOODi382PcsSYTNZhSFj0xRh0UGpLMqVaxdJ/AI
ka1aRfvMhCa7tPI6iljF0vYCkxDyg+ib7Kstm+y2HqnNoNabpFyV4YF43WJNygU3a42v+mpuYJcF
3dj5Cn8r8acbZQr9jOlufHZGNX4L/bh58W3aCKWWEselRSJCztwo7dga6XDNUJfiwOpa7d3WFaJ9
2gHIsmj47XuP7vje08b6RURT6QdqDvtDbUhrXKdJ2hD05hXpl8ZPbHvlV5a8BejXLwATq7l0ZZ0f
uOcoIHpTr1Wg7KlZ8crFxvJa/TkUMrQ3ZaJnIKQGDXR/bie3oaj1HZWaB4Csh9HS+HYKaCVOIWox
8SCIz/ROmACbowGOHeKLra/VAFYtN1lwXl7Pi4bR3jS60wR04IGYxAw3Vmg0boy+k+vOccQJLEZP
zzJEozR5aX3oPBtIdpGX7XPWppJow6gnXwVlUfUEPLAuN5JCtKHb3czfGJNb51AnKxfjypsdxeLB
i8vitYq6aguIbcjXbPEhZH9oGVrAXJsd0YGWcUgQq5zFbHsvg9Pm+zqu0eyYkQPjTFnKevPGNr6Q
oWE9ChnHYJLxkhLj1w7dqqwAkVEE8Z8Z7FZ/TwNH3cINaIZgMmPjdRCAC+vSqV/AisgbR0hA7ulk
6s/9zAFyE+ljz1rSu37l46X9KhpScDdh4Uba0a/S8InBYvkAA8vttlYZTxd91ytSsDSNfl0LGLxg
xHhIo+xaB/z81JTeZaSGdRUXEEZ8bQPTkShcJcWNLYUO28yO1pEAYLt2RG1e0ejQVr4ReTsgkNgf
nXaw35DMmwjEqjp6JFvFQ9hZjEwWDM0yVGB0iU4XL4ouO2nOmxFFysFM82E3245cz7WVQ4PR+5NB
XrHbt8W3ODV7BBy966GIwElAmkCJLNOV7UNEhvqba1fhdqiA7q34NoGG1cRlnGNzAovCMYsZZejo
wPfbiCFllNnpV4wyhMMC9S5XtRbnbC3WeK5QdXzJwym/J84v3ukLNq81wv7U1hOxHRgs/YusLUQQ
6ZwRizE6+kwSum3ZNv3eTwQwRfwJ2VOHuL1dkXIN9CFOHBlu6tp0N2Q4zxeZZtTHkfr+xDvMT6ad
JO/hnMhtkUjJ1K8ZthFe00OTR9bazOYvtcKeHWAEbF8jq/GuraYhyhfEwg9H2H+r5N9UyTgiTarG
f18lf1F4qsvo5yL5z5/5H9AKNBXUeh6CRRxnH3Kjv1DUhsFf4WYAactcxUMV9VeNDIQLvgGWI9uz
XSa1VNZ/1sgLUBfpkqHrvoXrkEfUf1IjfxJSfuTOGbS+HMNE6iU++7fCHiERJdp42Rdfoy7ncfr2
06dx/UNW9a+yL64rTkUELy0l9k9iq79d4JOyq50soKUTF/DhNcU8aHvxSrBdImCv/k76twi3frkW
Dju6dibyW+Ggg//kLVAGOiYnt41z6uRq4WAXf3KxhW9mjfPSpVPkv8NC8aW+02uz0+js5g799CN2
2SYqvnKU9RlOUxLFkFjJ9oj0nfLL/hs2Gj8pTn1rd5p9obv1fMg7kYYtY0ldXbi2VoX3irgXaEnO
sZOpcZ02FVIaRZO/lKAyEWr59OpBRQwUAziM4DBIsBVEy2Z3DQivgWGfXQ4elqXKx9WWYIhn/+9N
Htd18kBGS3+Rhw2z1pn5IkqtIcmt4sKTTrp2Jne+hHDsjC9aBUcGNEvBY0SaLdkKOHWvsDnV80WK
yE67G3WNRuzG4nwitDqQPzDh3gcz/L+9tf8vf7fAzPPTffI3gP2p6pMueS3RZn77+IWHr2SW/fip
v5pr/h8+nESBAAOIHCM6VvtfzTV2lCXRz8GWiG5/2QL+2jgs6w/dJC6MZhyDV0Tw3I9/bhwmv1DQ
b6Njx0FQx+nyn2wci1X855vNwG1ig41iQgZI3yOd7FNvjZSNHvBKe3DKEFFWmmrGrQ6n7ExkCNzn
JvXx09ae/tZpXnjvMVw+qKIMj1qb0NVqzSHwcs84sVrLXYZMNzDRThcr38+0e78uiK9jwJlsKh3Q
rBGn05VRav23tAXay2Aif7TNBpZ0gaQ9iovwjOiFeN3S9IY1xLM2ABrSjjtZaPO+agr3rgcH/ps4
zWXr+mm74RNAF04GIh/D0gX9bBtKFZ6Zaqjrw9Qa07VL0ATuXrjgppTL++J1/7RErv++lX4SyX5c
TyxoLFTAnBE+eyjgLxB5l2X14QM2PEX5W4S2IQBnlfzmSp827eVKCM2RbaGuR6zzN6t5j1SsY0Z1
YHzRrU36hCuhCPT2rTC5Iy7a3ilyoW7/47fn0U5eDKv497Hh/LqgaP53Y1F2+aF3Y5WttKU91gEx
cJhEOSg///OrOXSg6ULjAKfl/OvVIuGPSVmkaE300cnOZYtGaXJbY0S6Ke7/+Vqf3U3L5yk87lbw
p7Si6bz/erGJmPW4yPTk0MRTDkswZva8bpqiWvutQWNDxdNV3/bGaeyyYU8PGC1U0rm/kz7/fQHx
TPQRdcO75J+frTF0wmEh9FZ6aHoGiuupUx06xjC8F+7CNfnnN/33NeRw2nGwNWI7tFEp/vqeW5x9
lmzdlLJxnm8+MPJS4w6m+MlikvESHlteKTL/N9f9396k5xqIzFxXcOj6tC9l4NWSyGUoVY7NQAue
b3O0+hFpSAJu/p/f46drccrg92NbY8DALqh/1srbiTYaQyySQ2I00bohxYeMar3FgwxI/OGfr/Vp
v/24Fqc0PkqsDTYC/18/z7SQrtZqrKFZzaOxrkKvOOaJNRjrf77OJ5vJj+tY7mKi+Fiu5q/X6d0c
V2A1JYdQx/+6JjOZN2WrkiCcwXLu4iThbDIx5yQQsK3TcKMXUfwj9+bf8ic+rZ3lNRicihdrmofl
5PPaGZSRJfAleQ3YldYk1zfmKprJ5QlJQjuSMMr82LXUb/bzj4/wpw19uazJFuS6FnMrWmCfls4Q
ubQZQ4/gblqpX9rULY5MTdUlyKZ411p1SYNNqyYaUYq8oiAckZdDHy+nr3ScmhZ2mCiOWViG+0jX
imNIUwYrY6rd/PM39L+9Tofc28XAAMsFD+KvX1HmWOE4e5q2J6rDfVOqt9tgaHLBV5S7o7un31N7
nDw1j+FJNWZnfSACbwXOPjz0WWVf0CMID1PiW5dCcztv6w5xlVLSC2/Y/fNr/fuq9TGTWDojQk4k
7ueXiixIVvSwkkMhdHRsGZ2MLCi7Tm7++Tp/vxMZJC68F9yF/PPzszHR0OKGWpfg0K7mG5EsM/oy
q5yLvLOdu3++1uftnHXiYy7CJIosh/HmZ4q18juns6eU7bxq0er64bDWc2zCObfKlkkUnNNpVBdG
P3nPWlFGO2CM8jcfrKF/OK5+Xa4UjuS04XDhi/4IXfl5upm3tWZyZyBi78k8OHi5yWYqBTioAx7I
+Qbgmv72AfbHI/ihA4jRpCY4RBjqEUpx0eHpOoq+V9dyEGa/6ppFcdjkkvaxmRG7kMfEK8S4Gm/n
3Aq/DwSmPPoqn89zTpj7SjSte+c1qJxMXDEXQ6uz4XbFaN46febeuYQc7SVQwFNMl6df63Wi3ZML
MN8oCLz9iljA4apgDPCak/z1NqPyOHdareaVmMrwO8olpz6WRYPerhzqcD/TOu9A0yFAXdFJXM4I
Fe3kVdmY9mtMA/edOtV6GC2rbuAwfCjH6L1/zwdpE+YlJyvedKhIz5HFnW07bC2AvJK3PmbzrkAn
fI8qWuRBWXBsXHjRfhSMiYj6LZMpe8c0lcNQ6SHC8T0yHsq08Z79ZkTpXxkp6427P0L1XQkuz5xF
Y4jWsXfSefOeZzt01lMmorO3/GznVLwM5Vg0LJOxG1dekmv3orLUmedM/tg0arz6+HhDd5Qbs4z1
m9qiUjxiz87jQ2hErnU0mZycM5pt/aaZ4xR1/MduxQjnopUzO5SPxOqlrDJWZKVPWMDJuJ73cKz5
7JTjJx1JJXp8b0+J/aUnslSjKamX10uvFeu1ze8hmhdVimS+xVwueWtxSJSrsG1VtBOzyDE+wIS5
SyMLHGA5tCZWAT7bAqDGG4lt5tZoK/s1dRoyPrlpED2FyCdvHMJOJYUnqk0Io9NVouwhXnu2kbzk
LuGmE5mRjO10xj/Wsg6LZRLu9+kYkQWMGm49TwYHGKOo5m055Kwlj/jEczSiu12FlF5qJQkDvSkc
TdeDZTKy7uOOVnTKGyCWLx3hDHYssI0OrOk1JhZ1z6iF1etk9nTdhvFU7fuYisF1Ku3ejeFTr/TI
VudIy9Nj5ucbMWvYllp7usIU0GwZFBmMxedqA/HbwTNQtTeRjJOD7rflxchgPkiKHNuI2elnwyrn
Y9/o7p6eUHgfSQ/PV5+9Ni5RI4qrIbd2vKti9nZZgpyM2OCJfmNqPftoPVc1Gnq9UnIF4MNak40x
ByY1X2AggN+SQAlpqy3zLOBTNR9FMlwlEbGGqSG2cdxY27GPqyMET0w9Wl8jLRvFqil4W3mGyTXO
iHJQAKAYKthIxh37mVm4daafcNVOzLwGXEVIQn0UtoRyb50meSChhulDV5sXtF/A2WZOUMty3EH9
0oNsxmcdz7q7FjWGpUTEt12s3ugNv9bQDDepVuBYpvOxaNLMg6b7T6ivMK8MVp0HavJ5qvW1+VJY
9nFGioKoIrmM3QWGZ7v3wxBeVKR3PsmaXnGM7O2I44EN2F7OSIWpLt3Ess5y7lA9J3l31Ab8FLhz
T5lHeA9WsIKprECd1JhR963RMbcoA5gmZLwhZIgaWenRqOwK3JAWeafeyXlBVQ4/H5W3OT84s21t
pzEP+40cTHEhDaO54qBkkxDosl9knp4jc1bRA8OQ8Y6Qd84PVbck6dbDrM6ZR/Az3Xhva2fS/5pC
LT1MuTsd4kYAawHbZJ3pQt1CZxxvvVGpjTX3/WZ5/jhEP9UDiJe6Ka47orIDjzstP9iazVHABJQR
tIqzCFgKnoWl2wWYcxO2onIEMRzyRPAi4e3rlNKnZ/2tC455W1SI9q5HM18HbW0WV50uH70c2Jgx
0rezm5mpfJQzm19Ll175IqYtLjQ01NsyzZxrndnJ1vX66ItMo/HC6if4DeF4TMdep/flj+LFSqcu
XDlo0JbMqFYjh6ONj1bDuX1lQtnZz0PBwkw5O1Ai5NoNYk5vU6j2qax8B8GvHJ57u/S/S3vKkJKW
hnlvFo73ZRoJutnp2AKJ7xoRAVY957Fyavb1PItL7DguSopOBVZFKJImG29PBS32YjLQoNVG336r
CVTakCKkjo20zl5h66hiW8QAtjBOGFcBs0alh8E/Fzc04xD9hlZoUfynsU2bAquKlmh0H8hfP/Kl
irvJYUjJQzhHEqcN9vs0692NJzW6Bk3Zrf2qMde+yxJw07ImPTlydiMql63ry4HZSmI/ZKqrriPZ
WasiNNJDmDbmmU8wWVtMYJohNHaD47CwRXl2aR8EYSHM6wjv9d7BHXYSUdSt2np27kKnMdADj9Uu
R6S6zefOf+2XaREbDcHb3ZhYgS8BE8LVd/xdPJRmjmSXSJyoC5nU6JN12et+daWDUN3QtK7cVd0h
Mt4ouJQ2jt0h34H+957x4tDEqZroYtIcHzApdNkDME71TVKOnxgj9jdYSSDbW7UYOpJQS57pyE4x
8FSDc0nFXu8QrHsUAEZ1zA0lubtkfSZVPb+uof1f+eBL91aDaYH4Bn9fTDNBQH6prQYjxOXG0P2c
9kBh7Wgo3rKy8dxNVovmix05WH5dspuEU6D2qkn7OaBmoZeU5u2jh3+p4FdvWkA1eSAcLBVBF87D
q16T4ssm0GnA9HvOsr4BobaJS7Sv6dxfYP1JoLWmG77xZJMV5vuoiXqdgFfJViBxuk0ZRersib56
84xyOM7kHKx9wTOwia15h98mXKOyl9eGPnRvaZuxZzc5Tw02gTaDojjYXpM5D1LvS697h43k2yvk
sFP8PYZAEMikI1cismVJmSS1740bl+fJqc3LZHT6B2Qsw5vdJv5z1AuGnmUpNAaWcBqXqRxpUl6B
grQo95prq6NppkjMCnf4oqSRXOpZ0aw1f8gxwjZoPBM8JwGnqOhSmcpby5zQHctsQmbr+WTxquS0
t8tUP5MokK8JH+eZUZlKFUHe93AC2JziHrZfM+2NcJRHg0iqfi1ts2I7U3N051upqQJ0Tf3BEUS9
M+LilJSFuWD36WbtPoHIshWIUDc1D4WdpdfyWM9J/15TG1FhkItVagWfQusnLyHtd6bTHHEIHatN
QsjMdtq7uhU+KgCIr5pZa99Ntx9Poa+ie4cE7sCo+LWTPYkHo0wIsuid9iWs7YTjpL6go5MHDsbh
RoauDs+vuXWtxyhaBroz2ysQMBZV8ag78Ml0X7v1hilbIWqf6cf7W3vGQtGWiI3sTC+wS8e0O7G8
4SvBPulTY6OkBqyI4+QNp2WMyZU6GRkbAR3KjfaoqU3ovuM39B5iRy1vB01rim0GuD/ICvdodoUT
GAm+5cLpt0QvA+HwTW3thSxnPZ2MC+XgyZiN15nZI9q93t+ZqgHIjjB5Z8tkumtcMw4Qf0fntBy+
azXmkAYQ/ModBvOY0NjddHSzjkmr8r3QaQ+Y00IArNt+h11Df8ukIZh42Dx1OAgd7b6yN8R8NTjM
ZXfS5ZSeMmPaZS4MW4sDV0BR7a7lOEHf1g3EMJO7d9omDnQi9ShN6nUO4YMHRBVeT6D8VzJP660v
u2+y1apNrVXzznBJVywa8dIq7BUtLN0LWdM7mCP9gDURyab2mrj2tiKFm3OKuCyL7lhozfNYzFd9
Fh5l5T7UbXhmy6VhlCcSPPD8PW2iR2hktxDydzWnaaR0+avQkxEpFU1KT4o3rEBdMLcwxIVmOA9V
nqC1q8w38rQ5WGkRm3xsHnK3lWvI1vCoawz73rjqI/e9GASSkIKu9srRqAiise+/kFHzPg3JwU3x
ajZenoyBEir6otddNGPd8LOj3aIMVUqt0ARaO2PeDE3yNA0T+g0Zn5zmQfeH/r7xoV/EXQJxKIr3
HqqEADBd/6SZ8O6mcZD7gRrm1Pct4+wpXW5zpR8dK/GeXPx6u6Ro0ON3RIgfksalPTqmSznhiXja
VSMAdIbNmY14x51PqJG0dhsX0y04ePEV0ixiE63OaeiQZtv5+s4csEpeSL/AfL9q4mG6Jidk+X1m
k6WviqbzSOPCCOUhIi2GjLgxq9sVXU07xZ+PmHdrdBEOlozz0N6zek+7lL1EbNDhpkOVJWiaut1I
yZmR59Zip3/2IyzBHSGKrG7ip4uVE5KPy1GEQmptLlB48CkF9WnF9kKfaZlpqKoPn/uIAiHUGmqM
CsNQmswTNqCBErgJ1VmzHarkxNM2UjWufplqTjJspFCUHb3HtjR2xCuUxlKdAOAbvqWzOV6lrmK2
b5Dkh+GUHDG8mM9RodHkjoDd3xqdI3HBtlQi0Tzob1U1us5ZxsNS8hLPo4LYqTuUxgNHhxzOyK42
rPbA2Z5fDa+c/M2KAn3tqGjegkehvhpd+eLmsDSSdmGzkK927WCxJ5iyJF4eqTJBEu3BJGIwSDor
PFqxQ1Ogo8j3e48ewTKp+bjeR7ynqtz2ELpE6VAnDDuouMXTx/8i/MK81V3K/gpDyM5znHmPuKJ+
7QrU0sHUmnQJfGu8GmeOPRrFJrOeuXTvCABTZ1QbzkqPZbP9aBTXOdGt5lSRoZiR9pkXSQ2xMonF
ThO8xCIesyP6z3LnFk73hVQ53gDejGLFPjLfdDRerkEeGE8YD/jWy0znNY9Te2idEp/gtNiRtVjf
z1k/nyfiRSQGQd4XBonwvnYo+5ohrqvAUSlwF62mtu/7HLc45vIxg29AV4TmJZtBj3so1JGXVvbg
YO4LcZOw/vVZO4kqqmH5awk2ipSOoj9fiBawCLxXQa4Ozw7EnWU0V1uJls8+5Y3ULx1jhDSYzkzI
ZofmVThnx491pyUk0Q44pTn+I2lF+DzfxLLDyz5M2vL64jokg4fu2kqjzLqBkMhnkvdM2Qz+yHc1
XVbewMdGkzKwDfzcpDeWu2ppxXXE3J49RJ1Xcz7i9q5If3JtVoC0GRUDlF9+YZ66d5EpNJTbgw/o
hHxM6ZEoOpWeDk+BH8lKjFofOYwI1Pi0DHdiwYIBVeeBX7RRcyucdTNq+lNsOHaKg5NURkgSxm2s
cbw2PPqsqFoo+A3NDL/PkGIuhpTVZM1cEiVw9UorsUT5UprDg0SSeQL+Hh4HnLyvYawTARPG3Dpa
zC1sWz2zyVGGx5CQlNeMGO2DaCYNfmc35PqwavPQuKU44B2Wpkv7K4yijBNwOJY7USbmibql/SLF
8vEWep4dYanP5wHs/y1oGAAtyw1rdln8tSCO4hUxHJee+m445gAfDpKWK2oHX+te54XQhIX+Rjb8
nIDRcsHm+9Y7HZGDRkLpIet3zNrEdTLM23VDS6ym5NuRMuRmn7gDw14JOhal2MmWFNOoctXZogV+
roshfG5HRznB7M7GRR6ZxlVpwWdx8sXfI6l8nHXJdrjTCe3AldzyFSOlFnivaM059QLbAYEFlsOX
1ISj6FklcBbelijxV0aRGnrbuOaerlonXFdUpwiw2B+FzScVoSO7nykIvnthzRsWclmDrQ6kD+Zq
eEwiE9uRb6l5ry0xvQTMUfb5bjx8813q5IACY3rqqmR6gSTKFKrjQN7SSq0jeISAGVYm4ruT0Q3l
JVa7/j7RR/9rPUBVS6pJHMGO5WqFIWG8spOx2SrHU2T+lqyAAd/Uc+o62MS7FtXs2oPVOqzzOqnU
j/bzf+VRv5FHMcr0GRD9e3nUofz6N5nDj5/5S+Zg/+HRT7cYSqIm+NBA/aly8P0/WPII1KFafniB
6Pn/JY8ipdxhVEwXHvHBDzDbnyoHy/sDUyxwJywDP5xH/4nKwV7MSD8P+bEQWQQNkoKIhAv+2WeW
fI+ZJZnjSVssytMalkL+6qSAMVY9/E9aaPSsOIR1CpxQrw0j7QEECi4mzPPshvYUGPCxSS1Ohq9k
QxVXcziVL0JPcUBHIsNMzE8V66kKkfiVc/lSOKGFnc4wr9qEJ/cqxcByphvq88ROi6jgCJ27u8T1
7zzsdrft1A9X+vBaVC2SQnw3j3LQ22fSTQYNmVBezvg16umVoLhigvms0VzXrAjI0CRKZNaWhEa8
qd0me4sROUbwFApMnwoew4Z6LSFtq5kQSOaip109kZuHlW+2105L8bmhC+ThuCFPhrLQT61dIxZ+
BQD3+GSl3uBv0PMm8ODK3LWCTMuq98Xi/1xJfb7sO6UHvZV3F0Qqju9gYcpnCg8aiGi91QUVZnOj
6jR6NWMT41BqLif7fot+l6xoemkB86vxcsYCfu1YqhKr0SdJEbTL6EHIT7JL3yqmG5DMRHgrueZE
f/C8EQM/tPJgKHuQCbbajZzgrg3ysM1VahXvE0G4qNUL/9p1jPqAH1reWWrsQCSQ/WOPytqHc23Q
FqFlcXRk5K1Toq0vaMuS+8WAojkOcx4vzWIIBquEDszJ1wuzDFpN5Y8WVe4dNG6E5r0B4gYSl/GU
gOF84pQxHeqR5JelLj+NM9FjssT3VM3KDsYpnE9zZPRf8kzVTbAgnE5j2DYXnCuG76IVM88jJWlJ
d7kdXw12mW/qRpTpuhxFU66QJQ5n3D6tsRK4eF+bhVMV4Xh3dlFSAKE3KY9e0hSz82JZbWgLN1ZE
ACYb6Z6ZVHLL1N76YtIFvhGzw9UYTLV3Rm2CBGti+8IwUzwUcV/Fe5xCdJxUVa9NOTT7URnDLRId
sGo49Z+1MmqPll6Ib2M7eu3WZXyMStui1bUZm0bc4osjtrMDCKE9MVdwr2M7wVACsZtsEtHN2btd
V5bgxEO2dKQThywcaUDUMMp7vsfsgYZVfO1NaXfuDBUfPQ6wYmNUY3OKw9Jea66KijXLFcqtRaIO
jBqOMlrD3xtVZJ+bgVJ1iWaqL9PSw22F7YC7/GkqjdTGLh8xk+XjmZhD1kcxJDr/qkojkkzFxaBS
97arxKTnp1LXp5KWZ6dJcuZGgMLhAACBJJvBUscYKOa+Gd1rw09R9Nt0by2LBihmd5qGTBKHTce4
7TkMheLIGCIu93pbdEFWmxUjqs65A9BAm1QlBAQtkZVBjKb+0sZ9dJKOG+9skAWrjukr8UGw10Q4
ZBu4SCxF7pfbsCM3apUMQ/4wfbh58HHp6bWXdKQBre0ar9OdPaPIwQHkkQhEWGSj7ce+fbRxGNxo
mb9g2xYDkYWTaIhK91wt5qJisRnli+Go7gt1g5TRPPSLHYnWbXTwVZffjDyMb/M/bUvJNrREvkGd
WKwR1tLjxOZkkJtVpNwfiwFKxwk1pEeM4vwmS2tovmKWErim3MU+5eCjSlM8fqB1VgwbiW3/MFst
tquYjBIgfVixjMWUhRK3u0rwaYnFsDXSO9mAPdDO6WzQJl92a9XrX8rF6kVyNV+y+tp2wwXDgzwI
pU4FaNKyMUSmb5kbPTBPxI+Ei8z3FHYyfGUO39gGO+StvljOoLg84oq5csc0vZa40pgBTitTXXiL
Xa3Qq7shsYpVMXkyGBdfGySXgbPtYnbrYbfsvdjIArV44foftjgMck1idMfW6i7k4p1ToMl35uKn
MzqSqvHZe7hpCHg9tpFno54b6/k5nrruTE62vXVHY2WyjC5cvu2TDrVvpX84+WBt7TSn1HY2RoBA
qmq+VB/mv64yhpWPcP+mUUrcWnNLeGyUyPwmW7yDrmi/ehXZX1kSGRdzIZqN1o1+EXCqBFs8lA0m
RJ/ld+9BMVuDDUDdurgV58W3yNlRXcJFAyA4GO3DTARboDl2d2mK5MYhyZtbAhdkiykQoxnOyLbI
i7shD8MbZ/FN2otEzKl0tSbL40JgzVhni88yn8LXeHFemosH01zcmMniy3QXhybO+CKQlnvsFvfm
1LN0Uk3/4izOTiCMSPdToq8Egz9KEe99xHlx62sC1W0/qS3nWIG53su/LzOqy3mkeMJLOkobW2mL
M+iSPUY7pTLBdtrExRKARSuyWVyp1uJPddAH7MTUxe/2h31VUIEFXtbfsgjzS1Hp+TWkEYepBs7X
ZPHAGoa+MKjt9eIGPRSLUzaHY77W+sU9OxovztBiHzC07K5YPLbO4raVld1suw8LLtvhYscddDdA
9ldu1Ydd11lYOouDVxtccXS6Ue1LP5kOruQRScKme9DIP/9TXPTfc/JvzsnCsBDp/PtjMucH2Sbv
8l/V938hOe+Lt+QXafCPn//zyOzhkkfgi2WAwdCi/uVg/OeZ2fP+4FHuczS22CwNhKL/c2a2fHwD
iNXIlkcmj/iPv/rrzIwymHENgiJiTjzT5K/+7//5RazVffrzz4r/RX38y5EZcbGj2xbaP4b/nN4/
yZMUJ14DXqS+z6YqKKLveaRdTVTEKcjTEhwO9sxjp4c8kfonSF8cvLrfadgWQeUv0hheguUijrZ4
zyaQ6F8VUpXjurXvL1P9VumXof2kRH3qeADiL40yzu26bGjVAiMnjzE81/TBdp6JKH40n238VHO8
Lmv0ZjRy6K762CQR9nnGZRO7GK+dYWXU6VoDabTS63d7Kvif4iW3jpH8S9qZm+U/Fd44O1EP3VzR
RO1WHR0QR+zBpeEEijL31OiwPVezLnF6/j/2zmy7bSPt2rfy3wCyABTGU3AUSVEUJcuyT7BkuY15
HqqAq/8fMEm37aSTr8/TB+6sxBIlEihUvXvvZ2usT2j5bE0nUb5MHkdorglQH15QsC3HgkyvCSyd
JJ3JWREh9HIvSAhY2jYJOdEjL3XZydKGR2qih40qkVI1v390/E+G0DZdRK8krJwN/cvsAMUKS+yK
QTkzt3gzVPl6JA7ZDtlVaeFzyjx4k3XFBsXtM+Xi+i7Jh0vUucfUKL/MLNJ9mq2YBec7Z+bHkH2/
mMvK90JZOp2EBBInXb6XSxDMGbpT2Uk7yPV6VTsdLzZvk0w8RAVepNst88/i8jeLC+Zij2Prf19d
ML39sJr89gW/LSe+/gsmfsaAv0WQfg8ZOL8gIToGlkgoM/TJ/WcpsQRwDwctiWiCv5y+cf39tpSQ
TqKfbDHIQQNhkeGrflo6/mopIYj0443MqrQUyTmMBnys3uJW2vBdVdBU9P1Yugm4tqZQRy3tICtm
JtepsLOvRTnOWNSX7CwMKHK02S1SewvX3nK2odtpF7KHpG+JXI4XS/ThSzazdzg2S1A37pM0uqua
JUkblmwuV7CQiPXSl7kh6OeiDvbycWhrgYSORIoZLvXyr+NIQHhsBu8Fn1BKcPmWIO5Zqad1uQSL
Ebjv4iVqPC6h4zRe8sfOLYtcLrFkch/5v0qSyhFsqXPqqxEeWGNdCVtjFhjwun3rl5hzpI33WU7n
6wIASD/NSxya6vjxo4oaSDqoJd80fDyMuyIbzmSrXLRxXGhrNYmObUSk7mcXSzsjRwtyX6Fpj1WZ
yjFwR5TbkRnrnXPLa0cdmfZAVsI6mXGa0b3EboSsMFYhBMKo3OekGzb2GMZ0nYpIrYRXMKdcmCsB
oJH8aTKAf3IcQf+lEmufyDzagUbyDjwjUAkqVYv1TNf2UxFH0PXApOcYVKfYBC1lmAMW+Iwj1Lq0
Kv/rRMyhhmjSujo9vSNwCL8lQBVmzWEIs3STdkhNAeQOsE+N8o8t0Nwb1aUMdL/2zvACAT2DSRyu
o1s0+2iKqz1wu44RB8kvZqxFXq2s2amfmnzRnl2PDDeS6mPl59g0tLrMHww3dHWIUDNVuQ5q0Cqy
3fE1H3T8JoPVe0cjrtzF1zSpBTbl+pxpnbAHNCfTTQ6+6KGMl1CqSghLC6du1pZU6FY6G4FDnxYi
DpxYRRevr78BkJ2Gvd7PTYL4JqpvkMhyKwDOnMsgseb+vWw50+xDdKuXcFDp3SjKZjP7U7oQXp3x
rcZNfXFkSyyXJPDW10Tr8ljF7GVUPo8PRR/Jw9x3UfqCwylU4yOsraTKoblolEW5FJxeKRCNL4Xp
T0b+lU/XxLEGZjfhvVVWGWtItnM7VVgBHLcIz1HX+OvCqJAzLOw40pYOhzvD/BB5vEa4NL3m85PV
qWgjS7YKK3xRY7kPS6PeEpUroN2kzgrXqXsAHpBtIYbhIkoJ7kxMf+sowxLJDBdPiFVtOr0uVk1v
hNsUJ16gub25SZQ/BG0kCtwFxtHsfYMIkEHDWWVd8ezvc6nbp7m2wtWkt1AV9HLaA4ThfR8g+xXB
aGG3KL2WK9AqG/2swaFxoFkPGBnoEd7yoO2xtbbFJgG7A7vXl6cBMuRaNkW2a2yQEwFc2+bodM1w
MNOhuLLxwcWWVI69w8zTXzW/e5xjbsysSr/NnvhgaCwDuZd99XBFrgEwUrUCdetZG8z8nEvlrrqS
vUGibOMJWiarlldw+PPhDQS6A+YjzMw4wAXprQAx9ME4ZBdhlS++1earJQuEIVbs0z66Ok4Zbwps
qSvSh8TBE33ELdbl3r6dnWKlMmd5tyv5zD4yXuvwTO7cypqpgXPGnWem5tUBe7pmeco2TCTsO0KE
BcKkzwE2srrh3uYQvGlUqk5TAQ5H5Jb16hZEOuKMgYGCBXxwh959ZoA7HGvp5IpFqmNN4QxECJTM
qfauA11jgppF84MOvBfsRpRe5pG1MYs4/VazZe0HzU9PqMy+YlwVKdzVM9uPkmJkqLyoKknWnIth
THZuWyzxaxPBgoHJECXjVoU4h22fmFjR0THNbVjGj5Lp3CacQcrgS8h5t02RcqNywvPfExj1S0pz
hO+RKDjzMTOnUwLB5CHtPPl11G0NHns2M+Uw9Y3u1YtL1h22becVr4w6vEvcR9hMIz7+1xSvmmkP
2tnOVPlgjPTFTXmkP9Ohln/rJqv/5BqRtfiny8emgQ4/GY2+zWuy6ePce9TxWl0W5IxNN3g3chbd
OBmeEktUBy/uxJvouKQFtrkTDI3y3jPqbo/dynjoOhtMOxtc7io5PUVGsewiNWw8/ehz7GcSdOrs
PNzrsZ2uxrTLkC89lsw8ejB8wIxJqCUXzKWuF2QjjpKINX+pfmIOi2g5HzC7wzBkHn1OzDz8EJfw
QQIYlN1nzpZJBshvTE7mmHX7ziRAhjdAfSn6IVvNop6fxSgAFoSp2wYQyCiidpvuQxNJ8zQTij8B
LRhBiDs6Xdx2E19tZzCeSMea27lK6/UkG2YwztTHH+um7i5idtQl7iom8ixMzZ4nunrDj5M/i9hy
u4Aom9pIKbKVblozXMmhB8rYP/bD1KUM/4TR96964ywn54n5SKa/Thocmn2l3Db5aDFoIL6LL2Tg
SZTpXvowV/EIM1IMxWYwnIYacTbPm1pX81c8e84mzCZmbG3CEhyTn0RobGUYRPE07KRePEtqt3cw
mCkniJgZ81Hma1h/+aNYxtR26R6GSKvXDUi9f/bHv4Zn/25/zBb1L0/fR77N8J5NP4Rxf/2i31Uq
4xfCNpy0SZTZzncHbs//hTo9kvOEbV2P+dV/dsnC/8VYzp66rnMUNQ2dve3vB24HcB4HcWL3loGb
6X/bJRs/h2zIKrFNJ6rJcRdp6Oe4FGfwuPXobTngfezhxtF58ihBU26FLKmCbNid4CVJNYnE0FiW
hCvk+Veyq/2+dYtxJxrKUBiz4tP47pjxZ4lV86f9Oz3M/HI2FAAUdFpof5bPVIcwndEsdOeOdl09
+Dw2HrwZpx1Dt9DOqIyvnhIDx/ImaXGbRwz2tRpHaMHjPfzqlaXx2Bm217SbenIL9+PMqfw8xY3s
V1bcGZ8KOhfoDsjHGk8HwXrIrxiS9Qfm416nrS2n17y9zMJ5belZCRjPoDYD8ExluVn7IaYehBtd
IxCA1TNvQGh1+bRm3WAui8LjHzxSmYsShq2z9fFSDXE7bHzpiQuGp+GDX0EClm1TjIGfg50OcEc1
X4qp0K9WCL+ZbQYZOcplGFIyB104oWNoxvmhF1VOGQBBfjoxIAk+lotXnJwAuBC6N8JI27XJ3B6a
KDV2wyC690SP2wefapy1k3ZHiqkOdeV0z26ZwLb31bRzu6E/hhggDkobtTWNpMhh+CWdc2OJCSp1
vNVA6PPEHYzqikf8ky7SjoaurqrWc5bHr2YYkhvTB1vea8gvj/BmgJ258dRt8H6rU+TOT9RJ5A/t
RK0h1W0l3FjpGNGW0Lb1pe0K3A113AXKtllrBwo4nKvuZfV1xLUBT9UrLvY4u0s7GXjeex7CnfiQ
RiBblKElD/PcbNiW4Xfzc/k8oZ8EZQztRDm1vcvzotzWbk86wmidYdWx4d7MEG32SlBt6s6+FohZ
p2dEx9HLrlmuCGU6j7zrzdFzspbkUK4fIkP4B7Kj3iEmaEPBUannr3VvdM+VyzatkYZLB8OgcTjo
khnYoKlOYtTdr5EbO1sIO80GGTIJUJXoNZ/GdmMmVe/gPBqt7dxIRfYnq+O3jMs+EGarVj1XWjB3
kbzq7ijPPieioy27YQP2yEelifNNr2EcNfFf8wv14hrjw0BonTGjtUnMJd0WbriVPFCn1QyB6tXm
m6w0lWtB6PnDxval8WZGabwq0mn6l9lE4X0D8GztKdXuYa+hS/fstz91Jh6cVYiucAeFIm3XlRRT
jAMMntpurDD9Bq7ddV5gNoVrIjNCYw0gCUzrPMqxHTLz1p5t1S0+Mi3HT4OgePSBT9tMnPT8bnTn
lniNkccnBlwlFkfJu0dJ9LyyxuXkNsbbfDJtOmq80HoH+iOdIMll+zzLujwt6G7evrnJlrFWuBWV
H65ML1nurthrgPPkVjju2CGKHHHRl48uhFt752aVc5eB+/FjOX9xqX7fhLKz7nxnsSo7Eyfi2tCq
Myuh/DTGHC2D2nMmPSgw7BrrDAMj1B5ZyolkRut+BmjgD2sbglzK8dTwxjPCrXWnDPYmQcEwBtrP
2MfFaao4ihCNH8e7CngwqVQWEVrgOKjBtcQqF4z4Xx7QZOWj04446Tn5jorjfJc/4PWu0Z89up7Y
8lQau0gDwmHNDv3ssBwci9jPcXaFefFCDVdzTQbR092Sm1CoFrlSaxbl0l1EzGSRM93KxNFtDIm1
1he507kpn+0igo6z3d5LM44viSmzD/UilnqLbAqwAJhgLdlj3lRVu8uy9zTq0VqTm+7KUdK5dMmU
a6+ATVFm1SLSmje91r1pt1HdOu3WWiTddqa/YyoM+SnyYoT8Rfo1FhGYjf4az7NGqc4iEes3tZg5
qHWM/THF5Tm2T/RLoSuHhhM/LrHyj9VYJFd3UoWx79ouuliWVZPnBjCdk3eKu8/VpJdFYEGNs3ft
ImiHi7QdN34Dl5g+1vseUwE+C0PaTGOFhwqSsW98IHuGUA7wnZfLIwjMrO/ozhoAfWIC3WcaOXmJ
yNfnE0Q+sU0nIvNtZqpNIxHoWRvUHUnP8BXqnMEfXHSs89zkGXIVo09g2cEwx9rKvyn/ZHLck3Hz
A7iTuXgDOmwC6HHs/kZ26bhhHef2se01Lz4WeqtxSBX8kqPhbnDEvqcCZUt6JHKyRokXBN/6joSv
e/HplOdVi3ezWRwMvs1gVWn1CeYMS46dn6LJCzE10F0AGT1wbE2tOA4QO9AphahJNJwnu3J3VqXV
fMGszIeSGx1g4OKtsBeXhWkO5prWDATWlj/g4Gif08Wb0ZpCHS27ISUBnx/vhu2P7+Pi58hoOV63
EPZ2y77kS774PrhKbabONzuIdbOGTItLpKtGKFg8Ttuj8BaniS1iLCVGN7sW5V0aLFgUaF9sp6Wm
aw0UUH9x0r4vN83iWbFu9pXpZmWJrMXWkt4sLv3N7uJhsH4rO2/Rom+GmGHxxlADkr3gM+Ljit80
Kx0fNBp3rpPuPGUqtHfpzWYjLJrYlhiBuO9uRhy0MPMhxOKIKSSuPk+LY6dfvDuYWfi8wpulh/aP
8rMAdMn3xPFjLt4fxkIIy+7iCPKazjh1LGfcRYtjCIsv5iH2XQgSuddzhCHenL0xjv3UaYaDixcG
y0qmfn1IsT+4jIQ8jcEQRpx4NeQYFYl3N8VVLgzfaqH50q+X4B4YQfwutLoIkyPk36HrrpGPesCm
yL6PyZ7iOOIWOyXMf+01aiQapLQS8Jp2YWEVWBjD4UIbRqRvvnh+g9G8nTX/gA4plw2mbbZICfCK
pxu6uF0oxgCeABr7C9u4v2GOa2QDM1Aa6aLATdPx1BgzWRN5AyS3N1gy25P2o3lDKI9iwSlDdoNX
Sgyfkg+uAUSihb08pi1PAmBoZbPPGt5PsARhHPJopSKENJ7wnmi1ttbVDetsLYRnr81YaGNf1Duv
cvL0vgUqokj1ugW+Dk+9kJdorvhO3M9N6KW7ysEIEmRJBg3RCBc0ntuUu6ZrGecCUyL9EBszjwyK
LAfknNq4mGAwi4NXJz68KLf+5pe6lUBLJ2tAn2+uL1EmLejE4OhrhUlGECbwJpOx5T+yx/8JssQd
Z3x3HvkDZOnIzf3W/Xiou33J78KH9YuNVOpyPMHf6psGh5ffxA9OKpDZLBMVw/I43i0dkr97DzlK
/ucYRzM8kBysiw5De+t/IiphXPyD2EE+z/UEBBz4E87PsAQc4V6eRso5FibW3BVFwwYFYYZk5rEa
SMb33EfQEDk8UQRSheeqnJistrau4TaZe4YNT3nVLOiJrnNEqzbaTEI53Hshgwq246PdMWzJZyqe
Ygv6x7ZoQezKcw/oP2ZXYroMfQGcOX207UlKOKfRarr3LJKk9RIXxqmpuZy7CKvmKM2wsgnOk7ud
njRvno3TTOCZtLJvlBAQGXOl8w4w4VLbpwCzrdKOR1vgtl3S7XOOUs2FM2D21Dah/4m8gcDpwSzV
YHYypvWRMHOMCXHyX+EYWBUvMTnzRnHMSnY8+3S6n6ay2Igq8R6ypnQ+Ndj71ppfyc/JaDFIxAex
rQZ80YQLuLVTmpUY2QoaYoOe590um4v8Lh3y+LPT2c2r2QkshgY9e++V773najp7egvBbcyK6Y4/
wvtxcAS9XYm+XwB9mz4V/krhZePv0Pz2OGBflyt9mqgsl9EIrbl2/SJAEeEcZoX0l0vDHqFzzMVl
MIbuRQGuujPbiRzR7E6PPttzYpzp4mJM0CPgUmrJPs7T5CvXg/2YZmSvN2zTtYe4INqobKfddxUu
eDSw8jmeXZQV6jYvTE7d1ajIyawsGHD3CNbmR60ChRE4jSkeKmvJKWHhh+1JxnJMjPmY9zZUz2Sw
ho1hoiBry5BLaqFiiCDmfW6liPlT2Myftakgd5Xk2q5JmvnOis35nY2Oe8d5vH6a9Sk8D1pTnSpa
NoodUbfpQQ2zMxrGVo1WbzooCr/9P14xgv/3mm3W4DMSHWpoEzSjT03YISXoJMsDfjCZV2uXTtXU
3wKax4xjeJL0tcw7OW/0GKLx+z8r6v9lRTUxhTBb+u9C8jWuvv7r/911+Vv59ft19bcv/N2fYvxi
mLppOFhQGEsBqPn3uuoaC4PO0n+ti/geeMl6axpo0Ld1FFImnpbfJWW+nWXrdNWKxeryP8jJ8DF/
XGFxnnuewJvCz8DPBfr/R19IQ0APQqtfkUXoyiBFGSR/ZPbJJvJ8lB7TfpUUveGUrRPGMvVrHtna
nS7ds1kNEBWKOcar2VnFoz8W5QU58MUOdVzcdd6k28oiWTEPmrhrDZfE+KS5nB1IV3ideyYER1Gn
AgupZPvmi+Ie/8Q9xYw7ig/Ddd/a/mqQBUaJcQCy0CbfyFgk54LajVXj1iXukqrBredRjGmb6IL6
fKx8/eIYnUDflW8UeynwFVS4WcAq2j751uU4S3GPTBu38s6uUDuZuLgwovIbWOp70FXXUHE0spJh
a5nZ/TDNF/ZORz3ib7WphpE7eZtqMqdVM7/bfXbIR+O9cp3XZuq2VR7mGPJi8REo9j5pPSeQeoej
krQ09mjvDC36NRvzN1efjS3FaFe9ze6Xd6AvyIFYWf4trUvKvaI+3YqckjdREK4amLNwb4/PkZBX
r1TOiiclXO3cf5chIRYjtvbkqI8UfFV3MwLCCpgmbwyzSwJ5BzMeTOQtBbNjusraeo0FHVwqf2ub
9K2a7bMbc6DF+o2bm1+ITe+3qp8uVs5nNYmeyRPwFs3KDjNTi0BxyCcchCPerHijzJgZZbi022CK
iTdJ5vcrTP8VIdNk2kTa8l7GxRv8FXav4PeDXhKAWl6rxgi0IUl4kZ1+6U2aD+L5aHg0xmujfqxd
cNGcI78JSrM2dA3dZ5k6mnw4e6/yHXqT+A2pdHqZwz4M8t6h3MIX2pp5EJ2UnP3XmA3mU2unh2qa
X1qrCYPYVs8wfrAClHJV8gBc08f6Vo7S3+Smeveq+TiaUbJK4zY5Z437mij9i9eIB+q8jBVCyHYy
+/1sD+2+UePz3Nh0udU9F6rYRwWfEaAOnMWk8snGzUenmmJkFj5P7Gfi4MPU2KgZT3RjFgJKgP5S
Rsa7LygBKxTp8z7KEd7H56YdwM/k3wrOTyvdgcs9FOpZhDBDsqQHUmAupSh0bxCkSJLV7X03SueM
7eu1asp061j2ubYtd0vAAcmHzyZWLpeicDDWt4vmy+WoGepcm1r9OQ01H0oGdUitFo6PAmkfs3KE
SNxQcjn5/bhv3Gk80Ggw3nXoZndq1LSHLJ5yEDt18VBq9QQOKB8JITbdioGLeGd4+JlBoHMymOiA
UFcVZo41Rlk8Yn7RiLWbzfItJD6lBRGl0c4utZryheLsl0JpzrCeLYLRAbWeK6ITZ6vMPreC/FSm
MBPHDjM/+obrfmo3jaVo0Wgd+AUIlC2E6YpAmeM251yLLyWYko3UrJdKM6JVN9j2ZhzsN1VO7XtZ
EnCDCxZvcioRMCxTKzf7DlzpYlibnGYvRg+bNiq5/OfUfK8MpNmuKZgWj/rKUaaxxb7K54YtmOEG
l2HDc3etIDk+gBscdmiQ2Hgz99XVnPNgNhJ0Q/tNk+3RcrLDdw+dP5EVftons4ovcgtsZG59F/ll
+e/fmYKS1KG0R2bV3ho1ZN2h6Vehp86kLe5pTnWCv341njw/eAmXV0P6IR1n6dApft6Vk3IbSmdy
yz12nGpdGuRY88W+IVjQ//qVfnYt8kocnUF7mroOufX29Pru95Kuq0Qa1tXe7LM3f4maLstxygFg
hQGJKQ7/pG//+jX/INAsr+nxAIeSAAb5ZyZkJEpGq1iZ91Nvxxu7G58BIeUrcuh7qS0VYvy+2ACO
bcfq9tcvfTNvfe/SvP2+OKl13Ge2QRfUj59jzcFihqJa7ruiFeuUxnYCnJgiWC6OaZVme91X77JT
FCHKcTykY8d9y7An4Cz/vjgxo3I+DhHZUGov2JND7ULL3wCZOUqH5dtzTEZmUIwgMd+XDCkLe7yq
IgLLEBdrR1nngRD1SlWVv7Ptqv4U2dQXWUtb2l//pn9yCXH4oriEKZHOYOUnR6yZJ35RYS/dx2a3
tSr9ovvzpZhpHP6b1+FY+vO1ygtxGHVt3HyAN398R9EBPCyjy7Xq59YdHJPLZCTWhrC1oOTWT9ed
l933jAAfyeRf3F4vHmHpJrihom/NyLq8bFWoWUaYM9Ux0uD0+HJ4JlZ/Juaxiz2We7tOilUUxc6O
ZKp6jWxz2hWRWRN8mJLjoLfdlXK8F9Xy2B/MxDr0iUdXjdNXR7oKv4WJ7RDJpvaxVV61U1r6Lazm
Fw/MGg4lHt612MeTvY+JsxDMJxwganXMYOKsMIpd3KkRgWnyvX1P+9za2bRyDfZYf/1G/skKIyAs
c4oDJmjiZvzxfQSuWDVUHpV7UJu37YRiZQOl4gSaFPu/fq0/qLfcgdgpLT4tF+fkzyDllpidm0Ne
2tvZeLW65FBUf7dg3u6kn+40mKgg3pc/wUwvP8N3K0sSN1mf6zquBn+k2jVRJpWQ8/uy0iezoPKc
xDFnsb2vmWcZ+vHGLfODpsKPXZp+IaeLOlWMLabjVNA5y0M8pko6qKfi3jCib7MjxYaa3WyfC6x5
qS0AW+hzd8oTZzN69Qev5187FLbfWVMyrUCuSyJpNEoxq6851OFq4gBt7ki9QHkwk282pccUCWb3
YFMOmR1NJIZTNqh4GTFHAeAoY9hRen+tSjPeWGI+/s1n8id3LJ+Ff8Nlw3W9sRe/e8PIHfeE16Hh
GJj5gjEuSOzjYMFUnfE7E0SmLgK3Uz5558J26hUhIx2fS/HQp1zLzIk30BiGrQwZZPaOUcGf018h
ZwhG7+6MrcY5hwPFlUNon2MmJSQqWYlq6JX0aU4vuinf5w7mgcs4V7A7pD0CnIUGLyXWXyY2YhTb
x/VO5HLn1/Ia4ZIJ0pbr06KWOeicEdMnw23qpnJ/R0f7i1+3499QWv/kJuGZsfwPzZTTm/njRSUj
sCS9xNUHd2nNFkcFruTHsXSi9HX0N58IzGS+3U/XMEYHMsK2AQb3D/fkImIL0xrKfWt25cZwOujJ
YXoIeVL5Bp/PDOk0mCcOSEzVmfek7ACj/N5B/A+GKiRKWfo1FL6R8Jgz40HLacIsJ+9LlxknbfQe
cr/oVrHPbl+VlViLunsnhHZV+XQs4JAEy2UWiewNYBG7VGmu0lm/bwY8YKoyV2xXMcynZAX4SG/H
y9lSYp3Y/EUf1IejUQ6c1nLc1iHewZxh2Z2i+/V2CApLVa1ln1WHcpDPSc9B0lvSUHPDUc+e5XPb
R3RB4wP0xfhMsd4FbMHhBro03GFNQHJaL/+gURFCzHC5IOth3BpW2wGYzO47ZYN/kM+geDhA2JnG
/VRr+GfZLelheq+ajGh+zd9uNfuV4CC3GBOXE36/97bv13LgDU7z5D4RnFnAEvHIyK3XNB6vUlgO
QDW6qMvioBHUm4vFixxxA5MLOHAo3tF5hpwIbDTouDsc2d/nhv057hjvZIZ9HruRRp12Wi0HIzhe
yU42bXX02NnnvfVqtsnfPY+dP7m92evYtk9HJVfUz7jYHEWvIb1S7Dt3ei+78YqkfWZ/wZuH8oy2
nL3djtoVvtJt77PTu93zZdxvSQNLCpT5sgZwYdaX6cbP/LVHUNtd533UIJl55cZXw7SHuA2QLAGe
hWsy2TTUR7+DwvTv69anXSfiudjPsX8quQ9WsyvOpsYak/bTyyjYbumtIOusJ8NKRT1WQI+dNZ10
Js/DmLnnKo3YZrvp8NyPrKCt2V9bjyOpP+SMKoerBYhsh3yi8NZkAvDGjKQsn9Ow8LDuangjq+nd
6UDBtXV/dTkd7LPEOY88RDhkDs8CZ92ym+/d35+v/0Q1/saKZmIIY8/23ydsD1n+Rrb4h7jGb1/0
H9WCbBUuFFMYy3HB51n+b9WC9gfdWc5Ey/yNYMa/VQuwCPwX9jS/2dd+VzDELyh8ts1O2Lqdpbz/
Zb5m2z+t0XjcaFklR0agxFzACT/tP9sxW0Y2yNtWr0FLsPIt7KJ+K4ree6SPK66guUV4C3o87/Ym
w8ejfYgpMPmau45J2bjSIBUCJCwAoew0Rmnt8zA1+RGCWUKGFk2AlufE/WTPFJrHRpQfe5maMLey
dt3oSVIcTBVmWyfzKUkd0/KU1o1WfSqh+dyPE1BkipeNHceOEfE1NmtKVGTrfxoT7AF7T4fA1fbN
5LyOUg0cRkyEbCLg8Qn6QG9tBBuhcuVHtZe8jb0Wvw7QJAsyZlUWbetuINPVUw2FeqLlhW6thl91
lQI1Xchz/qvm4t0EGFKf/Lokc1uyK+VEfdoems+i2RS/KjglBTceJZhm6NPsihcX0733q/gTUvuC
FJTA8kcYClnkJKGR0TUAUC7DcPnrZDyjXIo5eVZ29twu7bIhA8wBGXeJMJRovSVEOLzgvW+FOdU8
OIuMtZ1CD1plDoFuZoBMK2I3C7yU1Fb6dQ6nabEW9wXk4vUYVYmFHkXN3c5EOW/PbtEvw9KyvejI
1QGGLEHLjQXsoIvLu1jTxl3EHvopY+aRBKLTeVIbpXzEkmdvHb+e3tw6zTaSDsLVlE3xOqm6Zjt6
RXZC/Rewiqzirqr6YUepXsNoqQRASevacOeNKOxDnG2LomSO6MTRg20CthzjHLucFWVrq7dFkDpR
te9mP3xsC1l8DEuNpDfQLy/AsVw/QDj6kFVF9CiiprvIeHQfcwohP8WFRx+wb4SHto7VI9dDtaWQ
MnnJOxXCL6umj8x6NHMlB3hLoYsNQRqJy4wqC1/iWhHjix0N20mIAEXdHkWzbitOoRPmOw1A1Myj
G9rjS914Nt10ufOhcYzyqZtUBr8vjMnb2GkjFHuX1lUrRnzzXclezwG2Q0qPurz+TvLc3EkKR18E
Pp6jj8muJqRoy2fLJxoeeFDt0oWmlX8zpOWQ13NBZwRRVZabzKRck+yGfcFy6N4BEyIC6K67dLAE
mx6Fe2VaWgoBUeUL/BnkyBBF5tFQUJIRVoegTyc+64HmgMc4d8qXtlPlbgzd+gueo49G046rPve8
A580oOAaUwO0YO9+nnL1GDr0M5eWap+x5s2vZCxAaPlSme9p1epHnHHYrZpGuAcaNP2tldb/WsA+
e8PG6xeTVOYTdFPG+N7wSkgi/zhlc/KRQWNir+zGyz42WukTGuMOYwtG2yjjl43vyn6bgAeUFTEU
SmTyXcrM7aH0S/sgVedD/5syGqT4Wu3BSBN2llAv4oBCiORShqnCZFmrdlWBjOIqZs8Y257Kg6TX
urVFfyrR+6GGpYEznvelx9mRx6tI00nGd/JQAcZfi8k2XyxXEw+91n7A7fmU1pr7VdkV1kEa6Igs
2FJgRzTrOX1229TCHDSFsBMBUGACBWiURHe+1bn3Ex5Ubo2heyKQCf6t1at3Z9BpKAVJfRGhP39p
ZMW8wdCWJEYh62OURtaHiOL4ldPkJpafopkAI0Mot0xj+NTbGlm2PCJzAn1zzgwD87xqD8DDo7eO
KMK/aKbEhTk2J3MI5cZ2pFrDqROvZhwmewGw0iNAJqeTCcqAcb8jaU/oGcIGGeVaZwMU17atKPEL
kNirRwps6RrEiMl8elAGm0Lq7GnNJrkSxISq1N6Me3WtpNV5QHakeBr70PuSyQK0+JAMJuSunOE2
BtjpahH0OlVjab8NNjtJ3wmZ+QMyZZ0bdKEukVGCdwAn2eG6BPHr+obxPBlad4aIPICTGii6NIQN
JrBL4jsGU6i59QS6VjPM6oyAnXGJ2tWq19U7W+fyakhnuou0sFvxTcmlpGF3ZwOc3fXMbE9s/Zld
e7X3bsHQ+lZp1tekbkyIZ2PXM3supsWou2kQXbjJteyerJh374ssO8V6xbA3nd9j3UQb1TFkWkp9
qPT2STWzDoW2pX4xhLFFAWK8TQzDBhU++4809VYcQs0Y21UnO6aX8TnPxmhrDUm4bsvW+EjHhrVL
IxseZeO+p3PpXRswq6sY2+dz5BqsIHFLH2GaFZu2De383q6YLNtdOd5XpR7tcZRPSeAUTr+zDKN6
5Mot1iWM+EtCjOsrhq7/z96ZLMeNbNn2V57VHGmAox+8SbSIYBtiJ2kCIyUKfe9ov/4tMLOqxGA8
hilrWoNrdm9epTwAOBzu5+y9tqLC79JStj2G8xgghdrzC8eVQO65LGCPIXxKzOw28xWTWv9IiTPn
mKQ26gCxR40uFTgWWCfzYivboV0Z7SC/iboOV6lDNbqzk++y0V7iqsRcwufxsuuzAJMVKqVbw6lo
3jQFmJIsFPiqh+aXRtEW18bY3sWqRXncwOlMnEiyMRxggzpNgTugqc01pES57V0dd0cT1TddEOva
Op5c6KyGyJylUofKrm8v6sgIl2bev9Sw6r9XGCY3QY/BK6PIC+8O0TfL3ndig1/rJGp2usLnXrWT
ZFWZ/Dcg7y4cftPyukiqO/CWxopmvNjQkURNUSrxDxcXEWtnqGwleI6F0fjpIZYp7P8mjjaljKtd
y4Zk3RL/4YGMbTb2wM5LIZt5i1msu4DuAxM/HXAgSk1RVvSloB2WRbfWaYH+kGYPtdgg07INyD0d
Q8sDT1MtI/NqMvrSy40MwWLpik2hmT8qtTy0rcPWIcrjJdjjLUu0grZS+UqZkQRjuOy4uyd2GCnq
7EQtrjlUHmy12bpNtZ0I8F2oWdKv1DCnj08DLi7w2+Z16SwqSgwLKwIka2Aeg0ITbKBGX+m4Vr+4
zdBvU6vFPT/GAdXeDABNfjuijqbvo5JEUyj50krRUHTtLOhN0m0jy2IlJyxaRlAQIovqfZt3Oqo7
xdbJBR/w8LiKfQ90OPKm2Ie2a2qvlW8pa7iPlAcyFJMiQlva+Ug8Z8PPoUdD9CPKxmpNgXDGuCv0
l7r8YFE+4GMM+6ozEbBgQ213A7pFj3Blej7R5OwzOR7SyPxu+PbD2wHhf89SZ85StCsM6rL//7PU
1XOUv/4uU/jn3/jnIGWB0dAt04ChQTbNu4MUMgUsK0QBUWqy8blTPvhP9Zf9F/tuvl0209HRqUf9
t06Bwxc+eroZaBUIoyF67w+0Ch8qFNSCdZW/hxwkTD2zLuP3iu3oUraQ45xe569Hlyl5hfXst7tx
oo32cQg0a5z9qOHxk7EivR/C79sZTOxOXufrhAs7C2WkAWBxS//rnv+LUeZf8VslFS/tgMiAUez8
e6N8L4ZXaS7/Z0Mc9QPtqDDQWjJEO7HWHMZoVU0vnw+h4dn6UH9E6m+gwBXMDEqQR7erQRQSB11V
e6aS17MMQu3XkdqLtd0ztOmD40MLBrkzbcHDNmq7GRp9WOPb1bbj0PXbqKzrRxFOukaidxOvamkf
yLrvTPZNQ3/p1iyehV+rK13S8tKItr+LVNGGCztr4/sxcSiwxnZ8QXWXaJei/A5yCpCZ0wDi0zqv
jesljo1QXQBTtVaJYodXaVmOoNzagpWVjZBVt6Bo1dS+UDFhkU2Ex5qN6xheqZViwQ6dy1AqoRyh
YsK9CrJ2gHQmU1QtSXvZutn0QA4xKbElH9TYrn5YIrPJucr0taNU3aqxJxRfork0ENU80Hg2Dj3a
Q07ydrou9DoGscuuNm01Y9MkDnLGodSuHOjy61g3hgX9pO6Lbkv+EmCklzbdwXXBd31E9t9oVz4M
Rq8ATL8MijY8+HHX/3AllLFu0ls44/7AYbrDMMWZ6rXPLf9rWIKIWmUE1TxYkJR1oF/aa10PNJPM
xpC/lLmjvhziVD66InLCzWBJ49Dh91na8w0mQfCqYJuOakHO3MHRtHBL+JJ4eBj7WCQgMvp4NuEV
NLC6INHZCLNj5ZrN9askKpaoMNn+jKfhwZjEqwsD4tsgMC4brRJ9lQlefnXEkk9Hs+Lz1BuvM43Z
XYR9NXlxhQEqJlgKXY8/ycdW5e/LBn5HPNjJPnPN5jFSSExPh8q+yPCmQYPt/bVu1njG2AJhdhbx
Lsj1buXWZb3BbKJucfmgTAGQEyxdf/TXDgHlQKBTJ9ibBMZ4+NoYQEzIjqqYTVDmJF5sxt1dUkzt
HVol/nDNBxkEd2Qe0gCSpZr6yd4hxhRXUNGuO8QZN47L7VxUuuavsroUK8HaeS17N453sbCyDYop
tH4DODN/2da+9gW9TUAwVKTexXmbDJxcIvNGpFq8DQNSeCll+y8+xAmwFELxr0Xvkm+ShLbdzhYQ
uh+ETNyMYS1WYzBaSzgexn4s6+qyUmzA2tnU7agxWLe+oitbHAv6ra1lwWVvmI9+Vk0HiaUEXb7Z
qR6BUJbYVTVYm7YdcF4jj/VfJHA37G19IRc6paktihfnlxEnzi+iFeSyAXx2UcNSeQldVVsHLeWU
hes4KkQ06ZJF4s73w8fpvtKm4WdKTlDM8QmNRxiQk6U12uhlSBEuST437uFWT2t/dLAP64qpbenp
1lsTv9RXR/gdDiUzPKhZpbJzRFAy74tpUNlRR0gIGoYfWgJmomIHc93qQ/9c63p+lbeBe4OHSb8H
QE11Hp+Xsh4qzbzoRTDesjOeNkFZO7dkqOfPY2j2h3och9shDuX10FToWwZQzk3lmhdJCQFcq8xu
iWnZuispn7HXGicPurPTLU1VzP07yB7hIhWk0teTaucL6IeJTR/aMldUxAqskL36y4gsmS3CtAjv
qBPEPyntNZ7WsQglStZsmRqImMCzbsqxbLay6KE3NmXUrPiq4BFRjeoi7S2sPGFRhfcTtOFgEXQY
QHhpQmsVu+iWibOa9vza4F5oxbSnuFRdYBOdO5F+VC1jK1cByWWxu3PYMWywUlgr2wjcndm48Lnh
WOPvni2ZYRJxprB05gQJFSDWXVWugf3Vu7+J5mHljBucCQrt0NZHiqCm7rLzJfdhKCbgfzgPbvO0
rl6wsUuWsS45pIVB2Eqs0v9gFfgeRe60Ljrb9uC9da8InaeNIPHw4o3X3RcR5SqHgL/nJim0F5x7
VHdSyqW/Gur+jyM75Rs8yYhUZry3yC0T5gpc7nEIMkERw54J7KTpNg6ZKp2TgEJmDr8xUjmla8Gc
CjQPSe4UVH+rgQvdjgJutJ7OoQ6JbJ7sQTYruMv8UaMGLhVhsbt6Q8mLJhBfSCTxv8VGWDx2UZZt
pdvmqCsmfx1Nmortd2Y3VKq7VIcZNF20z/TH5c6xLaBXQRubdPUS1UPfk7B41t21S+AJpPQQ9kKt
uRENPaxdmiIDzk5aMXgFuTKCApeG7hIUYrBQnS7bQ4kZEmgTluTUGE+TJ/OSH6wSlO25UWLdadgY
v8o5JSwy5lSAtyhhs3Tyrd1bgLOnsmVYjPr+fpicZqFR91piClHuy8giTlQZePSOjuy9sEHwt2iC
frozjTyZSelZbZkXPvQVANkNEbpVgM+p8hVny2603umlkjz2Lv7PPK+sO7eaTx2QP8nfgWofvGUX
zB+7huLdQonh+PcWSQO6Bra7cFF8hj7NGb0ejWctq9J1XjLBOV2jW2RGLwkQBXphqPlrzDd8R+ZY
c98k1vTIRApurVAJ6FO37l0eEyGEPhEKe13mWwfMzFfJhhRNXyT8y7TP6by/UceFrwy3UiYT5Bi1
e+1yX3nI7NLHO0rW+cqhTfT3c0rk4P8aVX7sYOj9RjVK7RoWv3IfwEW4xSBHqk0q0JebQ/Qtbxvn
4BbdsFFwHT/p7Wg8dbViPNGAHK/5UlmbsAqV1RhFygquPfkVvl9cTYFSfynQwK9FjQUAcPFw/XbX
pUkqXNE4zo2YGZ2UDfjwNfEFRSANERB6+LzFwlgwETeU2dQLm/yede7GcpeNUl+XUGSJKlANXmLb
HfctDPcb39GCHXFzRP68zeXJ0UiYVAyaaJxQLiaoidccpf01EToBiEX8jguY48mNWsXZziLV5Kvr
Y1uVPrGusDT5GKqTweOfCMtOmgLaPe49/KeIgnEPwJM3J037EirE7SXjcM2iMO5E6ec3dj1NFMVN
CI3UT1EJ4OIyF9A34vUEzmJja4l7mYIFAixsxzewM/F+6QQvGG1GfkU/4RS3ezIt6nK4qeyGT7cd
Qgiwq4Ly7TBldrLCsOGTHK+F7ppvU7ej5IGEwTcawpdkmmvL3M6L+5YU1E3LgsMeiDCiC0AI8qbC
z7asW4veSkh4wNhr5Z7zdL8hapqmQ5Xkyn2jqvB98GWyYzYQtaWUVpZqgACMqLkyxic95wI7HSIf
TGcQ8LU8fVRbplNWkoqgu5H28hbEZ2QY5o2+V19goKJtHKJCR7g751WSWLaOsJDuJwLBDnVi23ur
N8a1g3gRSJEA04+8kkZ55lp4xGRHiiSFIn06qBZRPACyU2S7Pv/jnkpugNoXc/dlKxVoOvzRW2pB
AImLiSJ0AxN4G6n6BNzQt+hbR9v5im7sEIUN4P3wWpsi0SzbKLsTA+JsctPy9VS+1XMKWS90cxTf
R1QISIzz6g42CkGtSaRckNZ028I8QPdLBk4fK69OhaFFM/KvegukOo2pBHMZySpVC1ZOM2jqjePU
/Zqirdj6PplFOfuSC6CzNdGklWqv2SGGhCSZAMrC8VbAwV8mjZX9oPX7o5nMmwEPzEYMfTbv26od
/kmxsKfovi/CaVk7SuCxWm25Ed2SMOR8FZAht6Hw/lXJATdhhymwWzeVv3L6GcamIzpWHXpCuVkC
C7dLrhevrsGuSlgGKzbxVCXwxTwMlhQm87UVpaQKF3rXYoiJw+9B25lAJDViJsd26NaDMxV3JZns
E75dtcJpLsKLMLbK2zxPyq9KkKDpF2OGe7IkCKqzrTtbq3ELpk6Z7NpunPYicpMtBOPWU0JwDKsi
qAwqhfV0GwdWfVcCFFp35LeQPTXUaAQny1oDggEPV4fhNoWzvemqhCO5mkZ72Awj4S6yenHrKbvQ
aHiRKZKabr3qC/Tr2GTaIUkumvyF7b32bbBy50pzW6kua2EWh66KkQRjLehv/YnapxxJOImVsNlI
hzg+kWUq1XKMybQla57iCn/qixEaVU9naxpvDE3Gh9yUxaaNxvqbVbO/WgxaKK5HdADfQDrY+wQX
95M/2ioqSAh3j+r8hbQ0hL1q6ITekOftRRg5xlWYNfIJ+oDpgQ7q96kZdBe9MiY/pBETcxdqPNyi
lf5tZ5fZz6yBztZZmvFMkE+B9RhyxF5DQnZZS6DMFln1BG10ucFZt8FTNCrSeNBzO1uTLaeRoYLv
97pQxteks52vorDzNZpIB11hOm0ICo2XcUdVnD3ehO4pzEgLawEOr6yxZiWL09iLyy5dlJZNpTjl
a7sfOVUQYaxPuKycVdCU06qJsnslJRMpp10asMovKNzAIHXJTEq08qnWYxQcFpkiC9WwAYKa7Iy3
KO6zewrZxaWcUrGj8M1Wah1kZPNRSk9Kp1U8vemVzOO4ZCmvo0xbXK1AsrTWch6lAm+dc6ez5RTT
IxiL/AeSOOQlH8WUkmUdPw+aXjzEVVJ9LdtysLelYhKQFPkodaAwzPRfiN3UQRWZH9AC9PnyLR+D
djl24bbu430n2lcKzcjsKO9cDq6TX+jsbH/kJZTfEezhylKS66noaBc0upJuZWJXSxKJisukK+lJ
obuT14Zwgmt6WzgMjDRu1o6DgrqmSr9sahBgvP8/QW3RwOKbBnAdbzJJXXLawyxubxOVIoMRpCFK
z0bnw0XFW8sz/9CUevGiI7Y34qb/TiLn3dSKxtjYZH6sFOI+tnE1sbKXir7kVUvvkGGCcyGbtP5i
qjTUl7QEN1bYqhBdupZsEiwfilMYW8rL9qVIALgvkrrFcAbv2ItjEbxAmWnI61ILDOQKOJJgsO85
6vA9IR33u59BxS4D98kYjP5CLTVBx9oSq2qo5J0RGT/t1KHIjxHkJZj8btMlvUMygz7GV6479duu
xu/ggvfagmMZauor3BTdt5/sLjTuo66ALdJGvLCoehZ9zp6KOrq7MRVzK/VQ3HIGeWRBTm6GcrL2
VUVGleyltS7T3H8u3GRapnXveEqlx9ezXwEbtsIpRtTsbiHoVMug6/MvOQwRdrjKIcsyuZPOmB38
SLFu7UoNYMJY4loLO/2XFqBRKOK+XNdtFOx9OIQ3uTmEl8i+zDujjN2cFN0J1OS3mI6CHybNNmO5
XXelDqRBDurB91sLgB6WvAJJ2nbs9PROsuIu2gFsgEtnclun7X3QIs4dbNXa60GBhrSvv4dubntx
EPLFYiO4ZyFVvEx3u0u2cjRwDbCTTVAl7H+L/Fcr4y5CMlW+6ARPf2sc2ZJAF5By/FKocaxeaGgZ
L5x+blwr5L0aQSPuW6EM41JBFOFeR2kdiGWRVxVJFnVRmpsqHyaOZmFNtNtYp/d55uaLzBzdbRjN
SfKUsO4t0bwOAwG3KqZEstD0eq9O/Q/b5NRgpiKjL2VySKo62Lwa0U1Z5NL7aTRPgY+y5/03v9qZ
9ZjhQkJEC+2SXWG6otzxoxERKWK0aOFn8n0d+95rB+vZ5ggyxNMlXdkDeyiLyhllIqV1tB+Gm/YX
RmHqa6vSKaQkgCMDX/M6V/F/hZZu3mLuFYdmcH9Vg6E8Brx6D0LYNMDMpqjIZqoHH1G3NodsmMUW
wXwLkKbKV5YMALcTiH39eSH0YxVUuKptWkhjwSp/8AtY4EfyTnFqr6e/tugUinFRWTAnqy3n8exM
yvmHErUzj4a+VIVMjTnxqOZqD+YgAVTU3lgEBISR0U1fxh7WaVCmq88v7NRQmkC+5JjCNFn63tep
1cYqKT9qXFjoBPcDFp1FEHfalSrP+jw+ZMpwVZqwgdrikmbEo3q1lpjqmOoMldd5e5mkMvGsGv+T
z+RdVMGQbUHgjX9aJGfQWZOlU4dD/HI8qBn5mlCIs/DGhLsoyEFdWDUlO86kxhn1/EdPCUMJfAa2
DYHcsI5uZcLiP5WlUnvZGOpzEx9loVI58S4RVDTB3le3NNOpIKZTeNWmEFQ/f5TzrHivFGZ8UoMM
FwgxPZqjWTMGRhmqSdB4TqZQgM+5QKvqHz4fZL6I40F0wcQ01blXdGwlHTQ+F9IVtSclpVu7D9lF
BLbuX6dCnbxpBCzatWAri5pN8udDn5o/urBMobo0b6C8v5+qrmkMWiD0ei6SjOtSJ4eGugqFYFtR
Sdog59FcjKH0158Pe+rV1w1IbgZPFjIIra/fOzl641qFHTGsXcW497LuAdTm5AUWs9ZFtf4vJqzO
GoP8foYw6Efy8qCuVA3TP8M10ryvRLXl8A+DBzDvmVVGm2/Yh2c5Wy84gbPQHBuv3Gn651laU9v/
aN7m5ui3P2GADgulSTXCjyx1azmT+hz6czEJm92/mLREVlm2ZSBjxwf9/u4mti6nPlBrT7cD42CC
SboqA5bYz5/hqVWORzi3r5CDgq14P4ox+EZrZCw9b6tAR4bI0nDHAYpvXJ55fqfeQkN1qIHoVOXd
uYn6+3RJhjYHb9ezoPYVuK6++G45xffPL+fcGEeXE5ngBPhQ154mJIFb9dZwssPnQ5ycHMw/PA5M
RfODK89FgtHXQtZeyd71KmhVsReQN4jX6qOvqBqZknk35wjRZgFto+4cn2Stz3/Ex1dPJ9GAFgrv
H+La496jYZbAyQsXmLUGXlcCnFuCKq0uUwUBCDKjfPX5eB/vK+Phf3LZRwnNPn73Ko5VDjq9ysvy
gQ2KNR5gxtlnthIf56JODx1mJqVdgf3w6AV3A00SJ5NWHhBYlGQlinby7C/tmF7G55dzYiQuwjFt
+EfmLIJ+PxXdJoqmcXQKj6UN1ZDSXBBMdl/W8ePn45x4TNgYoXHyrFi5jHnh/q3XbZVZoru1XXhT
pK7r9FnBSRkn+Rz2ecYC+xGs6UDx/G2oo+WCGpXlZwCXvLZzKdwTtrAg+ezvEKp2XXX59DDCbN5C
NPXRRhvSWak1eYgWR1ZMB0KuY7q/W9FQRsN9SQE8M6ZkbzpxuZc6eXdBH05Xfso5ELMy4s45DJdz
lcQ+Tira3u7S4bovWirYY2tBAqDiuOitaDpzoTB0jtdmvuD09XDwm0jujj92eE8V3c1b7mkTyic3
y9EOds6X0bKi52xqweWmKf3T1P9WD8iwbQLS6FlbO8sC6GDSmdVmcZhoHzKfg5G0UMsV2ZeyR37q
U1jCbFetm6Sn3hhBs/frWAe72BcArzrg5OhzcV8YhYFTZOpXUjpiyTjxihKefZkgK+YBw6YaWK9X
btDj4giGFQllqcvdErO6ER/Xi+0TlfnHc0246BBQsIB/FvbRXPPxMbH7GLkvMXD2Dq/Ajqc+eEFc
Qz0kqq/3Ph/w44ZH14WNFw5UEszH4w1PRcRt15dZ4bmOBIYYFdm6gpl1aeml3PpOIC9DSq/3QC3P
eb9OvL7s5jA2CLQ4H88ceIk6JWyt3KPMNX7tgBN8r+j33GO3jV//+CIReLAaUevgP8dbR/qinDdH
TGbYHemKANStKdeCQlfivN5ZTRI5y4YGOywfQdH+88FPXCf7KtIu1Dce1bFN2MbxRdkpxw8Nq2Fb
9fl9MARIPeKxPvM9+TiSMS9Smo3CCJ8j/OF3CxU1oCaADp96wnGeRhARK+EM8PRTXf/jacp2A8EU
wihOH+qxe74ELotDu03RFbT9CvIv+YDxTd+bFkJB6+ef3kBD1bkwvC8aXeTjz1YQpWVupBWXZWa6
B6ohL+gh0tNpUj1pztzDj4s9g7G1YWtg0tA+/nyhndVCq824MsW4D3XlqZqcn/Gg3we9dWYPMr/L
7/enDMWx1OLSWPOP3aikRUQjSJXE08sU3SbussIkli/tJoCi3Z4y5bnd6OkRXbaieKB56Y4/L6Cr
nGIesdK6feKWz8Wo3es1EXNtiHsAysrlnz86Nt4z/wz7EN3e9zPSbDh3SN9OPKVt92PaYSxIiN5Q
zwzzcWNjqCbgH5JrbHYfxwWFzlHxLvJXe6SfKPeKDc+xHPgifn4xH5dKRtFUNhs4VgnqOjqgDYoY
yLfQEq/WqWhR6SHPuP1l59YhriQNddJciSw945Cd4XcfZsm8cOBrxPPzAR9H2gHp8yHFBNck5rVP
XcpweZkQce7SpUfdDUNihJ9GSoRBrB7E5JK2l2pv5VAFu5Q+8oYQkPtpNKsvhEAnq6As2RzM24Kq
EOYFsjjrwRW95QWyMc/8+pMPZk4Tohk4I6Lm//+3rROShBCDFK8u1el8HY9ujP+cOufnD+bUugcm
fS4pucL+sOXMjIrPSFCkXi5twJFF56mJdu/Y8tyu5dSjgGyBqtKySEo6mgCmneqQVHIWoqHUEbL4
IRBrddh8fjWnViCgg5ThAKFQ7Phwz1QxBK2SIB5qQI3bfKYGsyXPvUlfyIr/8100Z0Zkonwy8MWD
Rnz/iBwZWUCKeEXHxP8537s6sg5Z7T99flWnXh6IipaNJJeDwfEXY2iIApoKXh7k0s5tMmq02Hzz
J82WYlMHpvOjT8t4R7WwOfOpOrXmvVEcKRydOPRQOlUJbOgS+FLiRubK8xRj64sfy3i640U8M9qp
Cc+xBz4aODLnQ5Es5Rptq2wSrwzKZJsRzIe8PFZWn9/MNxbO8adjxuQIPkdwQY4P/G4rhtak5O45
ba8+RthJNmQMoUeL9S6lN2f3D7HmFMu2kN1NNebJtZna+jZ00HROY2nRWCZ1Q6t8eOW9gx6jbeNz
p1vt5J23OWHzZurkKxy9LrXfqGafZXxtBoM2gayeNemCG9SdZhfZzlM7UJ2wCZW5THM9ekz6rtn5
bvE9RNFBjpPcl31m7KgiuQtrxGHkhlzH5zfyxLtGT5stqG3rFBePP4ipzW+IBrbbfT79LCdNbtQS
MSV2DLcYnz8f68Tt0N40xuZcqGXX/f5FExroe8CNbO197adKwWGVmepzM5JKYpPpvKZULs/sME68
dJpGx44dDV+sD2X9rk5HeFIFlxebX8MoUJYC1Q59jHpa6GKsHqq6nx0keef9+bXCesBgxc5G049X
SgPeJey4pvA4q12TKUgsd50eqMYT2YabcSQ1+M/3bQw4lwHIpnBZyo7urkW3sTEqGIAqZn0Q5agS
cl0e+srNvAy36JnxTnxzGI89FH5o6rXHtCrgB0YYFdzaoQvoXBg19peqqFY6ith/MxTZoDpsLJU6
/9EHobSNSGY5RzTNLfJbWPTToraldRG1mnZm+To1R3VeqNmHMFf6j+ZohyQun6gMwG5q79uweDXN
6h4iZw3ooTo4eFL/+HDEAobpAoiSoH1y/AJqA7020UwgecSExs/uv9RtvSqpA5wZ6MTCTEmd/FBA
kQY2jvl5/rYTKaceBZjPERD441MwDFuc0fefT/oZH3y8VXs3xtFu11UI2TNmlgmCfg0AY1TuG7Mx
v4gWqpWfYpWMAhXyR1+Xq8aKg4eir8F/m/RqW8jWFP9a1JC4sJaFQfiQAjBg3Ttj6kW6rGEXGuFB
uPiG87Hzv/mlmm+zBnEWp9txiQzW3+FWpUmhDsOtqdVodYF9a18mN0NslWu4G4uswSrbgeblADUE
N/Cs2R0WUQS6CUMcjL1wC9p33KUmEs1OD7OrTqk7z0nc+6hImiV3GDs2taJ6ESIU9BAngsLtp3Lt
t6GJWDjpLwtDj5Z9FLdn9kWn5qahARVjnuj0KY7mplU1lRwt5iYy4edqkM9OWN4YugKHoFj7eOP+
xWvHnpvNHuV7GkJH45nhmFdgNnOPRIO55nTdi2TXy/zM5vVjW82YuQo6hT9qBJZ7NIwxJCGAAJcU
PTU5lGVUoxl0sJ8+0IS+QpCybE3xPajzM0em4wxOcHvzuFRpuaMcro83ZG6ZVSREmNREsJ5/DQfQ
y05tKAeMLmq6RjPDGacyM38tk65apWT20NzOWcgr0e1MVP5m3Cs7XW2VjSaNfOkjDGXClVv6nXSw
3fjF1Mhp6AekgIk9BStXaha1F3taBZp/JxIDV+1kkqMnYwOqDImU65jfs5Jp+YrnA6bqG+N/6KsN
ji7+eTaZy7CRMTY9WzxWunnuUZxa06FpaMAuKDPoMzn89zUiUhszyxPQR6p8Hh2H6LCe5FtNdmdm
1qm16LdxjjdGXdmRVen2ueeYM1CeesOSxKP156vRqa2NpUMGMwX9Nojn7y9GrUQJ7awGQNYWznI0
8wWH8aciIZgkbMYzprOTg1Gv5MwCO/3DtteqWYzylHdFCS0ylopp2xkleFjUR7qMzty+UwuBRdmf
rwWWvQ+b33QcdStGReXVcX0QjU0Cuj8+FWn9KiM0C6F15k5qp+bF3PPmAIuEAPjF+1s5NWXK/WWf
Fg/Y/aNJaHtnqvudoBa/KnQlJI0HWuVQuvqXSPVDbwwwNUDSIL9vtiG7UF4fbCxB2DP8wJjO3I+T
P48FkTIS9VsSv9//vH7wGyUJ2eb0Vfmqu8FjKLq7VEdH8vmMOjmO7XBS5Pg7W+bej9N0yhgCywOv
1KQl1Rz5nI9Kvyra+syH9NS2leIUog04fQTvHL2Heu/i4EB7CTzF08IGiWufH+rCJC9Du4GFf5+l
7plCxakJ/NuQxxvWeDJSNHpqNpvft6TZvLq4pwPf2tdFd+bMoZ+av5xIZ9qZTUf4+PWXPZkv02Bn
LDNi/C7D8lcfwYPuUs1ZUr4NlkqpRGSlqfk6qmavgaLNyswa0Z/bNU8w20PozE7jtQLHAq42fEah
rO+I5gWelqcpmVyNsxns3nl0TFZNrPbg7jKlGUgEm0ubhfil9gI7C/b4oVS/x0V7jRSnXBOC8ho5
Xb/IRj1at9ko7kpE13zshXlmNp26C+7s1KXEwbw97s6nadkQqFuy8yun3SQnbSFV4wl4wAU1U5KT
gQl+Pn1PPeLZmYVQxqbYenzby1gLxorNkBdVLoGfZVuXG7J4AQQEPmb6Ztakfz7im3bi6JiOYkZw
gbwuHDOPTsCBMkJActLMs7LJXYZ9a90ZodYtcyAhF2GRpo8l3AHSRlFOvtkFnFCmj1k7ybVE0rdV
erKaz9yGE/edzcZsgYYYyXHi6KDkWqOTSaGnXuIGxjqsR+sqBxPkjXHRPMW1NpEeGL6cuREnipio
Eqj6zKs2gd/i/dIRDOZU+h1vdDP5SFn1wNggSNU3jV8DEQBju2CmoJw007UbgL4Y6cngvABd9PkP
0U+sYbMvHDkGIC0abUc/REUaYWUyyvAtxzqtkdnXEOnpdEBbnZsX3Bl7J2PUyFisGpLJKCJrSkYf
lbiJ7rbXe3Uzjr76NTTYeAs5qV/ZFufbsGdK4Zgi8nhwzS2S/FfyFBYs2d3asGY+s64Aj1Zy6YVW
ZQOAbu2VE1yIItHvEj0fbnhtMaGBcZieQqd196lqf1PbMTlzMD91/XTA8KAD5+W+zi/Jb8cgym0x
3Bqd60+T4S5EluYN1hA9RSBbNp/f61NDIbxGa4Abnc/G0VeTplNVEXaWeS7xHCswSLObbyiTvRum
wdPnY709t+M3ba7+6pxe+QweH/9zxUrh7EccDjrTJwqEhjFmr8nQtpCXu1Vup9qFVqj+rRxEfy2E
EhyEhBpu6Gm5LXO1/ntX/7/4hnP4Bt5T5tR/oQQ+xPd4z/1zFL3jN/z9r/zDb9BM4y+EdzRzaMJx
+LJ4Q/8ThGepfwljfnMRYbCG66wy/wAchPgLcB6bHzgNBlYRhy3DPzA8zfmL2glgUVR9nB1RcPwR
wOH93mTmNji0yvlZlsoJynDmWf/bC8QmMZ1iMxB3TUO6Cbj1DKcmwDP8T1OauZelEYDLQsP8o7QT
cR+GifKFTKpxmxvKWC7TCPILhDGCsVUqAivF0vCfKeXaHDrE0m8+Kgt+Q7AASx7dxjUvDNmppr4r
oGJtWkOIdanF7qVQVBKSXXq8pH+O+L/H5MsUYy50A/KRQ01pX/NJAREXGr0BpSwKb4Y8jWjyNbJ/
Bi4Dl00PgSoEIbdtGQYd7sg6qXG/pmqFaVwpX1oRxs8y6Edio0eNZnI8fhvrqV66RLnbNLsm+drV
gQYMCC51gILmAED6oEmFigLBNOIBn/KUnFvD5zX6v9/1t0dgsYTzVNVZKunMH5vfHkFGIYSIoca6
m2odM6/e8uUQAywol9BXzAwCS9UiEpl7W9iluMzZ6cB5QqZGaFCidtspBEBAZ5v8vKntEIxg6BKt
UfzUyAl7yiuz+RKOCMDMKIZOTJ5iuHj7Lqep72wD2ElEr+nFDbasB5g9pmeW/aUd9OJehGJrh+7P
uLKql99ektu/r+7/oNu+5VAgm//7H2BGji7aoIjOk2ADM5OLjxc4ki2dwFfL/M4oMv+bNj99Crva
1//H3pltx21k2/aL4IG+uY/IPpkkRUoiRb5gUBKJHohAG4GvvxO0axxZqmNf132tp7LLljOBBCJ2
7L3WXDRg1QcjYAEbCwyrZN4OOzdrcAXXxrDse/zM12okBUKUhLESJjir27TBUjq3jvcx0fyVdGz7
ldOiBRrcnm/RZFgXYHk0kcLkIXWVfYjyvCLZYMZWWlbmMW/QvWRGZxzKyfG3QKGG3WLWPNPOYE5X
5uJ8b/zxgr7OOg6wkI9kcwJLIzt3S7O93CkPvgb4oWzv5U+VYCjouu38DQKfA6LUmb+BtXNOga66
YzfglU8ysmXFNO6HfFb3vJTlTTAZvEwIN46l852spoLGBDgw0naLxbsKIThsctIDgOhiXYvbgGLK
XDp7g5YfJG7TqHuFRVfGQ5MX18SdyIsOK/tR4yd+DUn7pHs8dz1zEtgbR7UE1r7J+v4YKZETqjSY
1wDJ1IewsaZrr5RcnI1/D+lMthRH3WVFtFlILrw38gFT9mBxQwmWw35NoTV767tplAuJeDPlfNbj
NEvL9OKuVmGT3uTfHDi8P69ZzN8RiSMyoKPBLIY269q3/OGFIWY9SdIpMIigNUEirNZtw+qxlSuq
3y4Y2Qaj9dnp8BpBk1g2/YARdePOOvteiJaUDd9OznIw5WMgXbGtsso8oNX5oiIX6NXo159Jz42w
+3UIGIoJikDFb39pwbbF5pAuu96jSa6h5d8r8mIATGouVY+Gvnbhym1YrvR+QuC+Lqhw0jtPDNbO
GwwbFgsQrLhQE5ZZWBV374+tKGS0eTeod9KzLpZok7e2Cs0vIXCBx6iw+kfyuORNDuarIMMep9kW
WEL+tTHLgySxo96MRFFj9xlH/+AS6hLsyjALb0N6+Hr316/u+8Hif9ar9fYTcRTSQmTOtJZC66v9
w+2fJbzgdOmSe7sTvsG4heaw7qTxEfSYvu4skq2h9fXGp0Ln+Mk9+gjimjiVjCa1mbO9AFHhztgV
esMQkc9LOflIlSI5i3QjcPY+da7mYky4GieZ05D75xfgrtsrZ1b2Zfu97/3DBTRL2XdWlgb3lc/J
RBXkrkjQkXsJ6xKWXsM6Q3Qt6wUqRFrJq6ffDxvxYiamdwVDL3nj3aPEhwT34tDZu0AVLM+ZjRFo
L6sw+VQFEtRdRkppGP/1d3/fj3+6+W7gBgyiCBex3Z+/OzmjeQfzzLtvR+zb8dz3yRtPcxIeu76r
HjDyLteF6tVtFazG5DrkCuym8U9EQE5nGIH0slHk0RGfu9M7KGDw6+gQze6AhRFO+C0zk/wS2Fz/
DJLGhoI7928T2wQ/Ue5+7SEyncxlAaBRSrzaozuX0AimoNuIwiP3yQbgOIxj8mhnFo6K0AjPfS7t
XcIpZk+UNtPqKlNPnd8sh26eklMOD2XNyG5C2Nq2erXejdZ27eLg7YVt7RZHRMQsl1+tmig5srZx
D5RCnCqXuUGzcg2oCdSH91cviYz0e5cQDLfzS/7PsSkTLNadfV/ZvR63NRNlAnpk9t0U/bIvSGZ7
4smbXt2KsYLm25+qIkggSDbLtWsu3D78YPY9jWzQ5nZdfjLJEgSwJ/0ch1XxzWnr9iTTTJ1KxHab
rrOnjeFW9iVTc79FY6FuCgsQ8N88CBSJf9pBeQ0ZalEzWCFr9loO/lQ2sFbXY08v+z6rLJxaxAxn
Kn5fm6tZyQMpeKhngHzkcbZk6Z5STLz4HPHuFob6JVbR/pQZEFSJ7qvOEs78HJMIn5ebySg4uqVp
sx8k4U2c+gL867NZfWb5H77aszu9jnngGlu0JTUI1ixECNhQjl1PzeDt8DGi7FFu41QxGdhJta+s
pDXRmNbjMUwB/+lFBCfl1p/V3FoO35Kp8cYgMnFFTNxx3Nbzth/N8bv02FZ4vrJt1zILxSzZ44sG
jhEQ2kDJuf6uIHiGx16VR88oJ71Vdr7sIkc/WgKqntOGDqgQTUJWX/BC0CPgYS1wem5w5QTf0GDV
226ayjOdKvO4RJU2CM1ZwABKO2tJAkvcaCPGMntgH8gfeqOoKqgbsxPGbV4Xjz39RYzepfTTI2Jb
U21qh9Ug7qFPfTc4td4b07wWOJ1qz2YIcdYgsWnbLVOZxk6GDmYgYNHkckuWvKrtuVHMJ/lreCxs
2zoDpwwHv3fdbbVYiC2RNZ2ANLDrLFbhfMW7RFhFavmivDJgX1D+RPoupXWMmiqV5ld686yrg6Qx
o1nZzY3RgANJvbk8ax6EcNURt1eGS8zcBm2z8wWLLvpRbcIpK5ooQdiC2P2+o7Y8krgdpTB5luWN
hMTwFI6LAQm1xpwb+onFxLNb5h0SXBghvZ9nG79LgnjuDJ7CXFJlxirttgMR0EbsicTc5s5SvQWM
SYdWkvDiUbYm8VwGzaaay/omCOrsA/QuAivtKuLOYOW5e19R/3uy/ZuTLcfHtZv0v59sb16nl+8v
P55s//gj/zrZWu5vJuZAxt2hv/q7OCf/62S71gx/HGVdMhMp9QPQ6O7apVunUP/iunv8I7pXVBSc
8/BY+P/kKIsN8qcV0WeaysdQEAIjJDiBL/RjYZINLpjLTjjXQdIHDxpo1kk7vHlkU1TmljVAStrD
7dm3ImnFrSWnnbkw05npaR5wf8sLOYmj/QU7f0kQRdVlV6TKwYG2hVTedqQseXAmd/oylDVPccoq
lwksdJtoCuEVwDkdgEBlzXQYZ23dj04P1H1KptulixIMv9jKRxCGZHYD2enmfV4j8YSYTPVGDvQY
B2CqDj41eRuLrFAlnIGWdBRDAwN2tWb7zBTQiiN9wAWzblmYX0mGXclKuiy/y8CQt3mKQTie51rd
wqDpU4yaCddei3odn6u8DE6t7txlj9BZiUOvbf6p03vCPo8hfC2ZeXBcgN/DN6lrrYxzyBckEylZ
DCbjsq6dOzvEShu5RcoBvUSOVc2xKIKK/A0Y5KCY+3Y6FCgBjpQPDdwqF3rqMcel9qEDGNFsDbdT
g7h2SvvzIMQQLGI7J2Y7yCMUrXwkiMNOneAQQqfBKdGRIUmEW1F3jbkpIVPdAAWvmd4O6O1Pbm+1
hFEI/Ng4llfjDGHmOXlZlXpkzOX2zv1UwkHpmMCLOMRfSuFdysmNVhJODsROtGkH6A3scRqPq4wE
dLCRFcltYmkD+FdrAVzz6DHSw5DjFAyX3jSmbMvSuhpbzH62kiu7y6oE/0o/rQ9OgGhBUQvtDYX3
kRhkQjSn80BRJLCF6LoYnC7u+n6aCXihaph760uaZCDvnlTO1LH7PsxyqGGDlctSJf9d8F7/n3Jj
UaNxVPnfF7zrl07/khn7+x/6Y8kLWLCYfKyqZZQhLHz/s+QF0W9UY1gIUdmvkl2W1j8WQCf6LWB1
I0bOXafwP8JYybugyKB+QjfpBmuX8J8sgOvy9sPRgI9H7cpaSh8JR9wvNvTGhK1ZZyXFUWpRiCeT
21ywZujPtaWgHaXe3xFN1473Tx/Iwh4yfOKb/yoOHdBuD8bi66NSTK55K+in+HN++OFH+Hetol8/
BbbGakP36JX+MucaEN1P0ssU2X+Ai2ZbybuyhdVPBSp2pjFXsdWjVnNlYdz3c6A+//XHezRUf75M
FIc2nVKSHNeKe+3f/XBcHEcd5pMOhiMpNZXaKyxn+yrIoBrieboo8lbPCuBGT8kd1BaRV07Sx53I
GXr27MEfW3a+NG6TECzhTPZ4nFrQhcJlLkkvLfl3ATnV9capjGWKlYDzBxSwJxIceoZ+QyRU3jtF
WG4XyELHzAVnmAS+PCPGlV8AA+pDMtXUVyJlaWGJZkwRszsuR1Mq6xP2WnHTzejHoZaqD4MD9nX2
e/ES1nVugmyZ9FtGzsl+aqrpoRobfegL1VwSGPwbIFskvM+t3VwyVuhnDB7iyUpN/uCs8ujSk623
Y7ie3EcTuRrbqRdme+JWNWTvWSZ/NqHn7BzWjk2PGq4HQwtp6pNuNV0r1Wa3HpAVFFYRflGAUKBy
gry7a6vJSVGKw1sphiAkKAyT3+KoHE1RPW8peLtzSXrnXV8PHO7GQB18aVUniWNwR2Db9FCY9fQg
i8X/yK9j7zC32bvGJihy9JX8pls6f2nA4DKfG020S9I+kQTHLyMZnRz9lZQbzITNOUMTXXz6jEcp
M/02j0J/Njv+iDa7/tGHtXJJVOpy/BusT2O1MHAc5uayRjVe6pq55JacdLfgBAmIJ/bHxYQmUIld
L0glnpvJ3rXSLu+FnwGusVJ2MLvtvrkJf5uWeH0h9HPWPBoKU0TjjvKb6nmdQZLrg5+P1akN+XF1
IOatGosq2/YOrIad6ffVSfQhY6PFK0FEEshmWEl5n+LG3fthJm9oztK2j9LptTS1GTecG5DBmSaL
htU+50pODyiXl+tITvyn6KsfRM0YylJccTQb4iYp15fdkN6tkZoT/TauxXeLKB6irN5MkIFq8uia
6dUqc30gKN69TV1+iQQfaOw2Qm9rwjvrLdxY7muZipegiryNAqNSbAdl5A2UpCS5981EfsNHslw3
c6Y/28zEDg0ksS14hnIPXn34bha+9Sl3Qa8QErnsLYN726f8jtRG3Or1Ea0aNb3qjqtfQBaxjy/8
Eq7f6oNr8fxTfImnKuXUTwf2aTb68ZzlXX2bhm/mGBHtkBu1n6F1qW3i471nE6nxF3ou40Nq82xC
Tyrzgw3gbOvC14edPr0ObiBu6IfwUCoaAirjh/IDY6Cx5IpbUTvubTTM3u2oE+tTk/fiafT89hn+
FE8rSbz7zk7aZwcozFUBWvWjCnVIzkcRcrBq5vYlDYH5MenltBp1Ubl9v7gw4yUgsce4V1o01KI5
zXIEl/2jQFFzr9vBIrSbgnBjkTJxVhWVpz+b+XFobWYmJL/kB4CHjHoqpkU8teVIXyELJdx8mH3A
PwMQMLYjbwYfRqP9iI7SKv2nqW3m4Vveje5TDlypTI8Q7BvitofFaHZ4ZufxWss5IbQkdUb3Hrwi
oD1X6c8WfM9N649ZE1uewgEsF3pEHBrMmFYQVJxW0YybxuZmbCNaUTxhZ9coPwxmb9y1ZnVveOON
S3W7BwPl3S0dLTGPfNqbzks/Jl5yU4Mr2pJlmB5Te8lOtV1+7vEg7MYKq8Do6q+kfo4cWMfvZWbX
J6NJv+nRzU7ZgrS7sUZxaelq7yqP7B60TgMzlV7u0ry/UoNM9oADLMCbJKtZmqiEKvBS/EhpfuMu
rr42IjHpTQcR0C/Cs1GSbpBXslliESXyhIUO4ICh3A1oJC+u8xJ5YV1Vb6lYhhAZbRPAR3b1JnKb
e90E+c6ujeiqAMR7jdp2Bj7FCwu90brKNciJMSK5ckEhu7GtiZyGxpiOdQAjUAxOuGtnon+EE/Ja
Niut2MRzTLCSeTV7eXQkVuGjUyfRHp1Uf7GayKl2Nvf+Wy/m2SehJiKIrV74DdEQED8NlS/Y+9b8
3IACv4y9TQSvbY7YsSMLwWPkg/pLfHIpkp4G2TwSqZSy57GBh3ugcISl2Hi0i8aX9zgtrNgayn6P
AZMOFgPGAiKxeg69Ca+2Q8Z4o1ZKUFWWTwCH2mDjK18zw5nyeYM5JdzSHqPVNbkOR2IHWTfd6707
ek5wQjJoc/JjEYFrWgq7jwXv1bVb9eJqXhIQtrZpn7A/9Vsny3ir+l2aYh9s0E6tUSzeWfid+rzM
TkHWPMgs9OTHudo6k9Gerc5fXkRleidofssnwWgBsmYfMV/xolM9JvpDXjrLdkpGeS5rQcvJrgA3
+eUUV3Na7nrXce+CHrVom6wGorQDamiKcC+NCbk0k9l49hy9ZZpRfAn8FOKlqee9m2gAa9Fk7CVA
Yjzv5OQyQNv0cN5Pee4o8pCmaZsaafQAMNs6VDlPvO+02RpBleyiOXGvW0R8OYcP474eVEjQzaLP
jLWg1bleBLJY+l396qbyBpJIcIkUCAsGKDPRIhUWUPx2WXlNA9U6MYwA2pZnfndVLYnzNBaBZiDi
zTjtbTK+rjKdluGmoL32KoCCVVsXi6HamoU5nRbJ4EPURncYrcp7IlQrz9F05cXFHVKCLZ3CN6+t
3p3ouFqNlXpPYL1M4EdlDw2vbTCUGaop90HmTV/bwiLrpprXukDIO+hZ1dbHbd7uwqnOrwy1WvCB
DBYBj1+dnUBhdJdI9q2LWR4NYDy3Xg5rMCQfp8hb71bbZAQtWSO+2iI06O0KXa6/DX2otUQqCod9
CIsU5PG+uUR24rE4i+F7mCezQPaMGmZvlj0bDkZ+/YYkJsQKYCT3AgEx70BJmRAwBE22qbeO8TIi
i2UmvNsFkuy90QrB5eZOth/JCoEWiKh7U1PkZVvXV+KrEiNC9QzfFPxOdmcIB/L8e/Elc9v6BPex
/87JvAi3tpdxfRY5q7DQtLZ3lKH+R1VKyrK1YIRROzH6KjK7OjmB31wqIK5Hl8Pttm6JZxu6gvCo
WthgMzOvZ3MnKtq4b8gheshtJ71NayqNhozZm3R5/xaR/OIY6/gkkXJdlJdav5E7GsZ5FFCeRFJa
H1gGm++O8BG0GCnCpZ4y8eynLERx3fF1VnzsYR39P2S5yW9nSSNsNmbd6UNa+/rKnAquf5zmLY0S
NAMUW09YxutNr9fyFxDQUzCoCrIwl4BGCw9lrfQbzJCcBM+k3TVFHsVWPtNC0bR+7LgVTgX/KZK/
n7m/qf+Tvrb/5gzzSyzsqjG18LetjTAkF+96nx/OEJ0dlW2aGgMBR7Y8J6gx13KYNqcsZAdcey3v
HRluJ36Y51538B/nhps9Dt7fHWisn8anHGF+/yaEcll8nZ8ZW2PLyIKJ43B0cyr/DTQh7zbwB3uX
DoChtUtBmEXc2SFlKB+kEBSK3oMZOrTPKWl093BU5bl3Jn3VzEJ+GUfXvQXwrj7PVNz7vz59/SI5
XL/silXCvoPR8hcgGEKsktm40x/J1jPjqW/8j1rwoplWkd0aI08dWxEPmDXxxMP9BiDCPnUuiap9
KQR1cwBX+28ihX+egHIHHQ/ZNFJtZNvoc9Y7/MOvmUIAtKMcdBftMOlssB+teLtRXpaZ+MCO7v2W
pXnZaTRjNPJHKigiHnPEFOtrinnzvphdeYaOQhpI4rXfRV4Fd6FPRFI0kKmQGIw7Yrmmm/317aTh
+sthFk5OSPMCJZuz+kD+/NU90ipFRRDbUcFx3OggFyR61ZHet1qxOiGF2EaZE7xNtp6Oeci0jjCx
F3grj2C2HXwjlEuGN6fbEcjG9dTZ7tPEoOWagO7yyjRr59nGtq2gQolmugJHG54S3yq3ppuDa1e8
0DVLyTGNyE0wrQz+o6qpV1epEQXksm+Uo6+wos3bToJiaNcVxiaH4n5KO/+j4QX6jSajCRuucV0j
psXKkYaowFM/t9VpHFnAMoZNHKRDFI2EKvIvLe76hHSg5cFVrrW6ahZ514BgYE2BmEnuGwV9VKOQ
dM0cTSvTxR2TH3FT4pa7FKOkBrVoOYBHnx7SxUgBpnh29dw5pGmeh2oJpotM5pSblOdInVQ/ILdJ
ScHejMJJKlCsTjFCHyajw+jdLRfU2A9tQvZCLx2ov4FPktSppKTZJkw7y1NCQZ9szR7d9SbJ8W5P
WFxD+wqzQg8I1FGC3ZiavjOzotmiS+CK0yZqd4pFmDmSopQPlEXKiqbI5zhtAijjIMK4qn80oQhv
wMV6m94zEHrVkUBU03FwCzNXfNXFWO67fMgP40R1ZZYzT+QycKDIkME8DHn1HHScHxdliadwrpx8
2zHp51DJvYtWKul5WVY5qZcZ9yBanZPFxnFXOlN+IKSKRS/0huo0eGH7orTRvrjaoja0K5uwK8Xv
6Qxh94GTaHjR0oTDPHPo96sGEUTNWUYpGPqmYjUa1rNdk0XVJquHad64S6WmGJrXuLeWtD51PcKy
ggFxTO0U3NVONz6Y1mjv7MZuX7yeDGdYWvpKWJyeCZtb2AEG+r2PdkFDScpKkCqcQ1VNXFaTIWnQ
VocDJ6PEdZm4tt7CO9KbI/E0yuIfokaR39pGcVfqpYqJGehjL3eXI5YYeZZC0pWz0cbHKlq30Izc
7r2nkbdVtS2/QDUIL9ZMm4Xcj+iSWqI75zpoLn7KjcM+gObOtL1NGzbTA1NHjvezzg/h2gHCdCBu
6pL+UJBzTMZfsLyFvKULvfBFPJV+/WFSBF0O48Bx2/TSW6txIVPPdM0tl/9oY6yF8/qtlRvRxArx
gpIbiYT/op25Olnrq6rW9d0sSUYTNEuePalID+rqAjIv8vvdSEDtZ70eXnNlcoDPlCvvzKbjl2kL
SpH3vVg06ZqYmNr6qsQgmq1FL30dB9osjVWurgr01ZKS1aAmumvvjyHASwqJtJHmUb1rbFI6Hk6v
5d17x6dxeHzASlUbHyB8DB2/OsGAz4+VS0FFHnV4GRMfr9XaHjBShIADhIVgQ8ORW7828ph36n0p
aAjNWfbWhYu+Xnjdmo3SKcXIvCbxhCndK1Oo8l4K3Izkv5XRmpziYUon+YDRAM05xt8L81SzOikC
QmLUlSQ+pguvIP4oWnCJT+BpWpoeI2Wj3UUFjyCZFNa8a4h+2QDVJE2mJA2DgsdEiuLjj0C+TUdw
cQExL45Lo8xjOvAN6qe9gyGvPzdQrOPE7qqTsTZXgFOxrHGiT87vnRrghGYcUmp0m2ZZh+Y1ueF7
ubDEORYf/96/ed8kVUnvtmkz92SYxqtpLmu5HDC+3lQ1xZLs8Ur+/mjmtC6FS2uoaa3k3rSq5iJa
e80LdMNLOPTyS2vRQ7P6lJ4aTvzmMkOHuZ1cTlqb1BxY3A27/w5+qn1mIIxoy5TRZQ5YZ9s54xYy
heq+mUQCQegtRwv0VU0rx6c8Hwre6fV5lt26DMMg6q+qvqIjGeUBNW/Z8cfZRPVVjjPuU7Z2valL
1l2AA9qzFfJIuMvYfx9l0r5kVpLeBiQu761ufX7gkAMWpw9Z+VxOsna/3svbMKJDCri9vK/niS6S
yzbpB5b96X1vsAZawIzPstuAJZ++E03UyfDc2yA1PLaKOQovMqIMkRoJ7dxpFCg1kSV+SyXschze
ZH5hfRI+UQM5ac0npq3VSVdmcyEyqrl4NkVsvf4GGeXhU48+gDT0paU4n4mJhZI6Me2kTBYl/Tmz
rexPRt2w2LKOfSFoQjxBw0nO9C/8zXtLcBpoWoakNZzTJpu3haL8REaLnpdjTrlPQ6S5slUUJwOH
nZoXG0S0QxcUUVqDMmBqnyvboEHNXOvByROOCgOFswO/dGvTXN6x2fPwvC+zKuBu0DnSV13rpo+c
6rVYhTTreYJk4rPqmG52NG0+i3VwZiwzLYupn7iZJstbNvEelZHDruVPgjOew7NmmMm9mumX2ZWq
81PjevI8i4om4rpUwl6yd2TJl0iZgIFXfu7R9SKqx5ER+0NGy4R3sqM7DV9FX0NhsT45MhhfgyZR
h4GvHjcUeM4mX+WAAvnEV5IfKDkkeY8nJBEcYgT6Y/J6nqfJ464txOOe7DDjVZlK7sFQmZyGpll+
oSop3HhUGuUg4O+IumX08puZfBkrniXlRNsmVJAa5co08oPrEBROadNSf//b9xeTiSFbjGGN3Tdv
Zk8VbCqnZmGgSsiU3tdZkR/aueWFzqkq08BjkcE2kN7CR8IttXhowoS/cCKbA03eW/k2ukvr77Ke
A+x7ozjoAaETWHU/r1WAVpIjGTKn8UAjgSueT0FVgIkO3aelSzP42xSziINI9PTWCOeyHcPzkAx/
WJb/q834O20GaDXEDX81quz7l2/Z2L8OQ/8nicbvf/Jf4ZHRb5iifFQXHt0ucu+Z4P0h0Qic3zzY
qp6H7oJRofeD+QDFxjqVhCZKTCS+6hUy/Ydiw7XwJayWWA6xf2g+/n/SI/kEjDurLYIP+2WwhkgL
/r8wxDHMq7eMUv8AQJ+I4BCowA9359+cv5m+ih8nlSGfZCM0R3HOwOsXr33VgJ5cy9Uj6buYAU3x
LJpWxXOSjZt//kl8BowYyB2/+inSwUiWTpQC+G45bpLRvO2nusBlvjz84w+ikQAgd7U9mXzWnw9y
Ew6gqO0WcdS8z2VVvqH0eyv43//kYzzM9dj5fx1+QqKEaImElzMpudVRyHCxZzfZlCr/D24dzype
J1h/jNB/RpCkwqxdMlwESZ91d1Emug5gGtSATfE3F+X/+jiEq04IJ7lDaOnPXvJgQhY7RLM4ZjP6
DH/U9zpVD4i2H8Q0hX9z5v653cKzF2JM832gkDQwflYlGZbX8m624kirkSYfW8mxCGUSt0b+Yoar
sJ98stjSpPP985/Of8cav5s1f55b+13LaZju5ZHWQ/txJEMg9iISvaDxOn/zfq0P20/vF0TqgKxZ
Wgomb/WfH8ZlLEYNalPAxSN6tGZOukMFnnz8Dy7oh09Zexs/tF1WhcVkMNQ7GpEiaa5TD1M9N+em
+89u3Q+f9NPIH+lhRjA7n5RVo976qnghuxlK7t+/XuavSxNcrRAFXRRELqLu9Vn94aLapPbCuhU1
Tj+73QpzwvKjBXv74tZ6FzF231pRZ+0JNPSOJirSbVE5EbWM25zRRQCWmTl/EJAJnbhjEPftvY0c
FDhO1kDd/RiUbxr69SldMHeIoE/QJixYQeyIHlMr+Fd0ltQ7jvk243H8P4GS9Z3uIvuxDOz25CVF
8jzVFCioyrxjEhDM2eomOswFz3MZKBRTKKsZcNN0o4MpqS2HATzeWFbNDgNq85FQKvdMcs78TSas
8tbg892J97nTiMOu5rCfik0WhFm7026FqI1IMKBffB8Da+RLnXDR5TSIfYvP65ZBHpHZ8GaxmDtJ
UsTWWEUkEjhDdMAzI/bSZBpWSDrqRieMTW1ydQvav7gm0mKDOMFGQMHikqU5aU5EuJAWpqw9xvV2
2EzAWs5uTRkJVKq9sswBD3pNuRNGtbHBS2Y/ptnkXanUKp7TsK0e/JmOEtpW8ST92n5MuHYRBzO9
EVG748J3mhJsaoGIho3jaN515bucZ5HBVQ/9TGYiRTdR4YirnxNuDVlRUtz6Y/FmWvymI5kpj8j2
31Q/Jx8Hf2lP87o0Yt9pr3S1zhg6ys2UdzuqMmIxfXWP0M89saIPG6Qh+WFKKwftG3pcci7H5pyn
ILxjd2ROmSKtvy38tHnzyeO9scitPfhjBbbENma69e+PfdWTUkosZnghOb3ZlTk3AT4OEatupjc1
3olP4bKa0tIgL58jAs3iWs7tFiNawYif6LKFNLvOrw45U0JxbdFXirZ+lkxfskQY0Y6BZR9CPC7z
JfbpGFyIgFge0Ut6n5ju1G92kCGeLlO9IyMpidFAyaNbWNFDSwDAJ4dY5WLjUaHjYEAeU0JWyybi
phRNxU4JB3qLzU8wJKr08CeItI1J4TLghvnRQy87XrtV6b+ZXLa4haQ2TjtizfQhXSZ7gLGXougM
m+Ilwnq3j1aTFNI/ND15NBHhPiWKujmavizdUh6AoA9AiIzOzveFcLxltyDekej9UtSfviqtryAt
++/2wrvlGgz+ttXs9Z9RFoqntHC9q3ejWE0jzIs72rVnxGg5Q8A5NzZWyS/hZWn5LFO7OauEPDJm
V/am7Io3DiARuh3fOfNFrD0pmRrtaM95JEO+cENeI0PitFrDu/iFRoetbyR1aZOFnMAJv04+FlNH
olcmVPbaiMg7NqVPP83P/OXiWuMX0evpAJ0IWXqEP2K3zGFDXE7+1iNDiqVBYlhvVQfC+F6HscNZ
0KuPjbSRF0xfR7yZ57rxaRMlwr9iKwzuspGXkmGz2tFCmK6noYt2acl7DlYuwYQZlI+hJZYr8mL2
9cL5PF2UGDb1XPaoKvMix59X8VCzKuIdrRCVNGMR3ToUlYzpeOvLseJYNYmEPjEeSUw73rGeh+lg
rfuucLluuy5e8t7AKgVT7qVSRD0602CBj5jpJmDxO6uRJwpuePI8RkgnzEq32wmo1c7rF16jOpQR
HMaRRAajwz6U9qw5GcnQd5aPE8Y1qxfPY6HsOtYPQi2DuyXHH2B3nd4mgaQZhuMzvCOzr6P7RxYH
WSc8hmPUyUNl1uO20AWLmD22W3/mozsac8ecGCLG/Nb8LYMaJJqqITmsJ+sMzPGuy6tbR5C3luFS
4EeoxW0v17q6tduryhI8TJw8xzyuLReUEXcnTyJ6CT6NlvdVF5Ha01CG1qs5s1pN6zPimYt1UyZD
flN4Kt1PGuwOIY2FjA1j8AiS9vY9g5YNKVP2xnMWVsShVZtp8dvPyImi2yVImq0ycQm5BoLakV+4
4ETcdWBa/ebTJNLV5dA052QZ67t+ZO0xUlaPOeKlL6eaex61494pPBJvmim/cRLb/BpZ43BFq4V6
tB1vw7Kvjr2PJbbI4IzUUWpcD11+6+TO9MUoiv5Wq2y4TorlkTTEGfkKMrRQY15xF8vD/IFzpMlk
fUsqTPKhKp8CSboeA9i3Nl0jKIb8M+/zQzeZ6dEGPEwmci03g+nA7dJoINgW0wOL+1fDa/G3BWx6
K5TiZORZ9UCuXXPuGlYcsw4RLJm4/MBC0nT5fZEl4BR+B7/BnrPXHJc+MeHs282GeAo1HgGWuN2B
Znds04qd46GPioZed8ViVnDIkzwiRVRvUOeVp2aWZkR0YbCC0Eh22epJYp2uhJPXDEJxPiLPmOUa
J2t/7mu7Ps/Sqc9tMJiC/jJyBafqx+1oAUypaIMpIKBXerZVvbD5VB3rH56M5F7SzYYTWBYkRbr5
VGfnuYgc0irJN57CM7KatokTf8Qcv6EWh04RLyQPvPW6yMgHnsr6VXgIbaw8xQ9EDxuxoY66tVPj
mTQcFeu6/r/sndeO3Eq2pl9lXoAb9AYYzAWZPqtS5WVuiJIjGbQR9Hz687HUGyNV9ZF6D+byoBsb
EiQVM0lGxFr/+o2/eh9Eneq6m8r1CBkUNpmeTDISgatIqmwmp70xMPU12k9+rucwiqbifhTWBJ/Q
cAGaKK4hOzTePJyqQuSbrNE/235/aISAQDBboLlwvnemy/pi4xhuHUdo14ZVaZDRvJJ0Fduc96xT
0wprwbS4L/zuYErUO5OMn/PUybcedmrbFxIYqjrjA84b06XnjGY2kCh9U9lmr0VBYS0XlmvyJSk8
GB85Ukog6CmgtNS0YzY5ur/zkGbl0NPYvu2E6oRuyR7DkRQuZ9PwhQ85ExFmNbMz/IFq+zKG/qWO
h0NM74+2zGHk+kNz9lMxiq4nsftWLw4gU+w35jhck3qhe1ipUScQPp5dZvyhoLwt1BV5oOozC945
48ABO8UI/tSorVLSN58HhIAQCSzM3xhhexgHsAb4PKo0nnodDDFnTx297Lkq+rt45pj7fYvxpjMM
Vu84kysZ1OMoW36txmGaOGUClHgYJEVYRTw2BxS67apKXzRS9Q9fjf+eGPCm/F8v6DmrkQ+ylTfO
opWiwLFRobOhkEoeskvUm6ythmYDmfu5I05lm6Mle+c6/njzcuyMBAO7+9QcjR18Py2KyfJ8Jud1
2E8t5/rv78cqCXr9BHAMNGFhrbz3N015Q4IC0Vt9fkjL0j71Q1t+ry0CBsOxG1sdmaBNsV0UBQsp
FUZ3GVxqTSPnEzcGhTY0ymdKmerkm7AbZpPOs80a6MHF3Dtnm6DTq0oJBaLfBttukMwLXhT2yZot
YE00rlvbK+N7EmfsZ8vFpSYM+M/e1wzvFu4kB3A8T/hBZpn49HIqVhUmC9G45OafnIaMtYt99Tbi
PofyHAHAqrl89XIkPexUTq/80GF2GTpaW4fdhL/VaNkfZEaIILN1iGqwaHaOgs1K7sQ/dewOUDb5
JoRXHgmv6atPgF/k6GJglR0C+u29oyX1ubHHP20DbxALrgJQQcgD2S3YKb5qSfusH2K3qrODa1M8
u5h349DudpGExUIsa46twSxoHpiADR9+/76Zb+8xJQrsCn8128X99tW1ZyO3B1WMWNC1YxIzwoMj
pcVx8KnsKY3benTmd4HmBE8VYqw8mOV33ETGLWIgB5FjXaXZut+qLpRF71tQWhrKSTvHeaFNGAZD
GfsqYyPujqvjRvIDcfkfvPpPeLVhrCyi3+DV2RfsmJ+rX6DqH//oX1C1b/6FuIM9F+kMBlk/++QE
+l82WoHgxacGfNtFQfi3uND/C7tixBkuZBYdIJlP8X+hahf7HPQpNLosGpK9/gFU/dr8G2QL6asN
9w0/Jhvb4lfvpZw0CL9Fa5wrBp+djIakzKaDcgAKIF9ULsqLFEOIK4EtyUjJS2QDZJe0YYgbNM6z
lw2VacBERX4+YTXqLqSlkAJii3NiSq0gmhi1G9t/i47kpzt982N/+tlqZf1kP+1aJucjODS3FtsM
4P7Xn9xv+7HAfVCdIYFMd0ZaaZFDmXY1D57OIGqmM/79BTmY31yS4Jb1zAbXd3mar7BpLSusRuvr
5Oy6wVXdeWSSFwNny17YUEoRQUhNHgylw28cZSCnqLcHzz4ELhvPzklIcT7GHvqZcBmImwkrNwZH
MTt3dSjJ4KDXVU/Dt853C9Polr0dV/VZtGsMDpgOZ4SRY54SSiXLJXKIeGOmOVbca80dprti4Sgy
jcV5xh2lbkMhfS4VAEckW+XFa9PhEEMZjq4GKuHyRCiuu7bvdxhTztezi4JFITORbPwcvcqiFJpt
LcDEoGuMi/LBMSIvyeZkC9ljTLaAOtONntoFBPc0MR8M6AxLmHkt340MY/lRW81XEnfkYyBf96ct
loHNR3MYCd11a8wK3qER5xMFM8ZJFD3p9IhRCKHTNN3Q3kyRGi3ea0wkLjgWe9rO9Wa3+WAyPE5P
nWp5/5K2WIDTPGe4W1TFgNgqzOl94xuT9skyO+5choY+gfRcT/VRNciDooHcs4WcYxhg9A6rYB0h
PJ/ORElfRtMiIR1pZOCmK1kHRLFW1cpNhbOdrYFizrNgC3/qZ3qeAYVrwiTcoKGSBDLgEcuP1lvJ
Tcpmm6fg2oy6PqSoYpqDjftOueU+Wn3kZBa3JdMKcIzJgR13j2qdxzqsmXBnPCKL9LSsj8Rbb05A
OjXPj3DncyA1sJWs6DQvIqJ5vE6TcbnVfB2SOQDZdFgZoT40n8wgjELNLMICOQMNhuuN3qYezGKL
liPZFI40Vi7zND/AkuwunD70ZqWIYdAsuNE+J6Jzruc5cZ+0wTMu49AUN5aVJ89YJWQHgGPbjzKz
8p6rJB/eN5YuJghKvLLpCMNyGIfOj1Kx1vRlEefzyZxcB/5Y7QVPGkYq3S2WBpq7cQaP12ZQHrd3
zEpXvdO7ycF00EGvi0lmLy2DDHrbTxcL1MDWzC8gtjy7zKJI+D6LuW8+8stSfG8mjIeyUgficDHq
i+qEd6RlXt9HdM7GA7o0Hk+Ra9INtXjk2UICww9o8ermI3eGxeWJikWZN/UY71DENu2HNnamO58t
Xm21xeMGZyb2qnscluqzg/qiCeOppd8fBJiliE1EzZYjD326zNOVVfXceq/uuQogmViI02iBBpEW
cl+8YCUF9w79RpXmpnpAGKtpT1rvLfKqM5WmbuYJXvuuoD0ZH5eSNvIxs/Uyv4sHAdkRirkEDLWs
4zKsReQyl9xLekru5aSPlJ1BkHAjmEGpQ1z46PxsdpX01EikidHLi5xPGg+uhpevNu6wLopOQXQI
pxGKH5t5bT5gVoNqi4FQ6n6YCr8334kYMgrkISOvv3jWaFxS16d49IuSa2p5IqaDFydKfFKGgkAY
Oj0iEyv2u/y9YocwUmQ5i6Pe1SUmLj61jRYHW69INLU1c8xVQ5ie4tRKj2feFcq4iG6xpvd+H8v8
m+NVpgkGNaMC35b6YJrvSs6fRcJCgAN4jCvTx1mrrl1dP6amBUZAGhf4voaxOzKwBT5KlviXCv/F
D87Qx8C4xr1HQsAYGWXdPyLk07awbtMNL0YbWX2SHq0iiNHokSQelhnWq4ZlzM4m9UrnAPLjrobq
QmoZMDqt5s4GAKgEc4g5rthk6mPT+PrTKkiPrFL/pAH1YGoFmSSfqy7M0nHyD0ZOmHrRxt63KSG5
tzJU9Y7E6qt+VHLe5oWabsmATT451lBtSw6pDWWfdcfQrfpk2Gm5MysduMlbStKaO0/dBMmck9yR
052YS15cZ01SPJqi9cJAb7vdonVAAMOEU72CUsfQqXk3FEt55YBwbHuYZ7ds680ngQXT/WAXN6On
T2KvJHnycib2W6fu3A9Znd0nrVs8EgPSJjvVVYgGOMA2uIcsp0IL8h0a1CwcyFRbiWmgN9lg1Q8c
Os2HysH2aSOWttr5mV6/T113vbXEfuO84fRV5Hr9amw1WWECErNJYq/9nilPbQr42QdzTYkZYVhe
nKT17E2qO9WMFIByYNNiWQMgW9Z7nMIwYmG+VB+9dDJ3iWPcirhu9joGnxtizJsPEKxAn9C0uceK
/mvABcvrL7Kz4/ugSd291i75ztHw/yWUcPFxF3Xdi5Z28syGPR+w1Z6Po2YEx6XLx+3cKhV10GEj
2c8C/lzrPgzZsHzV9UKcAz9YzqpSwZ9StF/BCpRE5KPwv5ce36L3pn75CeaQdWn5ooD+hA8BcEq1
wrqjxSFka0DCCFPqc8wqP/y+Lno1JH256uodijSbXG3Se369KhYKqZeOTnCSUIo+olhkY2g6kxrj
99d51bK/XAepAVlLVHsr6+HX6wxp7fZtkMQnG5ycPVVX7NkrK9WZYjaMf36xdeTL7TRghrz28TNY
w1pCEXjyC1DremUPvvADtKwPtr+/1NtCFowEYiu1uI7r7utBukwCr9Em3T1Z7mxcqpWV5mCtDRLY
1efWg8f9j6+3+nWuliXkg2Ox9Ot9NPyaZVuUzmmZ0vjpxxFUEdmNTU21TlXajHjiP9zOV603z44v
h6fzqnfn4b0u1ucysbtAdfYJzifVFVHZFD9sqJzA1QSqCizIv4q0cuDXOpj29I9fUgaBDvdZxxDd
dPRXX7qubKlPBaz2vs/WUGSIbZMx/ikF7u1S4Co49gbEjjm4B7xagEVsjlWcte4pgTp5mDPIip7/
R4fsf3cVGkoMslbexRu8xsWzQ2IK5Z5emBduxgQJAur/w2vikI6FAwLdzmqH8Otrkkumww1ysZMZ
Q6fFV5mXYpgxIthC6TAuXTMNyx9aurf7F3s6exhfC0MSLvvrJatsiOexcO2TVsfuBwPqKePZgVKk
J4dhW8H4NUO3XXhFfr8i3u4s2B9DmSEik3ipNyuCVD3MWBrHRH3P6o5r9snOhTCzCDjWv7/Uv/mK
vBxQm6jBsRp/vVl6KGu5VGnCD10ZiaVRn5eWCWlhrwD42sFN61vz+4v+u+9H8oGPmZEDxGe92qEH
WOtWivXkqXChsVQlrIlC99M9jc4fV/oLivZrX46MyMMv3vYCz3+70taxK55tOtPaFkqpMEqHLB1P
L+6aYVGXGkE/wxPshW6mkbqO2d/cXgaJgnMHCGnTXNQMLNEYfCVTwKLqXCrm/37uNn8KgXu78SIr
wSgRvhQMJuM11azKnDFDtsgbXgJhY0QKCVlMGucl+X28aiKgrP/9kzDert01wI+6EigSnttrHDAp
wEtizrgTBoLUupNv0T8QdI+6UhkcmWkTr++7yIyL7Av5ESLuYmysLJjuZGvKYi+TfpE7qiSYquhL
0n98ODAcgDkJT83i2b3gmD+VELrEM2PAgvdULj5Ft+6IT0bCsJ4M1yqD2av/CcZ5825CKlxXA1AO
ryji8F/XvMzateifl9Ngx/Zzi4ZHhLOseE2nFU///e3/dxcDNyIJl1xQjoNXF4PNERA7FsynCfvW
G1Gh/keLRJfj6A1d0u8v9uZR8838Nb5Hxx2H7ezVqitzzWjaWJ9PbuzQWCZZx5vFQqRL/P2FzFfi
N6iwbJdr8QCfkSP9dWVUkFA7uY03UkGotL3R6eH6SPPbjnQiQl7acyMGkBA7QcaQ4mY10ZF4lgJL
Xo/BWk53KZbKRaiNNEvMG5HWLB4jbF1zgbJAvaydToYv7bnMaY5Hplc3XYXUuvynG7G7Jlwyl+Fc
g/z5uhTKKtwgvLJtT+bCCHtkaHRGy5PtE33+x1UXl+IdwHQUPoH3ZkCFCNTshgmBg4JOjGhA8P0J
hgu2xMfiC1ZNf8QP19Prp40RzJ/9EK85/mtAQH79lKqltAypHPvkysn+hgntcFJ2HDy9ACKu14Lq
yKVwHusJK+c/vCGvXxF7JWlC1rS48jr0eu2vahdwHKDaiJOB50W5IFP3XfLMZlSylhmRTeN/Rs6Y
25uhZt58CRLYGJWlkuxgdjNkDtMU853el6CIuPCyRUnlrY1Fr/j1i05AlW4r0Lsb2Y3XzVrFTxoz
54Bvac6kOvet+tYRLTSD9fUqNA6D/dwpozkNam7aEH3FdOOME9BYGzM/PucAR1A45JCsEQxMoa8d
XcvVRjfy8hZrO3FRbqftJztzb+rZ0JZ97eGIBoqNE4XuYZBwBSytV1HrOX2Av7pqrrocC1rYbsTM
bWpSRmigl+yEss+IkP04PaI8I5X4c/Qyczqwb33AlMRaxMqqLojsXhA+GoXxdVR+DiiuoQKMMLZb
wVDsANKbAa/mhOArCZ3NrYEoYQ0FJA2R3UpXVMmFP12k96/ic8hjkJegWOsa2bDW0qpwsEaqWiwg
ciNZqa2zmoL8mPjadNdMS5neQFQq6qs8kUN328L/KTcwiljdtVE2+V29wGjZqL4z5I6J8HSXExB+
lbhund/BQ2i/TozBFxBefNy+WW7V29dKGisUNRY8ZgRu/EO+uvPsINQmehViM6NaU9hXw2ptAKKB
AwXp4V0+7dwGFeYGHATkqltSgHC/nF1rC3+Rn9jDhIMUNlrVUU6i1+6nOuPSMl84tQId5oAM08Jq
zXc4ljvdnZFpKcbgvC7pDf0qOj1j9jAcgEFoH4dBtV6+QbijRUtTIZRzTbZwZ0l4g6pqoJEwvTHz
rvDONcZjirQt5lw1YNTUqgDT8pu+XfZTQQ8bMp4FZYQAMKkHo3JUgdrQ4QUjYMU1L1qmOBte6gAw
e94+ZHtADanLFO6EBB0hbwwQ4kvQtnr6HnRLfIMoF2brCwTnFD0fxkon48EWpvOcYYseb9u+hZf9
Y1nha7zK5Nl7Rw8HrOeKsE8FOE/ItzEZKVNQTkVJbAnciki5Dm+R9FcNUlo43FezXTFzS7T9Z8jJ
47Cb4Ebe/BjNkMjwHDvWWkgkNrWdX3sQTQ2xIrEKeB5HQ9ofBLQg8C/Hn+f2gIwp2JV35XjMI8Jc
zyaxQ7mvt2eoRizTstGYNBSzzY21sV+zdiIwk+y2rSQfxNDBTnYNNsR3GLDK6VM/eZaGFYjn5Pmd
X5Pse+1MhfHgClHZUY/51vzN15hkbOGLm/btbDSgwOlMbWyx/kav5DxmDJDWYQpcwbtiM82BGWp3
lveewjzvmFKrDlODsMiGBl+VOIa3EbGFO+JUqBa0fi4AJVG/VYsPJAHh7VTq+gTUBkLe+QBkSz+I
8X/mpP+ZBSGMGqqb381Jq+pbW3fPvw5KX/7V34NSjAZ9i8aBcegqXvjJgzDwXtQ5uuu/zEJfZqh/
D0qDv3DoY66O6fzaunkcun8PSi2cCwNirOnq8FjgJ/+jQSmOfL+e31hS0wSTW07DsGa4vdAofiqN
LWgBJQmK+rnStTqVPQpjbOJRSMc4QhlTs81tC6nYbA2N2k2kgmIq1XTWt2kq0EKXS1YxZ5rba0Rz
dlBD7IavNy2FbT8ZAdXVBrvMz4lvJo/lhIo3S1zn/YAg+xobpe5mIbko3mU1mSZMZDXvOhn5w2hw
p6DZayIl7b4T1RlH4+UAnf22UJ31WRvx1DkzjZpwvXLN7moQmC49Wnnce1ftIhd0/IU79vDESqv/
Kl6Gt2Y7MRtbfa0FxL0ZqxR85eeNpXQLMrvVf4RQOjJr6nHnu86tDF0qdEKv2eU823tcuEo3skxI
z9umiLNHI51hNjL/WiKVCeBV3CTRTGMEce/avXlsvS7dm5P4WlCXbzMvW90FZUaiOrD+XpjZw4zk
8cbFvFwc+CvWNU43cYmZGsLNjuhgLEchWW07Q3uecEYPfV2UIxp5j4MCw6etpPWHsYmKcQNQKZ3t
Qpt5Z+iFcz0EzKOMrveMYx8Ekq5/CeKnpfS9+8Zz4gfVzaZ/RIZhaRvRNk6BJNdmZ/ZULD4MaAq3
mmV6UQ7HiHvQDKHsp+rkBnVx7hqPQXhfjtjUu3QB4PzzeO76LvEjLWnSrZe5y52sEjvT93HCdCY3
cJfqFGiR2Y3EfI1LtQE8GtLIjqXY+XMcHwgVMT80i4XKfmm15SEovMIOiX7xsoOt6X7xlOFFWz0m
pBt4+rbnjJ207YhzVdvumY3MOuboiVOVaAYKJzOekxbhI0+uMELHKYJtiYG4iRD8skCk3E56jJIA
YvgR7PrOT2N3i4cSpNS8HkWUObgm2XjnIvMNOjjduJSExaJZWdg6JuZiSzzgQOQ3YaV5DzlOw6Vj
HpNeXTuzL8JlXEIvqy+2XGSE4cke9Xl88vJqV1GZPmpaejtBoAsVl9kly9SFaDU+GvpI9I2Xxbt4
mO9B09ujxI1jizuPuJKlph8bx853XSzNU0COV5hTzm5bnG/D0p6ykw2UtBsxdj9rxbwcdcnSNN3C
fAxm81PV+biWGYkXirTTIMaKYVdXXtedMEAVR6qyz4pq4qQyOzlLJhObZSn1Lf5Je8ZnUWs3/c5e
Gu6PhiVaqVVRIrVAg60p0ihJ02/OIj+gycAIjOkD4jkdTbetsJFCr4hBST8nV5UzEQGKIeUeV4L7
LtPa0KgzI2TMEEe2EsYNn16cBck/isFj1xwhePTfUAnPGz+1uDkstoNsBiQsHJBVsmDwKSXcWede
WsVd7mdXixFTl/Y6vozLQ+Z2+1pvgxPZOHdtgOx4Kc0NjlzbBEcplbhp5A/2Yyvl3p+na4G1Gy4h
/bRTTdFth5hhWhLbT5jLgw9UZbsxyuJbYSPzN6vRRdWT9veZRsSmNIwo6JA9YwDDJpj513YD5V6U
E5Mk8qBCE6bkrY5p3rYkVoPh6DDybjUk/vE83D11TxtpaYDZviq+LB7JYRT5wclluzz1ionZFFvi
kgadQNJLlhmrYk06kreDaLeaz5da6uoy+bZ4LtbdLO9jD/Nk0WrnpjHtu8yU7qluupS0DkFJQ8AH
VOn0g661lDPm9D3tSuOQeC0tSkbaCfYlBDozuDzBWrO2Ldv6bWeNOCEsbnDMhXcXu+qWMbi+Y5vw
z7XQRi9qc7d7z77Sb8zBi4ewsTpxEWY/RLLLu73Og9rpteyZaDnpnTVNwbWadNgNWrexRfkR+w0z
YiQH6bvcVRh4hpNovHCp2rvWJWtipbGizxQ7bLwsPl5tP6d2huVLyukg4wilRrDPRPdQIIPYmeUS
34/5eN1oUkWT0YlHaC2PDkY2YaENz+0SfHATvOTwceQ97hv8NAvc7Mxxh1z/WLtiH5gi5i5K+2Ia
idyPvvpSObOzddTSHvTOfGhiL+cFzplklGkxnB056pfUsO76oLkq2vTJzU0cRDAW0mt7Dtlpt6h2
PtnByOjVdqJ83Usbzb/xW2vfZpj2Tzw6WN4DEfJso/6nPE6MD4XjE0BgeSw1zaZj9YZrmNHbQeYn
uuNu5wzSPCssC0M5NBlj86BOo3wu/D1E9OWY1t2ha8RpyOJ8j9I9i5JAaxhVajsOsyJa4gC+MHRl
2kK7t7/YGs8LQwrNv8yLbt+m5WrG4Cl5jdubFs3jUG9xykw/N5NrR6PZX02ZXPOKikfDHg4Vfn3B
sHCwigClkOruB3BQ6Jbll2GqDoE/fxBeXmwHvg/EgTqPyFrLzsOM7Qys4R2pIL4ZJY6zXCasMfDR
iWWz6enCzk7mJLtZs+aw7RPrY1z3zR3oUV6FGsPZZuvn7ExDaVU3iTZAya4Vdikd51qDb+xhrvFI
Nwyj2VV901+Z+JrA8jBpXnod2zNLe0y1cT2eMUuq3SDUfOcyIuR9gqxRvdOTZpg29lzYEKfnRfR3
ldD8Y9Dmy2karEd70pvPZJVrySEu4UbsHG+02tAqDMLriZfCeYZz1twOXfCl1IYbI/Ugydtjd9c6
1c1YaRoNpHZbzmn/Dq3u+1ZZatdPbn3CYvO93xIHixv8ydQgvwBcDhsTP6RPbK/2YYQu/ywWQ23h
QamjNWnmVtRDunexUgh9v8mjMrf5su3wMUjwz690X7tOYCs9oXEbQ0Jd/e9ujxVmzxg/dFKreK59
b773Rg0iSe9/tHKnifDH9Z6wfMg2WuzqERov8YA5jA6fAvA08AiptCyUf5O9LiIemAixNsSYgvk3
65qPl9DBbEvxtVH551nXvLsgqIb3VoutP5P4C6o4B+UDR7YnGgPCfKbslKZY2WGjq+IM273GrKMn
SKOtkmvDLA5dHucRJlMYG/RBfQc5QmIZ5af9LT6i/mHxXPleW4JD3c3Tw4AsbmcEWZBFAZ6FV7jo
fpW5/4XduUCu6QYberj+MRPG2a2sYN8ESH4cSF5bFFAcEDTXm87E4yR1TOAXrRYmTAvC5mvTkVfC
aMkV6dr5qkSWdiAoZcIhUH4pktKI+qnI8M9rBuOeDbKFMNZbZA253ZgWe7tK4FWQLcDh1WrVR8no
8py4s7MrqAWfVlHPjMqj8Fddw2zdExdmfAZQcT/bWYVP5tIlARllSHuAzbfgXvnORFEH1wlRDtLI
k0fqB0YliBos811Mo0JEwlgpnKXxYtqUVB5oyrIhSaMyNsAlzwqOxC4vh+Q+0ChEjWsKrajExkgF
yxGVwVfGWO5e4laxKZmXIRFLVnJKbYbL5AQhh+Sep3ZyhN2RQQQ3vqhrgVNR/2nobIRQC8mFFb7b
G6dA56RiyfmX13hlV1iNxE0XwnMrDhZEgzBVAhGIPm5jZV1EKixoQq7aF43rn7O0hEbYMW/KvQCa
WborBqnuSEq197rxuS9SCib4EFtRxo+gTmVYSHMTa7aFmLFpNq2jELWImOHtXG09STIxIT1RiUIv
ZLBmRLVWNci9hw38Isl2gjEJBMoBEzBo40uefhqD7sqlwN/pPrcYX65HuPP1FhcFmEFZeR5dxFvC
8CHRTZSGcNswEky8hjOxqI91bd8FkEv2eCh+Kar+EVYNBs0uGWklfYrZObh/wIPEyLLbNAS+hFbj
qGuiaQbsZDTziaFbG3ZFSTBP1wKg4B+DBZJmM5xSeK3VcENSBqqhKWqQtXJ5RPsJIwqeVpTVcfY1
V8bGmDwihiBvbqfCDWfdxvh68uNHzyiuUJ3ZF2UjhO1l9Z3iF2uXtN0aYqmjVMtNHukA1bFNCTLu
y0dli2xToFPdIXYOtrZNsYOMwAlnUniuMY1eE+3zcocvv7y4fvxZb1WyCfIJecSYT7dyhgoZtK4R
zYVH1WOgYdEbcammub+Yeh2VtRyjpVUrZqLPFwRUJ83wdWRZNalEw8AAPvDGK6a+X2v6DVxWP5r+
8pw07t4z2v6KNnfmZuQwa5ZjTJbZFlbavki/a74kNsdt9SujFc1B5upGZhZGtinbYyr9CPKCvmsa
2lvIdNYez/K9WTsGaJU4Y4fIASp0FK/+I/4qJI1ly/Pk9V/iPvlc1znvT23d9t21V8eP9bB0GMxU
ySdNw+CtxzkIC5slSizvagn8D4R1bFQQ1PucwzHEthnzboyBQq3SDSL6mlsxUp1prdCjrl+wVc2x
10PqV4+UZ9oNnqKDT4TFtHAkiJivy0kgoR406W72/faoeIM/ERH4zcrRr1jxOIepZbYqHG2Uvzg5
lR+LWpQ1ccJGeeHIIi9+qq2CAq9GI4o/e3U7Qqs8DNokV0luvheZlpAmZmJuF9XoQT+idYGmB/hJ
k9PIx7H3C4DOdDhSVefI3NNqbweVvWvmJTmjjnZ3quofiPaEUV0H7wK/FzdVphnfnaztz0uauSes
kNXBJDjl1GO+u3NGWz3YFfovX5nP9PDiOq9sGvxEf4coasCRqE6uCHuzoh4G+zWQMR65yzTtrRrR
uxjolgac1ncdU42NyhIKgArOV2XZmwTeIIJo5nVZ2yUbsA2N8ZaOIXoPvbgR1tYkPeSdC02YXKv5
M47UQViaHqTdgjtGUXtd9UV1UGI+OmqAtjgOF+h3lBVtChE1Dz4h68o20vfgfZYppNzGqSiD1LIZ
c358GyC4ZO0k7kS5R9e/Iza5AhkwUcqBYaY4aR+pG49eWcHULspht8Ygb9nNZx69U20LJO4CTQ/N
lH/XC83e0wqDuFiT+DjkQbBa5On5NUc1p9BIt3CZ2+BMSrsfNrnA8DD2nLDPy0gD8iZ5x5SonFsd
bUmRHdrcNiKlGhHCJNTPXS67U1tb3+WCbTg0rHDtLcwluxjs7tsJZz9yZHmMdY7xXJBj+V8UY6TB
KgvdOus2OXzu82iLm8yE3JjX5XXiek+1H7R76msZTQ2vfztNu8rQ98kI3lF0Dr2Mk86r0y4/CuIm
xMfu21I3MAm76xn8PlRzDMJtwQmW9FmmVUUlLlvh2KV8PXy8cO+K4BazKzt6fEjrAj543jgULfNp
ZKVG/eq+q/cde6RjKHzCh8+DJz5jX3r0bXkzwbw+Eo9obmghz2zRT0SMVzu7n7a0WrzJoPxRNxDT
xmrQLwT4mHt/GoFRFg5dMF9Y28YdYuGjL/rtMrh5hMluFdDoLNV7aWvAJuM4+jsTjJm9886ck5lv
NHTb3B3pvPwRxRLtYKfpRE1j3AYisDHibDylGNqGjl19rro6uBWJxoP0nb0cZbqBcbg8wqi48ZYA
y/nGMLHm03dd63ihrZQgHr3Gx9TF149oDE88lHH6zTfkpV3Mc+67z4RNgoo/d0a57zv/uxrmhjY3
Q/ZrLCJqy2AjRRUZohEbRG7fm07lUaHln1KppVu5Qv+r4jo36xpQxQcrWUSQbKoKLCA1FsoWlNui
FjcqZYOO2l65EzRf23uHr5l50qjpG2i1BB2OA035IGfFX+Ikh/COzbHeyG3VTpXapKTwjtI9Nxiu
4zUQuWJaYzfzot+B4sDAKXqHdCfDk5zQs+wxMVjU3kYXHIRIJNQxI/DyxmdX60Jmh8oh3yeV6GAn
KvLuQUPw2e5KH7bnTmn5qCKLEVt9dukRZrYPs8dPwA4MiUkm98iJGzAH3BD1qx4JzOc2n7y8Q/4f
tCAWP8bN/791Tftv9eW5/Nb+7/UHf6G4YJ9Lu//z62/bH7/HN3nN0v7lN7g3ZN18239T8923ti/4
pz+ElOvf/E//8H/9h0g8893fI/Ftm/H/psl+xeJf/t3fWDzyIx1KxqqPXF2sfgr3Doy/GHZhq2XC
rfg7CYhf/gt0t/S/UCXBLCTDk6wej4zbv7/svyQ93Kf/VkUKwP8r5g4XwAkQzPnQG6wA9tKKyf+E
uQMHE5XYtPmxFMR2eAkmnDgssjaWEsKb06X6oZMOlhXoZTiIDJwI7XBYg11qesnHBYt6CtJk9Spn
W8VkMjCIQY7yGPoRKB4pIrMG2aEhUNvE/Tzrl3OceXPP2mjMrYUI5zrwMJnlU7LJzak95ZeX/A/c
x5lUywz3X5X+F3tn0uS2lW7bv/Ki5lAcAAfdoCYE+ySZyexTE0QqJaE56Hvg178F2a6y5XvtqIg3
eRE1qIHLlphJgsB39rf32qZH2gaLxj3RDAegPrg9dxhYCC7Q0B81Iw7ulmNhjWzgbBolT/yYoHuD
gfZV08vnLQ5RyHpQMQ4ThmFu+JFkpt6nU4le+qADD6CxjCmLRlpkXudrH5qhvR08h+lW9EEYb7Iu
HCnRBTFjvUXCI/2/ABrb6KZoTZbvq4GZdrirDIcKRiekbu0ye1rkbgs16eH9EAobj4fKKrmKw4y0
ttGgW621SJjWQZfLfxlCIXVex1qV+Q7pEkcLzGFrZVNzqvxAb4iU6IM7my44D1sP6TDP7EA45JXy
8Es2T+Ft70zFpgDAiULsTFW5Qi9yX+dubDXuisO4YeVMOYQ9r1v+adm+QwZMqv7iMDY2vhKhuU/x
ODCHwxQaAkArdXrFTp3usjoTEPUpvHO9bVn3buL3uN1uaqaCSlYlDXDK4IIpHajvXVz42uQF196e
xiceZupVRBTJOWke+SbRF7+NlfVNy8fkHhcNEB5vrNa5p3nbCADroYVB/ZZYSCdwVck1O3V+iL28
PcqAwLOup/cRcfxrP2KFx+saOj7kArpqBpsBID+M3vQIt7SvV5rnNV+sBTaaARBej5ySDyq0oRYN
bXaDZ66hU0cigs5xykQM5bTS9GgXjoX3YVPokHIorJO7njjNe9jz+GUImMTFm1weEG2ia0cQvfyp
SeTiWjfo1ANVJM+mkT4mWmm82aC5Qx+y9UdMPvjZpi1uLYn9bnmk0xTP0RaReoQ4bA7fgqBx32fU
w41XFmKiBids35H4NsnMSlmPBrlS5XDTy8i6TSFWbM1+hkBgE3ne1yyjDwRw7DM9F/rbaHTuRXdy
ajeMoT14iQK5KiePKb9oHhsSdrfmYBV0hmfmDf0444XkCnutsLSukAL0C6Cd5LXKo+SNTzTdjWNn
3nTFnO67PC8vapbpRwl/I/CDOnSOcW3Od5XV9hxsMFiSUNEpKy9dh6miZdmsacjmGj1MZ3eqzas3
C5scOF+JfTpSucspO46POYfP2w5R4tTXZvyCjQLmpjkN4lyqPj63kaoe6TodHui7Lo+kpPKNRpfU
G4pm8lz3dnvTWoWnbRCrk6OYndnY6lmU3eFZDg4lbKFdO4sQX47nbuuqt75bPaQUTEXTy5gAbUWM
POSqzOBLB2eiR9Cxu0ishh8rrDw8GF55M1liQtY0GU5l97XLB2wCKk/3S1n5Krc4Mel6A8g9zp2t
EYmR6i27+gJ2vrsR1RBvUwmRws7lcE0Kjp6Rcqd9UXfmFVvu9NoBL/ogQdhfeUOC2xEnyAsqvA6d
ZcjWfE/adZGNCT0iMtmVMqG2PesK9UTFcIo3R+fbog3V1nNU+ZUOhXY3uxkKwhgIczPao4RwXLd3
1FeRr+/xkbCd6CMQv5bxfTYi1iiCvCSXMocZRIdHkMX9GcLXXYlWeDEKI3ylrS7dzVTBb6GtY0EA
tCrOdqzE2WuVd9HYnl2nse94UDQTCc5iofqkdEpXXUmNBF9U7OEh4A1E3swPhpbBFRvOsSw4VpAG
gMPUmfm5q5BrHJNbDYon2UtMB0Yl9Qd7YsHlC1CJflPZ0wfZt5HzoubWMUNnkuwbqEVf2BayWEvU
kWcJZuOqMD4nHJsPaWPh7pRx/KjXSXMfOq1zwXuFmAWnHWPSpKqnJu885F5nPvcMh+9l0bGm1fXh
Po0LFD2+Pc4pH4bpK/jxZPIxCQE7yq3hqIVZvwsavb/0bW0ejdRY8jZV9TwA8bkbLc4AE20kOzMe
oytPtvLN9rrii9vmzvcJsw/LjpbWTcJkX1EgkgWEi5YG0mgAq3IzjY21htPZIvbxc/qe1jCt6yoZ
VqJJ+/cSMkxKspFcKbUMGh6NSFbPQZe3m8IhG+VaWRz4lp2o77nEf9R4ffXihrltb2QRZl/MMHR3
eTUG504P3JvezaGLjHN9iDwXWVqBqJkMnm8oam16aaXwbhM3a85Kn9pN5zaIw4UGIKfFZ5JIhV6d
Opwm+7x7ceGtgWRC22V9RyHZqjGH7lqGjXuaNW/6Jswu7RYsFI9rwHLhTTq02mMUWfYbEAduPYoF
C3OvllBQNrQlJJg5CDatcAuoybl5idmhclsCM6fcdNJXSWC5O6dFJOOaGGIAMp5GDlenpRgcjfuu
sIdvRWy+k0ApzlqYWw8uYjQ2m9E8Da0nuQ1Oxh3mNeFTW3FePkCSN6a+m9sOqE4eL+VsxhkSUXII
DZgGdZQXd0VomE+O2/ab0dGQcavC2ml2gpCIO3eDF9AgrhU3a60wS6K4ork6VBt9tFGdttQYlfO6
G3rvQbcwBeRVY2wFfqJHGHqR5LxYyjsVVLCAjX70rmlIxRO2zcIfhHlyqYTlY8+kwMmARCrt8ei1
hrvB71V9g9dktLBqkIKDtnL2LJ9Kv6H81c+Dqbkr57S8U1NZ7aFPGPuR9igf7q/mD8PszbtAr50X
ZgHjcTS9BH6NRcWDm2ndW0Y74TZQ5atVpc5GS7yracDN5/cTLXMHbD44NwN6RtIm4H3KWjvYudEQ
cEY2DXhoV/NHXNYZWFBab45GN66tgsfbhIzEpSk50iTKuguYTbd6zMO6A7KdsFmunWRtVjPzB26E
7mKGXcXBt37OBc1rZGJl6Qesi3Y87/JtD4GEUzpHIy3Wnb0Bh/rW0Z2Rp4ITvzGg2Si+CYJ2NQX7
rkwCtsiKwjBHr3V1sNJQ97myCeYVJT6BWo6JRS6qYHztGxKDHLfu7bqOVsNsDgdbTOQJ4TjzPcEo
zMXhOUibc4QCqYydEtxWML8wTI9MqjnNBWJ46EUaPglVpE/SYAaUGAakz6qpui1V693MymZaCa3g
QPEWPpIQEABeh4InGJJxcAC5gVpDnDE5Ji0WC9ZpetwxYnrFnrNf2HwzoRc2HjlI3OxYBSiLOQU9
9Se4tOqjlbK9Ja5unhFJp4tXIcR6KoaIEVbjMcqHeRMy+L/OqNyJtB9DG25TZ8QXvP06v6U8ZsrR
P1OpaaBzpKlfBdgZVk5GumTujcOkOfmqHyJzXXWAtEtzfq8jytMc7eqWCHoemO6lnhwge8V2pmjz
YSdMDbwYaK6RI8JNnOrZJk3CJz4Wc0ulpvQ5qXZrM2W40dIYOHxsnhtLvukNS8mxb+nDUipdK+Wi
BWYpb0w2sAvIkAfwR5UrHHv5ka21yf7N3UZhPh1ZOtxGkzSezZrIqO+OReYLO6+3Olknf9ZG0uyq
M9dzMXEGlxmhI4g5c5yYb5NmjAiPmBIy+H9eYDm3VDkrv7Rz/I5cfu9a42zIzwePsADsfQm574iA
Lc4RPcLrPhykP7s1j7kmig9x6RB9bNrZx9lu+ZPs6Egu2vCSk2PfeiqZbi3BL5e46Sae24xzQlm3
iIG4LH53av0f6A8/m6nhzRqYLtjbwa5wOR/+8WAYBcgHcefGhyRrONZpIy2H9Uy3MkljZT9IkVcf
JbNUziMbaPlfv/hPMQJOpbZhC8NYslEULC+MkN+fSnFysQmZy/igj/RazkkNuz1OI0Btnrr/65f6
KUSwvBRdLPxvOf3+ORwY44SygSTwUqVBnRXfkYlM9hQW3/76df6EyFpeCDO8x6EfKIn9c/ePKqYJ
J4oTHroS3ZgQjzzY3Y+Oybi9q2pFVKL3Irbik8zey4VgxV2FagCNguelBTbip/vrH+nPH/HitINy
4rCbwLD009m/E60btZwycA/n81ks9VhmsrAkZOrhlRdhVH8AMeRz1uk0/fHa/6+VoXP8URdN8b39
oxb0Q+L4t1D0/5N+xLhDuuR/d3Le1t/C4o+8m1/+yK/SEbSTT8Ta8Ery9EC1WVBOv6LZCVh94iIj
EoPFE9rM73k39ifDXmg30Fwc8Yu49JuNU/8EtGkJNv8Ia9jC+08UJYJdf1SUBFtbIpp0+S05CPyc
P0WAVNOBEum8+C6hfSHxUCMFO8s6VPatF5RSXiUZuWZX0FJRbwE0we9BQY1tNCMCDeOl+tG47qhK
rRpUgta8j36pZbdcEMeCrg32p2Wfq304s4+9a9NKfIXMPohhRbdp7Pq1HrlsLTu9oOijiAzl9rvC
k+Emo8LhuHQifDfpryhWXlO5XzRjQTnYRCEdJSuYBuHsj62T3gNOC3bhXMxr00vFrVJx0fu5aXcd
tqg6UytGpxqfsym1J0doX1zu+zjw2NmwtHcudsSZg4VacmJOiQ9Ob3Wfh4QSISlKz15BdIzua1rK
aN8txumu7/C/rEtjyOqNWfIbr9xubl16aNMSM38U3VQBNJr+x7N5sL/E2J6emt6Okgs1Hxqh4tK5
jWsB8W/ijBH7qb00QTvR4lbyRo9lsWhjvBRW2+ZrPonpNZigLGrCg1g7QYR9IFYXeKumwAvuA2/t
D7EdRDfzMI6vnJp0a2djLjmEtKtsKOqkRpYuNYwyDqx30uKxWb6QpagpDK+SxneBpR+1Jhcwcy2y
Aaz0Z2CpUGY6zCiSSwJZg32Kw9p2XqP1NMAx0Prf2m6q7Dt+EwNvh+qzcY1FfVzHomMhJch5Zbhx
vzt1KsFoxmrfxLLb0g8L56SKYU8WkXOtZjmC/yFRuzYA01zpfamPU8F8ILJKvwJioTinz+xjINEn
V3Vt2V+H0tPXI1+aCyMaW4xoKihFX4VgfYFo51p5kgxf01nkcA3Lo6Hk4JYwFvPGZdROMubODOWy
vJOqiorDzB5BAtmA5pOvcDXY9arD/HkaAoXCtULmcl2F4QsPxBpGbcxetsHBuAK27TxkZc6c5Wh4
j5+hZjrVyioa+kjJmGJTEBHjCb41p1lTp8vhK6FM1TvZZRh9zSqHXpEkdZSzSt0p0069ReEcfdpj
cQFXG5/6HM3SDvLhnS5LVhiqGboNtb/ZdBjDKbJYrxo5yhlVvhEuWUDRe1KemGFaDntwNueljZBZ
29nmYRwTi5h0bBtVj82mqIOMb3bgsjQ3y4mVWp0U3eCXQdn3p3mOGdUNXA9+EfFprkvg4LpP32w9
rxIt98I7susxdZlZlzlnsjjDhTO72PHU7OhoNsOJK05qvZ84yGip5sQoDnR+b/sgSCMIJMKu11nq
Dq9G3BS7Fk0xPErR3ONtTear12kfeHByvlOaDWPWtZLJurSF2czbtoqydht2U/E60gInV+7URY/z
7BoFkKiyznFwShgIi+O13XMnmh4kmmVxMCyb3FGcpgBrUoHh6PCDoG4WZf190OST1dnuCQ93Mz/0
ygBRNKiFUlUDH1y7pabfmA2j4BwkxpVuoIV6Kr2E4sSQu5lFrwu25irZzaPpHrF5TWrtDto4nn5E
6x2zyUlY4WLauXSPblI9DOCf81kVW7qAk7UxS/OqIVj2W7OLKDX1EuOmsLFEgLGAkaPF5cJdWpI0
5SzjtYDtxOesZJh8qSsneU/QWp7MOu3fFjWu3tSFlHzX5EjxZjKbm0y3tfZQh6H0U7PDBGpHTVjf
8B9IbAxaSeQPWmA5Af9ziVYdZaNZBqlsevVKsUowsfU0kGOANaDvkjmx6xBHbV/2e8ySZrEJ2mwI
mbgpD6R5Ni874K9ANx7JgpnP/TC/SC5h6C4/CFQeLWd72x2cq43zeh22wYRNKqoOjpfj1ab3hkJv
jXobltdQjPKgkRcK1Lp+ldVOpp+HuijOczvjuHSrwnyt2vEVXa+nm9yOyXzpMXwfv+9F2+DNT0jd
0B+tX+ZJb+7ZnmB5KXh+hVd9JAtKuFnif572mYnOZCU+xG7IGlXDXeMiXfUrf/S/89TfEgQdF6zf
/z5PcVm07/lPuZgff+a3gUrIT4wqNs6EhUdCLvbfAxWzlqC0U8AIBLZKy8K/VnLS+ySE4F8Rqsao
xgnpXys6KT8BFAVGCEMFggTQlv9koJJLoc7vY60QBeCnMvSYjFML52M5wfxuRVfiV6AzfqLXCt+P
zgqbByB7Ecr3rMpW094Bd5ZjQAipc1qQXefQgO6asmL92gQ4stlGZQYNXSKqRvrJK7wHyJj2x0y5
7Ia6L1diziunU4HbKH2JZ1mdimYWXxMzHGm57dTYrQR4p2mNX7Q3dzF3zyc8+w7Zksrr+yPmwHo4
15x4NxGpRbYh+GO4cdk0PXPs8vUuaFc4QE6im8p4BSOOuuskn401O/PPfWeApMLJcpD9iLw+JQDE
iZazFJ8grW09lwPQhk0eVgtpR/E5ZUw8IBo6e63u6kNfZAkr7Tgfr32l7QxGrHVheC8DjaC7SEtb
jHRhsfxUuGVfRqspfUyPOHmBh0WezmplsazqOpYX8J7MD2mCaE5620KXyzl6IRrVDSJAwI5+xSfP
uyzmTr+Ljdg6ymRu7ig7T+ybgVqkD94RCgobLwnqx9ku5wOor0aTN04djmqT1PqqlAMlzLvaLSO6
0kdjONP0RdN2unh4dF3kWwzXy4NxkFHUmvuEaY4EObb2su+cG5Z5gI1mX2903WChF6kuwbnjhTVs
pYOeYT7v0VA9+hzI4unE9H+EWx2nZLhEJelNQ79vGriB2AW18Sv3xjL57uEa/T7RZDyYFyNvrAxa
Fx7Mrd3GSwqZ/KvzWtKyvewQvP5ECbk62tiXeaNqFUT45LrkEOOlMjd1qq66XtQbERM+CCI13DYT
9umFtMtliZlsPZUqhCmo60c3UQXN6WLeUl2tdqqIbvW4HO9bu+N5FGipsY499FU/rdrw6LqtI31p
8m77RuIGe7ZuuFBSc7IO2SjqLZJl814YZfphtJVuIpg0Nt6valnWuYGL5ZFSRJ4wjacfGxPLsTTD
FH0Iq+1e5t3nKJF968+FtO403kELracMP4e1FDc0LGRbgl/arjclwSFe7syqtNzpsz5e86LVF++g
m9xKPXCwXbgDlG5DqJvFs4/1hnXvGsZGfugHYV1iKPa4FttUnghaz8ccyRLDiUDE7qJ3fkbySILZ
uktDDhINImYn7RPoHUiHowo+R3XkbaEZ9jtsYHLDYSk/drpTPhEAv1i5Y12XK/uWpbFYcx4kZFTp
5znBSkMRYOu7ZmmxnsApxztQiu+FPonbwlLha1jGoLMqCW2tBy7dpEyIU2yHuyTp1Q70TkAx99JC
QZfCrrRr7yGUGjtqWJ8nGpefZ0Pc5mZChAtz9knNvYVyU2l7IPrDi1XR0rhK1Dhg1TeNt8ya2Jt1
cBnROlJh3tsQvTY6zLXvGq0umd/ybmzVnLQHujE+wFt4ZNxYk641DgneSvW2fCjNYWSAcPriQ7pT
+IjZNxSYEWrrC+5ViimJZvF3lNqBHSdwOLOElt1R0DgITO2KzhrfBee+gfc3bs08dPejxZQ9UEPs
rjoqfLatFepc6F0b3+he1D2i2eMk4v15bMbqymWN4duYTh4Ve76lAm+v0W3HpGJWztGtNUhrnkzd
r6OdR3de6sb0VBX5VycW3joVEBNXJdFZe8P5RLB90+k9Tu7brHYPJB3HteLqftApdc9Q1SeDdYwZ
+EOLd0okgGFHizSV41QULIA+WbGwMj8XaUiTStQRnhx0maxhX1lvHGe9tUktxn0x4jyXTj28YKJF
zzOT4mykpQLL4owf2piT6TDM9nuIMRMhtpo3RRo1gAAM89UgvHQ767F321OUfDflVrHVU/KTBka8
GxooxAPa+axY0NWq2hZFE26aohLvHAHrtRy74h4UNn05E6Iw8MpOW0kE5u+488Q+73PnzTTaWVvP
XFqbmVuOH4FotleUZA7rnAHr4A5Yih23t89GNYc+30gT1Vw3nuCOlDfuYEXHwqvLu0rHoNdC4OGd
9aLpWzzV7YNFoiXxKyPg1C2mlHy8jl85GMFV6jSBH+Z6mjqf4Py3LCNxhPzorUzLKM5EgBKfrtv6
BH9zuKaOtmER550rYmPxiqhUFFBjqalzJPRqjU8x+Zw2PT2fTVqeOa4QpRv0hl2jHXn30huxrbps
P4sxiNluBZICSKpbb+u+VC8Ze7CX0M3rO+ybwXOpgvimG8EBRrg/nvRaTptIFMluws61Caa2YnGb
g1KU/LYsuVgrtIc8nXtyUk73BJQYM0Esm3ytsWTzbUvSySoicVfhKDE3jhsUx5yzCgUpaphuOBVl
Cv46XZhuIU3ex3Z4lSM+TKsnJEYoik0IOaf5qMe6/WHw92t+EeTxHUyuAXeb8F6m2SKZJGce9G4u
oD40YRNvWRTbJwfn1GPg9DV111BbOGAHbiw51oynrirqLXYMoIT/FRt/WN7+bjgGXPOXw/Hl25f6
vVF/nI5/+UO/Tsee9Yk6Bwxpi1COtrf8fb/JjcvgbDEz2y4h8CX+/ZtfTZoMxyaFj7aDV839A11b
/CfDMIHEn4Zh1sXMmhIBjaHc4gf74zDMKVMTdKL2JzObvT46z6o2DK4iU1bJlJ8g3coJDwegs4jV
J3Z6+n7U8Gi5tX1o5jZ4SDM3mFc5P/651hP7lqWlfRrhLRDzBZrCSTRlnDLMmlQagsWrbLIMNLNT
Jeve8Lqt17rxxRhd0o3kZkmI9LOxKSFp+UTyzEsbZhYtYaLait7N7pQS+V07DN29R4URRm4gJs9E
kIfjQozsViO4vlesIdCORaQBKQHncJ9GbnZfGy12ITUfqHIfSQ04qCP0gC+lyfX9gi/dspC1b+eA
xnhtMNujKpkKRxjKPg1p40ZGkp1QjIXpsSPR9+44WUX9TxHgYpjBWVQ8xe/gqEUvVaY6lJUiKddm
2BtbL3KY/qwqurdGO9n0QvZ8V0U+nupw4ClfNU9srkBEMICSG5RMlL4wy/kxbzuFQjN+UeNIHsTs
FTcBrY9PVZwniqCN1XyGss0IUPEZPqUqyS7u0EdbrY3mY52xOUF1MwEn966z0DOIDSW0U94ZXpPs
tTS8xZWebIngK5LmnKkb9O69GArGiSjvThRa0y2gZzYN54B8H7gzdlsF3cVvWb/fusRp9hNLnrNT
ieHEDXHas6gx33EWoqF5evtAhUI6chvU1CY3StKHdWS4h4xb0hnyhthWuqOtESDyK51V5kM7yfYN
akL6fWKh92j0Xby2OQDdZo2lXczYAYQq2lfeq3LyWbJ43HLd7NWs437LLjZf59yr8eQpkE/C0gi7
1+PXamiaWwwB0G/GdvQ9s6cjK+HCWdQnz/sgKN3VflXrBFO12QTgPJIv2kimi2ve9IJeSq9qYQhm
8yoTBZZ8iGPEiOR7b/TuzQ/8JRJ+eZG1HvpdLvBk09jro9yMWwrTadXqGX5PKEJyn4alu+cRmn5L
8jC5Q7nOuabC+VbhUygpEAq0DzIlbrYKwkanQ32wCa+yZutu8th2uH9F0THmXLmCw5ysF4DIK3EO
8VKPyXiyPSU2kWy6c+yUFn7EsuqvtRbOb4jehoUGWY43lBaHjxQqW7cu3kmOTeGu7538Loawe4+B
ydgoy2yxJvQzvmtdzx3E0grOSgTkem03rcMigVzjQD+szUM6SQK8XHp9sCYezitS0+yhmQA45WJM
yJ65jZTMNdjh8rASm77LrE2sleLsRDrbaZxxpc+45W5YZFe3WZiFt3UkjbVd2ebnNE5ZtfPdHl+a
IKJ0aHS76cG2lRn61PdodLrp0Z75Mjt2c495MdPoQ/J7rbL6bY5SB/cZjCJRQurrLhpeiGdHzzHe
OHYRlL6sqoA7SYxbZM6Kr6kuxDKjZuPZnJ2Mp7yyYgXCu9eew76hGSXRLS9AMghHEHd6QnFUQrHa
dsQ6zhLFLcerkQr9pW6CvPNDzgNltU3twhLjWSe1N+IxNcOMNeWWySTMPD8cJlYl+Kto+3kICB1M
9lPoZGV735pR15OEh2qZH+fSAJ/gty7h83Ite0MND3Uyhu6HDDkv5oAuUjFYTxmMmMrZuCXpsK3W
dW3ydULm0FE0+YhqHlwoP/8Vyf5uDliYaH8lkl2+Df9n/56VWAxq9tq/OOEPX//5jx80Nf6P96b9
5z80R3yy8Yr/gMcs9vRfBwHH+GRZGCFYIi8cU6C3/54EGB9Qr3Bvg/lliljErd/2jsYnejb4z2HS
cC2x6/9PJoOf1/isr/mLOAG6XPIuI8kf5wJCKiNWZ3rgqQ/AYjxzgjPs8Pl3b8r/4IngV/y9EkfB
MC8C0w7TPL/nn9iibdFrJdRJ6u0VaC32LzN48t7xcYO2m79+KcaqP72U5G1xLMnC1vqZKFrQXVol
oTnvxz5G4E5jhASDCBR9wKRHQR3uM6KVu3G25Iooe/E3L/+nt5NgDnhYgga6zodm/WTAABXgWoNt
4ArLh0cjc15crGt//Rv+tCemupaXsBBdoZnyXLV/2hPXtTZ1ItCrvaUPj6NlPiPKFH4HVhl5rfr2
1y9muj9xYZeXkxgvmGAlsRZPLCrr71RUyuvwxSEF7LFf03WvMp3GOk/LjsriZpwC4JA/mu3oGWlp
uTOJHoJv9CDbZyyca5a0Aec8I+QhF9HLeSCZTGteX/QewbAfbXrcb2nWMyq9XA7fHn1zHliHJDO/
GMmw437cYr5cGkPqVhjP5Nwgr01el62hBZiXqOo4nkfKXFNXNj5PCIgndJchXJlMWRzuKi97tHGk
vcSTw+o6q3ENh4V1a7W5ureXtXMv2YxTAxBi3871FbfrYL2U8gHftKotC+b5wAPlTAyPfVCWfZcs
uYtYfqA3XtuaneIg3exYivFziOOYl0jsDWc0WDaQlNaqnKudqpau1FxfW00yfEOEYruSRLclhewI
dYh+0si6DROZfRnJ3GNUtYOjwbLG0fTgmEQxZVCNs0AfeuB4mkdNaxOvJz1JSEtU4WNrQ7/pXMZI
rw/pBghxdA1Bv8eeH2wSaPJnxEm/i1jkBnCfbyxiFWqDItBOy6Mp9IgOJKBTYjowHisHxHDE8cQ3
XMB1JY0jsKVKHV0zH+vafpK5o71Eqq9v8wI40MYFDPlY6AoBtY67PckMJui6hlMIDzq6CbKqPuNb
sDZGXqktrjIukaxK7qqimPxkyPVNP3XGto9T8SwLRW9Zj3CrRbHRvXWxAHzji0k/UXIRPsYRukoe
U/MXYN1cR5W9pB3iBXBPieQpCKL6Ws5oAFndnAKwTG94HttHSap+T4BNP+ujae+znGuBGFi87dp8
3OWZ+RahfKG+x6SfE8cc97KJvaugzXBHy1h9Zn1b3C31pkbTTWeCDmXle2UqtvVAoUxhW8yZGOyZ
7kcr3tWe7G7wZ9KoPkds5Z0Gy4YJljRoHR1ndIi1WkVQSqyXsWfZmgUVUb7hWk7qCUmZc0OfUPFI
ZP8G85uih6FHZerC4Uo7iL4zzFjsddCw+4lI9MEqm+pmKsRC7wut4jabeG5wRbODoU0kFFczqKb3
BovpUjHCaS9MtJs2tA0a3zwShWz3coKssPQwyzrrSlS8WqhMEn4eGQT4CDCQgzICT6u5wZur2pzF
eOjtwiAYbkZUQJ8iETQMgjs7RumA736mrQzJblIGHScDS6EH2elwxDCvn0bPdLdBYnvPBVwBzg1x
vrad6N0MzBdPnwH8tK24Z0Mu9kZvfoZqddLcNHxQy4aZEx3f7Xg+trLAVxyoejVLEDTB0CsiuRR4
2HNy1pqKpHUVpGtgkV/p1AABBUp+WrlB2B8CLUQv1cSVYPq2HYtwn2iY7wuvHHYzzaYYmO3qqdY1
J1s1zaCtS0qLtx2m5fempxujiEp704xbmpjNR8sqPT/XFVmb3Ombu04rzXfu2+4hzgYTkEHEUWOZ
t6OIROrKkuV8CVLVkoHATfJU6G564oY0Y9rzcC0a1ltdDMCfPFdbDYhMPsUJZFRFdELb2kU8AABO
od+vwhAOaZrp+aXJ3EPaG08qI3lhBDrRY0yq1O0iCLKAWQdKc89hoL4Fo0eLdNVsnM6Q752Q5Zek
M/vbkuO6R/8y3z1uCfZtPHHMAMydHqjYrvemy3hcDPPwygrYRAuvFxo+xuYJuwxfIMLt47IM0dIX
fagEOtUsr9BJbeymrN70NEsattGpuXPSqN3YuID5ntjj1yybtFtV5Shd+GIUHuVni4bd/eThYeew
li4wu1H6YK+tTeqCme5mR55SMx4qrBJzz5HR1fb49GzCt86Ho5toCz29wesqsBKSua7zmDajvoNl
mW1qQ05wBibgsUqSY7a9aE/milLNsbP2VmtZt3as072oheFn19pQsjnt0ini7e+j8UnnzrUmX+hy
8p7SR5OWGd8SOhENrVUGzgZ7YwOHfWlJ0X0e8Rhd7NqeX5rcXFNRBXEtKev60ullC5wj4cqDGLeX
9KesgN1pax6e33PVGGwKarUln9QcaJsdDn1ics/4pRSW1C5bwrWx1MX+eNT/d8j/2yEfzPLvpqIl
+/rrJL+Ea//5j2XIP36rm2/THyf8H3/stwnf/EQrnu14UrJu/kXU+23Kt5jyuaE5xr8chL8xInUW
3rhIXRr4qH00F1Hu1yHfdD95/HVC8G8IvApg9j/FU/8qrsrJ4Kex2BMY8y06/VyXJhS+Dn+c4oyK
pjCTkPXe6zWiHXltonSAUlY3tLBZNyzlqv4htBqyoCKOukMf5+01KrU+2ynC1QpcQA8fCI8/QYSg
owS0I9NplGOIbY2u3ys5lf/L3pltt41k2/ZX7g8gByLQv7KnKMlqKFnyC4bSstG3gTa+/kzQWVW2
M0/65H2uh/KoclkiCQIRsfdeay4Tt39JGk7ApEBPxkgAukDADtwoPE+ydF547N9ywYGDX3UeeD4f
u6zS96oNzlUdAUIoKQhWlZuHaolFUivGefqmHxdHKg8y41cwIauu7syXgCgmkrKMRD6U5ZhdqZZ5
ZlX4uMQWSffoMmcASzXdkoWKp94Q4iHU0gAjaARflWyhs9SVhRZ9KHDrREPKyBXbE6bXAT6THlWw
1rZCkbhcqEv6QevFv/P9J1B/FT89ioFOCCYFf895PajWadEfNeiFNSRKflA5o5IwnhaQgVsERfBx
SHUTrcvcN1+8AvuuWw/B2pEB9kETNmY3KmbyBgnHWuDRXUGnmncq6QKixyqrpysTIJpET8jca1QU
OG3qcwaWdWS89r2FGacjuGvl9pa4bn0VmPvREfnznOXwMYaoFy9tsRyiswnnELtGPH3w69z4quMx
WE9WE15l8RS/GyyWtzUtjP3l/anlXXFnt9DP+PMoITeUq5IB6tpz8UnuzLYv930/DwCOas35kYus
fNxNpAIuht4ukWxbAq3Squ+ybLyGMRzHJH6JTB9oMrXWLnYIWNtbejlupCEYntKosittV8ehtdkl
gR2yVCaRfKmxGLs7Uc8+fKLMpp7sCu4FAFlXaa/UhlcHDaWUk2xRSjmPDHrz55bkvUdyIeeXpo7V
tY/I9JzqAQeDJVt3w0HUuipJATuFjR1/TGfYhMi4nRMla7L2sX6B0Oo4vQ8gwNappt3oaKnKPf5I
jKVOwzQcyqS7wO70qy7Hee/bKtijbLO+ji7UPbyeRVGRHUWszSaSaZLtAgRi8W2WV/yuoM/rnVtB
ZZKM6HFlEEjVVh5Z21GmHsIimG8SPWZriy1kozszvClcojAJxBz9vegCsWvz2HomfTXbFz506FXG
rCzHp5IU/j4TpnrsKvvF6XL4OY75sfSnmZTvoVlGyoClyNcigauIQt2tFfr7XeJrgI4e0hcMCjg+
Qt+GztH7LWCWvLpTriYv3rBwec8zNtHEFld9VKJ4gd21LSAvLNiubivJDb7CTpflzPNHaz3mjvWE
sIIisZhxDhEYyYM6Me63FbKGUpKyAuwbsW4J/34rqw7Ukkl2/LoflQGsylI3Pb37D8wQshN9SeeO
ATNAtnjABWh6ysTAQp5fuvKNgCMCrOp+M06m9zJoI7kJhYg+z22a0sRBRzjz1et68bZDpx/hLVXo
MOcU8Pja5GfeNDGZnIVS4qIPUVU0jw1kinQ7DiLe9vEAStTISv2EQdGkN9nEtwNFAqEwdUWEoDPv
ZeOZ+PSxOwIgjWoTHzk5kvVqyDvoLORuQRArsQKNLBRi1eejuRlcdz6NYV3dxwTBfQz4/BZYaz2l
x7qoFtGqjtqrHmcb9a+7ALFHTuKrYqF0r8ymhz0QexUU+bJu120u47MLIYDZRs7YHeF1ehq6NJvX
Q5vEJKRJ2HKWWyMbDYZpH5tRuR7ngmBrs9m2ySyPFbXAbTX3xhlbEIt/L2O9C8YpBdVU5l2N/Ua3
d/DmwRgy8+d8yGIuXRq/G+X24etlZWmyLvwaTEV2lVc8oSiEBTC55SmqXRatSbNGtWPhb1zDZFkd
FtoRY2F2mBbB5X6KWJ5pAEubx2GUD8JZXgghwbTBFMc7yYdM3yBhZ2gbj0ZQ3tIFnm8hTFXzpqo0
QZM9Ho3WF87pv8el/9NsFDw0w8X/XTi4HJduvkzJ5+qn49LyY//WDi6TToDKVrBEntjfMbWFiUIQ
8xKnnj+Cif/dFLW8ZTxqeYFPM+un8xJHKYYPTFSJmAOBTULTPzgvOT+18UyC6JcmomM7zGDJQf7p
uNQgLNNjVKbXLRSY+c1G2ERCiu119tbE8M1iZ43U/fMhIcSuMI6VjAG7IWr3ygPhEuYea+D83uKx
ZEhk1s56YragT1Ppel8oarwNMx631c2hpApHa7XK8nG2H7Gyab8nzaoHa6nec1gMPNkz0GSHQ4hO
Y3BqidF590PVD1C8a7cD8ftolZCg1+4IF+MVunyezEtFDIukBTRVFleJb4zryfeoyAekQ8RNRtrJ
pvjaHRiR+I+x9PTCTTaJSqMoAm1E9w4HbgHyAIOb2PpM+nLzY9J4ne73ZT34iJGVWYAcJxs9A35k
Np9jQ7U7r6nnO0fmJRGw85jyo+5s6E91iW305r8P4P/lASQsZZGy/u8P4MdEfSZfM/nBDPXHT/3x
/Pnub1TEEoIOoWJ/TB7+KFcC+RstXzxPJJ0R20gw+L+fP5vnz7ckEUz8P5eC5d/1ik2aOFWPidhh
6RaTGvhPnr8fW9y0z3lQHO41yDSE4LAB/1StCBN1phO7p0ssBVBZfMeC5CU9z8RDXPKVv7tAfzGg
+KsX9GjJYDJ0OEJewrG+a3KDoZG1rAvnhGbJ34iBDCvOZdOdS8vhEM1K3P796/04EPn2AfFrc70I
AqAk+2l9QYCgFSUh8tYqdt+I8xK3zFfFWTnDryLWfjQrXl6Kr5rvGkk1BejPwo+WWKWoz4R9yoqR
zA+PcF6n02ThYoEhLE/r4NmjxLttQ8KE//Gn5E5yuBt89OHeJZDtu6tKJtMwm0Zrn5RM7WPpgypD
u1QCOhmiXyZoiWUQ8Z8Uo8sH5Q4UAc4RfKnEW/1400xVrgpvSuzTWLm8kFe35rAaU5P4rKHz8KAg
r6zjK6DehJDATxzUiy0Q6G1AuxprU5bBLxL1/vwlk+LruzT6BLWQvRgOv5+cMLAOkaGGNto6m48b
MODdm5CJ9v+fr0U/gpHT4pP1ft6wIszteYxR9mSpEQqNbZBk0BUT6EBZv/79t/rj3rhcZ0T9qOkZ
XWL8/TP5igRXhOy9fUIqRCnNsLyXhfGLiLK/unYsQuC6eDFWqZ++THNI2WxlbuPjVyBi/YEwOt8F
Oyd0RhH795/oEpDx461Dfof0hMRpzCX8OZ7WRzpAjSCsE6kOpJlbsCdPIjTYl1Gw169+kzlv9pKB
eom7m2PQf9EQWsdfvI0/38Gcelj2FveDiWnipxsmlAK/ArSG0+R3ElJPKVDchoF/XYMtWZsMsopt
llG0wq/uMRpfHl56/6Aifx0I+FffAM2sAOM13zSdqB/v3iwPXE7tNQ/vEE4Ppomv6hJ7ZtcITP/+
g//VS5EAxkDJY2uRDufE7x+UqfZbyKSNdUoIen/4lgtuIHjXlN98E3//Yj8u9Szf6CpJOqRRxyHy
z7dvHXdVjobLuAoJ4dK0kNr6tbRyWGujTzZ8ObM6/P0rih+X4OUlPeb7TGtd7ubF5fvj56vBPgGx
8oIrMySw1AYSQ7u7VdMDTV9S4RWZVFvL0dNd7KfyjOsQewlwypMHaW3cYIFsDnoJHrysIJ0Ndo4b
gIh6TAIG/qpE0MD++7fMeZv39J9HwmHjZ2RPj8RlymwtUIEf3zNNgpTYCzgVKjeLnakp/arENWCt
qawHgFbMtP7yPG3hbKKAm92t4JfdM5wgTx73I+8xLELW3tAhXx3eVvc+yYxbN4g1z5VsDFZek9QI
+PBiJBBKRCitoDNOD5csUOIWu/fWJAHPQ+nNGBkA6HGUjNq6watOgE6sK1iXEHBn4A53QN0IrcT1
HTyT92Wk6zgIG3EQCm0+SLe4HTdFEEPoZEAZ0qPsEwvfYdnwGj5X2lXxjLIPjQSyPHgiqx4U162K
K+6Q2hb161xx9N0boQ5cmCwW8ccIFtvN3AqitzJmGu9ZSiimVyN/uypEMj8gB5nuDNlBe4LiFyWf
BDONBZZpuRkdPDzSz5dY6rLL3LeMrp5eX1K5ZoCS70rUyw49DM5bMWfyc61DeRgar3loXeAVzuhh
FEgiG8ElSCJ84Nhpi7XABnNGa01K4OT71zZTH+yuNlc0TMJnMB3JPrQs9d6qjtZGJcW505LrEwCQ
xdoS6Wc5EIFTk/yBW9gdg2eBHvE9KyJJvK3VISxXoSD4dG6D5x4aJR3YEOx/EJb8liIlJkx3XDe7
N2H2X3a5kp16Vys3Jy+uAAV+wOJIt2bGVjNioIS1Sf9i1t5VvBxMjBTCTIRT5pr2BAlx1exO29w0
oCM5ZU7wKOEWMcJ+03nz3IyrOacproyh8mdyA8zQAzO8rJcGzl+1V/bAvAinEG+GoKaM8U/HvuiS
UpRzB0cz3Srti9vYKEg5m52CLLKw8okz82ab/QY2PeM6UVrcy0xjg2dlAjrf+11PFi5UtrtaLA1V
DF0kzmHJ5NDRlaRBrWsr0jfay1HZi4TAuqFqnDc37uHjqHIJV3dm0T4iUpEHTZkJkzly7U/lMJRn
XyfzTd4MjK/UxIybiZrw4fiY7VWCc+IYYXXit+TTBABeV/3GVKF7znOdQLRyfWIG8UzOtyiOzFNh
x2S5QCsGFu4oa1H82+u51PM5Y1ywxfBd11cZKDJORm6Gg9pU5X1XKx/abtgXXyqn7b76NoGBjiRy
PnCX1Pt5AiK57jNWprUGXL4dzRpiFKSg+sXNs1btlDO7nyftiY2CMoglziQmB2CJhzKir5MNajo4
zVVf3QbpIMZ1qVX8KbIww3hVV99goIdMT9T9Cdu0R7SLGt3XOsFljL5Qf0LZUV1ZNqgpBA62/kSI
QrZ1HKnpXQ58jX7oDMTcjOUnjAdetymHJbrPbL39chjFjTLBiNq0bWFsiecZllIbexIpHMvCFK5K
hugPfQYlrMya+piSWrqbnX7+gmRk3MZGYtzPpIu+JNmAdXcmxgfHebZKGzjeXta+0SHg+UgwYoS4
xNf90IpdAUgsZRR7a0+xyfJvhTS6M8C/gqF3buHpyBpkYPitXM+PquWbr8drTrr+QVpidjY0RnFc
hSEvBGEk3ABoj49+ReuOuIJ4gesYW1lU/VOduU29Hkq1I7YIUFVsfibhq3oJ8oQObiCmnTKA9sPV
NyHudMU9uxLdAJIZ6QXYuK3qyOQbhaGSXiMEKe/Mrq/vctVxUxvog7q3S8K2IVMeCQVoZ9qSSiPT
E5xrDtjSmvB0s9p271FL42Fd6UCcZ3If5crshuC59fop2vr95JjbLInxFnZYXPAReyH5i5JImNeQ
ce8dsH5j7c15e+hUwH7s9w4iIpqADGrbJTMRsXSt9lnSsQSxGnMwqytW24k6SqmUI5w7aHEemGqT
4BQ7zcGebJLbHZHVr3XNbbuu8D0Bw8/L/FVCT+M8F4MMElaFa3GFKr0uPjlp7Ndf53qwV2rwunCb
ex3ZG6k9fin8kVmOkxnOR8gCwRFBjzrk1Qw3o5wiOFJEcsa/Ayp9S2siwBw7iaJ1OLN8vJBDReIk
3KPKOvgy9m+HNmVqhVBtG48jwjHiAwC9l/WTDqLCg+dnj08DaqIHkJhfEZi9TNIWH5APdAfWVY+I
dfjDW7uv5TtGkugdQ+D4GPUe3xxPfLptiNIOVnbkEWuFVwYJRJMr7wqvtyLrY8xrWjku6/g6A6Qw
HnD/mye7qeabRsEQcfWUAHpA6g77lW8BQzb9BCJVyILZksqT36AIsj/oROcfUAT3D0XiN+u2Euqz
PRj5tuq09XsVuOhYcHUCtQ5l4q5oKyXrDDPeauw1kKmiyVkugEChQvHtKyJqfg9rY3wcmYHci743
byAfO5+y0WVSwLgjYK9caBANqvfbADjkTYsS7soALOuu4iFSbzIZ61PhWaSzJ4iqGTsY4comZKHd
C5a8ncFhFg+9kJIoVzv0pl2cl9bZzer6AEReP9Y4k67NuSfLAdMQGSvR+ApBuem3plJ2ckVc4+Ss
/cokYsUP6cTfupM51nuMbupAlWtcp3TVnswEtzDhGD3uYYlQNDv03Dy3Izv8VzE0jDTqetgTxDOf
ylQV+aYOYsafkFetI6GrKMfsEBZ/zcnCYHDqDfeRHJBglOD6au7LvH3Npo5u+Zw7mAMly6hlzgQ+
ELRVjhtZkBLCYLWSN52Hu2g1B43wt37uQZRn9f1SSVr1O0h/GvRBZB9tu2Fskbv6oHoveVCFaJ56
MatnGIH2dphwqOl0YozInGdlg1cRqwl/5MaqCbVawwOO380CZd2qMxmXhbgY8o3NpbobNHUK6nCv
XTtIAj8wLZ+ezHY0bpyks9BOWYDFfJT8HoaH0tkhd3NGlEcJFPmee/crqIrpY+1b3WdScrz30YUu
sDNrtweQmAuwZ2mVY6sIyfP9Co2gSTZtrOf+4HX1VyeeojuFpJBdjkyAKwvrYwWypmw28ZQ08wpX
H/BlducPRj6mWwnRs9sEEWf2SC9eS9AhHqSM3u78U4bQkCAXb3iJ3RmtkBfp9IOJ09eE3VrmH8og
B01YApe5jw2Lby2ngQQdEVPe1D9PMbhI+1sF+1/txi+1G+iqvytt/qzdqNou/n/rt7bKk59gBjSu
+dF/6Tec32yIGh7ZGYsi+9L1/KMh6oMloAmJ20+ggQXrRnn3L764+xuTcLqh9EEsyY9RRf1LwGH9
xj8VwBGsAAnQQkf4BwMJOis/1WMBKlwL9xaAN5/cdg/Ywvc1MkdMILQ5dh7wg5xNRbBgmbWKOK3K
ocV70g01y5RvejFJPiQN0HCjpUXehWYCtpYj9PwdE+gi21ZOFTXYgipBshWrRGFye1MWFInjX+MR
s4+Q88Qtci372Nmkb8AloO4iscdCFyI4E49pzhE6y9FP4Cbzr1myqld4PmyupiY+l1g7yhd0nf61
iNGZgZQWt4ggSPeqysh1V30l/XovcwqzrcqM5UcuycwZfp072XSUF8zxSAhgcMrhUlEVRgQTPReJ
mB7apRQMsyWE26onj7xkWWYVEPO28gln8Cif6EeSIlcsZWXMuilKYi/WBPBMdzORTD1bHQqx1bdC
R8qIQHlhifMyE3rzlvTmqjL6gzXE1tOlK1BahI4ry+TE4BacMaKlfMXcH4XPqZvzq5sm4UTkBSlp
ltjJ1HvaJlyB0gYAmuBkfUWAyTlnslr+mT0J0uMrx3mbI34OnSZv4FsRPJIRdWdaEf7XcIEV9ZaL
B8kNJj61nfGafmaRUZ6afPYgd/Sw6kfTunVtoorK2ItvrcxIr+FbilU7JkRehclwtCpyukvy2xZ6
6HI9v53WiqmgruK+5m++faG5GVFpRwnR77JfvmFUuVQ5plbqhZUO7sMIgg/YE6nbBZUHXNZ7o5B8
hIoUDCKcBw7IcJEpR9ZO3nNdxtTgPX7LvGbAZTjY270o2Tdd4ZCntsgVPyIDILg5LzTKBdA0X+ma
8r2ZQxk8z/n40GnlcPSnVFxfyli0F+m9N9C2grTLMbEWhTyXNjfgQqHnri240TM4OuEORj2/idKZ
P70YQxzvhJsIBxqtFloHHNm7gbtBtopvNrA6z9qi/LCOvi3g5uSex3EW4i43nyEpPMOBMd+K5O/u
HV4hgenmUu3GY7OUjByblgxywG54xqJlpJfWEDJLAlM46rAlFNuBWxS/9NJprkCZ2YcL8shIMY1j
67Z434nuqWqLjI6bxUCeemTEfLIKRU8++mTzkiWUYgaEy30yB1P92i9fEZuidSwc4Mi+UPwy/MzJ
PkBbtAXZmeznYQi2lzYGmS/h8+UWTgyP67s0V6vlYV/s1q+hO0wPo9VzSUYZzXcTFJ+7Qkv6CTGu
wp107eCZFgsXriPjmkI397lhesCup7x0+evLI4GeJdmTm8XFm6Ho7puli8OcsHll828PjbPAk9ze
FWd7rMJnIzUHUOYqZUdOm6igRUM5QLLMTL8BATrxTs5IJz8p+DgmievfqEUNVkieB9PkBjMsHnKV
EfxHypjNwV92fOpL3cG0ihZSXAXXY5UH17ohOGwFz41boiJMk8Q3KNjEQ3kqtu7SZqAaN1ooH8gN
dLAx89o7kHNuEkGQBtdOAzDOAlfQQqJd+tDWhLVzpxXQqy1pkzxh6Cx4Q9pixSok1IaHmWruJkr7
YJvMDAAsThMPWcDyTLEOSqoQOb+HKBL7mGVoG9KOJcPE33HunLrnChIO+1BzoxPXC8n9NaMHcQhQ
iO/DLpZnjzDxW5fpcbjz47TVj4rZmn2YepZIS/OBJ/B7dDmDpYeWS0OcQ1Pr+iqqPIo3qyxyJiJh
SgfZ1Mm+t5c21DDyLeVJaL+pRLI0i3DmnkIFxA0+u5qvtVW582aOlJXrqaTn1NCNPhP8OoLhaIlv
XOGf5H4RipZRVXKXjsgDl5ZSI24TaPvnokAuzVm/jsLtECx3Dmll1QwVpuXXS5Sv71EGgyKJHe5u
QOJnJoXUj8Bz05MNEeEAtAOv8OWetyUG/jWlKu9SUt2TGOW5DEESKk7m+x6f01yWvWEUTQfrhtE3
HGvF+nZphCGeWu7HYGn81s1S21iaL/LbkpYqOjib2hvZjJzQb/tj6quGtjxGjxb7siHubJenK88z
hNX9yOW1crpByxNXDL79PJbdRPhB47Tx7rKyVlUsXCDUfvMsEiKrnscomrOPDgZk2IP2skpd5o92
3DlvAUCabdo3xb2Ie7mGPP5exhP1Zr0gwvzGXDZnQjaAZQMDvh01uDtqTxR+VCbM21ZTDDAv/iDn
eD6w/FjFuBFRzxFiBUwTrZBLiX4qStVByPZC2H8trof8XqcYV80E6SAtBiN6Zitt0Sog3LoiZ5yn
Jusn1lqeSWJ6WGJgFY4SY7HVtO57VRbPVSTaqyCcesYGM4wCziFWe2a0TNjCshERCJuf8ebWJ/YY
/w7zqRny7A4WEQNoqxohulvHXPqsjNDWAxSLp8RrHDqHZfipAUhmULVfK+bR67bz1qZHUsMIKFAU
BiVsNx9V3NfEygYI1e/M2K7WQdB9LPE113gldgbd77ua9mlaeA+hxDv/cXbz2mCfqMgGOcLhKVhV
IRZZtotQzDKBI9Vmjd7SlZoEYIX0bOU2drquK1kchGgo/RO7JuXWzqxdVkrwZx4ZLGZPYhSdhIyY
S2+cadiW+Ch2s0tCHnxAI4H7qHo8vMRxBqfOsvUHH4rmlUoDtrlkwns+GTUqr1E82WIAvA6z4kOi
M//KkyE0P2FzKIl9aEA+482VWU8g1AD/nQgZxHtrRaa1gh43veV2lT7NXvFkpyQlXucg1e6bjExj
o1Ojv7Z1G+z8wRq+qrkNfo992rRqpGWpucm2DRGvGx/VHPGtKd7xoRlAqHSkgfo1FBnbxqfeWyq9
8dsY1iPXy31PO7/c6Z5GN0Rkcxsl41OwRLdnxJLsvXD8xGBp7SSp9zvM7PkhduZyIwh43FmZh7a4
c9p7BUuX40/pbp2pmD6DqDrTI8bNh9f7xk9ifU98i0Mzpy92dMHsfRgMGJaCxN5GjTo3oAvJEXM5
GW1V0VQ3nYZtlxGkuCYpvt5GnBuu+qIVV1K1Blk6lTpmQW9fVxYQey5aiTayQaXm0rGbmsbfGgSP
rlJWLAyFRXYHPAGzlX9l6Ex8YBOYOfIRIRb5hnvMW2u+j8g1tEqrPEjUMXtcvZxZ6ShtpijoDwQI
we9OZuNV4VrcYA4IYA05931CzjW9U/MhQ+R7Xc1590Qb27ieixr0iuF7/NxIk/73bsjx74RS4oaZ
ygaedle9pAv4egULcsBwUMjsLNvQP5Bma9yabmOu2Xk9mP/2rvfIp0yrrADp43lvRla8TMai1xRk
wSITpJlrEONe0a4fIezort+bYRavHT/D+wQobaPx1RESH3fHoXTe6ziyt5KEnLWozXxZrcRxhsn0
Frakem3CSgFEreSW03XLSTAxy82cmdm2w2J4DhtWFFb+tthi7kJemUjvYCpYZEQzzxsl8Zo4I2m8
1+Ap8FDVcBODnoUEPEGz6RzzYRizXIB8z9uZs3iDbvIhCQX29AUyCiVMqyF6Z/GPdnEqmw2t/xpS
1kBCaBSHKJ4q4BB7mKwGC1ObuAef0JRnAz+Gz7YXShcNrIg3LZbtNo2bLQKu6iZRPBcJRKzn2vXz
oyZzaEXqbLbTtCAQipr8z9QD4YJd/GmMJp9b3Coq27hK6M0NpOX1RRJ8RiUSXTP4uEXLqj4uUeIn
OEY3blYSNM1p4LHoJULnUbnQUKldoFY0zUzIsFv35rHIECBfGY3Qkghy2MEgLqy+GXGxG5ycSM+0
wg9hF4ycZjFerjCoVf5r2NCuP4RpOta0M8aZuBdGca3Go5OSaeWsGb8TTBcpwxxR+QOWs15hS7Hr
yj4lBMVPfCvaIdh1ilNjtvw99izGkeZlkDLQ9mq3Ts8ZlDYfp61yVBxE3MFmb0qaOp+vTKGnh1mO
zKy8IF8XzcixHAdZ/Yvx/k/jVyLaUPrbvqSAZsb/Jx0GpsccdleSHsIqYEJQVAj/P2pb9whAZq0b
onsDTiNVif3JXRE5/isJzp8R5uglLLG8EQbBvIuf1Axj7IpKyy46OFPgk1RZqijZ9IEI5a1A8xdx
2AzrfWIlcXTq6lCXKPtUeBuVnTj7Zs9ErYII9s8vC9ojyzE5ttO7936aupdWH6J5tqNDaXD0oylF
a35KKs6ki31qjXCfk09fgB/dGEP0KxXJRfzz/YCZi8HLu8t/OIKLnxUr5exlhI9orsmcUwqlopnx
UQGWLlK+kHh2yCy3Rt86Z15oHMVy/C5tAnzIcWpq+QE5BsrflZl1UXzolgq6bhBsfl2GEg9jCTXj
F5frL75EZBDCoWUsTRNuzE/XawiihG6enxOQPuAWCeaJziMjZSyfrRM4zRrBJLy4STVvREHPD01H
r6KJqeWTamofirL5la5g6fn8eAnBOVo2MHMbSgDb8I89IcNpDN1zbsAKghNm5eLlf+hoST0rWjwk
IBtL+TtKqd5t4VnHeqC+gJVL6JGgXZyslaqXGowr+12L7S/UdNZfvbGF5IlSkcY6Etof35g3MBMs
2iY+1C6AMY6a1F5k1Yxj600L8FqVj0Acffs4VxxbNxMi2uyKufvw0NsDkXXxwOwZ+hbVMq5zzsWi
o4w1EoqoyNYc3y8aiTwkYQSwCb2eMjB5sg2SLjmaeu1EjimNwfdvRSkuTIRQl0l3OdfTQxwmJPJh
x5nulnPcW1ISIcAUEiH7iiRyKqC/vxzyT+Yr4XpospCl2bQQA7TJP/TuYmE0yTx4xt6KHdZAWWlE
A36/lDrlxLu/TLxn6Q/GYyk1zZOpiHlbM6F/j1PgcrUiiwS5taMNuty5zX/lYvHn5OUMsS/tIQSM
y5fdpnRp+rGPkkMV0QFbJ149RNtoaBb1ZMGrOxJ8ELSdeeAOoSB4v3zY/3aif9GJthwq0O/uiz91
op+TNkrK5O17UfwfP/SfHrRcJPFoNaEu0Oblef5XD9r6DSTYkoKBJMdf3IT/6UEHdK4dLILmIjCS
yOf/04OmPc3iQM+XwfG39vQ/6UGLnx9r8A+ehe7eXYRBSBt/2sZAB2LXniNx8NFbUG6hu1i3Swmm
y7m5TkbS0qjO5tKnTuuXks3sCfGzlzKOnY3IoQrLSbAUeY4XinDb4li8i5cisF3KwaqkuFuxlR6b
sDuHVAfoNPvmDUZW1jLN4QI/cUwvn2UHh6suRvo/gzTad4fk+lMVR8E1HV7nrTSb5RmSynmzapd/
dOlbdW5lfCGzlVhFfPjTl8CDvZJeJYClbxnubNsC9n40pScS0Grcb0NYnkfLBnxKnCQp6n0nYd3K
uDLOhu1QkekY3mPt043zsOuuVJE09sZjBn4r2inftFnsf8qz3Jcn1Q0+l6UiJ0pMY3Sd1qJHQuEC
ojLlQuvG7+fs4GTZq1Blv9uFLk/RSFHv+NreOHR+XwheK7eOCO2NgWSbTqg1PkuZzg/0kUV0BAWV
7CGc1HchIYHeflq6+JDHjddOEZbTE778FJtoBbKE9QPwAVqiZ4SDQFs9d2LL16QtkcqbhhzjwmDp
luPg7uQHQtQ5IBlIbs9t4+MYr+2lIZ2P9asd2T4kKnozWMKXq4wlM1rRaRPnIOPUwdSAox3ElaUl
QdYzbTdMBAO+HvqNyrLwJzBPp7tpMTQrtr4zsFX4ccCiZbQN7aOL3FBgZMI7Vva0GEXK9xoCTyW5
kzxFeOhxsfRlrDmj6Fv6TLgpme07XUFjHlh4sr5g5LvBZnvM44i95jJG8CE/9+uyo9EteoNiqfWX
c3Gw9A6lcPgYRBUne0Kke72fuoBe2tKNqSeK5j0jQAQvMNH0KSgXNc5c0M9HTM3Gkdr6MgfgomC5
5bDSZZoOGwB63gDtJ45YXpRydYshpI+PVzyE40juMZKg1ko3Pis6TEcPN+BtOCxdPdWFZnTs6oGl
O6rS7p2zOaz6jIE7g4Tl18YVjpJ9nqZsJxVzeUU05qXNj9CQX89omX/ka0j+K/ZArmA7TvyNbjgS
XPqOE7IUWpaqI1uPgGOI6/RIMPhK8458J/f68oqu17PvDgatXIow7s0GNlUCvIMZyNhmSKeQ1tI8
tUdJWl/bCvvNnJeWmg0q4+SaqCwbzF/DqnGm9hAlqWPfX7qimbWkPnD2bdU2xL1qQRldZieRlfOx
5gIhGwd496PdpbPxfHmXRG720YF5dFKSkoIAduXULneZgVzmNmhzps/kfNKGVC7d7DVhoY1+7Mas
ynZVvnylHPCWa5IiCLrt0POc2GSr04wrWBFRupwOvrXwCZROYCsvHfeL9tIbc1YoL2UztQtTzLul
kPmq9dLWT11juaeEzKtV5Bh+scejMyLiFMUEJK7OJrbrrBs3XSAZrmt3fDAvilMcp68Wd5oFSrAX
PvdpWWD3t4P6uvP7dVU7/syubTQkkaD226IkiJgXtIqoFKbOpzSYg2e+TEJU8E6JhzSeO9rai3CZ
6Z0K4f7J6ZEoSmufjn6x06TcrM0hWvoMnfqcGhi+iLxgMJIH+fTou0ax9mTLjS1b0P5wQCrjGl2r
wacrMgzYuiK7Y92NbW5tnKBEYsMlGyAu4eo4jBgBPjdIr4DAlpW/pLePnNIkmfPHCBb00SqX6ztP
cYgcyGMFgV6K71MW44dROPYWaKKM6ElZIyJR0rVXRWvXRzJQLaJv/JgwOXaM+1LU5QNAcyJkca+m
sNqzWD4FlfZQdrTzF9srrKuw7ZJDOvjiPSeZ8tmP+snbmSyB17Qpky9WM43n3nFm7JXlRbSKlDUx
njhNt8+MLRXokKwj5DxgCDELOkmM9PNrMZUjfzeVO9MvCE3HYvmFTmbGEzDm6gT/ie7VADLaZjga
EnSWperUIbGkZ0J9eux1m92Qx+lsHA7EVINTJ911Emrv2oma29Ztiy8ABWJ7S7zZkK+muWGM1E3+
bT4aDzQ4oZdz5rbQK/iDEtc5pWFzr20rPg5msO8Gd9pp+ngb1WT1zdiXiM2MPrwrByCxECdWJVS+
/kGU5YsVjaB1ukBp2IBIYq/rjCyIp7C2qucxztvHfLTvYmdoKNOX02WksNFjQ/gf9s6tO05lvaK/
iD2KO7x2Q1/Vuluy9MKQbIs7FFBAwa/PbJ+d5Jx9kpzkPW8etmS1uqGoWt9acz01PoJxRT1ycNdB
FjvkfiVjtDrxPbVmfXaS4HmFPvM6Arrbt9pt+707N+0VkyIrDDa9DuPSng9awoLCuXSP+7Rltioz
KB8gdhnWrNUWv5QSD7hw21jTQUCbHRh4Qp89RN9Jod+Rmm1ElCXZ/J5IXVdbDEhusRP1ONaHpaug
hximUzFc7lrK6YR6ZlIcvOVWKDAF5ra4GwsKN2phyOPk2VzVTOHeNY/3M8z28VZZ4n3ug+4ih5UC
O3PW0iP7mqgbQtBwTWkaf1pCKPW4Is2H0vTU1+To/n0ht9R9aCWq6SEHjsipHrQz5s2yYcTQf7eW
NXnAOpNEpVcyM8IqfDMpnLUVYMUJYek0DrZxB0HJi5ln4HVEt/1VKVi/HeV5ceIu1gNa3/SGOTyJ
Uso87kMZund6xE66KZuMekgQtPIWmnh5YWRkNVE2CuPBKVsKUWnHi3m7fMhXdF7KoW7e81FRn9jK
b8koBa7Q/kXxSIxRyly81+LNtNJjMRfDjbG4znc6iGlQ9sulx/IzmHFi0LM0pE56ZwfteBn9/hCM
s+IshrEyExQZIKxL7dzMmaIGnRjA1srIFEaptEbFw89ghs2lAnvipp6D9mBV5mtSOP4mrbx601ut
Q1O1KiMPZFhkyonrwJIUGWkv5EkRJmuUQl/ZNB6P8B3JNoGgbkn7AZ+4xwAJgnXbY5vc9M3U8vtk
eC5XjbqppgsQDHcjx/SbJzrz3MAdR6LTiILN4kKtresnQOUQwgu2HzsL11mkrYrKFim0AdPAc7vN
MmTZfa1hGeBNXp4FsIzzgl/g1ej5xslL2wsr0ISUP4CDUzWdn0qAoG9GzKnKcuQZKm+HAl5XEw7d
Ycac2xDSzuaWbL1TjMDSPRH1iXeE8oAiXKbLN+bviUeWfnzJxux7gdt+y7QrYEMBUerbJOm09Aet
eOIO9smTtT5okVobJ8yCHdNXPgfVFzNTuVoAwA380UPcLzOXO6FW9DBq2GcOR242XlmYbjq/rvZy
doIXGfKLT1L3T0nR+jtY7kkR8zicDwG+jwj4W4kjDj6Q7k0O2yC2QbpllBcv6XBuncWx8Zss41n3
TrtDntD2ju/RF7/WWbD1WW9+Ft3ofQVVNsegr931kIVg7CW09kPYhxgxr1sr4qlwc6alI+xq1lCS
rtg1mltlXDQT5IYxGC+zNK0oQT+/8g6mqEQFO3P8nW457Uv7G8+38qKays4mWih1fV8o4ChD6baP
Y61T77EKGQZuXSPsN2Tn2RY0s/NZUlSY7kKvgZg6CfaCpWeWmFD0E2ATfQPBZ4iXsQz1thiC5GFg
G3ABEy9ZeRc7Bf4xNS0jJYhIdBa9pdStPa7JTBdHnWa7DqbwjTu47i0t4h0yU9cZdGu448luK3XW
yGT7oMn1vemq4Tmb61M3d2cZrDrqQguuKlaGHx6r5X5SXX8yJzfZ92nwwkZt3vl0hU1+7zwUE52j
cMnLstwVuk6rE8nj2dzl4bou19EC0PYW12CxqS1vfRxtIT91WVfgvEKLTgrJ4HhjNyNviJ2sN+XY
G/WPZdID9Q/Lemdka5/HVCK442eg5LMcl4ZerT4fncTa1waL2zHR2Lwz23+k6/pVMjTNztgd/eTG
bsSHmkN50bBcYc9yLRzRZBM+52KBNVcWmf8Y/p7Z5Uzvwn7e9GWT3OOH7nZXFAIRlK0r59f1OvZz
7D5I/fvUkt09T7+j+tuI8O9O8v+F4PXXsAwZGTewQzxClNY4zl8hmmk4j4uVsq/1e9opZ5uTqJsz
nV8XzEhhb/4rQdn9JzcYMSIzIBZHrAjf2l8TU5C2F6TBoT00NQVmKmPrPrAwf5SGQq612vFHVhEF
vU2nYLSPfc8AYNkOppHVl8ItGFD/1tK8rnH6u7q/mrNwHctTb5nhy5QxtZ/Klg2gszYJ27baG34K
5oghB3qy4U8WduE+7jTjg3zEdKJk4X607jSrJ1jG7rBbFdXfw5aabNt5J4ouy2uPGge2NMFdk9vp
dYLMivGMQRdzAP7In1wyzVcA2vfJDlN29Kob+HqkY/kmsEBoIDLaN65rp2C4YxrJw2oM4wBJhYPD
Htt8f1j4wv7Owdbh7XuG7DoezABb0PUs/Nt68D9/6Fe14x/UV4BKnoNSAyaA8dhfVb2SHXLiDaJF
wL6elxlkcjYYTUxU/yIX+E/zi+sPwg7ENoAxgvXXqyvoOcF1FT+oyrBdIE6QulBNx+fDvXc1aVwN
gSkaMxXfPGX/Rdzzn3863sZr6BN/BxDXfwqvGQtOi0W3iMzSevbmOYjofiXf1GDPb7XBT/WUzyHA
mGuObf/ze2z+YyQSeD5BFSw62CjNq/D+1999LlwjoaSvPQy/E1E4fDBm0XGJ5asYODY75tXPMzlL
C8/wqoCKvhk5+DWpX12zRubz7xf0//Lmv5I3mdCwCP330IHnX/pj+Adt82/f8ae2Gdp/uCLEC0sn
sf8nuuNPbdMU3h8E83gkXUFZV+HzP7VNKltDj39CoXO4DkKU9T/9tZb7B7MrhFJ8ucHfCAb/B23T
dH6Dgf/udsZN6nKHhb6FlMqyZCGj/r3BVijDmOCRiuNMSenrhL+bmNXyI2Czd7ui4BP+ocxG1235
6M/BhdnJ9N2biu5JtsYT88/hNBJd2lxZyhfAlMZxSWwvIehUZPdj0xkfo3/Fz3qtII0SJFc3uUsJ
5T2dQ4v94Dh5adUbg5Sbf6RWK7CINayi/TZgiIBMaZRra+9pNpfyEsgev8tWYJbEmV6Gk6oRDhPY
Y0ydU+HzeJ77vvtWBTh2mLfwrDZPWag9ahKsJFSxnwlq4rPKIauoHKKTOEY4FxF+1EzZMarVNHud
/HaxXhz2bBTKrq3ZUorqIMnuA8unNgpqogvns1wgCjwni2FQB2j65YShnuHTB2th8DP1ChQhDJvM
xKC+t2JiaszAXID9YTWJFC+BFI9urTNr0DrgTAihxRbIRNuZ8r9hN4GeneK1LZYgCtriQCGZfNNN
DlmWtIYiLKODeIZe/LZMAJ0ZSGeHfMif0uoaQNVjceHk0x4Ka34pWhSEQs3FxqzD9FDOKUJmx5br
Ndc5xsGF1lk/0JfW6c/ZPI6vQ1o327Ea7m32pcyvp5CFJvV+KJ2w4xjnN6waA4azcFtq8uC6fNGT
oi0tNAsKt5zPNG/72Kb+/AmmC/SY1aj3bBOwl3Ei52w270lK+bvAavbAOB6nNX/xKusLI7s6r0NL
Wq5Mb9es87f1qN7aejjVU9scSpXLiBlapNeaJOAivbOUAghYt95nKZyx0ipfJPpWxKasjRG/fnl5
4wENW5P7OWwJ31wPLuHImWywOYGyVd0Ter3mOKY7q6APdpomvU0xem+decpuoBj0l0DNVuzzJDz6
bZ7DASZLMhpptl0Z2X7mozXt68nNPwPiDSdNG1AsO9d4TCUySFOkvxJSb3euQZOQyvUTpanVHjsV
0cNc5oemvHrCc+Ft7PY6+AXHtlM8do+sC9mux0qwS2uX82lmhPvJI7XiYlph29NGCWvHpiTPC5FW
55+tzZ5vIgxLORraSijqAQwUZ9WhgXTMAI0Tk5gq2K8E9gJLP5tuIzZUr70YVXJcwbdt6kFCflbG
q0uv28YudXHKOpcMj3TyrytD8R0E6bYwFTar2UH4nzqiMOMiypt6Ksez5ynu+BHZIMLNZXy1yoOK
OJEjoBaNRHpKueu00tdXawMMqRgfFwx//lNFsPuecneCQh058VsZWN7ObilMSMiWDEBUx+J54Gy2
VTgn0j2nUuvUjGmPDm4rfhoXFhPxZFY/xqpDTUym6b6gnG87TVwWaTjRRQupefnZSRbVOPWd5UQ3
F94kNS8zyhGXFtTlxRN62/FqwdwOs/oysTfnmxQw2c7T45h9Uf+A+ZpWrA4JWnRyvrUCd3gbXK4W
ikgYEOzMqRbnrAnr/ZxT9pt1Bmd7i5bWrqTodSm8PZZcVgkN844kLkg9mzJleK48wGVnx0wxqn2X
EvqzAgJvWAle6D/St1VhAAkuX601F5umogOv7tRJGZ1zWwirjBgWFKDh8p/JEPRRbsn8pe4LFFlP
uvnF6heEg3pc7Wg1a/O+q5NvXUXN9Qb/TXgjnao9maHakb6YbtDD5CN8BOOpdAb/w6rdPEpLoOVr
HYK+JILJbTxri4pFLK67pVrExaMZOlaJGihRVYoS3qylByNvdi3lO/v+etcS5/IwrTEDS1DCYzZ2
GUzc6b7KnByH8ICAShsumGiq97pgxXrEAfphtpc3RiDuwZnq8EdvDQ++drJ5M5T2dLADhT2/qDc5
snZs2dPRITRMIR7NmBtlSvWVUD8bF4YyzgtYHVx+oxk1YsUU3hLlgi+V7hLq94jlLbc5Uba71RDT
ZclDAJjLCK2qwVSoB2owJt8aY+VY6T4LHWJRsxVsw6IYN9Ls94uR9qzB6hKOrFqrvSyb0Aq5EvGm
HWnHpe5uhmGZmvPjGJAFLJnDxK1DIzi/W3jotN4b1NMdezGhxJpa0N4Rcq6UCFHCsNV2NA1QzEOJ
V65uKyIQgTU8h3kBAD4ol6gjHUvouDvS94LUY8gv3fnf6txv45Uj2k4MkkjCgtphOHR5ZY3OdiiF
+mSU3c8rR65SCVFBJKbNOmPoqCy/ubPYmdxYmg+2EUuxm3MljiuoAzJ+Pr0tkjMqfSToDSnGOQY9
FKqAAthYSOV39Iy+rytpsSbwzTgr1bvVluXZlagjJiPUDWO8ZQMi1LzhGiCxnjvZdi7Lr9Grwp0m
7syelqDNGrKWUbqcXBKCgRbqMks/JvLPWmK2E5Xq7xO6TrfZZA63SDQTD3cLfoBI31rT/UIK+uWo
vNpVLhuGSTuvpAIzsNtD91IF/Fdr75AEQs796rGAI1sUZeSwiCIgzdk9QaDiIbRaeRSBtd5MpeJt
8Mv3sU5ExGLasmrn0ytlCjwwlP2EVkUaP8V4V+iAdd3Lq0+rUda2tpb2ODq1tysmn3gyILXdUKz1
DeCTOVbL6mwne/kcsmRhsOv5YA14DTR1lrGAxvgyCGu9L+2h5Q1dOalsMn/UUAuhlFz1mbJ447Yv
1UXNTfDc+S7fixz3RALySLvOvDWqMH0Yh2q+d6mRfPML78n1PEKGlEU6VjscbKbW5OSzQsagcHmj
szxzvoVuCT7NxXq30CvvrIlnXWH8qLIoO0tEMSwFMpjAzW3aWj/dRjdutPA5byxptneTuaqDWLV/
8LUbvM/lIN5GgZdVJupuFTYJ3QmE5aGQyr5za2+KTQKWDSurRLtzs4WpwRTSRe+6XBGifuyC0H3E
rjeILaumwRYDdtXWdYbqa+gBd11vVHS+FaTL1bnZe3spTZdbpvEUp7ghpLNotHjM0wVNypXaPl+J
GxBOxXd6ocQn7T2nasYRGRXM1Lddav+svMF9arzc+mFCjq9B49JAhENz1EeJn6ijP4dGwkhTS/lD
0BYZyXYcnta5744Ji+eFXFC1x8V7v3rNOQGl4UcTjwN9MI2VOs/Jm/yfCW0428wa/LsQ2uqrK3vn
Yo65G/X1XMUu/bxYreXKYB0lklix3T72ttPn24W34pZIEp52kbRQBBRibrTC9agjFKnlrgnyao8f
vdgl/qx2JhygWPK69qr3jD16SFLvO7/KX1nNylceceP3Cm7oU1komlJxbx6FO7PjTTrv1DUTc6Dc
GJISU+hcvaRWXiznyVjqTbhmeN5JCrVI3nMZSzqNToyBp21Wa7PcaKeRkTelAEPF0D+oVatXEazj
T8Sq6RAMbXhumeLeOWnWf2ttF1MB4f1CRXbnRWV9naCzu1pfULNrlDnXHebnFB5WiO7rUIKxhtLG
MFXJZYrzgvvhDKYNrSBgfPptptHY+54SWlmjKaA9cROMTsiN2Gu1wWjFZNopHe/Ws8vsbfJnHM64
qp8qrB0kswnRXapG529J7TY77MQ0L9Srro7jyACmwAQRbBwCagE2iLl+FYlOHia+9KBrlte+Dp9m
QsFswrrxs6mRPw14HztPrem5b9iSVs3UKcrHpvrZBFi2sYVv7RlWljdFi6pHyUEWEVqsttJYK8a9
PTWsM61SD5Xj9n3krkm9KSYi9FNhQrltVqCyVtEcRp/cL3OAZHkMAIy0dzolAkawVwsqoBG9PYvN
AmOna/oDZy0zA/AoVphfKYyl383OE17q34RGKu4Dvx8ORZhByof9CM+x0o6x9QYwh9Uqmz6yh4x1
VAdUebWDZx9URr8DEaZ6jNY5JUrUEy83P9FakkgYRZLe5NO1pYxLuCd0HKRz5FnjJLclWQFWH8pF
mAsZ8jAOofmoO5IO5LGN/eoy7J3UYiD+9vLYc01Go7LzG4Q4iDvW6H/VVM7/EA2QZGTXXhV7Xcvn
oQyT/M1kSratCbBhh2d+GgwMsOn7CoJfREbSg0dxF/Z2RSlrl/c00xaziHOP1TkOifztGEKvH4KN
9XlepAuVobptfSn2Lf8t9Q5EbCTwGup2nfpxZqR7WmU+b63akZGbmTbZ1ay247Qc6KcXCbuDrqQj
lTA6jPGivSWADoGL1/gNoAdCl9aguBuzQE42r5vzbmEY2Kt4rPyjQdds1HJwf1RpHu76UlgfLqiH
A3EVuaEZottURPKwHLbZPk+ZifYtGVc7rz0+3iGbPxH4pz1giTtbZ+FPQf574pVsrk0zW2lZy6Ej
kcBWakxv0JgDTfDWmWOum27HGMSNO0j/8KrXSuAyz7N4TmqSYBWP8UQb5fvAnp5WCb8+GGCHIgNz
MXMsr6HkFnQHaFBjgWRg2zuaTOtNE/rGnbLX5VHO2WHUJXAFTLJbN23snh04OAW6CLJfUnrOBRwI
0XpMr9iaYZ2XAwv/iGy/oBJu1x5HDa6MiYfOvDxkSoS3k04p0qZd7lB6OVUszFk3SMjtKRfmfUBz
NkQPmDOMY9OPwW8KWmMXmvyk2QW3pdH1uBLx6psV4fWiCu23NKRxyJ6vMm2dZ/WbIYe3zqY0LpuC
veNqkzJhOf0UmgdrkIv1uBBg5v0bR6JYrqLDkVTudilt1Ac/9aAbVx8437J44tPaWI3+TpjynKW0
wazdz6aovg8FqKPKGkUbjyAGiGTYduxdE5dVHtKSk+P4KgdN+0hKHQR7ZlDD12KKKgbjuh2RA2lo
94qGq2XwwUCUPtFPJ7+p0rS8R38QIhpp2g3iSYrpdlDst8km0rZ+lX90MMgj05gqXmfMDmkRiF9z
wxGtgE9+gJkKbNroGMsqH0VA9j9UptXJpyJ7Iyh4PqFrRVm2yGMgPaAkllGeLEZBD2uZpSTDuk/O
a2zFliZfImct6iMt4VMJ8mFYXieVDCRi54uNr/mFrdQzcy4IUESfzplnz3Qkrmwc2+yYzGuHf3Y0
esg343todpfZXGjsKKyXxmDJKybH2WGhCrazawevmTbrDamtJkKJnbbWmLjPa8tA1F1L69ws2U1u
NAj8/nBgyPnUe+YXJB/2fwu7oyaVzVPWWm+gbKqjPTXOz4H0RSTS3o6kUb9o7PBfUtYGcAlIUAoo
48zmW0vI8KtXP8KJpyGmTQtYdjJI3icxlsQTpomKk3CZH4mBrfgvGCYiO6l53rkDrA82/7XJGUe7
+3K0w8eGBQsOj+22Hr9e4jOV6jNlcCfUsSfK/mQxqJvXPNUcdZKIj0r6l7Jw5d3kOWyszZLksbWW
OYQT7LdkfoLKHOJRZPIWMEBw5A/8U9kEX1ZqPToFrdsl4aNTKEV5WlwerqY9/0hKOYLrMEps9N7o
bHwfn61b6dOa+4S/hPnS80jaVlRUbkbrqgXKJt1SZEUNtelBInLxVCS56e4tl51wOlgsCZ7up/lQ
tGAspu49DdaT5oLfEmgQxzI1Lkk4sNep3C4uKM2W5qR2GKb92C+96iRd5D+45Uxi2Opv2Zla28Tp
qCOdHoiqA+rIueKTxY1xszx0zrVYs178Y+OU8DMNle05uyAgrrVxN1vOa07W7KwSQ0Yz/hm4FjZ1
NEKmBHZq86AxoUe9Ow5HoMYC5QLrjChJBc1J+DBC9z4UyZxvs3Z5L6HIbS212DuYSYSUlP0Jtsl8
mgP3OuJf5n5bjO38yx386Ym1D/qYB16ZxOd46jvEKGEWGA8MMtpwldBZaEWIe1GWB6ayF0dVwzZZ
bWeMrHwORyx3JiCdAqjs6VrDZYZrSwhtkR8D5Dz6vR372iW2rj9KKyOSRt2F8dF6dX/ni4oGdh54
/QZfrCYRVPQ3Ps0xWxjVBeTQPD31hpPGdr0sn+yzuLVSWX/khRnctbgiL6vKxh9G7n2lvbmQ0gSS
fOqQoR9W7TCvz/0ZR0gu5m+Bdsd7C1PEettr2E6b2a/bPSpoTYJI2ZIen5DqgzYnuwX6TEfSypt+
m6+L3OUSYp0jEuOW7nrwVy4Pg0OeTM9L6n5jh+A+deCrdmm3qAP3wRJ7/QB5Pgxe5oBuKZk11lNK
1HlLBvqOBHnyUWsC1YTVgi05CCuPKg7pxnm22NTc0NIxbDo1ZQDGQqV3qde3WxhG3kg2lPWHcRCk
fKqhZgpNyQgTVUMLY09Te+am4XDD9m7G1YbztO1feul0564LAjABIKfEBpdKuF/IqW8X1oU3j9J1
+3bOXfE88R94UdCN6+tYkk7kNk4QjRCoSbPCbbzYoxxvfK4e0sByVvu5a/KbVUpJ9BmBB7/DmLJj
WjCmmJaqAfNjkNvWrDJvRKj8d6fPSOeUY6EOMiCN3hm6Y9MaYKTEA4w1g/GcfnJHSdFdI0pJWGgR
AZ8EbLjKGgiXZWmRRk2aUBuKprY8LuWkaW7gRotXMo7EnAcO3triEc0WtJYRrQFfM9vrmBHBA2UB
BT5MT5wAeeGKkSP1dwy+HzT1wq9FwQ48wglec153zfuhu8bkYMUFj4Pb8zxlLWvvwUtNrwa+jZOd
degyVz7HpV8M9VpKQ9wK+n33lqQohsPrYD8M4KEfQ+hPmGzMJDwbRmZ9kg0pT2oIpifLshFDtTVy
l7YNy+qmdoMGmy6Glyiny46bcnZ4Yo0zquDG7sO0uEXhVzxPwt6uzoVp4aJR3uzySdc4l1SfFgAk
hvs1HZxi4y3Siq/wrmdBudsJx09JRUq2fIGlMoGBDWzUVg9cIUpHf5uFYZ5u0iLvXkfPxTxi8NRN
W4eHGZdUxGEnx4U2FHtpzAHRtb4+94n2j9MsVAyFsLyR2N7AfvmmuGlhnn9TBc46VlmiTpkxO1v8
QwnLiTIeJPy3WyLtwaHOzDQeplXu50E4W9zoXCVGP6tLUNX2d9RbcsPtLJ8F+7ubvu3mHbYg+4Cc
6aPSGDAAsmLaYikl98ksg77Yob6MKvxhTCaBRbNODl7mqsigIeISTtwadmFlcd7ZR8LiwX2jPX2c
F3c6eYa/UjdCuxV2WJOLJvS36M099o1wvBi9X94QufqE3kmlHoDTXREsHynkxa3l4NZNggJZ0Uxq
tLJ+eaEJCHdoT6OFtFY7NrjQ99kkB6Kf1D/AhkCzactmsRDaaOy0NcA6U/gb5bbsZcXav+UVfVoc
FdbD0msPuqU5jPfYl9GBTZAXETjEqXrUbkZXYcbDpnAx4aJnTeWN4XfR7DK+QWPFdrW02c4sg3WD
h/PWLVf+XuCdsfVyNxP+2VhT+RIOFpZFFmvXaOLcsSnzpaA7bBhBhykDjxnUdUSuX0T0E7Y7yyyd
w+zUeyctHteA1C0Yf3cbjgIrNVXMdpZjfC26V4wjxT3W50NiWAc2Vmo/rc70bmjGIJZtfLeFCQBi
ZYd85TDsJd7DjQ7Gjzosuod57B7A2VTLRrR4XTYYU8nEV8YdhpFlmwgrO3aYKm+cyfjpGP54aa2m
3/Ss/5ucMRhCT+h8V7N7LS/BBSilPvZV9/r/Y+v/DSsfGesatvzvx9a3v/lQ0UfZqn9I5vz5jf8+
vSZIAxLqmmQDFOrggvmPZI4pnD8Ejh/av/6DpP/v9V4UWQiBZOZ4V6az8Bls/zm9dtw/QhJ7VFkI
C0sH+cf/Cx3K8a/D6f8cXsPk9nECMUT3SScQMvs93P470jqNdKxu2rduVuE66brPh3RRlJhaYlPz
YDSUg9Zf+2DJpsAtug1bnvUNpcrDh5mbh2GSxk3Ca4+Xzqh36YJd1m/X4dKmzSHr7fEEFRVvP0zo
czs2zLubgRbYJqVFMg/IYqPpPk2QAL4VQYjOM7aUV5qyazmvFx0KybDg/1zNnQUoqYGllzCK7SjY
5nXj5XUZx+bZxbNr9uqhQ5NLlzxwkLnTEAp93seNw/J/6AaqmQKPklO/8k4mCzWkoDDK0u7n6Jpz
NBYsXTU4xW1vN8sl6dM0npWI9CR+ZAbRI7iHRkzg2dzBhln3LtxHzjDW3mjc5jVcpiIe5LVjqXLi
Svd3fQnxjgyl+ugtBaHIrwGEoEse7Nrj59fYAXinHJL6QcjpaMwf/TRro5pDC2gjZLm5XRIQVnI6
kCK665dQoBuXKzMrjhokoxHrhLTjTLg21CXIfXM9os8Dsj/BSLhkJols0uKPTDGRxxN/H9bjQTrX
UtHKuk6a2x5/WyoiKxGkIwvKCLPlxVUTHT/q+kvgF4jUyJC3Wka4ia7h0aE4ftYDAxOtqazFzXqW
fb5sbUzlv83zOWVULrTpiHySscld3yex4R3CJDwpGka3QclgIV8T42WxwX4AenDj4aqx2KPWO8sB
NWlM9XK0yBY/+1RiHQczmCLfnzucoqa7szCqRYMWTtRcJXw3SPd6ZIDaka+LmZ2/Sw10vDOCI2mw
emu5dkd+CZOfDWogszkthR0wgYpO+LLontHZXgK93jDixyzMgW5nNMAmTJCme5+t+OoW70WnnH2B
jQge1dwwSygQzqzwF9PZIlJTCHWS7gWKz5hPcUkEffoQtgV9nykQVZAE1bZMoQwHJohmcNhoY+6x
swrzfXFWk9LK4YzW87kujo5xsOI/RRI+uA0oIwbKNLBWXAt5U3SRn0rnkK0OuM5s0Qxu+LvS7L8b
A1p16eskwiw7bRlwdHtaQZ24hc++8yin2yV28a23vPTSiKze2cFnGg7ipFNSBYRfjGfwwwTYRg+f
LVJ2/sgoOtg27CWZUmfLXuZh/ywaTbmFH5aPK1XP0TCsFwrYql3AIDumls3breAIIhc0Y9xoM90o
yxD3GNjXWKzgk8mggrR1SyvKlE1bKgOUowlcYpunwXSAo3ZU7kTczRBjZIDK+jbSaLkbwetHFtCR
rYdRktDDb296S/zYLcS3JXEE9GDT486FQYmr3+cJvSLBrWXzVBr2cp/AODiZaphd7DNexgjPKLPY
k8FMx1nt4dFoSpq2hnLHS+UAQCs0X2jcNC26f1t6tyBZPnPaOLdFA6OB6Fu6GYPJiPyV91Oug3vw
swpV3xZfmAWBO8+te5ITE8rCU08iyI8k1b1TsPqQmnr30UuKDtcJyT1cNdhS58qLHLjWBFbCH6Oq
HnNAczC77qsRQLAocnO/5Mav2lmXXdWvZ2Qb0pJ8PTLbfvYYGTZO0+z81Oi3tBbLaEkI52a+HZCG
zD+6Np03HP2fBnp40QFwuVUlZT5zMKqtKYIltvIWpnHTcUlxGrsslr8ba+sj7FBbg5yWrKke3KfE
YpxT+ySIFmMjuNX22ul+TczDOOIvya3bF7TVVqZ5SgJ03qKyprhcOOwhA3LkD+vgkBGZaCvr3fOG
myJ1iuPg6pdgHpAwck8BRLa94yjy5jkMp9cqgbqO7fmXB9iWol46rOe0ImA3nn1H9VeDwwmPTL1x
27aCtoZ9X/QMwpMmSmyc4EnXffX9KCjIdkBTrGO7d5wxj0g/QLWdVXUDH67fE7gINq6dhIeKGvHB
zt7DJQifF2c5YGE2z6tH0+pkLR2WkoodeMBPbNb1GYRTfj+U5NtMHkLaSPBSzQzxSjOtdj25oI2o
3acroy7yVJefl244pn2HCWiyjU2qRmRHhNWIrIX3VpX6+5yMyDSL/7PFDbPJ0orpMtaKvW403Pwm
4cRbT+GdYtovUvxfneNcX/h8kd2QbJVL4V6dPIKcb+MZtKnuYHqzoFVHMzNex1AW1wPpT5vTPmvh
OB6Dae1Za/I+pmHTQy/W+SmDS7VPgdvGcwBtDxdKjdRs2ft8td0dDGB7hxWdGacjzX3qF6/zlLvH
1QieFzWcmawzvzDSL9uQ/gk2cnIFwODykJ65czGvxCa5t9O/sXdmy3Eb2Rb9IigSM/B4a+Y8iKQo
vSAoUcI8ZGLOr78rKTlsybfl6/d2RLuD5lAoFJA4ec7ea0cdLdcW9x2K7DY54Fhqd3O0arf5zKSw
GR69nIYlKVP0ZmJmQLOVe90WNnTUzk8Dbc6QW1EyN6nwJmCCjG4SX8UzaL0M/hg3GRnyAMtP0mGu
TJ5dR2bkoztCdaBbseJ8i1Lmsy2rd4mVtZvhYjdO4t+DBcc787EFTaybc+VOPa3Yoo2i0EeDRMpL
VsGWVVqp/0ZRkYKYD+s/qEIdkCoEQ/zn8vomy39Ogfv+Cz/K6ki885HuCKrj0DeIVNS/fxjevXek
5pD8QocYD7FnAuL+KKvtd7jgHcghNuM50tmwqf8oq0nNBZEq4Cwgk+bXCXL5N6LQX1X2OMBtsnl9
QqORpiI1/VkSinExnbLGxxGziC7ZOYUu7zPCuM99z5u27ur3H2K30AcqKCRP85KcM9XpPvJgXh6J
OcIiHRT9B4Gv7APdHmf/lzP5f5gOfhVmc3RgiKE4ohPF+f8r/SMmkDOx59g7o6XfvviZt9xKkTWX
jW/svTKv1iMNaqqJrmVG9fvXBlrz044D3S0xx+jRza4ojII3KO5f5bJJxjISjDkD/jR5riVzPKgT
eXxVxuQ27oLODy+RdTcBpykILxYvzh9toKifFt3o13DsceN0enXP0yrt92UwVsehUmO5V7IN7kKq
qHW7jKHPQKMeLu3O7Q7Uyh6dL2SLOFZYp72pr28yZxXdNrRZJkQkATnPJAfuxlGjyYjGzJIbdwio
qYvA+ZiaeIQW8xc9tghjbu/pPdzg8Z40TiRaq9dAkhxQEtEpjeNsGycZRLvcMzYuZWE8CR9GduyI
XLTkGRwGXXOtPAbnFq0j42tHi7XCIGF6q91NAS6LHL5wniQWb4oP2qxoblASPTdFVPsbi5nupT8X
FH1qHT4QCEJwcS7wNG6IjF+mDR8AECq3XA94MYPjEhNua3nOzCgocOS9YZvdiT7P7V2RSvGxakUA
xCgUhCBk+Cvn0VX5YXIX7MN0jYP7JYFvQLa4DNA3ednwYBMBsW+GcB7P4iiu6Fwi07lf8pEyj4lG
Dxmdfs8BVmMSbXA9wp7d+EFnM25MtXvRLEpQmKS5M29K+k8b+JMeH2theSfqQMfaVB6imdn3n0ME
vPvMD5rbslGkEKRorDdI0Xi0MJumuyoW+4DWVx0UrRAgvQ5DbubhrzJzpkMpcox407TjTo3PMDfV
99pZJ8Rt7Vica+QHu8gfwpcM6cdJ10Izge2G05qrlooS7hKNqcIBWcUjf6GQZ/fKOKmwLxIrWs7j
yE6eaLiBzpozHkJV6GdfvVlMNzYaNH+TN3gvwbswb3S0dNkO5aiSYht27wYRgO9uAkQ2xY57732W
WoV7PZb56HeEaJCh8t5WhPVilw8bbM6oYMkNKJakQYrZDSVjTWg0EZ3pAlN6O7/CAMX8PZVZTQxq
R9KiuOplrPIXOOoYZ+Nm8pybvlfJuUbGeFYJt0CGzhwivlx9p33RyOTGbRKPC51ZpALDlyYZC0Qz
8SCzLQIgVIbDqBpr3ybRejWtdoMxSIQDzcQJDtT7FQXuesItx8TUSgxAoG1UjWZ1zNLuE6IBZril
2TAzoPMZQKRzKU4a+iGPgqG5JG4OebKkNn7pWwADBjTEpb6I9mwt+/LeRtXNYgiUki5g3twUegyv
nbFFRW05Ma+mzHtbM7LBVaLteS8RYhkgkNd/GPKg8FAzTBw9Gx99ki252TmdV/h5fvsR9SnsoNif
6PRlMzfyvoe+iEdTLONnUVBJXmEW8sV1nBgsQOd07YvqK7Z/wDRJtjVLOV0AzhOOS2eP0ZJ1FEfV
dL3kjn6qcK3l7bacXTLJjkvikFlBO96z1xcfua/ozqMJBSaRKinZilxHq02FDMmfefFzk5IyB6GA
YICXcR0QPq9K44ZUOriWeFumHW7b1jrMI6CyjUco1VFGTnUD+HhiW9rmDoEbdrHg2U+BX7UtN1ZO
mX6j/ErWW6Da+HojsKNnC/IqAjLoUdaXNR3hgiVRz1y7dQcS3GYzfu1JtTBocP1k3DW9Cj9ZRAUQ
8J2rMt5WKWqLXRsFK7OYbI0U3ZhwRkdotddZsMb1jkzsFsy+wBnmLM6+nPv2c28Pj8SpB2cTiEff
xFLPd4gYcfhaKF6nYwTv1NvYSGEgYLZ0fjxkVwd7FOVV5k54+yxrbS4z6vkHB7ZoQCk4+l/8qQnw
0rt2dmgRVBVOa2kGqP5y6eH5v0gy1OljqJWxi7GzW2TU+fsI2+mFa1XDWQwXMdxwAZFgzHMG/gUt
2Z0Xk7u0sWUdOtvA743uBzILSIIhbNZjg2yA1W8KCmVmgoR8pL53WBIW/L52+//2Zf9fhSPeIBPC
958Lx/ft+B+4/T9+9UcJGUbvmHgBOCJm0fYDhxLujwrSfefStDVenpAqxXznD2q//452LI1SgPq4
6igx/ywgHZq5Ec54BLykDrqkZf6LAtKPDYHtz74s9rXQF76A20QEJxgN8UuK2kisV8NotD0tU8hi
FmdAD7aoheNjRvLuIWgcBpANWpK7GNAOtwYEqes5WNrdVGVRtKP1aoOCz90PbwllYGGa91MfJJ9I
gQSBpEmXB+yp/VOnDPEu5hxd5BYW97Bs2mU7L2VQ7wZrYTaH1TZ2L6PKyq5Lu7VApHgkpoxaVnIv
GauhE1vXme0vPaRlp6ei+dbXaOCh2q/eobR67yZjAbots8TbWu2C8lRIixC2ZDVC4cBHMWS5GeMO
RJdsksnuugLOlHTbwSHLZKxd93zWkXsWL4A/96B0JpydHNQOGf7wlVexqaG8hsouGZueTm8nscCH
QbV+h7Lz0AxgXvAMK7F5z/4pxzYY7iG11t9yPvCTnwCLDhofM4+t8+RVY82XmxIn6odOgwzdJhzZ
B6/jCdTMoryPS0GbZsmzm3kE9kTwVXsz9GpaLxa5pP7OGx0kUkkWRgCM8FAlW2FLMsohJUV3iLPW
vQw6TmRhJ8gPhZvTQSBlKLyDzdN9stMouk0q0HcYa5SwdwlNfMai1dwewqhGxKjDswVk001py/jW
79EaXxZe7J+wS3WHiUfiZRXk8qizzDBPY+ewZBN0o9xv2vcAh6M7C/LyNe09skXXyD/VNh3HOlEw
vqn4z+DKkohTAUynkG5vEMPBl9MeyJIgLOxzr6cpAwJ09BjkOn5/wp808J5t9wCiRX6edS0/KpbG
D53Asr+NNX1gsxr2r7ZVR3uF/YbkG+T0d0sHpZfw0fi9Q0zP3ULMRIqkRFkoUyf3k5MsPay5yvKh
2lIqv0TQiwlbsbFcdG6YHvDOpOfegjbtBCVl0KhKV2c95sloXToQWuftTM0HxRt8KsBcNy6Gs8wv
fYrPuRvvKQr98pLxJEjniBTPja2C4LGxV+8q+w4vdd9IptF3rGnwxjhNlzfgqfUDf/rGQl3fuKjS
oKCsN1pq1hlyavlGUYVmOYJUxYsYHRBzaOrFpFUW7pM3BiuZkvBYkY9CYvX5R+FpANkaJqn1HkUC
cpcyuQrrerrIDeI1g/WaxEBfq9HwX7G5Ghis8x0Nm9YibECJgYz1XWpfRB5I9QxQNjFoWWEgs4Mr
qjOp0/kpHxBoWHHWXrG1kYwwhvvCgGrp5GONovCFKVRyDT0FQZLSJjKAWwhCybFVtEKowt26Y/ME
DDcvwOIGBpBrDW9yhoZjwFadI+WfRmfcragxLyyU4mftKBC5x819q6PLoegTdqFoeuKoXc7nvEBz
s+TV3hsy2lztcpwtz3plrLCXNAW3MoGqFdF/XHPH3qzdEF5D3H9P0kNKi3w2tbn/ZCtFSYIYe0OI
T3vDPP8ePwticUVMG3unzBA/UpIQEnqccCYPUFW3feE3FwKBytdiDa+FdpKPsNngzMyyQsA+RTfF
1PaIDpHFelU/3UImgT5hOJJzTpvcC/R1LqP1WHli2GZZXx1Wu8QaZ/FbdrmW21yptoOerD+2Seij
MQtvdKewHJQJFSUcCehy6iiTRh0KMFxXSiXzTdBX0Ya4rc+UHvLY5CQw5aSBHRhOFlsagz1uF4eQ
z5aueDVN1nlB0MkFliLyPcL0k6n+dqlN57sMYWQ78YgobmjVh7mQ80nU6fBYjGrgwpitY6qWb6MK
QGdlxbof1Gw/AFZLPrmlb9WbNzM8ZXSNpTRyxNkYUFgx0PL8i4YskgOqDYreLoW9342ldx4lwBQW
ywrvRkTSdBF5NBU1SU6D79VcFYEOr9deNgbDZMg0kcyH+7iXyVMsfZNqWieMh8bsGhmK/Ny0Zvyv
l7x87kBMU/9NBDblTnSo+yE+tnoiQWZOxAf8LtZ+mNC+tsQcXjcRGRQrSqZT7dbRHV6x5op5p3VD
J/ApBJ8ptnYM2z3tKaeVA/R5My5DaZ/7S5FexmUdQYlpjKNnyMdwWzoYVjYyQArvzTQK/MGYBh3b
vXaThO5AnS1qg7Y4P4bskhgjheW5pVJ2UV060oQdraehE/0HrjgCpPKRpDHhKjMWaO8WPQiyvMtm
Fw3eGX0NLgNvPojF6beLnXmMSVSymXrPOlNJWHx1e6/+OtYKJGcGBIbBXcKcQ4G3PW9CntjbYpWo
s/3cfmyzcbrP4jJ6RXyQ7jssMZcycT5Z8fgtz5v0mW7ZsqGOFtve8x8bz7dQePclGgZUlZMN5lmv
MnlMlXdc4BxBW/sSOdI/6tYDZ5jgunXz9Xmd1ng3VEwUwlC9yLrC4OSiNswWujO2031NEyzGZWG1
O2bbxWlyQExtHcZfex0kNnGBgdqX/VwC6Qqum5RdYU3bZl8PDk4oJ53MHCBTc7fv7Vpfm0E1s+n+
dSyyhxURDxuLLS4FF4WaO4HtJqRj56OjkJvYLK6lbwSuroy2g0fhDwKPCWqT5C9OWT5YTtDu3FmK
T5kTgkDNo/CrstX9ONnfEuZOkPugcFnhR3zWYid9YkKWUoTn8QrFpINusQld+bFNdXcg//18bqAz
lcRk7idQYLsondxTsaw1WtfuzF/pgheB/ZjPa3lZcc1jZqVPbmOxOTrFQMdHFEcIXt15OyzvPU2U
pA00EmYNjfms0K/Q/r3t4I7te5Tl0zbvNec6qd2VeS1sST9osWY0fX1YxhZ9lhV9SVLnmaiB5KOQ
vntDLxRsduTfSXvguvK/1A7C2Byw9b7L8u4CdXx7MUrna1jPW+qCV9xRMtuNHBKRSD28ni4pNr0H
SCmXGRutKMiOVCzhvW2tKSKWGZYW1eMNAtrkViUtYsd211bqmGfiOlt7HLkhwwTUjin6noUZlE2S
vNsVjwvquPtkycYj7Xl/3ITYsO/HbGwxl1mbcALoDxWJ+fcSXVqyD3YAtZ4GckhMsSnt5oZdLOjQ
Ob5gl/7Nz1OGASBnMkvcJHN/oyvDc0RBrxg9FWQ1qipmGtEvDzMCpM4ebgaruaJaY8oY4LXF2Ldg
FBrhkExMwlfSlZg8g1HZ+W7uA0kMPf+Sthw4ulo224zdtbPSqsB3X+tbRzXl94Dl/3Ik/mFi4Lro
ZH638Xv42jRf+/7r159ZEm+/9cfYwH4XoDsAhoLo5c8NXyzeAXtEBgMnhdEo//5zxwdhgtQ0ECaO
YLfIRvHPHZ/3LjYjBnCvkWH40OT/Fzs+7y2H7a87vgivfoAJhMCwQMTgLH6eGYRgPK1s9psza6LC
7Y4TFSAIg8SaMfQMNXXWxtCi58vBWdetsbPs7J6QA7LEwpOsvRyjX9LXe7atUFKlFzywQJX7wIQl
pCk+vO2s3H2dBstzvSxS7lYgwy+xiVpwTOjCGJOaCHXc22Mafx2bjmgGl7QgmpbpDu2MRDdNhIM2
YQ7rJLDYxljmNzpe+oNPVUpWZITltFjbZ6+TEdFtfX02LilJJnlwGHu662KYxHYq8vTGNsESzZoz
1KWLg62j94CpMptpnzMbMbxDS/GcjEpTrDlB8Dl5S67AiUSKRY08B/baOjzis4sul0KL+3FWzq6p
wjsMyvGVKJB+RHWafqqyHhU0T7GTDkntLHPW2qQQ6qjCpDnNuYcIg7CNtmvDM0UT+xBYxJxqVv2b
xkQ4NuXOb5fy1qKc2YTkgeG+naM9o4cWty4BH4ohzX6WntgK7XmXcbH0Z2OvLRSBkDC8MrPOq77p
9qUj9ZZ4cW2YeO2VfEsWkZGFJ3Cexwe4qARgMNS6TDHKHZmx1gdHuj5/tdd33eT0V2Fu8UgZnYdg
IdBkZbe972dGEklY9nhBWI9nkmgAtLXLzuqW9d4zASkjyxdpYp8QEvcIq3jqjmAyj2RxJU9TlLeH
okiCV2CA5XrF3qm4Sn1c1RXqKtTGCzEtEWS5XU5LgcxYpQ4yYM+wCoyQEdMlBrXIqQl3iT9Hqpm/
pWzqDtqoRSjVYdpz33h33jr3TNyL7jEb7QK9eru+WIwHiCLVvriy2nK6iCwzGK4F8SR5DJ+xS9k6
M7yNdpkJrEkE0TWuCbGpSLPJ3nJtLNeTsALb8m5ppXUOTwwIBVCrC0/mVDMdxH9U7uw4w9Nojfl6
UCioQPWOHok6eiRchzLuULzl7egFAl9mQnictzweaaJ51jGixsYuTD4xweQYMBw0Lu6sMfYUEj4J
VUi+WRxd39KdPQHyx8GEGvtKBc5L+0Ykk290sg5OWYAhziCXj0wObOus/w40q1DDgDeb4rmJv2iP
mK99moBB0/QbbvvRieov8RsnzYOY1kTD+Oh3i3urGFBRF6HlePCSvtgT44sauGri87mFh7qJk57g
ky4Luvtusepi3ubrlCIAwzTx6IDmLJGDi7LBG9kEYRueN6i5e2tX+4UjblgoOe/11OlDgueJmqxN
E/FRZygnkMdb6bUEKhl+EPTJJCmM/mrfNUs8Jq9FInusCTrGQB5vMtuzvL2gSOHKhQkRIUKDTQJn
sdwuE0aUjRji4jOgydU6Rc1Ep99vIZVu2mgcy900KlqnphLwrua0jp9qTIMvpTHhYv+jRY66ARbi
ppHzcsssynul2TCUR5oGE72tlbnJbrJy7MYDbRbSfP2Sl9RVqiAXLiDEyFonKLHsK6iyYiZ5jrWP
V/we3s5AAPlGDW4YAkceN+1NGK0OPqF1hD03XBAa5QsAIROCjnAJSfTLmuBmMQhVaBZ8CcGTACGf
c7wNyEF7qGZ43tiGcYSUGJ+FoUHMx4KMhqsm9uRZmcfc94uf7Pyy8gYMVW54HG0nOzYhtrg2U+Vt
41SX+s09p2y/vVwyH+gNOhl63IMHVtWLQm6qKUflNjbELg8ML8/xnh6RPQMjZ3fM+pUG+R69v2sd
hAHqwF8t9gHOTBsKLfbNwGqaa3ro7X0ET/R6COi20XF3KMDd+GIlFwTngLJ35eKlx0GxTdhoPaJt
q3u9fpGr/MwzSuEG9gK8/gnEaWYb0cYRUrwHo50cFlFEj2hN+zvPsxIeDk11VqVhf9MOkXWorFWc
T41IvmgnYJ6X4CEOg/SMpTM5kUsknpHg57u+jqOPE1jsdjPgYj8VBOxdhNoQlHwn2hALVe46nAVU
8y6bOUDB1+CkD9R2mB0HoQuq58xm0ja58C2o4W8DYBSAFuJjj03lERzacLYG00jgRYPgE0uypF1H
40v3Foyhqs1uYO77xU4tTnRBHFtHjJ/LQAgFKbhbubxfYrAVjk0nMkUhd9utKVImnZV7r4jTY8Ab
OACkANNrz17G0qi9Zxc/nbE4xt3LFDnDFRnr9lf6J+3BJwx7X9qJfQp66X6wFl7Pidt01xHodyhy
NhqqGarrUszyaeQ+vGJbr259xBOXECSaLduH4pKdGHktMCuvgblCp0TGe6r09Ak+e365eln2IaE9
c50AT+aP9AGVQK0NkR/5Zlu74rpfMigyOXf+rV+EyxHumnqJwgZ1alCiDNXDnULYVSO7jYKzmm3X
XUkO6YVdlO3nmeEtHueaBHf0oGeZSD8kijm/TY4sxQN6UUY57p7ON7IsYVvPZAKIPd6UjqDnXDCZ
6WE08vSXu8XC1+SxKS42C/Mjyxkxeox9SrfQI7Uvtuid9tMSxFuJunpLCwEHDYJdwq3ryEEvJsrA
Bl/FfR9p14QFqGnYES7tvzgLtTyIFECDoSig0ytmW+i+Jnpn4XuXWK2UR15a52kGU2ft8ru3ovW/
9f0/1PfI4X871/mf6qUvf1Laf/+NH6W97cSIexw8KqxxRlZP+fx9noPP7B2kFeItoF3CNAiQwP+Y
54T2Oxc9ytuYxXcZ7PxZ3ft8C+6cUau4oScY6Pyb6t7okf4yzjGHY1O9wRS0aUIItg0/F/dROK11
PQrvayZ0V3wjszZxBbYT4OwIrQc0Bk9FlebDoV9dEtSQvfv+lyWpuuYSflpLtF1necxpSkpGGmFN
nAg2oogts+VRidoq1q1Ca6eJGiONabLAoUzSSI2qEXUd/dmxd24QuHQhdnCe4fNjNoygOKtiTLl1
vDXOaZNoerPRkaI/l/5mgbQfqy1AC4rfQzMVhoGDlTfB4PeXfdr/oUcyA7yfzk4MH9L4YfmfjwDr
17ODEttuh177X7t+nmLucUSONDSU57rlVZyCirdogSGe+CYDNOcPXsheSgGCHhXvp7GJR3v8/SE5
fzskWmSU254f+QEQy78FEUG+r9tepa9gOf3yCoJXWp6jv5Z0MI0lACl9HebMtUyXJxrpai0dlVwh
0Ey9tMBDGCCFI835c5IrepHtdZJqYA7VwkexH4A06adMBYm17ANdyuBaEwTIj9Wx1/OowYs2Agn6
/Zv6mTvqhYKTzGQxZkwJTJF74eeLMMnKJbfKqvkqZlhd731w7u19TRiSvv39C/1iKuGF0Hh5ABih
RnPyInNy/2IqwT4tY01W9KvLp227+65KSsTajuAOX9yw8G6Y/Psuo5/Ar6xh29lpON2XzKeKb78/
Ejb1f72yzJGYaS0b94iyFRTqz0diQ0AX8VIErxNYr+Dah5g04N6sLUhd5ykdHowEv3/Fv51kgnMi
lhIXJ2DIWfjlvVt2aoVtFbpfqlGqFrvc2rGhp0NGgOT8D69lVo0/WwbmA2U+7Nnss1n56Nn98oEy
861KUMnOK5J7CFBfHYYKGVb+DoEXQb10+igK14Dcv/2/fZNcQ7iasCdF1FO/wlVd8uRVXJT9l0Wg
JtRgGKpoIg7Vyjm7v38p++8fIXhkFH8B0GIW718n4UXb2uU8OfVrz9yZzRzAhuaxcgbWqO1A8yPt
bpZYJ6K+bHPKCbH3p6zUT0UfMiPc1MQRw3XgSQ47vSiC0PWAXZlCupxSFa2ncfa8Wp1+f9B/+2BQ
OPoxmX18OgLr1y/LvU2rHYGLaL4066A4CgaaZfFtslfLf27JicUFmcBkHP4xau7vV1/MpwLtlh04
brNfl63EssXSYdf5rH3LdvQWmUE+9tsw6jLFqMPFbFxhdffK8GXNKgJWdlIpFaMftxZneshrPWMs
zPDFDJ/pDJlAyCZw1gvye70+2v3DWYp+/Ww5wJACjNsE4Bp9tl9uFp8prKpH1X7OotzhVsR0Ouhb
BjSKi0oz3F2nY9zjULu23CTnbuobz+Nh0GB9YLGMSy9dv3AB1sW3AAgHf4Hw6RKj62STWfvt+wLs
JR2ri7+MafDco7BKEPLVYcmVOoFS4dNpFLucYdfQYOATyUi1ZokmXRHgwM5Zlyq6S7JuWD7q1ZQQ
G5AZ0MIQ9dJlkkxX80AW+Jcklt+NRMWGvCLwivprMI82di0XRbu+5faP/ecmB7T4pLDycox2V8Rs
6212as9YZrsCLzcpBfpJD244PUxKBtN9X/Bf5g3VOyvIJstwtTM9yRhL0gjDh4rPqHA75BPoqvgb
LlvjooALsrIdbfwNHSKcc5vABiJDayUI+zpgN7Nkw90wh2Yct0rwC8O2V16RrvsijXlpC/gBP45I
xLyalYIKvXZJo5cfZZT70ynxJplfVV7DvHOmCdlcwGlcx/NxGReupSWCu7zu2PjZ6wVJIxkPS5EM
5pkpo4QeDSZ5OfRYhOFagV748QZ8Jh+8VXSosRFFQiXghPqi4fLrl9QsYlUdCqveY3oI+D8C6ta6
QKUMW+GPvyE7aak9ggoo6lsuuRaUgJtpI+cYGVHx0kvHVvIcsSLvidhHc1ZpCM2cOT/qGKed5nkA
9wCjemSAaWckLTONtEKqtrVLAk5Lt4aSt8dCby6XFtti8c0t24aLhl5aUd832JzD8ACdx1wuHU0V
7qmpiWOumtQBGYprDl04v8XWLAkPQzqUEYoLb8nZQdfLxDlEJlMYGj0Lo528jyoRcE7oYUbVfAbX
ccKTjdzO1G6Fvbh8j6BZ7Bkbv4i7YLmSbjI16Z64XPO5h87EKrBXGuobBDQnMdevcqXHV2nkSnc6
j3sSPYpdu7Yet8JYuGj1+OQHTEMbQjQGDgmepHmheSzMsZAGwRZ/C7OZW3CNJDDenasDAjmnAOkx
AU91Hpm6LZkIzrnusaL6z3S9+GIbu2vIYaFZMedYTjVnkIbcyOnUeMD5SxUlINGeA6yL8JCKwFyi
prSeHrqIoOQHaSOYhwpTDKwNlI6aKsObc+7zVa3aLB4ZA+OXQrrK3NJebP6oosXPJ4FgBh0rEAjb
nR5C6MmcBQgSXU/Q+SL6or6a8MTxByWSUo4P3sBormpYIWrYdWWsbf8Eqos4ql0hHmKiGeNph7Ug
NCtTVrF1PATCOvhwFjv3MJRr6gn0K+R57dJJdPrWX9eFyz/qAbViXQRTx3BernMLRc0nWwHlpBgq
ekQMht38pmWAj5SVWt18wk0+0X89QDnsJ+ss70WVr5tFSdLStkvV99Z8USZ9yDEmFmbeL9KjzUu2
XW83vJkmKda0fR8jvPea67ZvY3q1gcg9UHksxCw3+wHK/iphDYDWBPZA3Y6knBTjITvhJRz9FKNj
yTIbfNE0jOg7sdiuRgFbLEzys43KyI6HesXU2Q6vh4UuABcPrE1zJQK3QL5W4jviK0S2PddQ4ubI
4i/AKmi+Jx06f/Y18miWSgQCnKVdXfJ5NJtFWPYor/s5cFhyC5hwfEqNzewm27drPfO3YinMKojX
MObKFTmsxIlRZDfzk2xhJN8bcD+wLpViqpe7mHAOLqSMiBeWp85bAs4fWiNWh4mzyL1gO0PPBTVJ
BgUtId9arv5FtKZc6VHVaw6cfvTIS3t2tXD8LJc8jqa1C3nK1wksjn4feZV5yA7DKLkcF4byrcVD
Wa2sD2uUWd7NIlY0AhuWKN87dXLArLmPWtUqRAWOKbEMImL9UkeS3ciPfQirvjk5cyvdNj6WilWV
mNOsIK/7bCy0hmQWAbbeyWRukr0n4BC+TwjLXi/ylof/up/WOeSIwwIcxnRo6yzkxi5GTTkNeGs0
Z/DHZV3ns/ne6rUuF66GP8CRB61llvueaFv9xOCXydbeDZXJ1aASTQX3p4U7edhCLWcoBY/TJljI
yVl2d31cqoGRirbX4JPVzERGiXqpHlDexgw1lJK5PA+QsZeHoJ3G7ktX84y5UGkNuwdUWujiIu9y
+SlnzdWHEpF89eoR86foskPgeZm1Xc03OgbqsIF/NrQXcJ7mDmpdgX2420rP9frxMM8+umYSZxNa
iUEtavvSrXisEq04YA2RfEaoLtolkrrgKTxh2wDAUk6mpNdqXisaTpgO4k2nrHX4SBrB6L0PqmH1
UOtLGu3wqCpnTdpNF/P+E67TJB0gUPMkq4hKrGatd3FeaYFT10FufbFwc4ygcMqrWQgbPV8cpsSl
UaDphxS6R8uDj9yE856pNOZpb3Ds7YpZCrZpkA4YtK3WMZB3EmsQ2ROzfiJactihP5z1RRI3Qhzt
2c6cA8FXNi7TAZ8ecKXE9a3brmxr7xGPDTy9o+jCtZP7uBXL8rAMC3he7MaNdU9bv2fm3nBVb3wU
c4p26ZQCNa4GDA3dESJRqheU5PjvdvGCNuGIhbMgXAzgCkDpmCw4J9uG6NghgNt1ETWvGdP6adkh
0lzlV4Tg7gh3LWQsR9u59wdxHJJG+jT5SuFjaUlqC3suHDmrLI9T0FHWZl8zZkADKtCW/HWn3ZFz
s+pgH7iDy8xCObyZ4vZH9S1WIpDse+YKLfF/M25BHksdGqHOf4SX0nXerktmlUzUUyKlRiGF16ca
S+ivdgeFBJDrv7EUsUVH5S6TeawgLjQ3t4xM+ah4gHM7ZF5gVrgatTFLSW7Rz04OBe7TFNCv23dz
dIEFwqIkZYQ68ejxs7rgKTM0furo4xqG/M3D6LemTgnwnLKmoMEEObZdITpX8XGUdR48k6vXcCh2
Z4W0sFNroNfQjdJnmUSoTmUflRZn6YiomSp4FtRuFtrPuWMtK6LcPDQYNCegcFwMv2I/2U2g3VPs
ORUlUeOwz7bO6rEmJGNDXUIAIujQWpkFsa4cntEzkz5KE+Z/Ayeoa0Lz5IT9sHCkKs1CXhu9PSiH
95NH+nS1bRN0ng0bs5YUy01P0BvH38eFWSdLL6z4EaewY46oSbreVi/kN5l6NSbdUj85WFGCzzOc
pvYQOEXYXBJxOfFYHDogO+5504WmZCH9yZyjoW2Cwf42Wv0K9oEUymkkMNxu6Btswo5oAuAxQvmc
ftZwjFh7zC60e4K+Nk+pH08wz245jyTVm45FEM/m6G03sTiRHXaNuEWUCF31WzWSZDSzzBTmCMbe
gkJ8+uNMaMkttBk7V1ORhg0epYe2HgKgqCV+moheO7QoThktdi43v14S/7lSNgfz/WPkgWnbT2z/
xuEhkgljrINbNDaf0dgjFFeopsoJ8rKeC5HEH6cy9IvyhBo1reczj3J0etChY6pYW3em+YRNesqz
s040pqgQCGkowWdnNRv5KJBcLDX9OnvZ5rNQITLfkiHYNRMNU81PbaeUfwLk1k/RrR4ybLeXQRIK
jgfqp7kPXFcJ3upUUmQCSvDMLSJrnGTXGq4BP5DgQaRQsxH5PufSNheYm2APdI7SCSvq7PT70zWb
ppSH5tjOFKpb1+2oAgOXhJvTNATmekwIMqWyFpyB4huZiA1f8N/NT1OVKH07V//L3nn1xo2ke/+r
HJx7DlgspnqBc9NJ3VJbybIcbgiN5WHOmZ/+/VXLg7XacyTsuV4sMDP2WiZZ8Qn/4HtclyLivSwg
mp4ODSEQhjqYB3rEy7xsj7RzmJesH0smtQFj0eVHOckh/Db4Yxg3ewe/Co9dXbMWMnqrxARYzze2
XrtZYaniQ449Ih2FMGt9gaBWl+eSoBZZD+a2R+aCZxVoZw8PpvZnpVgBKCTZKGwph/vQU3HzNDTY
KuI+kCIaxuEyj7Y82qPo0gKch8U6y01LJ4FJ5ZCxmWLSE9LaivCSxJN57mZnma/kaJE/uYDkp+Fi
smSdPg2RmBiU4CXyaUNzINZoS7/ha+MJ7wisKV8yYn8pYM/tpjA0yb6Qd5b8KiRngThuGMb0HTwl
5hGmARxkLaMqIh0ZoiZs6ee6lewfUOaU+MIaI8jpWwMEoo7ZXTTdKIlMQif5Hq6r/GZYwYF8CNpA
C2d0OQXdEr69sSB/0QxOQYyinHJ5ZNT1ibuImpz3UHtVgVkU+QPLyXV4PKU9wIj8tRVnsruvPGfq
ICp6E0t/L3wRkaqkPnHUy9YrhkyHVpmRK5gIaNeAxUPWY8A6FyvEUdePjEDOekl6pj8WN6Y9TUXN
gMCWAwemkMdBLlR4eouTLdOpct3UJnidxyS8CNCJ7+9Q11nag99PIkOq2SKn4GJDRj4kCewQndy5
uBHw1yiUDTirkrrQkahVWJzia3ABOmuc0hCdm0MNVJpDioC/d9ctlSsr26INprPAl8QiCxb90uWC
disC3LU70/LufPjul/bgJyx0kiST1T9GRcGUxqLXr94XEzchEiR90HVbmot2+sGrKI7wB5eZFYWJ
pz6wOqbRABeSwh0t6BSDO6QzEOEe8SRL5K/VFvS9PjnABOlAF/6nXpVvV43+oWbk4ximJA0dyN/n
BVbgIxBeIUP8OQWdzjMHJMIjZ2OAnsjUqqXvyZS+/cjzqhplKp/0FMcuW1g+gdPrKvJcFYVvdm73
p+OOunvzsjQy0DtcXf/uoyCfE+Nq3jjFc/MMBYbQRrUMVCf+jG1MaIk8XVuCxZw4rFkHbz/rVA38
tX4sKB17QjpwUMGc/daVak2BiEKWyj8nmfckMn2U4zO/BtUcsQ2jJgc9AzS35NDoAQW3FFGGrPYR
0wblD0IXoJquwpHy6rPn5WT+2fsomlCnCAVQSO4EVI9HfvX26/82K4D2TQJbkEKk4+DzXs/K1AR5
F46e89TFOD6goGw2Oi3kciWFevtRv605SWEYmB9qXdRV/fN6N2FUbCGCWz2pyJf9vA9mPxkfxeLp
LQI5gi7yOx933kIRTAyARCj6dBMsS1tb/dpCaepW+iH1+6fKjvQZ1U1stts+5mS/Dy1cYmdoQcT7
BBMzv/6B44TZ3HDa5c7h7W8/H2a6psAEKNLSJnUEqjCv32RE5nAYVSi/UZMgdURGmiqVDzqOE/Dt
J52PMopMJl+LRDtPozh2VjVPCQx9CQ74G7BwD3vNKtOpeQxGhks+snTU+PYDMQF71T+xHNpgPnBQ
6dDho3z0+tPg6S4cJnPzrSnoE0XbBls8jjkOxZl5DZo6mwRODuEcqbWXotE5b99+AViBZ2/gsoiV
iTacB//HkdbrNyBLjDJRecW3OjLnsNjSy1rSLVWPSCUXL2HL0EQ6NHZt5IPxjHgpihsAQkgvcheF
w+gwvgxODoeFMaL0P7OLS3hHZAsLZl5cCW06ln678WVn+COs/rTjtPZGR1+WAzQZmH9RYGoUEYZr
uv7aeT3FIzE2Ex4++MwXUDQI5q0OF8YBf5lNmRo6tmoHPD/mtdFYHllMG9f6OnermNjGa7HQ5C6u
morX8l4K9C2hPadmmlo6aEr87hTxWfB+q3WQgFWjatOGI+PvhwlKLJfWMCFchCdQSln27eH/bcF5
toVACDxOsDm/L+2ezAJc+DJ/LaMaCbl9WMGhKDdq6XQE8LNk/fYj9W759cjVR6069Wh8sADYM76e
cBplMwaV/vhVha6uMaJ84aYfEAi0UuPabE3eAH6R6kmiJoEPHEXYDIrLe42i8y+X8FcRakIFhM+m
8X7WeCkw8ByZy+hrWlL+vIzzpss/WeloNUer7a7f/ubzRQ4V0/EklSIXExHfPvccBeoZxlHVtt8G
7N2XR5BDelkkSaUjq7cfZZ1taf52JPQ1adaj8wZm/OzDwnEyMzwhrE9F26GwG1C+7FBJp4xKphsn
I7fDioZ3zr88Cjasy8mR6pFkzQF1pB0YKMGQ8uj+fTUC36SOALCXCDsOyVAij0Pge4Q1ny5rTYYu
A/gdLHvIq76ry8RpTnfkYYBNyMcZqcNdFIaG7hRhSqDPaxKCdKoP6OXGc7YrMLGyX0SFvk//L/xR
3r6spv9Cm/y2jIuu/Z//PhtvxgDcFXB5FA89AOrnY+A4Yadyt58+9Xmib+agpFWB68pYkjm/Pd7y
bD3rOeXwAneO9QR1/fP1jBwzNVVhBw++XZ6ehX6Fe42bnw71e456jqCX3nsGSIdRwORGV0l//qoZ
MCtAnGQ0GVzHhjCrGxpZxUln5W1ARcFIk95Yji1bFZPEuMrT8WKWPQnTFl8F0uMYajBpyc/GH90i
3UQyssRi7yw+5McBSmyuJxxFP56ChT3hsPdSmhgEFVD0c51Iz2QiiFrQNBs4+MtN10AOJjN6aaGx
I1m7CT0P7r0goMohV7NAFLl85771X08fHpeQvy3TArDkcBc659NX8wWDj2zQ92yQ3pekKRxrZ9Ee
3bupX9nU+KNuF9qTupqxpwk2lQ2SPbfS7HEIY42H9fuCpmmIlJ0xaxR11NWfAvLX9jab2iFaR/5g
7XHoustptX0fKhvStdsY+AXRy3Fv8H0uryIzbj9wI0Xa6TAa0o3RJvLzQh95uEScLcH3PFMoMVI1
xABvMTqSA4yYx3WrmlubWynd2ZkhP8BqGDZdNddbeuLZI7RI+zLLLLoESdVRzivTkRZeJ7JvoCac
q3lCjXcFtRzWs6wa78Hifn6qIryoVkHjRpQwwPjBkSqKh9GT/WMsJURR34TQjAiyU31Ne9U+Z0bV
fHRtyCLUpnqIV32yo00wV2v2kzutp1HFqHvY+YBUGb5roxoo2ERJ8rn3XZeqOfKgyHA35cOCmvyG
8NOIqPYZ9tp0zTu7m80/LVTPvoHPtEFuOv0aO/n8KvXaeIumdfxC+flf9/Prw5oFQVuZw8whVLAt
AoWzM62k/OPVWHk8M1/TrbICVAvdrOwQwW5M99PbO/r1hn55mAdQTl/zxHDnEQm+wIR2jSqeXdPL
wQhN5oMoqK+u8jz9MNhSq5CHZX5HixDF7bef/dvKP30mWB1aNhzi57CJ3mkV/PMmf4YWSuIqkSGd
drlE5vqda+L0N/3rGj59pW1ZAA8Q6uJCPk8iJ0zWrAGszLMYMRcl5uG6WKEoCLR4ijLvvrAQ1IvR
/wCknjmq2sgBU6YLJO/czZR1wL4A67k3jduoy8LAK477Fl9I6ordY54TvFhdkVcrqxP2nTmgiJD3
0j8WlGfvEBS0PitNu10hE4QGVZiGNzJXrGPDy12qNym9ODHC5zcbNT9jGtHRSuibnQgd88mcOrle
mL93YqEzEB5DosMAwiDGRXJHn4cEwvDayUaL79nu9eAjcR1dyDLJ9tMyPRWIcn+Vhpo2vRXS9Kgb
w93bBUI+m7eXgKMX86uZ8TRYU+NBBMAx1zsLkFCMymkfRN5z2NM4oJyGmdXk45i3Af27dJvBzpGy
zDuY5bFR5XR7yhy65qQ+DJU7dIgwhcbNgoDOHjscCmdNoL7lCAw56yY1PsRz4R1niVqLzOUDNdDs
pjSYNJTRUdlfL91E2wXnqGDtVQp9e4vkezdi3zm7SXwtPVgCKZXifRyW1Q3mIZlGDbc9wvdR/8l0
rPTOKHwuCHcS405a3YjNAMoGDyNMpgQ3S5MPwDlFYToX0gLwkjqhEcKd+BHOrX+ESW5/FlS1gxVN
Bzw43h5cPXbnY2tTXfC4pMDJaoHrX5PKnpIw8+4Fz3VsO9dGLZPHKsZscZMiNH4tRnKJd54oXgNf
WVWeBmOS4ggLagBwtdePFKaVNTlX54+kSuxLymZQyQNkRK8oVGIGgwMhJ70TNs8VsgSPOK10xzhW
5p0xKLl75+t/X1qEmhyfFhBvkLjnYMBmRBvSD2ERhhMNBvL2MviGjhJcToz4nFWNDygVjrwE9N05
1Ao3SeQ6+wg47IY6iVJrGp6QQprS9b7EiHHq0i8l9MJoow84I7X7Wsrp2kXv6hA6Xmijc6tQOGtn
WBxUOE1o7w2+8ms/X5zqwmBYdknaGR+gBaLZRSnDOJ7EWuZp5DrDkKvahSO3Nxz/OD3mtHmJKGU+
oOJaZ5o4j5fYdqDp+egMpKbEIu3HzsIxM8oziVI8JB2TlUi7aA0LsL2VKi5ouYKow2Vsoq/UuVkW
IhrsVR/GSgGeL2MMftaMXykOgFPQSDXd0PqMm1j8pS+wdLVjC83MdkhwsXt7dn4/f1gpCtAc0DWE
2H6r60mLTmg6jekP36U+sFIj3CBQHjNdQ6aMnMp7XlptyFgYf6K4PSJj7Q5V/t5r/MOCRVedsFmC
XLWpDbxesCClWpgsXvYDDba5x90smm/dpY+yY5y5KCUsg3rA9ajf4dkN/VwF09fIb2AcRVBoHt4Z
k3/YsJqqipU9spXmb4jdBcLUAP0w+RF6pvuxdkV7b2WY5XgUdq+4F/trDHu7y8ou8kM2SfGhKzwu
MuTap9sYLUQAycU44MTUy79AztfOCpmF9OM7b/lbyOC54F0dtjiYaZLKsyEbckxAVG33P6h61+En
Igt0KagkYnPZYodluUNKT6ldXKy4G6f8K1pMDzEHeDvjhfTK9tFBQvBoemP6yWrQ6cWtNUUcNkFg
2lxC5J/tmnbvy0T/h2fxMFc//ue/n57zuNjEqHDH37tXjGiHxPCXCd48dU//9SK9df2U85OPP5q8
LP7pZ/5WzhJ/kFdKRYopTiqqbKGf0lme/INiHNvTheoASsTlSX+Lrzp/8BsUMvXe1ouaKPen+Kpt
/cEdwXVvO4R+Jmnev8O10JfYvy45IldNalIeb8hDiCX0//8L+NynubvEpQ+CxWcr5FHkr1C5lO+c
E6/XPK0AVxD2u8QpUpmMxNmaD3p0DiW8yH1PLoLuoql8LLKD8lvRDdNtTjn5kCH22WzKpau+/jIf
/5Df6/n69RNPDwd77dMBAeLAYL/+xIhje5Ip3gEhsI905zXtuBkmdL3AGaT3OOeUT6HKK7ohBcbR
8PLiH5PRFQX2Ta7c0E9eVnOPZEKHX9la1kZ92YPWummBxmDelKE33YFG2rZ4nXyAuB3c5242bv4P
H0H9DZYF5TAW0tkImvBVZN4tuDcvaAFONoqbuZGjPuWN86daoj8biNSTWyOfB8TKp+orjlw+dOxw
5v1iNaHYZU23JfaTQE0WkAEK//ABDvphArm08wcEbPK473ZzsZArGTmyLG9/w+vE7GURUG5C65fO
ENX6s8SsJRvqZ29U+1hWI/BCuHJAQWbEX97jMby+CH4+ibYX/wUj5TdxAGcQrXZsVvsB14Y9JUQm
jz7qZdPJ+s50kO96+8vONtFphXGjInvAEtfJ4OsVZom2KHJcj/fUFJo7ThRYnj1SoW8/5R/GT8f6
FJCgiZB1nI2fajguIPz6+8Ya4wufUauIUfZp6z+8/aBTu+SXQ0F/j0NFhYNJnwu/HQpJCH9sZA3u
LWBhh8VrLRT4WTPzzMTNOYQGzEVdAqCyS+/nwfGPVQaj0Uah7T7qi+Uqd5z6rpnpea7cAXmPSuha
CxAfDB21sDOC8eiOsTY/DSFqkGvE5WyowcmIUJYd8hC8Kawtrb9431pu+3l0l3j/9kfKUyHg1Vf6
IMLo53kWysqKouvrWdPCon20NNN+TCR29WE5HiBItAc8ONNdmba44cnyrylrDE0yRsFr9pJ9lmuV
e1F1uxQ0xzU+JhT8u0JuarcwPwsL8K6Dtso3b8zzz07tIuUzWh8FCFK4kWBp1rCYkHEwU7WLEGal
fw4nLQoL9BjCeL5Iw51IgE5wnKV7t3Ocm7CnloVVZ3nF7RLt8yrAyAtW8t4o8D0qnRg4rmWLi1aW
/kMTOMkhMTBELEQddSskbL5HXDzrvE3Dg02z9KbKyJhA43n2EXgkSXrgOlskE/Dksqt+7aJUlVFi
Cst92pTpY9fC5K+xUMex0Lght5+f53nWMnNRh7lsJy+cwE5aBHoikI6o0WywzrLvnEiaD2A58894
taR/VSIiik5NhRaHapARAkRm0nkvoumLh1z0xsstgCJKZYdkTqbjUiv3hk6/v+n8uFArCaLyBi9S
pK2SzHkyaxgHkyJFDNIfBnbIH4wiMzZ2GCMS7TWXeY4zOqY7NUIS6jANBtjdoApWRPt40oWoTFM8
KIDsJUc9nkjtJNWaHNDQbdl2JXL51YnccWVPkXkI0zw/woqYPxlZiuSrQPj4WvQGec9Mn21rcr8A
3x7lBYKr/gFmsnxqAre9TRin4tABBlnXNHceUpvuf8WKGGDr9WQ/TyWcp10aWQbluwkHAW1Z9QmH
vR47sGlkapCPxSo23I9zv4sieWcFeb/lbBsOCEfNK/KpzgdBbD3DtM03uIZWd3OTfQDQH1ElphA5
hFmP9aTGSOcIFjcmnndWEsKYs7GXVVP4sUjCD+jVfYtA6e3BhJj3gVigNjTuZ/wonqy8KDZj0yZr
I3HVY+cE/k42jTh6Uz9eohKgVuWwTOvclLh9JLWx6gYzAKhiRBxR/bgW9MIQ+i21oF0I7hb+w3qG
I4mPbTTzMlOww40AmhGCbuUK+NPA4hpwQeIawmkk9F2SuzGONxBSLPBFrXHlIOB27Axo1g1W6E/J
2Jro9bYe4tkz/LaVaSXVzYLpMcdUK+qrGcDnAXRJthcyNvdeyXZxDVjVKR43GJL2W2sk56RbAamz
i4I1pPviezPY4ZckEP0z2PH5ixya8TLHP/GQDgoyTFjZx8Y00A9GAmGNcNZw6AX7y5ixIu6zeaak
jKl5Kw7IkHpLvRG1m29zM0QczlimT/ZgFjvaEtHBTMNqa2eljQYZqutK9kATaTkd4wm0ZWFioAin
tTgmRY8/CGod9ckRdeOW/XxhuBSt69ZMd0EyzH8NCNGV15Sis02gRelBR5goplvw+63c38QhN4dY
kBm3zL7amsNobfni5tJzO2s7onoIW8acrxBXaz8varRvLDbq9Rybdb9Jg46eggny9AcS8yMSmyZ+
dIiJf4+w/wZ4HHuPJ3HqAvjyg2ESX+AKHd3AFyE6GQj5yhLRddxpEMoOQH9TPqDisZ1MN73PQrv+
Akco3aTmMoL9JC40nAqFwFTIw2jXKZafqn+E+YoeI5aIz2BrTKxIbM6eho+sK8Iv6rwodiub95pl
dQ2XJbj02oabawRBsMZ1LN0kIKHRABn4clBCN9r0aeP00tqiiGltbbQWbhZgjrgX2gs/Y6kMJW18
Udd9I3kTSubmxTB0fBKyLAhgSA/14g6f262E3HAjOBgw0qYHXXXWsjcTN4NX1geXxCrOGk4M1Sw/
ay4Hl/UqJBaMxMDDYzw0nOulVV+Cd0XmgNjGuhBmXl/AIHauqCkY9zMPiOhwcvMuCHjy2nPkfBsx
9UD5g8bFvekBikdCub9vTCQmGy8SX0zfwW8EEUj6NOVFm4CaXhEvyitnAiZccyiIppfXA/yWXRXV
04Far7sesgQtaBnAFCjQ28Gwbz12Xbxy0tHZIoSBSlmhUKeLwuGiqYY5umD4vfR7Y/t1dETLqB5Y
zdgFd1OBPH+XNyYUGiT5jirI0Wy3p7nFFMy37Oh6GmEPLy99of8krO8mrKCufomEfktYPz+hcAvV
qSxe57mnH/tbHkC4f0AjdVjVvpI0XQmNfuasAHr+oE0qAYJYBKh/p6vags+Cw0zMDbTi5DDyd7rq
oBztCImNCJVUSkT/lgXf6xiYLULjlKIJMAQa8dZv9SbNeQGX3Lt3+YAqwLpAMvUOei0KuXD82m+/
DMw/ZI6vs9bTw2h4KM9E2cDlc8/C+tCZbBjCnX0XGXP1tbBLC/eeQT2mcdfA57DM6mtoevaTGqDU
/R8eTT/e9KnfcSzpDOeXtBziuZi6knYIgmE8WkGJPfFPpq3Xu+JBYjxqrVogXHLdBgth9tuPf51A
6S+n3E0GABsd6CAB4uvHWxLWCae0vMsoJcVrH+4eXr9dv1Q4SenHTdyE76Q31uta4s+HslRsoevN
3nkWVVRYKISVsu4c4JwPBQXyg5W7S72jHKIedQP0aMdSdzxF37QXSDJ0z27FQZsZLuNQcwFdVF6Y
TPsWFdFguyyL/UQbB0tuXK9NcTVUwSw28aJlaFs0wzCWzgop30kGzzEVeuxcCjaUc3SD7jxN88H2
9xMOS3fEiKyVPkMYOgPEsPPbCfe7eNakFe6vt2dMMSP/SmZeBg+TGsWtwcbg369nDAlcL5mcRtwl
YhAPBRYTFzWw3b/MZKrvZrFM945diWs6QzSp54gQ4+3n/74xNWaFKjdaVayb870yKFWksBrFnWu4
0z3UjeorluvTbTjU4h2AzFmX5PStUpBvU/zmgc659l8wexC+zF7c2dQ17okj6Z/DniXcC6Rsn6fU
tp8G09W700TIu/JGNouBAs8tIt7vyXH804cD9uO0FJ6DDsLZIWHZRgmLLiAC5TKt17aHFvnRQoFw
wNEkfa8G8E+bRFcE2Zf8j86zLkX8cjDAgjZjQw7WXdOCYy6gpWOWCP77qvdMoDhNYh/k0JZXGICy
ylW2iGvM0CatxYm89gqR1/LKcIfpPqwd1MNT2j/Hjoh2K/DvuY2igbCimBN2GQbUqL6pyERb9+21
co6k1ccLmA2EYgRXhWLFvv4ItFuC3p+VuAtQF6x3i9c0+9O6QUKv+togOLHO/JFzDwIKWeoITy9G
inTdzqreQ2NGdyxObZLXZVyyZiMCs332G3O6f/s9/+EU9Ch/+BRAeNnfoCVw/PvBDWxx5yweA3Ia
ZgE876swA/FQUxl8Z2XrG/TVLkYkglXNnUvxF6ryOZgFhK6VmOnc3o2VLK+cLneeIP7of0iStt6U
020j3dZFzDmAVkCvHJ3bERrRxxgzHDAAKCg8S6hhtwlM+wsTEO7XWNocnHpNnIao5dZwVwhtqSMc
GOSeMeU6GjjHHSxPE0lBN74DyHhpW/56OHFZg0H3CLFBENI5P1u0i58qr47n8A4DQgoA1bzABfaM
5AbFv7nbF0OE9nziDUm3sRziW1TQ8iDaqQhBuVXG322u56lSUJywSiQf8nbDAt5/Tw2qF+tChLOm
HjjBsjHloshuo9H4VBkAyDZAqmCFjoBSnTVIoqjdmBZcwlXSjv2WKwD8SprgU2L7VXHXoz935bd5
ciRZKq/p22GeDa/U7FcVnaQvYvZS3Irm7LuZtmKTEQdEkDeXBcbuNETPs4Mbw2WHmsAm7ri/LwEt
5TgZyaS6xTMM/bwpUi6QxbI1MVmKfAoxnmdUj32RJeNGBp73USnAras6CVN31VhDPWAFHzZQrlw1
N2vSNP9PoL0NpqMAHeFRoD1hreq+t5uDVWN/eQjAixytsI+qVTUEl4AaFcr4g+jXno2Ix50xgmpY
JY5u8tethUhpDoy+uvXCPGvW6LBFwQa8tnoMo55rN2WNeCj6hhBYZ7UF34ReH6EBeFjRoRCJSqPz
1CqbMKHwOW0IATmIQRdM920882OzB9sQ6BPFch+MGopyIsm8IzZfac/NLCLhVyRMPcnLJeXaZP5A
2a0+Ut/xxS6c4dnCNI4n/0B5J7oeUtWBp4batwpJVS/MGAMZJXNNWbSxtVK4GtYl1W/TXL6I1o8v
rcGfNqDxrD/nriwRXKzbCzrNwc5aZPkN1TVERiSmwLVbRc8slOlH2AcJQt1U5TYm5BOIcUFXXKCs
5mA67A1rFtap3BEU0+RThDHwQCu7Z7s2XfCRcVg9GI4fp1cDbGy03YsiU/mDNwSlqVgA2Vx6m9zL
fZp0EF+pTaYrMIpQxuEPU4iAbZvasSGA780ID+EDlApVfTGiwZW8bprgez7Xc+7vDFzJLrLFme7L
NGWkCxxJrsyQ2jGnvWE/1T6ory3NeBTJc+x1P01Gy4zNQcelQILcrwdPca5gBR9fxLCVEfz2hQaj
FbRr1jRTMNlDBzReu9QMMrDlUMpMs4FEDTu3QiKuZerTgSM7tsO73vOXbr3Mrv0UOCOmEbGJulyX
+ZxG+eg8TcGiHiFYtc/tEmnNdpeDx+Yc8uxcbfMmQnC8Zof6a/hf/PUIsutKlXQgI1OYfQTM72/S
OS+v0iK1HmrT0X+ozNSx6wbOZ46zIFhltsJGS4iO34FXyzeh8CiuLdPkN0hR6QD58PCfNAIb5EIm
+RNNJJJrtEg5YhQMg2NY5+qokFa4R2aFS/2lGqHPSGI4/xhQgLoCjNLgTOG3z7XSQ6mVOh/atuc/
T2+b9z1KmWTVNF0IOy1I9vF8W59ikTRz7eamyFNA1OEgrvuFGRlsIsPZog0ziEVtsUqa7/uYdEOC
zsSchu5N1E26AK+jx9li7AU1WQT22b9aWGton5EumO4T/V80Vip8sxOiTzMdnCc6B2pLF799rjJu
21qF9dckxSxmDVVivj8FCihrFfPllGTu00nXL2kzprbmZVBtTJ5tmeGCHNMyOCAha16j4WkA8ggQ
OkSlozyyjJg7S79tUdZcPG3Z7HEMm+7NxCQIL7Fa2Toirb4GfcZtPqf41mwDcLlPbruAWoPPBz60
bhvefOBnoBOX4zwdESkpcmhgBDi9DlXSJemeX5IfqUOfOVFUPzNntvEMNNI6gabqah1UZ/aPUDzs
p8ijZ3HBtcMLUnJErdCHRZ+ghy+CP7Hq4eHFaQsJCujTbkAggjCIm6fbNOOdb4+gJFXLHFWBT3DH
L1WoeX3QfDjbSp2qYA9DaW0WBAZ0QA8uM32NvY534HPKKzkY7j1ENDyIcUflbYceZuQ4cuN2enk6
COVfmyFkYcpOWmouGQhXbRiZ/YdqDA0K/1FADijcglVL28KXW9psvAyObNhy2Slj1glfPU5D7D0k
KaX9bVeb8QWECtZIFlE2j/KRMcULh+8/HQJpJqf7OS4YlQxF1aM7O/JQK3ZY5erH52Pnr3FzIRzr
RPU1EXQhINM0e8L9eo8ZJbMaW4CQMy5yxmFkhlQRB4/AY6fbCdWHp8ZHSyA1sxyp7Xgx3E3osOOb
BqgDoFhWIn40or0aY44ARxCjb0WDjy4xbR22twr7t/Hgl3qCktrmaLLKoN7njVD4sSyTwppwMVpY
VyBVV5avfZQsyHkfZzNxnqS2G7cMnxxAJaQhNmYoD6OEaw2EUdsgcc6jnzfHqvrqwmao17UYgYzq
L+QmIkZuXU4gZCWwL9AJ7zIa1VeYJGxROjYPMUc3cgmktA+U88UDACampdNR2gLrDrEDvTpP1+a8
mKyoCpAvSKGIbwfTpI6FRcsh6S1K931PJqNHjWrapKh4C1zv6B2x6V2+IgWw/VT1Hfu1iOgsZmnB
tsLYM9h4cpG7vs2wn3HQ9AStlrK5LNvndIzaBt/EiCWPIHIaTPdIo7hyOw5ejW2jk+VbR/WZcz81
Ix6DBVLHC9wU03miPseq4U+rRzCtpK1Zbx9SDFzKLYp5Y3aZDy4/TQPNqj9SxB1ZIgGNkvWiL5cY
nUTOvslKjIsyFFr1pBpCnZLbHfkKrYjy6jQAL2eRTtyHxOJc0AdrE3rcOKe1G6AdEaJAWyFE5MXz
n7Tig7vT+rStPrjAfqe/wDFC8y97nyUC0ZsF5aTDJbwDCAovCyIfc/8vRK3SYZ03Q7M3kLTYZloe
mbKueDitChfY0LJKsTS5dnF7uhB1Ia7RVWAQ0lbbEbrgFlDBcWj0ruclRY+ktihCQIOPl1WsP8gY
c1YfxofZurHpmFzMBELNhtxTXAubT2DJiQf6SuW4EVnIzvJAUd5b6E3IHSos022flJz2MhY39CyX
OzJ1FrWJMlm/7ka2yukEtNMuzYFRegx2Fxj6+kaoGDV4b2Tb6AsIqFco53FdDR2HQhk2Q7CrDV9x
XAFjgErSd2wzWc88N6zm6R61skYrL8HsUNNM4OeccOUzuHrI7XZnbBIbAjIQOaNCkQB3wWnf9UMR
3Qgtz34oOEavG1Mbpjt+xxPCuGS1myJYmofO6QlCQiNVjyfZ6AJJbr7XU+Ot3Vvex96f8htLOt8j
IzDWqUraPVaL6OU37J0xDZO/Qol8vGehRS9dUur1UEo28MT1iJIvN9Icj8u6o+SpiFBm9zFNZsY5
hoCwKp1xmS4M0Nc7E/mtAaljvD6iYcoPiAAnHxA1EWLNrZkfyOynfSFQf19nVVV8CEqav2rKiBdc
a+IwJMjUtplW52+nqe3My1of/pdJEFKIpDBPTNXbJRkMft4HVEWowlAp6vH+wuD4I1okTE+TV/yz
VoJBks4y3VIBBEsvcdyhg8e5VA/EOAAep/saWbn7NMQ5hU4JTP4aps0pUU4zTtkRgTH9VI19NRte
Dwo/xSarJD6wg5E3nU6XSRBxbi8I6KQ/SmJMbhdVqW2i73CBRvRj4AesoFNiGJphUUE3SOghNCA6
H0q42MEV9bRm70WlOsYqtA8gH8V1ODkKCZuufcaOxt+4Ehs0cjDmFfk77k+s+Fitechptbix9TDw
5PXp3EQGkcNRcWFu57pgT2Q63qwC5R/zBtdKulaUr8bJhpuQTeMK0T9CtZot1GWgiePAwCKodHZu
qE/mZSm5gcjtor3lRPEPe3DN9goNIXZcpzXynbRWRwxPdYRREz0Y3Mx5ihTLwfOA1R1I2KZu35Lf
rFBRby7oLvWQbSzLJ1fpaDSnoBRRq6Vk56DotqbOw5B4icG1EQQWmUTucrG4w+w+RFSsN0sNlKly
JvbDEurj4BQyO1jngQydVlTJcnNHRxmLd3furB1Pjh5Qp58+TZG7HCN7jj9VfZhugJkqTmeynWXH
hdh7KAGgYYCOSWXcAifHdZBwuvC3spHT3god47um8j4nql9+ZESVf5XwVwi3xyyEFj1bV6JqzSN4
zfIio7jyBUKY29AaDjKsw2rUJbZ1SWfRkVN8jVYcHPnEjT/nVRd+REllmNZ9jkp+2jrmBSZ487WS
VfApQkDle1nP/E1OAQmGSLlQ4e2C1gtCAWY44irfmQ3S7mpwX3Bd/+nwvNfhobFAp+J/9/T8/KPt
/usxbsK4iJ9eNXlefvJvYKIHjtB1ge4K0D7S1mS1n00e38L5xQJhiMOK7rVY1Kn+7vSYf7hUpwA7
eUAaaU5Q7/zZ6ZHeH6ASXQ0bgsx0ko7+NyxeoDK/KoaB3YJGDg1SW9DAcPiN4BzOqKyBTogObe71
V6VfEMoUVtVeyRkFGFT/CXzTXor7VhirOYcggINevMlMMe7TqDGSbRD03q7pVPORWgLSUjIjbMSD
4yJSBjcmml3lVTk59a538w6bhTRyDrRTvGbXJ32A5Lthj+4KpjveynYKmWVQdMidCk4FgnCXOLj0
eGnOISrRuR9+wutJkcVAoljDCf6ixvERyYDAXWE7MX+CWkepdgSiHQ8GCncIvtyFYykuadXBJJgw
itpyoWc07Y2gvnewtzjyI/gFNqY3XFT/n7sza24bSbbwX3HMOxnYl4eZiMtNoijJlmy3lxcEW2Jj
J0Ds4K+fDwSkK1CyZ9rwA2IQ/dJNdZFVyMrKyjx5TjS5c63YSxdO5ZWXiXyIbo4lPRtVKgtfjklS
bDxZqD8BVJFXdZI6HxBl0BDzOjYzD/Z+uqSa4i5csi8reEYLiEvLOvxoO6q6kuQqRjGKj3XhIG44
nz4jIac2IgjFjaHUwAODbD6BLQ7qjAhIPfy52Uc/9vQPViTKd5YiC6DkNe7Aqwi6DZpyoSNZoHJh
zmDzRqwFtz7T4JxY8Jvhvk8zZa5EMMVLE5jsrUr+kvt+fElakmxATeU7d97bxhFSGITnlWChg7SZ
K2qpzPYIDCugP4hqAGxqDe/OMUPNK7tEFiT7rKQgEsgXHcXlpIDSS/FqGU2vdK/yPtT8+mhIl5kn
fEODUV3kzGUJrOEPCz6fKzS3P9d+rcD0JOy/07ZXX4lOrM9COOdAgNVLW8zUReDZ9n2q7GX0MqAu
vjG88HAb7B1Uz8wAprVZDKMaqK1U++DLE2sxcfTim5VY0h2MKd4SQqnquj7Gu0yCbRnACpxb1sHF
Z5ZeelVxriSeJs8hvKiQJUUWLRA1C32KiXUnytlXlHT2czTY/TXaWZa9KTOUM+4qriyHLUI/6XcY
t1Cp8woKMbBzbRos70cfglWaNvf5tZqmB22eFSFLVsZhcpNLwndO2/x2EksTYDDCDnA84LUSesRQ
3R/Whafks8CVhfewJYvpAhYr45tBavDTcdKojBVWsNQOIOlQ6Mjz8FJQctVDCSXaB3QjleV3B90Q
YSHWXM2WKRJkwMC8RJwdectLVUcyh+tnIdwV0TGY+4IjXMcHMskQmNfWXRFLH0pV/HZMzW9CQj8I
WeZlAmESCu2aS7ZGAbKTXBQpFiPYkvYFdNIn24p3AtcDVC1R61gmVJGIKImr3jsBcuF704Bt09Gk
Sxufc88I9kyXUwcRKHcDTrBcw/OGbCxUIg6Hnp2W0k1qpkf7wrCqxAYFEn8L6aUCY5HVOj8pXXmT
3PqAViLwpYMf39SwyS/SAm2TXDAvkFlx1j5aOoc76YhEzWVuiaE5N/La2/iy4CGym8bg65BuV29S
VbaWuhw5a2684vIQZ+VM02lhEGPN+EKvH4032XGzF/TJJex1zoVvcLxbmgR/pkV4awp1udorHqmv
KvC/0qxdL0LvUG4MVyerl4WzpgRKsJMqkAoknnpHUtpfxhrChVqJwK1RAMXyoJy68nwZ1oI8R1qL
Xr15IYb2TVmoJSsAWSLVD0Fdq5mR3FRCNvmjRMYuDzbojNuLMEhjkoV2RKBMA87KizdaXX1FaUZb
wFsmrWEEPi5V/moTqEJ0IwbygXKTMkEN8hAdJFLjiKXqa598H54qOdzJZiJ/AuqLOIxGZOLQblTO
6/hYow9kRfrcDHz/25HQB1yJXm5UhY5DHMR3AITQEBa5U80ofCYrsnlojB6L2+Bo13+RRSn4FO5Z
R7Uh59PdOEdvPn1QLA19Vh0CppmjNSLtgKXWVlhDwxZZCZ0t+XcOFgRb6Gq63B8PJbvUQjIdktSy
BGtJA92DtOe0WdLEk16jRGCuClv8aFMauaSlS9iQGY3nyd7wLgKdFi9QqJdpzG0LChoDAqaonkM/
WlzChCushRoUkmX6zlorFfjvKadttAwgFSe2sUpjQUKbXTQ31V53SdQF9zA80pyc2voFwTqy61bi
/pWTe4pIxRvKjJBOmZdiEZA2lw6ke1CHBPPvHxZCI5YkRo3qtARjHVv0xoltwkHUA+d+EE+am6+5
UCVXvAJUba3K/LCpwvCwFI5V+ggpHWyPYVxSHgjia3IVROi54qyTI4JXcMvR55WQLbXzZe6Xf4ah
ki8FMmbLPOe4ERNnbSSpDcV40DCBGrcFaGLgp6iFhhJElHmh3tFbGK6SSXpr1959LqSTu9LxPlSs
65VVIbCVCMGtrYfHVaX5CBVWLj2gIJBTbaUe0wQ6NtOmybHIM67oVf1Z8cnHQf9VKveH3LW1KxKL
JNzqVLCjpcTJmaAUXsmQQgky3d0zBUoyYalR5xCWjmVyGQ5dwZx8LVOpgsGZZuQjIs/0s3IX3uvH
WeWLQYBCXCaK9WWsuh9VPWn67IsjoUyKcBHlDNJdoHhFeQZDtheh5JKEuzoSK3Um0Nn9XoJxwlnE
XnL8Isd59SWEX/JKzzwRwcl9enGoJ8hMQdBdoQxTk/gAS1fi+oM9a1A42WUNWpU6Fx6z4TTc1p4B
m2iUe1f0YOQQIEt6eG8cc/cKMs90AXvBUudqvqolw348SPnkIs1K9UMKZfGqNA7w5yGlu5+Fe9wr
JHUsEGK91Qp1GvsPpbZi6BaBKyYxSZOZGcJE4yZHpVgIR7QpyygXyxmnGwi0iHaGTRLnobPMpCQW
U8poOQhBTi5hpaKdRjKndlAUS/WctL3PRbuGgtCGoyAt8rXg1PkmcPwJYO2DRuBnCTlMKLJivhfV
iZbNo+x4cFdomJrLyDApNzpyri18+yB8S1XPEReVJ3h3hpMc7kkelynltdqlc9BUL1Io8FcJKIvL
o+jA5QuqoRBmQp3oKUmJOvsSmKa5sFJTvIaLM1RnAS//61F2lRWygRdyZuWHmXvMgL0Z+5LqH7k7
ugbl4hJ21xLJaze1l3I1CW8V2mRRS5voB+RFod5ZK64ifEEa14NOGMWSuU0bNLfjWtkXmEsmQO+W
ZV9x3selzCJtIlP8E5Uyn43NFXPGG7UOs8AXam6aiQ/HU5Z79SzJVWmeZRpVSkVzwvd7GFXAQvpO
vsxU5yaG53VllmF2Xea6utYcI67noG/UuxRWb+h1yE1fKI2wmclLuzLgOy0WwV6pHyvLcL6bxNyf
pVrTN5YCizpNnoV+nQqEZgvLFm3zJhRUeS7V+tcslNMvNfBEIKCqgnYVuEmpUoV1Qgk1QVPa0741
RIXQIhiky1zAFpwlknkTgKTeSRMLmOXBFbf4U/fKLSciKQRF+wq5bFojTBjq1mpycB0w4whSz2ww
h/SyZPJ9LkbyUtVogYyo3y4prpkXZgWQWq2KgpxKUSKtbJf3KXpvTQdgNfdUH9U0P3a2iCFXh5kU
RcpKdCNgZrEYJ8uDVGTzMKpcyBezw3KiOdpKKmi5BLhUXQNJOt7CgBt/jCG7U+f4c++vKBPTT9DJ
Bl9tUQhsoJueeRXVtnXl6oFwBYEFOCfsdSPAInknHzPE2IHariUSx8sJJEUzUVfiJQ3ZIrG/gK6r
agET12FfxzWH+1WpxeqFF0z260ogFo/hfPsUJYFMlTBZZpC5vndtqtWeFxa3HvCMDU6iWLAB2Sw6
Gn0pvEY3sp9Abjs5oMAYetqyVsQwmvtFfUBtMGWvQ3u/oQfaWgahcCCAyoIHx9fU46UOqRnitrkG
AjkqH7Wwcqi0BGZ1U0hSJa/KRIlaFMn/zP2/m0gDwFzuMzer7/JdUt/vUhrk06eLcfPpiZjmU/Rr
f/TzgbpWxTaj8BCBX2h+AenXHvgT4OZZPuH0k06/92cjBHDFZfkjXZCyOVUpxMLWBFiyeeR/vAsi
Olbajycm+FDQYfTRI6jTPO0XvliiHy3Cz+fXrubP/6Y3gx83er6RVfnBKpyN8WIVjKkG56kONLad
JdDAl6tgkDuBqY4WSPAw3SqRxhnRKgA1BQTVSy39wiJQAVJVMkDtJIF5vlwEUWgAwbSwadjIuGYv
A3whCTVs+rT7noi7YAo7PWfTZyeQB4cspgGtNk+byhuRDUANaWC4w1bBmJqEjhDG9F++rk112qDN
Zz8wOhvgrbW/qeUbevbPr53hj90ADdood0gwh/Rnb2hTsIS8fbgJ2mdsOwBB7cEbQJnyfqmQkLM9
PWeLIIrilNUBoUxPdvOwQcblBiR66ofaAE36IoVbXUCs7/SwzV96QbQUwXpiC91WG9H+R+SifSUD
dkDTDgIUnLJtO/tzN6DiJA1NATHeft4a3YgWgdYSkcrGICeoaOhlUj+hcfRk6I2lv7QBU2nqJbRa
dQwTI5q+ynsbOHuqQZKqUF4CqX96zmZPKotoiN5rVro1grH5AS77gzeCMsXCaVOAtuH0nLkBU4IB
BE4HmDzaRRrdRoBHryHMGLQRMAUoK0C1a/qbq6ATN7NIMFt0n48uKiDn1cZpv+4TFXGqNtSEpNDe
3A/o7urQOnB3GJ0NoIM62BnKxpTXj5mDKzg9eNeeM2QnwEKjg4ZqbWR0q0BA3zT3DNoJkjFVG8Yd
yqFvGgGF90Z1XkGftP18dDsBxlZp8BWROxCxEfFBtxXObOEUIuow7wFPGNuhwF4QhlqB3DA4ER8Z
T9HRWXhkcDLSPcgNurtCj24V0A9omKIG7QVWQYNe0WgkCU7PWYBgwI6lkFBSYG46PaPbC6Kii4Mv
CsoU5jyBdtvO751FCEBfMAaEJzgfx7YX6EN8hUT6u+kiRZiKzJ10UHddfL0X+Bo6oJ83y9hWQSKC
b1/NrwcH5E+7xvm3r4uiqGEFKrdFo90MbWA6ohsDL8kY7BdNWAfIDVPJf97xL2ME8ifER8SIZFBO
z+h2hKydmhsH+UWFDY/oAXF3ZwuvdwRYZKIIukRPzwj9Iq3JA08HEij03CI2Af3Y0yxf2oIpU3EQ
GhqI7vPxnZGcbjQ2D7KF5uZEA4DRoDHfuj8aKjsC1mBZ7GxhdDtChDhj8C3aICpuiJH1rrp0FimY
3C3gweWa3QVUrfGNyTuaRPRDbUGYglLF5AHlts/ZDUok19CoYRmd3xhdjY1sV8OGMWhHKCpJtSZ/
/OJdv/QLmjmVsLmmYb9dpNGtgkTma+gNijPCaAigKTW2szyLGvELuiygSNCcp80zOu8oicgIDbUF
fUoGHf5a7ghvnRFognDFIHehyeOzApz64PmTUiJ/2tyk2/mf3aOpNeIwdBqLunv2+KygMdKhViBP
6R3AKT7NEkf70iNQaqGFQINUv0tEt2HqiE6HRk1r8CpwjwJYQNj4dn5NJ6ok4YAEYOsQxofAYBUG
59dkZQptVcMz0u2IM1ugp2kKOxELZYzuBsX8taGRElEztXVJaWrMb3lEXZ2SV0Kc6ak4O0KPgJDb
QI8ggzCBbw46pi4SYnP1PII5FQ0u0zQ/tas0xlVomJ2GRUo6+TN6tQz8Qvv0VwE/QRW2KdU/uYTT
F47JLyrkVoauApOkvtaw+LWLcB4pkYsVsJWGh/9px7Ds41oFc/DdgR2BpDz36XaSr0rR3DNxi7Tu
dRW4NjQZ1SrgtIbagox3hOkHkNvbO0ISps+aCs3mG9P8KQgMtQJyrYZJRb7Lrp2gNz2/qE9h8DOa
a/bzXhnZKjTAqqFWAPQGXQ0TatPnWfZWgXgRiQKhwSidnnbZR2QLwBQbPaBBp4PMXqBbjmipixfP
IiWwqgj6cHhwWz09ozsjm1UYXJQnXpQJhrggtLM8ixSaM5IziBJVZ3ZjsgLIwQfXHVQQiaQWoZlt
D4azGyQZdxrDpQan034+uqiZS98rgZ6/XYNSyDWj242idj9EApOhUe6Gc7gLoUaXXqUu9oru+W9P
n0DxpINBS//pOd8Ep2OxyWZ32I3xGYFmNljbQQ6xuTqRJyNZ0iWTzrYCiRSCAxFya+igT8/pC/8r
h/Bf/NFzR8jccYPHUy+Iu0vfahn50R88dUG8/rzrgFg//vMfTatH7w+b1pD2u3enJpXm3//Vgzaf
oqAXHz5FRafv6f73boKvv7r3XU+zevqPl+4u2aIOUJ8+qLuf2epq/V+w/XMbbl/SV+CM2Z///0te
yXY9v///MHDqn43bZKUHj5tAHL3vD3xCUw8f2N/u02369BOb19hCE4eOPN8G7l9RcsYS0mI/B48d
BVGyfYxe/uq2u2T4yAgYPmTuQ571Bj9B9IYOvtgF23Kb7F6O3AKiB4/cqcu9i/56N4+CPPyzT84C
3/5vsEIUNRL3sW+FLW5t6O+/2EUwyvRHJiggGh868iUr7rpP45zMWwb/9PQf2ua1nkt64ep/ttXX
j1unZ4AdYGfoD17DTrmP3P6ObLEwg4feP7rbMy/SIisGjxyV/ZeHGB9n5tBhN699U1vxHTwwA+QP
fv30E0920ZbUhw59HaEG9GqZ2xLt0LFvtu6+5z26oufwcZM62O4fXy5H16k1fOg03T44ebrLsp5N
d40wg8d3HxzX3vZbTtsi6PChOQvSKOtZdte7MXzsNHX5J457vqkDgP6O0aM8OR+6wVkPHho90jMf
0lVbh458u/szgdC5v9ptIXP40MW2f251uLrhA5fvLrdhnDpu/1hn/Kb2+DvGv9ol6a7nqbqS3u8Y
/GZXuQ+9Y6yrlP2Owb9Fif+0Bqf7QVuEGjx0lGTOu/k2iTgp++ZCukV8+sZfP9pvT1+w2Prne1/W
msLJ0N//3nH7K95WIgYP6wdEJP1bDTo7TXp/8NDJzj7v6j9lzIcO/GG336dIjm3PrglwJTUJ6aHD
3zvR4+7dOn11trWZ3qHDf4zyHxhil0T9PV/w2hC77OTQ4T+x+rs03fVCCrnN/A0fu+rfKrv+96Hj
fs62zpNhND6laxkZOuxPlLafMxe/lhJ4kyuz7Xsb+qN/rrY28Hf/R6LPoeO76UOEUmEvcusgzoMX
BuEOZOh6dtJm8X4+8luZpudC3ev80xNByFv/Wz+51vzFQ7DbJv/6NwAAAP//</cx:binary>
              </cx:geoCache>
            </cx:geography>
          </cx:layoutPr>
        </cx:series>
      </cx:plotAreaRegion>
    </cx:plotArea>
  </cx:chart>
  <cx:spPr>
    <a:solidFill>
      <a:schemeClr val="accent6">
        <a:lumMod val="20000"/>
        <a:lumOff val="80000"/>
      </a:schemeClr>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9525</xdr:colOff>
      <xdr:row>0</xdr:row>
      <xdr:rowOff>0</xdr:rowOff>
    </xdr:from>
    <xdr:to>
      <xdr:col>0</xdr:col>
      <xdr:colOff>1819275</xdr:colOff>
      <xdr:row>35</xdr:row>
      <xdr:rowOff>95250</xdr:rowOff>
    </xdr:to>
    <xdr:sp macro="" textlink="">
      <xdr:nvSpPr>
        <xdr:cNvPr id="2" name="Rectangle 1">
          <a:extLst>
            <a:ext uri="{FF2B5EF4-FFF2-40B4-BE49-F238E27FC236}">
              <a16:creationId xmlns:a16="http://schemas.microsoft.com/office/drawing/2014/main" id="{B7F3F24D-57E6-B400-631B-6159AFE523EE}"/>
            </a:ext>
          </a:extLst>
        </xdr:cNvPr>
        <xdr:cNvSpPr/>
      </xdr:nvSpPr>
      <xdr:spPr>
        <a:xfrm>
          <a:off x="9525" y="0"/>
          <a:ext cx="1809750" cy="6453188"/>
        </a:xfrm>
        <a:prstGeom prst="rect">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66675</xdr:colOff>
      <xdr:row>19</xdr:row>
      <xdr:rowOff>28575</xdr:rowOff>
    </xdr:from>
    <xdr:to>
      <xdr:col>0</xdr:col>
      <xdr:colOff>1785938</xdr:colOff>
      <xdr:row>32</xdr:row>
      <xdr:rowOff>28575</xdr:rowOff>
    </xdr:to>
    <mc:AlternateContent xmlns:mc="http://schemas.openxmlformats.org/markup-compatibility/2006">
      <mc:Choice xmlns:a14="http://schemas.microsoft.com/office/drawing/2010/main" Requires="a14">
        <xdr:graphicFrame macro="">
          <xdr:nvGraphicFramePr>
            <xdr:cNvPr id="3" name="Beverage Brand">
              <a:extLst>
                <a:ext uri="{FF2B5EF4-FFF2-40B4-BE49-F238E27FC236}">
                  <a16:creationId xmlns:a16="http://schemas.microsoft.com/office/drawing/2014/main" id="{81E0CA43-8C99-4E36-9C4F-A33B16FD8387}"/>
                </a:ext>
              </a:extLst>
            </xdr:cNvPr>
            <xdr:cNvGraphicFramePr/>
          </xdr:nvGraphicFramePr>
          <xdr:xfrm>
            <a:off x="0" y="0"/>
            <a:ext cx="0" cy="0"/>
          </xdr:xfrm>
          <a:graphic>
            <a:graphicData uri="http://schemas.microsoft.com/office/drawing/2010/slicer">
              <sle:slicer xmlns:sle="http://schemas.microsoft.com/office/drawing/2010/slicer" name="Beverage Brand"/>
            </a:graphicData>
          </a:graphic>
        </xdr:graphicFrame>
      </mc:Choice>
      <mc:Fallback>
        <xdr:sp macro="" textlink="">
          <xdr:nvSpPr>
            <xdr:cNvPr id="0" name=""/>
            <xdr:cNvSpPr>
              <a:spLocks noTextEdit="1"/>
            </xdr:cNvSpPr>
          </xdr:nvSpPr>
          <xdr:spPr>
            <a:xfrm>
              <a:off x="66675" y="3592046"/>
              <a:ext cx="1719263" cy="23308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438149</xdr:colOff>
      <xdr:row>14</xdr:row>
      <xdr:rowOff>157163</xdr:rowOff>
    </xdr:from>
    <xdr:to>
      <xdr:col>13</xdr:col>
      <xdr:colOff>19049</xdr:colOff>
      <xdr:row>33</xdr:row>
      <xdr:rowOff>157162</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923DDD23-5F4C-4F0F-A0B1-5374E0E426F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800849" y="2714626"/>
              <a:ext cx="5300663" cy="343852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119063</xdr:colOff>
      <xdr:row>16</xdr:row>
      <xdr:rowOff>117662</xdr:rowOff>
    </xdr:from>
    <xdr:to>
      <xdr:col>8</xdr:col>
      <xdr:colOff>336177</xdr:colOff>
      <xdr:row>33</xdr:row>
      <xdr:rowOff>128586</xdr:rowOff>
    </xdr:to>
    <xdr:graphicFrame macro="">
      <xdr:nvGraphicFramePr>
        <xdr:cNvPr id="5" name="Chart 4">
          <a:extLst>
            <a:ext uri="{FF2B5EF4-FFF2-40B4-BE49-F238E27FC236}">
              <a16:creationId xmlns:a16="http://schemas.microsoft.com/office/drawing/2014/main" id="{C287ADC6-A558-431B-9AEF-6683DB40F6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19049</xdr:colOff>
      <xdr:row>0</xdr:row>
      <xdr:rowOff>128589</xdr:rowOff>
    </xdr:from>
    <xdr:to>
      <xdr:col>8</xdr:col>
      <xdr:colOff>381000</xdr:colOff>
      <xdr:row>15</xdr:row>
      <xdr:rowOff>84044</xdr:rowOff>
    </xdr:to>
    <xdr:graphicFrame macro="">
      <xdr:nvGraphicFramePr>
        <xdr:cNvPr id="6" name="Chart 5">
          <a:extLst>
            <a:ext uri="{FF2B5EF4-FFF2-40B4-BE49-F238E27FC236}">
              <a16:creationId xmlns:a16="http://schemas.microsoft.com/office/drawing/2014/main" id="{C2566E05-0AAD-4C68-95E7-F359132737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134471</xdr:colOff>
      <xdr:row>0</xdr:row>
      <xdr:rowOff>145222</xdr:rowOff>
    </xdr:from>
    <xdr:to>
      <xdr:col>0</xdr:col>
      <xdr:colOff>1770529</xdr:colOff>
      <xdr:row>3</xdr:row>
      <xdr:rowOff>196559</xdr:rowOff>
    </xdr:to>
    <xdr:sp macro="" textlink="pivots!N9">
      <xdr:nvSpPr>
        <xdr:cNvPr id="10" name="TextBox 9">
          <a:extLst>
            <a:ext uri="{FF2B5EF4-FFF2-40B4-BE49-F238E27FC236}">
              <a16:creationId xmlns:a16="http://schemas.microsoft.com/office/drawing/2014/main" id="{58B921F9-870C-B78A-2A95-EF360A5FBD97}"/>
            </a:ext>
          </a:extLst>
        </xdr:cNvPr>
        <xdr:cNvSpPr txBox="1"/>
      </xdr:nvSpPr>
      <xdr:spPr>
        <a:xfrm>
          <a:off x="134471" y="145222"/>
          <a:ext cx="1636058" cy="342690"/>
        </a:xfrm>
        <a:prstGeom prst="rect">
          <a:avLst/>
        </a:prstGeom>
        <a:solidFill>
          <a:schemeClr val="accent6">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6EC0CF1B-BE6B-42E6-A71D-22F7901389AC}" type="TxLink">
            <a:rPr lang="en-US" sz="1200" b="0" i="0" u="none" strike="noStrike">
              <a:solidFill>
                <a:srgbClr val="000000"/>
              </a:solidFill>
              <a:latin typeface="Calibri"/>
              <a:ea typeface="Calibri"/>
              <a:cs typeface="Calibri"/>
            </a:rPr>
            <a:pPr algn="l"/>
            <a:t>Sum of Total Sales</a:t>
          </a:fld>
          <a:endParaRPr lang="en-IN" sz="1200"/>
        </a:p>
      </xdr:txBody>
    </xdr:sp>
    <xdr:clientData/>
  </xdr:twoCellAnchor>
  <xdr:twoCellAnchor>
    <xdr:from>
      <xdr:col>0</xdr:col>
      <xdr:colOff>134471</xdr:colOff>
      <xdr:row>3</xdr:row>
      <xdr:rowOff>190500</xdr:rowOff>
    </xdr:from>
    <xdr:to>
      <xdr:col>0</xdr:col>
      <xdr:colOff>1772471</xdr:colOff>
      <xdr:row>3</xdr:row>
      <xdr:rowOff>532500</xdr:rowOff>
    </xdr:to>
    <xdr:sp macro="" textlink="pivots!N10">
      <xdr:nvSpPr>
        <xdr:cNvPr id="11" name="TextBox 10">
          <a:extLst>
            <a:ext uri="{FF2B5EF4-FFF2-40B4-BE49-F238E27FC236}">
              <a16:creationId xmlns:a16="http://schemas.microsoft.com/office/drawing/2014/main" id="{35467A0F-7310-3509-B238-9176A75A8499}"/>
            </a:ext>
          </a:extLst>
        </xdr:cNvPr>
        <xdr:cNvSpPr txBox="1"/>
      </xdr:nvSpPr>
      <xdr:spPr>
        <a:xfrm>
          <a:off x="134471" y="481853"/>
          <a:ext cx="1638000" cy="342000"/>
        </a:xfrm>
        <a:prstGeom prst="rect">
          <a:avLst/>
        </a:prstGeom>
        <a:solidFill>
          <a:schemeClr val="accent6">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A45B28E-FF86-4D62-82B3-069E04BA0189}" type="TxLink">
            <a:rPr lang="en-US" sz="1400" b="0" i="0" u="none" strike="noStrike">
              <a:solidFill>
                <a:srgbClr val="000000"/>
              </a:solidFill>
              <a:latin typeface="Calibri"/>
              <a:ea typeface="Calibri"/>
              <a:cs typeface="Calibri"/>
            </a:rPr>
            <a:pPr algn="ctr"/>
            <a:t>₹ 82,15,165.00</a:t>
          </a:fld>
          <a:endParaRPr lang="en-IN" sz="1400"/>
        </a:p>
      </xdr:txBody>
    </xdr:sp>
    <xdr:clientData/>
  </xdr:twoCellAnchor>
  <xdr:twoCellAnchor>
    <xdr:from>
      <xdr:col>0</xdr:col>
      <xdr:colOff>95250</xdr:colOff>
      <xdr:row>5</xdr:row>
      <xdr:rowOff>145222</xdr:rowOff>
    </xdr:from>
    <xdr:to>
      <xdr:col>0</xdr:col>
      <xdr:colOff>1731308</xdr:colOff>
      <xdr:row>7</xdr:row>
      <xdr:rowOff>129324</xdr:rowOff>
    </xdr:to>
    <xdr:sp macro="" textlink="pivots!O9">
      <xdr:nvSpPr>
        <xdr:cNvPr id="12" name="TextBox 11">
          <a:extLst>
            <a:ext uri="{FF2B5EF4-FFF2-40B4-BE49-F238E27FC236}">
              <a16:creationId xmlns:a16="http://schemas.microsoft.com/office/drawing/2014/main" id="{5692CDE0-8F22-BC62-D7D5-8C5328997753}"/>
            </a:ext>
          </a:extLst>
        </xdr:cNvPr>
        <xdr:cNvSpPr txBox="1"/>
      </xdr:nvSpPr>
      <xdr:spPr>
        <a:xfrm>
          <a:off x="95250" y="1198575"/>
          <a:ext cx="1636058" cy="342690"/>
        </a:xfrm>
        <a:prstGeom prst="rect">
          <a:avLst/>
        </a:prstGeom>
        <a:solidFill>
          <a:schemeClr val="accent6">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8EC5D9F9-4A8A-4541-B23A-FABC4F6235C1}" type="TxLink">
            <a:rPr lang="en-US" sz="1200" b="0" i="0" u="none" strike="noStrike">
              <a:solidFill>
                <a:srgbClr val="000000"/>
              </a:solidFill>
              <a:latin typeface="Calibri"/>
              <a:ea typeface="Calibri"/>
              <a:cs typeface="Calibri"/>
            </a:rPr>
            <a:pPr marL="0" indent="0" algn="l"/>
            <a:t>Sum of Units Sold</a:t>
          </a:fld>
          <a:endParaRPr lang="en-IN" sz="1200" b="0" i="0" u="none" strike="noStrike">
            <a:solidFill>
              <a:srgbClr val="000000"/>
            </a:solidFill>
            <a:latin typeface="Calibri"/>
            <a:ea typeface="Calibri"/>
            <a:cs typeface="Calibri"/>
          </a:endParaRPr>
        </a:p>
      </xdr:txBody>
    </xdr:sp>
    <xdr:clientData/>
  </xdr:twoCellAnchor>
  <xdr:twoCellAnchor>
    <xdr:from>
      <xdr:col>0</xdr:col>
      <xdr:colOff>95250</xdr:colOff>
      <xdr:row>7</xdr:row>
      <xdr:rowOff>123265</xdr:rowOff>
    </xdr:from>
    <xdr:to>
      <xdr:col>0</xdr:col>
      <xdr:colOff>1733250</xdr:colOff>
      <xdr:row>9</xdr:row>
      <xdr:rowOff>106677</xdr:rowOff>
    </xdr:to>
    <xdr:sp macro="" textlink="pivots!O10">
      <xdr:nvSpPr>
        <xdr:cNvPr id="13" name="TextBox 12">
          <a:extLst>
            <a:ext uri="{FF2B5EF4-FFF2-40B4-BE49-F238E27FC236}">
              <a16:creationId xmlns:a16="http://schemas.microsoft.com/office/drawing/2014/main" id="{3FEF7C6E-2836-59A3-0F64-38026B24C6D4}"/>
            </a:ext>
          </a:extLst>
        </xdr:cNvPr>
        <xdr:cNvSpPr txBox="1"/>
      </xdr:nvSpPr>
      <xdr:spPr>
        <a:xfrm>
          <a:off x="95250" y="1535206"/>
          <a:ext cx="1638000" cy="342000"/>
        </a:xfrm>
        <a:prstGeom prst="rect">
          <a:avLst/>
        </a:prstGeom>
        <a:solidFill>
          <a:schemeClr val="accent6">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7785AA6-ACCB-4CF8-A428-A67EF502DC83}" type="TxLink">
            <a:rPr lang="en-US" sz="1400" b="0" i="0" u="none" strike="noStrike">
              <a:solidFill>
                <a:srgbClr val="000000"/>
              </a:solidFill>
              <a:latin typeface="Calibri"/>
              <a:ea typeface="Calibri"/>
              <a:cs typeface="Calibri"/>
            </a:rPr>
            <a:pPr marL="0" indent="0" algn="ctr"/>
            <a:t>16482500</a:t>
          </a:fld>
          <a:endParaRPr lang="en-IN" sz="1400" b="0" i="0" u="none" strike="noStrike">
            <a:solidFill>
              <a:srgbClr val="000000"/>
            </a:solidFill>
            <a:latin typeface="Calibri"/>
            <a:ea typeface="Calibri"/>
            <a:cs typeface="Calibri"/>
          </a:endParaRPr>
        </a:p>
      </xdr:txBody>
    </xdr:sp>
    <xdr:clientData/>
  </xdr:twoCellAnchor>
  <xdr:twoCellAnchor>
    <xdr:from>
      <xdr:col>0</xdr:col>
      <xdr:colOff>100853</xdr:colOff>
      <xdr:row>12</xdr:row>
      <xdr:rowOff>21957</xdr:rowOff>
    </xdr:from>
    <xdr:to>
      <xdr:col>0</xdr:col>
      <xdr:colOff>1736911</xdr:colOff>
      <xdr:row>14</xdr:row>
      <xdr:rowOff>6059</xdr:rowOff>
    </xdr:to>
    <xdr:sp macro="" textlink="pivots!P9">
      <xdr:nvSpPr>
        <xdr:cNvPr id="14" name="TextBox 13">
          <a:extLst>
            <a:ext uri="{FF2B5EF4-FFF2-40B4-BE49-F238E27FC236}">
              <a16:creationId xmlns:a16="http://schemas.microsoft.com/office/drawing/2014/main" id="{15B127E7-4080-B758-E0DC-490BEE25BE61}"/>
            </a:ext>
          </a:extLst>
        </xdr:cNvPr>
        <xdr:cNvSpPr txBox="1"/>
      </xdr:nvSpPr>
      <xdr:spPr>
        <a:xfrm>
          <a:off x="100853" y="2330369"/>
          <a:ext cx="1636058" cy="342690"/>
        </a:xfrm>
        <a:prstGeom prst="rect">
          <a:avLst/>
        </a:prstGeom>
        <a:solidFill>
          <a:schemeClr val="accent6">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6993B70D-73E1-43D1-AAAF-09AFBB6B0F94}" type="TxLink">
            <a:rPr lang="en-US" sz="1100" b="0" i="0" u="none" strike="noStrike">
              <a:solidFill>
                <a:srgbClr val="000000"/>
              </a:solidFill>
              <a:latin typeface="Calibri"/>
              <a:ea typeface="Calibri"/>
              <a:cs typeface="Calibri"/>
            </a:rPr>
            <a:pPr marL="0" indent="0" algn="l"/>
            <a:t>Sum of Operating Profit</a:t>
          </a:fld>
          <a:endParaRPr lang="en-IN" sz="1100" b="0" i="0" u="none" strike="noStrike">
            <a:solidFill>
              <a:srgbClr val="000000"/>
            </a:solidFill>
            <a:latin typeface="Calibri"/>
            <a:ea typeface="Calibri"/>
            <a:cs typeface="Calibri"/>
          </a:endParaRPr>
        </a:p>
      </xdr:txBody>
    </xdr:sp>
    <xdr:clientData/>
  </xdr:twoCellAnchor>
  <xdr:twoCellAnchor>
    <xdr:from>
      <xdr:col>0</xdr:col>
      <xdr:colOff>100853</xdr:colOff>
      <xdr:row>14</xdr:row>
      <xdr:rowOff>0</xdr:rowOff>
    </xdr:from>
    <xdr:to>
      <xdr:col>0</xdr:col>
      <xdr:colOff>1738853</xdr:colOff>
      <xdr:row>15</xdr:row>
      <xdr:rowOff>162706</xdr:rowOff>
    </xdr:to>
    <xdr:sp macro="" textlink="pivots!P10">
      <xdr:nvSpPr>
        <xdr:cNvPr id="15" name="TextBox 14">
          <a:extLst>
            <a:ext uri="{FF2B5EF4-FFF2-40B4-BE49-F238E27FC236}">
              <a16:creationId xmlns:a16="http://schemas.microsoft.com/office/drawing/2014/main" id="{2C2704D4-32C6-451D-8561-D97B39D7CB34}"/>
            </a:ext>
          </a:extLst>
        </xdr:cNvPr>
        <xdr:cNvSpPr txBox="1"/>
      </xdr:nvSpPr>
      <xdr:spPr>
        <a:xfrm>
          <a:off x="100853" y="2667000"/>
          <a:ext cx="1638000" cy="342000"/>
        </a:xfrm>
        <a:prstGeom prst="rect">
          <a:avLst/>
        </a:prstGeom>
        <a:solidFill>
          <a:schemeClr val="accent6">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DAB7757-A40C-4810-8B8B-076CED18863B}" type="TxLink">
            <a:rPr lang="en-US" sz="1400" b="0" i="0" u="none" strike="noStrike">
              <a:solidFill>
                <a:srgbClr val="000000"/>
              </a:solidFill>
              <a:latin typeface="Calibri"/>
              <a:ea typeface="Calibri"/>
              <a:cs typeface="Calibri"/>
            </a:rPr>
            <a:pPr marL="0" indent="0" algn="ctr"/>
            <a:t>₹ 30,41,141.88</a:t>
          </a:fld>
          <a:endParaRPr lang="en-IN" sz="1400" b="0" i="0" u="none" strike="noStrike">
            <a:solidFill>
              <a:srgbClr val="000000"/>
            </a:solidFill>
            <a:latin typeface="Calibri"/>
            <a:ea typeface="Calibri"/>
            <a:cs typeface="Calibri"/>
          </a:endParaRPr>
        </a:p>
      </xdr:txBody>
    </xdr:sp>
    <xdr:clientData/>
  </xdr:twoCellAnchor>
  <xdr:twoCellAnchor>
    <xdr:from>
      <xdr:col>9</xdr:col>
      <xdr:colOff>61633</xdr:colOff>
      <xdr:row>0</xdr:row>
      <xdr:rowOff>67235</xdr:rowOff>
    </xdr:from>
    <xdr:to>
      <xdr:col>12</xdr:col>
      <xdr:colOff>1271868</xdr:colOff>
      <xdr:row>3</xdr:row>
      <xdr:rowOff>22412</xdr:rowOff>
    </xdr:to>
    <xdr:sp macro="" textlink="">
      <xdr:nvSpPr>
        <xdr:cNvPr id="16" name="TextBox 15">
          <a:extLst>
            <a:ext uri="{FF2B5EF4-FFF2-40B4-BE49-F238E27FC236}">
              <a16:creationId xmlns:a16="http://schemas.microsoft.com/office/drawing/2014/main" id="{D8696951-9991-442C-A84F-A090302CF3B6}"/>
            </a:ext>
          </a:extLst>
        </xdr:cNvPr>
        <xdr:cNvSpPr txBox="1"/>
      </xdr:nvSpPr>
      <xdr:spPr>
        <a:xfrm>
          <a:off x="7059707" y="67235"/>
          <a:ext cx="5535706" cy="2465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t>Top 10 States by Sales </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p b" refreshedDate="46075.05207719907" backgroundQuery="1" createdVersion="8" refreshedVersion="8" minRefreshableVersion="3" recordCount="0" supportSubquery="1" supportAdvancedDrill="1" xr:uid="{DB5A7CAB-A4BD-4704-BC47-702E8408D392}">
  <cacheSource type="external" connectionId="1"/>
  <cacheFields count="5">
    <cacheField name="[Measures].[Sum of Total Sales]" caption="Sum of Total Sales" numFmtId="0" hierarchy="18" level="32767"/>
    <cacheField name="[Measures].[Sum of Units Sold]" caption="Sum of Units Sold" numFmtId="0" hierarchy="19" level="32767"/>
    <cacheField name="[Measures].[Sum of Operating Profit]" caption="Sum of Operating Profit" numFmtId="0" hierarchy="20" level="32767"/>
    <cacheField name="[Table1].[State].[State]" caption="State" numFmtId="0" hierarchy="4" level="1">
      <sharedItems count="10">
        <s v="California"/>
        <s v="Colorado"/>
        <s v="Florida"/>
        <s v="Georgia"/>
        <s v="New York"/>
        <s v="Oregon"/>
        <s v="South Carolina"/>
        <s v="Texas"/>
        <s v="Utah"/>
        <s v="Washington"/>
      </sharedItems>
    </cacheField>
    <cacheField name="[Table1].[Beverage Brand].[Beverage Brand]" caption="Beverage Brand" numFmtId="0" hierarchy="6" level="1">
      <sharedItems containsSemiMixedTypes="0" containsNonDate="0" containsString="0"/>
    </cacheField>
  </cacheFields>
  <cacheHierarchies count="21">
    <cacheHierarchy uniqueName="[Table1].[Retailer]" caption="Retailer" attribute="1" defaultMemberUniqueName="[Table1].[Retailer].[All]" allUniqueName="[Table1].[Retailer].[All]" dimensionUniqueName="[Table1]" displayFolder="" count="2" memberValueDatatype="130" unbalanced="0"/>
    <cacheHierarchy uniqueName="[Table1].[Retailer ID]" caption="Retailer ID" attribute="1" defaultMemberUniqueName="[Table1].[Retailer ID].[All]" allUniqueName="[Table1].[Retailer ID].[All]" dimensionUniqueName="[Table1]" displayFolder="" count="2" memberValueDatatype="20" unbalanced="0"/>
    <cacheHierarchy uniqueName="[Table1].[Invoice Date]" caption="Invoice Date" attribute="1" time="1" defaultMemberUniqueName="[Table1].[Invoice Date].[All]" allUniqueName="[Table1].[Invoice Date].[All]" dimensionUniqueName="[Table1]" displayFolder="" count="2" memberValueDatatype="7" unbalanced="0"/>
    <cacheHierarchy uniqueName="[Table1].[Region]" caption="Region" attribute="1" defaultMemberUniqueName="[Table1].[Region].[All]" allUniqueName="[Table1].[Region].[All]" dimensionUniqueName="[Table1]" displayFolder="" count="2" memberValueDatatype="130" unbalanced="0"/>
    <cacheHierarchy uniqueName="[Table1].[State]" caption="State" attribute="1" defaultMemberUniqueName="[Table1].[State].[All]" allUniqueName="[Table1].[State].[All]" dimensionUniqueName="[Table1]" displayFolder="" count="2" memberValueDatatype="130" unbalanced="0">
      <fieldsUsage count="2">
        <fieldUsage x="-1"/>
        <fieldUsage x="3"/>
      </fieldsUsage>
    </cacheHierarchy>
    <cacheHierarchy uniqueName="[Table1].[City]" caption="City" attribute="1" defaultMemberUniqueName="[Table1].[City].[All]" allUniqueName="[Table1].[City].[All]" dimensionUniqueName="[Table1]" displayFolder="" count="2" memberValueDatatype="130" unbalanced="0"/>
    <cacheHierarchy uniqueName="[Table1].[Beverage Brand]" caption="Beverage Brand" attribute="1" defaultMemberUniqueName="[Table1].[Beverage Brand].[All]" allUniqueName="[Table1].[Beverage Brand].[All]" dimensionUniqueName="[Table1]" displayFolder="" count="2" memberValueDatatype="130" unbalanced="0">
      <fieldsUsage count="2">
        <fieldUsage x="-1"/>
        <fieldUsage x="4"/>
      </fieldsUsage>
    </cacheHierarchy>
    <cacheHierarchy uniqueName="[Table1].[Days to  Deliver]" caption="Days to  Deliver" attribute="1" defaultMemberUniqueName="[Table1].[Days to  Deliver].[All]" allUniqueName="[Table1].[Days to  Deliver].[All]" dimensionUniqueName="[Table1]" displayFolder="" count="2" memberValueDatatype="20" unbalanced="0"/>
    <cacheHierarchy uniqueName="[Table1].[Delivery  Company]" caption="Delivery  Company" attribute="1" defaultMemberUniqueName="[Table1].[Delivery  Company].[All]" allUniqueName="[Table1].[Delivery  Company].[All]" dimensionUniqueName="[Table1]" displayFolder="" count="2" memberValueDatatype="130" unbalanced="0"/>
    <cacheHierarchy uniqueName="[Table1].[Price per  Unit]" caption="Price per  Unit" attribute="1" defaultMemberUniqueName="[Table1].[Price per  Unit].[All]" allUniqueName="[Table1].[Price per  Unit].[All]" dimensionUniqueName="[Table1]" displayFolder="" count="2" memberValueDatatype="5" unbalanced="0"/>
    <cacheHierarchy uniqueName="[Table1].[Units Sold]" caption="Units Sold" attribute="1" defaultMemberUniqueName="[Table1].[Units Sold].[All]" allUniqueName="[Table1].[Units Sold].[All]" dimensionUniqueName="[Table1]" displayFolder="" count="2" memberValueDatatype="20" unbalanced="0"/>
    <cacheHierarchy uniqueName="[Table1].[Total Sales]" caption="Total Sales" attribute="1" defaultMemberUniqueName="[Table1].[Total Sales].[All]" allUniqueName="[Table1].[Total Sales].[All]" dimensionUniqueName="[Table1]" displayFolder="" count="2" memberValueDatatype="5" unbalanced="0"/>
    <cacheHierarchy uniqueName="[Table1].[Operating Profit]" caption="Operating Profit" attribute="1" defaultMemberUniqueName="[Table1].[Operating Profit].[All]" allUniqueName="[Table1].[Operating Profit].[All]" dimensionUniqueName="[Table1]" displayFolder="" count="2" memberValueDatatype="5" unbalanced="0"/>
    <cacheHierarchy uniqueName="[Table1].[Operating Margin]" caption="Operating Margin" attribute="1" defaultMemberUniqueName="[Table1].[Operating Margin].[All]" allUniqueName="[Table1].[Operating Margin].[All]" dimensionUniqueName="[Table1]" displayFolder="" count="2" memberValueDatatype="5" unbalanced="0"/>
    <cacheHierarchy uniqueName="[Table1].[Invoice Date (Month)]" caption="Invoice Date (Month)" attribute="1" defaultMemberUniqueName="[Table1].[Invoice Date (Month)].[All]" allUniqueName="[Table1].[Invoice Date (Month)].[All]" dimensionUniqueName="[Table1]" displayFolder="" count="2" memberValueDatatype="130" unbalanced="0"/>
    <cacheHierarchy uniqueName="[Table1].[Invoice Date (Month Index)]" caption="Invoice Date (Month Index)" attribute="1" defaultMemberUniqueName="[Table1].[Invoice Date (Month Index)].[All]" allUniqueName="[Table1].[Invoice Date (Month Index)].[All]" dimensionUniqueName="[Table1]" displayFolder="" count="2"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Table1"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Operating Profit]" caption="Sum of Operating Profit" measure="1" displayFolder="" measureGroup="Table1"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p b" refreshedDate="46075.052077777778" backgroundQuery="1" createdVersion="8" refreshedVersion="8" minRefreshableVersion="3" recordCount="0" supportSubquery="1" supportAdvancedDrill="1" xr:uid="{4F9BF308-4F52-4C10-8822-D2AEBAD59A45}">
  <cacheSource type="external" connectionId="1"/>
  <cacheFields count="3">
    <cacheField name="[Table1].[Retailer].[Retailer]" caption="Retailer" numFmtId="0" level="1">
      <sharedItems count="4">
        <s v="Costco"/>
        <s v="CVS"/>
        <s v="Target"/>
        <s v="Walmart"/>
      </sharedItems>
    </cacheField>
    <cacheField name="[Measures].[Sum of Total Sales]" caption="Sum of Total Sales" numFmtId="0" hierarchy="18" level="32767"/>
    <cacheField name="[Table1].[Beverage Brand].[Beverage Brand]" caption="Beverage Brand" numFmtId="0" hierarchy="6" level="1">
      <sharedItems containsSemiMixedTypes="0" containsNonDate="0" containsString="0"/>
    </cacheField>
  </cacheFields>
  <cacheHierarchies count="21">
    <cacheHierarchy uniqueName="[Table1].[Retailer]" caption="Retailer" attribute="1" defaultMemberUniqueName="[Table1].[Retailer].[All]" allUniqueName="[Table1].[Retailer].[All]" dimensionUniqueName="[Table1]" displayFolder="" count="2" memberValueDatatype="130" unbalanced="0">
      <fieldsUsage count="2">
        <fieldUsage x="-1"/>
        <fieldUsage x="0"/>
      </fieldsUsage>
    </cacheHierarchy>
    <cacheHierarchy uniqueName="[Table1].[Retailer ID]" caption="Retailer ID" attribute="1" defaultMemberUniqueName="[Table1].[Retailer ID].[All]" allUniqueName="[Table1].[Retailer ID].[All]" dimensionUniqueName="[Table1]" displayFolder="" count="0" memberValueDatatype="20" unbalanced="0"/>
    <cacheHierarchy uniqueName="[Table1].[Invoice Date]" caption="Invoice Date" attribute="1" time="1" defaultMemberUniqueName="[Table1].[Invoice Date].[All]" allUniqueName="[Table1].[Invoice Date].[All]" dimensionUniqueName="[Table1]" displayFolder="" count="0" memberValueDatatype="7" unbalanced="0"/>
    <cacheHierarchy uniqueName="[Table1].[Region]" caption="Region" attribute="1" defaultMemberUniqueName="[Table1].[Region].[All]" allUniqueName="[Table1].[Region].[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Beverage Brand]" caption="Beverage Brand" attribute="1" defaultMemberUniqueName="[Table1].[Beverage Brand].[All]" allUniqueName="[Table1].[Beverage Brand].[All]" dimensionUniqueName="[Table1]" displayFolder="" count="2" memberValueDatatype="130" unbalanced="0">
      <fieldsUsage count="2">
        <fieldUsage x="-1"/>
        <fieldUsage x="2"/>
      </fieldsUsage>
    </cacheHierarchy>
    <cacheHierarchy uniqueName="[Table1].[Days to  Deliver]" caption="Days to  Deliver" attribute="1" defaultMemberUniqueName="[Table1].[Days to  Deliver].[All]" allUniqueName="[Table1].[Days to  Deliver].[All]" dimensionUniqueName="[Table1]" displayFolder="" count="0" memberValueDatatype="20" unbalanced="0"/>
    <cacheHierarchy uniqueName="[Table1].[Delivery  Company]" caption="Delivery  Company" attribute="1" defaultMemberUniqueName="[Table1].[Delivery  Company].[All]" allUniqueName="[Table1].[Delivery  Company].[All]" dimensionUniqueName="[Table1]" displayFolder="" count="0" memberValueDatatype="130" unbalanced="0"/>
    <cacheHierarchy uniqueName="[Table1].[Price per  Unit]" caption="Price per  Unit" attribute="1" defaultMemberUniqueName="[Table1].[Price per  Unit].[All]" allUniqueName="[Table1].[Price per  Unit].[All]" dimensionUniqueName="[Table1]" displayFolder="" count="0" memberValueDatatype="5" unbalanced="0"/>
    <cacheHierarchy uniqueName="[Table1].[Units Sold]" caption="Units Sold" attribute="1" defaultMemberUniqueName="[Table1].[Units Sold].[All]" allUniqueName="[Table1].[Units Sold].[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5" unbalanced="0"/>
    <cacheHierarchy uniqueName="[Table1].[Operating Profit]" caption="Operating Profit" attribute="1" defaultMemberUniqueName="[Table1].[Operating Profit].[All]" allUniqueName="[Table1].[Operating Profit].[All]" dimensionUniqueName="[Table1]" displayFolder="" count="0" memberValueDatatype="5" unbalanced="0"/>
    <cacheHierarchy uniqueName="[Table1].[Operating Margin]" caption="Operating Margin" attribute="1" defaultMemberUniqueName="[Table1].[Operating Margin].[All]" allUniqueName="[Table1].[Operating Margin].[All]" dimensionUniqueName="[Table1]" displayFolder="" count="0" memberValueDatatype="5" unbalanced="0"/>
    <cacheHierarchy uniqueName="[Table1].[Invoice Date (Month)]" caption="Invoice Date (Month)" attribute="1" defaultMemberUniqueName="[Table1].[Invoice Date (Month)].[All]" allUniqueName="[Table1].[Invoice Date (Month)].[All]" dimensionUniqueName="[Table1]" displayFolder="" count="0" memberValueDatatype="130" unbalanced="0"/>
    <cacheHierarchy uniqueName="[Table1].[Invoice Date (Month Index)]" caption="Invoice Date (Month Index)" attribute="1" defaultMemberUniqueName="[Table1].[Invoice Date (Month Index)].[All]" allUniqueName="[Table1].[Invoice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Table1" count="0" hidden="1">
      <extLst>
        <ext xmlns:x15="http://schemas.microsoft.com/office/spreadsheetml/2010/11/main" uri="{B97F6D7D-B522-45F9-BDA1-12C45D357490}">
          <x15:cacheHierarchy aggregatedColumn="10"/>
        </ext>
      </extLst>
    </cacheHierarchy>
    <cacheHierarchy uniqueName="[Measures].[Sum of Operating Profit]" caption="Sum of Operating Profit"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p b" refreshedDate="46075.05207824074" backgroundQuery="1" createdVersion="8" refreshedVersion="8" minRefreshableVersion="3" recordCount="0" supportSubquery="1" supportAdvancedDrill="1" xr:uid="{E0389220-26FF-4F60-8DBB-CBE807DF9718}">
  <cacheSource type="external" connectionId="1"/>
  <cacheFields count="4">
    <cacheField name="[Measures].[Sum of Total Sales]" caption="Sum of Total Sales" numFmtId="0" hierarchy="18" level="32767"/>
    <cacheField name="[Measures].[Sum of Units Sold]" caption="Sum of Units Sold" numFmtId="0" hierarchy="19" level="32767"/>
    <cacheField name="[Measures].[Sum of Operating Profit]" caption="Sum of Operating Profit" numFmtId="0" hierarchy="20" level="32767"/>
    <cacheField name="[Table1].[Beverage Brand].[Beverage Brand]" caption="Beverage Brand" numFmtId="0" hierarchy="6" level="1">
      <sharedItems containsSemiMixedTypes="0" containsNonDate="0" containsString="0"/>
    </cacheField>
  </cacheFields>
  <cacheHierarchies count="21">
    <cacheHierarchy uniqueName="[Table1].[Retailer]" caption="Retailer" attribute="1" defaultMemberUniqueName="[Table1].[Retailer].[All]" allUniqueName="[Table1].[Retailer].[All]" dimensionUniqueName="[Table1]" displayFolder="" count="2" memberValueDatatype="130" unbalanced="0"/>
    <cacheHierarchy uniqueName="[Table1].[Retailer ID]" caption="Retailer ID" attribute="1" defaultMemberUniqueName="[Table1].[Retailer ID].[All]" allUniqueName="[Table1].[Retailer ID].[All]" dimensionUniqueName="[Table1]" displayFolder="" count="0" memberValueDatatype="20" unbalanced="0"/>
    <cacheHierarchy uniqueName="[Table1].[Invoice Date]" caption="Invoice Date" attribute="1" time="1" defaultMemberUniqueName="[Table1].[Invoice Date].[All]" allUniqueName="[Table1].[Invoice Date].[All]" dimensionUniqueName="[Table1]" displayFolder="" count="0" memberValueDatatype="7" unbalanced="0"/>
    <cacheHierarchy uniqueName="[Table1].[Region]" caption="Region" attribute="1" defaultMemberUniqueName="[Table1].[Region].[All]" allUniqueName="[Table1].[Region].[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Beverage Brand]" caption="Beverage Brand" attribute="1" defaultMemberUniqueName="[Table1].[Beverage Brand].[All]" allUniqueName="[Table1].[Beverage Brand].[All]" dimensionUniqueName="[Table1]" displayFolder="" count="2" memberValueDatatype="130" unbalanced="0">
      <fieldsUsage count="2">
        <fieldUsage x="-1"/>
        <fieldUsage x="3"/>
      </fieldsUsage>
    </cacheHierarchy>
    <cacheHierarchy uniqueName="[Table1].[Days to  Deliver]" caption="Days to  Deliver" attribute="1" defaultMemberUniqueName="[Table1].[Days to  Deliver].[All]" allUniqueName="[Table1].[Days to  Deliver].[All]" dimensionUniqueName="[Table1]" displayFolder="" count="0" memberValueDatatype="20" unbalanced="0"/>
    <cacheHierarchy uniqueName="[Table1].[Delivery  Company]" caption="Delivery  Company" attribute="1" defaultMemberUniqueName="[Table1].[Delivery  Company].[All]" allUniqueName="[Table1].[Delivery  Company].[All]" dimensionUniqueName="[Table1]" displayFolder="" count="0" memberValueDatatype="130" unbalanced="0"/>
    <cacheHierarchy uniqueName="[Table1].[Price per  Unit]" caption="Price per  Unit" attribute="1" defaultMemberUniqueName="[Table1].[Price per  Unit].[All]" allUniqueName="[Table1].[Price per  Unit].[All]" dimensionUniqueName="[Table1]" displayFolder="" count="0" memberValueDatatype="5" unbalanced="0"/>
    <cacheHierarchy uniqueName="[Table1].[Units Sold]" caption="Units Sold" attribute="1" defaultMemberUniqueName="[Table1].[Units Sold].[All]" allUniqueName="[Table1].[Units Sold].[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5" unbalanced="0"/>
    <cacheHierarchy uniqueName="[Table1].[Operating Profit]" caption="Operating Profit" attribute="1" defaultMemberUniqueName="[Table1].[Operating Profit].[All]" allUniqueName="[Table1].[Operating Profit].[All]" dimensionUniqueName="[Table1]" displayFolder="" count="0" memberValueDatatype="5" unbalanced="0"/>
    <cacheHierarchy uniqueName="[Table1].[Operating Margin]" caption="Operating Margin" attribute="1" defaultMemberUniqueName="[Table1].[Operating Margin].[All]" allUniqueName="[Table1].[Operating Margin].[All]" dimensionUniqueName="[Table1]" displayFolder="" count="0" memberValueDatatype="5" unbalanced="0"/>
    <cacheHierarchy uniqueName="[Table1].[Invoice Date (Month)]" caption="Invoice Date (Month)" attribute="1" defaultMemberUniqueName="[Table1].[Invoice Date (Month)].[All]" allUniqueName="[Table1].[Invoice Date (Month)].[All]" dimensionUniqueName="[Table1]" displayFolder="" count="0" memberValueDatatype="130" unbalanced="0"/>
    <cacheHierarchy uniqueName="[Table1].[Invoice Date (Month Index)]" caption="Invoice Date (Month Index)" attribute="1" defaultMemberUniqueName="[Table1].[Invoice Date (Month Index)].[All]" allUniqueName="[Table1].[Invoice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Table1"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Operating Profit]" caption="Sum of Operating Profit" measure="1" displayFolder="" measureGroup="Table1"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p b" refreshedDate="46075.052078935187" backgroundQuery="1" createdVersion="8" refreshedVersion="8" minRefreshableVersion="3" recordCount="0" supportSubquery="1" supportAdvancedDrill="1" xr:uid="{AEEF4820-1CFA-4CD8-883C-603387C827BB}">
  <cacheSource type="external" connectionId="1"/>
  <cacheFields count="3">
    <cacheField name="[Table1].[Invoice Date (Month)].[Invoice Date (Month)]" caption="Invoice Date (Month)" numFmtId="0" hierarchy="14" level="1">
      <sharedItems count="12">
        <s v="Jan"/>
        <s v="Feb"/>
        <s v="Mar"/>
        <s v="Apr"/>
        <s v="May"/>
        <s v="Jun"/>
        <s v="Jul"/>
        <s v="Aug"/>
        <s v="Sep"/>
        <s v="Oct"/>
        <s v="Nov"/>
        <s v="Dec"/>
      </sharedItems>
    </cacheField>
    <cacheField name="[Measures].[Sum of Units Sold]" caption="Sum of Units Sold" numFmtId="0" hierarchy="19" level="32767"/>
    <cacheField name="[Table1].[Beverage Brand].[Beverage Brand]" caption="Beverage Brand" numFmtId="0" hierarchy="6" level="1">
      <sharedItems containsSemiMixedTypes="0" containsNonDate="0" containsString="0"/>
    </cacheField>
  </cacheFields>
  <cacheHierarchies count="21">
    <cacheHierarchy uniqueName="[Table1].[Retailer]" caption="Retailer" attribute="1" defaultMemberUniqueName="[Table1].[Retailer].[All]" allUniqueName="[Table1].[Retailer].[All]" dimensionUniqueName="[Table1]" displayFolder="" count="0" memberValueDatatype="130" unbalanced="0"/>
    <cacheHierarchy uniqueName="[Table1].[Retailer ID]" caption="Retailer ID" attribute="1" defaultMemberUniqueName="[Table1].[Retailer ID].[All]" allUniqueName="[Table1].[Retailer ID].[All]" dimensionUniqueName="[Table1]" displayFolder="" count="0" memberValueDatatype="20" unbalanced="0"/>
    <cacheHierarchy uniqueName="[Table1].[Invoice Date]" caption="Invoice Date" attribute="1" time="1" defaultMemberUniqueName="[Table1].[Invoice Date].[All]" allUniqueName="[Table1].[Invoice Date].[All]" dimensionUniqueName="[Table1]" displayFolder="" count="2" memberValueDatatype="7" unbalanced="0"/>
    <cacheHierarchy uniqueName="[Table1].[Region]" caption="Region" attribute="1" defaultMemberUniqueName="[Table1].[Region].[All]" allUniqueName="[Table1].[Region].[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Beverage Brand]" caption="Beverage Brand" attribute="1" defaultMemberUniqueName="[Table1].[Beverage Brand].[All]" allUniqueName="[Table1].[Beverage Brand].[All]" dimensionUniqueName="[Table1]" displayFolder="" count="2" memberValueDatatype="130" unbalanced="0">
      <fieldsUsage count="2">
        <fieldUsage x="-1"/>
        <fieldUsage x="2"/>
      </fieldsUsage>
    </cacheHierarchy>
    <cacheHierarchy uniqueName="[Table1].[Days to  Deliver]" caption="Days to  Deliver" attribute="1" defaultMemberUniqueName="[Table1].[Days to  Deliver].[All]" allUniqueName="[Table1].[Days to  Deliver].[All]" dimensionUniqueName="[Table1]" displayFolder="" count="0" memberValueDatatype="20" unbalanced="0"/>
    <cacheHierarchy uniqueName="[Table1].[Delivery  Company]" caption="Delivery  Company" attribute="1" defaultMemberUniqueName="[Table1].[Delivery  Company].[All]" allUniqueName="[Table1].[Delivery  Company].[All]" dimensionUniqueName="[Table1]" displayFolder="" count="0" memberValueDatatype="130" unbalanced="0"/>
    <cacheHierarchy uniqueName="[Table1].[Price per  Unit]" caption="Price per  Unit" attribute="1" defaultMemberUniqueName="[Table1].[Price per  Unit].[All]" allUniqueName="[Table1].[Price per  Unit].[All]" dimensionUniqueName="[Table1]" displayFolder="" count="0" memberValueDatatype="5" unbalanced="0"/>
    <cacheHierarchy uniqueName="[Table1].[Units Sold]" caption="Units Sold" attribute="1" defaultMemberUniqueName="[Table1].[Units Sold].[All]" allUniqueName="[Table1].[Units Sold].[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5" unbalanced="0"/>
    <cacheHierarchy uniqueName="[Table1].[Operating Profit]" caption="Operating Profit" attribute="1" defaultMemberUniqueName="[Table1].[Operating Profit].[All]" allUniqueName="[Table1].[Operating Profit].[All]" dimensionUniqueName="[Table1]" displayFolder="" count="0" memberValueDatatype="5" unbalanced="0"/>
    <cacheHierarchy uniqueName="[Table1].[Operating Margin]" caption="Operating Margin" attribute="1" defaultMemberUniqueName="[Table1].[Operating Margin].[All]" allUniqueName="[Table1].[Operating Margin].[All]" dimensionUniqueName="[Table1]" displayFolder="" count="0" memberValueDatatype="5" unbalanced="0"/>
    <cacheHierarchy uniqueName="[Table1].[Invoice Date (Month)]" caption="Invoice Date (Month)" attribute="1" defaultMemberUniqueName="[Table1].[Invoice Date (Month)].[All]" allUniqueName="[Table1].[Invoice Date (Month)].[All]" dimensionUniqueName="[Table1]" displayFolder="" count="2" memberValueDatatype="130" unbalanced="0">
      <fieldsUsage count="2">
        <fieldUsage x="-1"/>
        <fieldUsage x="0"/>
      </fieldsUsage>
    </cacheHierarchy>
    <cacheHierarchy uniqueName="[Table1].[Invoice Date (Month Index)]" caption="Invoice Date (Month Index)" attribute="1" defaultMemberUniqueName="[Table1].[Invoice Date (Month Index)].[All]" allUniqueName="[Table1].[Invoice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hidden="1">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Table1"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Operating Profit]" caption="Sum of Operating Profit"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p b" refreshedDate="46075.052079513887" backgroundQuery="1" createdVersion="8" refreshedVersion="8" minRefreshableVersion="3" recordCount="0" supportSubquery="1" supportAdvancedDrill="1" xr:uid="{EB017447-E8F1-4B61-B304-ED44458B6DF8}">
  <cacheSource type="external" connectionId="1"/>
  <cacheFields count="4">
    <cacheField name="[Measures].[Sum of Total Sales]" caption="Sum of Total Sales" numFmtId="0" hierarchy="18" level="32767"/>
    <cacheField name="[Table1].[State].[State]" caption="State" numFmtId="0" hierarchy="4" level="1">
      <sharedItems count="48">
        <s v="Alabama"/>
        <s v="Arizona"/>
        <s v="Arkansas"/>
        <s v="California"/>
        <s v="Colorado"/>
        <s v="Connecticut"/>
        <s v="Delaware"/>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Table1].[Region].[Region]" caption="Region" numFmtId="0" hierarchy="3" level="1">
      <sharedItems count="5">
        <s v="South"/>
        <s v="West"/>
        <s v="Northeast"/>
        <s v="Southeast"/>
        <s v="Midwest"/>
      </sharedItems>
    </cacheField>
    <cacheField name="[Table1].[Beverage Brand].[Beverage Brand]" caption="Beverage Brand" numFmtId="0" hierarchy="6" level="1">
      <sharedItems containsSemiMixedTypes="0" containsNonDate="0" containsString="0"/>
    </cacheField>
  </cacheFields>
  <cacheHierarchies count="21">
    <cacheHierarchy uniqueName="[Table1].[Retailer]" caption="Retailer" attribute="1" defaultMemberUniqueName="[Table1].[Retailer].[All]" allUniqueName="[Table1].[Retailer].[All]" dimensionUniqueName="[Table1]" displayFolder="" count="2" memberValueDatatype="130" unbalanced="0"/>
    <cacheHierarchy uniqueName="[Table1].[Retailer ID]" caption="Retailer ID" attribute="1" defaultMemberUniqueName="[Table1].[Retailer ID].[All]" allUniqueName="[Table1].[Retailer ID].[All]" dimensionUniqueName="[Table1]" displayFolder="" count="0" memberValueDatatype="20" unbalanced="0"/>
    <cacheHierarchy uniqueName="[Table1].[Invoice Date]" caption="Invoice Date" attribute="1" time="1" defaultMemberUniqueName="[Table1].[Invoice Date].[All]" allUniqueName="[Table1].[Invoice Date].[All]" dimensionUniqueName="[Table1]" displayFolder="" count="0" memberValueDatatype="7"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State]" caption="State" attribute="1" defaultMemberUniqueName="[Table1].[State].[All]" allUniqueName="[Table1].[State].[All]" dimensionUniqueName="[Table1]" displayFolder="" count="2" memberValueDatatype="130" unbalanced="0">
      <fieldsUsage count="2">
        <fieldUsage x="-1"/>
        <fieldUsage x="1"/>
      </fieldsUsage>
    </cacheHierarchy>
    <cacheHierarchy uniqueName="[Table1].[City]" caption="City" attribute="1" defaultMemberUniqueName="[Table1].[City].[All]" allUniqueName="[Table1].[City].[All]" dimensionUniqueName="[Table1]" displayFolder="" count="0" memberValueDatatype="130" unbalanced="0"/>
    <cacheHierarchy uniqueName="[Table1].[Beverage Brand]" caption="Beverage Brand" attribute="1" defaultMemberUniqueName="[Table1].[Beverage Brand].[All]" allUniqueName="[Table1].[Beverage Brand].[All]" dimensionUniqueName="[Table1]" displayFolder="" count="2" memberValueDatatype="130" unbalanced="0">
      <fieldsUsage count="2">
        <fieldUsage x="-1"/>
        <fieldUsage x="3"/>
      </fieldsUsage>
    </cacheHierarchy>
    <cacheHierarchy uniqueName="[Table1].[Days to  Deliver]" caption="Days to  Deliver" attribute="1" defaultMemberUniqueName="[Table1].[Days to  Deliver].[All]" allUniqueName="[Table1].[Days to  Deliver].[All]" dimensionUniqueName="[Table1]" displayFolder="" count="0" memberValueDatatype="20" unbalanced="0"/>
    <cacheHierarchy uniqueName="[Table1].[Delivery  Company]" caption="Delivery  Company" attribute="1" defaultMemberUniqueName="[Table1].[Delivery  Company].[All]" allUniqueName="[Table1].[Delivery  Company].[All]" dimensionUniqueName="[Table1]" displayFolder="" count="0" memberValueDatatype="130" unbalanced="0"/>
    <cacheHierarchy uniqueName="[Table1].[Price per  Unit]" caption="Price per  Unit" attribute="1" defaultMemberUniqueName="[Table1].[Price per  Unit].[All]" allUniqueName="[Table1].[Price per  Unit].[All]" dimensionUniqueName="[Table1]" displayFolder="" count="0" memberValueDatatype="5" unbalanced="0"/>
    <cacheHierarchy uniqueName="[Table1].[Units Sold]" caption="Units Sold" attribute="1" defaultMemberUniqueName="[Table1].[Units Sold].[All]" allUniqueName="[Table1].[Units Sold].[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5" unbalanced="0"/>
    <cacheHierarchy uniqueName="[Table1].[Operating Profit]" caption="Operating Profit" attribute="1" defaultMemberUniqueName="[Table1].[Operating Profit].[All]" allUniqueName="[Table1].[Operating Profit].[All]" dimensionUniqueName="[Table1]" displayFolder="" count="0" memberValueDatatype="5" unbalanced="0"/>
    <cacheHierarchy uniqueName="[Table1].[Operating Margin]" caption="Operating Margin" attribute="1" defaultMemberUniqueName="[Table1].[Operating Margin].[All]" allUniqueName="[Table1].[Operating Margin].[All]" dimensionUniqueName="[Table1]" displayFolder="" count="0" memberValueDatatype="5" unbalanced="0"/>
    <cacheHierarchy uniqueName="[Table1].[Invoice Date (Month)]" caption="Invoice Date (Month)" attribute="1" defaultMemberUniqueName="[Table1].[Invoice Date (Month)].[All]" allUniqueName="[Table1].[Invoice Date (Month)].[All]" dimensionUniqueName="[Table1]" displayFolder="" count="0" memberValueDatatype="130" unbalanced="0"/>
    <cacheHierarchy uniqueName="[Table1].[Invoice Date (Month Index)]" caption="Invoice Date (Month Index)" attribute="1" defaultMemberUniqueName="[Table1].[Invoice Date (Month Index)].[All]" allUniqueName="[Table1].[Invoice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Table1" count="0" hidden="1">
      <extLst>
        <ext xmlns:x15="http://schemas.microsoft.com/office/spreadsheetml/2010/11/main" uri="{B97F6D7D-B522-45F9-BDA1-12C45D357490}">
          <x15:cacheHierarchy aggregatedColumn="10"/>
        </ext>
      </extLst>
    </cacheHierarchy>
    <cacheHierarchy uniqueName="[Measures].[Sum of Operating Profit]" caption="Sum of Operating Profit" measure="1" displayFolder="" measureGroup="Table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p b" refreshedDate="46075.032601736108" backgroundQuery="1" createdVersion="3" refreshedVersion="8" minRefreshableVersion="3" recordCount="0" supportSubquery="1" supportAdvancedDrill="1" xr:uid="{10607CD3-DB8D-431A-80D5-67D8BD3BBA7A}">
  <cacheSource type="external" connectionId="1">
    <extLst>
      <ext xmlns:x14="http://schemas.microsoft.com/office/spreadsheetml/2009/9/main" uri="{F057638F-6D5F-4e77-A914-E7F072B9BCA8}">
        <x14:sourceConnection name="ThisWorkbookDataModel"/>
      </ext>
    </extLst>
  </cacheSource>
  <cacheFields count="0"/>
  <cacheHierarchies count="21">
    <cacheHierarchy uniqueName="[Table1].[Retailer]" caption="Retailer" attribute="1" defaultMemberUniqueName="[Table1].[Retailer].[All]" allUniqueName="[Table1].[Retailer].[All]" dimensionUniqueName="[Table1]" displayFolder="" count="0" memberValueDatatype="130" unbalanced="0"/>
    <cacheHierarchy uniqueName="[Table1].[Retailer ID]" caption="Retailer ID" attribute="1" defaultMemberUniqueName="[Table1].[Retailer ID].[All]" allUniqueName="[Table1].[Retailer ID].[All]" dimensionUniqueName="[Table1]" displayFolder="" count="0" memberValueDatatype="20" unbalanced="0"/>
    <cacheHierarchy uniqueName="[Table1].[Invoice Date]" caption="Invoice Date" attribute="1" time="1" defaultMemberUniqueName="[Table1].[Invoice Date].[All]" allUniqueName="[Table1].[Invoice Date].[All]" dimensionUniqueName="[Table1]" displayFolder="" count="0" memberValueDatatype="7" unbalanced="0"/>
    <cacheHierarchy uniqueName="[Table1].[Region]" caption="Region" attribute="1" defaultMemberUniqueName="[Table1].[Region].[All]" allUniqueName="[Table1].[Region].[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Beverage Brand]" caption="Beverage Brand" attribute="1" defaultMemberUniqueName="[Table1].[Beverage Brand].[All]" allUniqueName="[Table1].[Beverage Brand].[All]" dimensionUniqueName="[Table1]" displayFolder="" count="2" memberValueDatatype="130" unbalanced="0"/>
    <cacheHierarchy uniqueName="[Table1].[Days to  Deliver]" caption="Days to  Deliver" attribute="1" defaultMemberUniqueName="[Table1].[Days to  Deliver].[All]" allUniqueName="[Table1].[Days to  Deliver].[All]" dimensionUniqueName="[Table1]" displayFolder="" count="0" memberValueDatatype="20" unbalanced="0"/>
    <cacheHierarchy uniqueName="[Table1].[Delivery  Company]" caption="Delivery  Company" attribute="1" defaultMemberUniqueName="[Table1].[Delivery  Company].[All]" allUniqueName="[Table1].[Delivery  Company].[All]" dimensionUniqueName="[Table1]" displayFolder="" count="0" memberValueDatatype="130" unbalanced="0"/>
    <cacheHierarchy uniqueName="[Table1].[Price per  Unit]" caption="Price per  Unit" attribute="1" defaultMemberUniqueName="[Table1].[Price per  Unit].[All]" allUniqueName="[Table1].[Price per  Unit].[All]" dimensionUniqueName="[Table1]" displayFolder="" count="0" memberValueDatatype="5" unbalanced="0"/>
    <cacheHierarchy uniqueName="[Table1].[Units Sold]" caption="Units Sold" attribute="1" defaultMemberUniqueName="[Table1].[Units Sold].[All]" allUniqueName="[Table1].[Units Sold].[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5" unbalanced="0"/>
    <cacheHierarchy uniqueName="[Table1].[Operating Profit]" caption="Operating Profit" attribute="1" defaultMemberUniqueName="[Table1].[Operating Profit].[All]" allUniqueName="[Table1].[Operating Profit].[All]" dimensionUniqueName="[Table1]" displayFolder="" count="0" memberValueDatatype="5" unbalanced="0"/>
    <cacheHierarchy uniqueName="[Table1].[Operating Margin]" caption="Operating Margin" attribute="1" defaultMemberUniqueName="[Table1].[Operating Margin].[All]" allUniqueName="[Table1].[Operating Margin].[All]" dimensionUniqueName="[Table1]" displayFolder="" count="0" memberValueDatatype="5" unbalanced="0"/>
    <cacheHierarchy uniqueName="[Table1].[Invoice Date (Month)]" caption="Invoice Date (Month)" attribute="1" defaultMemberUniqueName="[Table1].[Invoice Date (Month)].[All]" allUniqueName="[Table1].[Invoice Date (Month)].[All]" dimensionUniqueName="[Table1]" displayFolder="" count="0" memberValueDatatype="130" unbalanced="0"/>
    <cacheHierarchy uniqueName="[Table1].[Invoice Date (Month Index)]" caption="Invoice Date (Month Index)" attribute="1" defaultMemberUniqueName="[Table1].[Invoice Date (Month Index)].[All]" allUniqueName="[Table1].[Invoice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hidden="1">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Table1" count="0" hidden="1">
      <extLst>
        <ext xmlns:x15="http://schemas.microsoft.com/office/spreadsheetml/2010/11/main" uri="{B97F6D7D-B522-45F9-BDA1-12C45D357490}">
          <x15:cacheHierarchy aggregatedColumn="10"/>
        </ext>
      </extLst>
    </cacheHierarchy>
    <cacheHierarchy uniqueName="[Measures].[Sum of Operating Profit]" caption="Sum of Operating Profit" measure="1" displayFolder="" measureGroup="Table1"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37845334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BBB103-5AAB-4912-9688-D5B49485A310}" name="PivotTable11" cacheId="5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N9:P10"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Sum of Total Sales" fld="0" baseField="0" baseItem="0" numFmtId="167"/>
    <dataField name="Sum of Units Sold" fld="1" baseField="0" baseItem="0"/>
    <dataField name="Sum of Operating Profit" fld="2" baseField="0" baseItem="0" numFmtId="167"/>
  </dataFields>
  <formats count="2">
    <format dxfId="3">
      <pivotArea outline="0" collapsedLevelsAreSubtotals="1" fieldPosition="0">
        <references count="1">
          <reference field="4294967294" count="1" selected="0">
            <x v="0"/>
          </reference>
        </references>
      </pivotArea>
    </format>
    <format dxfId="2">
      <pivotArea outline="0" collapsedLevelsAreSubtotals="1" fieldPosition="0">
        <references count="1">
          <reference field="4294967294" count="1" selected="0">
            <x v="2"/>
          </reference>
        </references>
      </pivotArea>
    </format>
  </formats>
  <chartFormats count="1">
    <chartFormat chart="0" format="0"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1F0933-08F5-4F77-A59F-2AF5A08D50B0}" name="PivotTable4" cacheId="51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A56:C105" firstHeaderRow="1" firstDataRow="1" firstDataCol="2"/>
  <pivotFields count="4">
    <pivotField dataField="1" compact="0" outline="0" showAll="0" defaultSubtotal="0"/>
    <pivotField axis="axisRow" compact="0" allDrilled="1" outline="0" showAll="0" dataSourceSort="1" defaultSubtotal="0" defaultAttributeDrillState="1">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axis="axisRow" compact="0" allDrilled="1" outline="0" showAll="0" dataSourceSort="1" defaultSubtotal="0" defaultAttributeDrillState="1">
      <items count="5">
        <item x="0"/>
        <item x="1"/>
        <item x="2"/>
        <item x="3"/>
        <item x="4"/>
      </items>
    </pivotField>
    <pivotField compact="0" allDrilled="1" outline="0" subtotalTop="0" showAll="0" dataSourceSort="1" defaultSubtotal="0" defaultAttributeDrillState="1"/>
  </pivotFields>
  <rowFields count="2">
    <field x="1"/>
    <field x="2"/>
  </rowFields>
  <rowItems count="49">
    <i>
      <x/>
      <x/>
    </i>
    <i>
      <x v="1"/>
      <x v="1"/>
    </i>
    <i>
      <x v="2"/>
      <x/>
    </i>
    <i>
      <x v="3"/>
      <x v="1"/>
    </i>
    <i>
      <x v="4"/>
      <x v="1"/>
    </i>
    <i>
      <x v="5"/>
      <x v="2"/>
    </i>
    <i>
      <x v="6"/>
      <x v="2"/>
    </i>
    <i>
      <x v="7"/>
      <x v="3"/>
    </i>
    <i>
      <x v="8"/>
      <x v="3"/>
    </i>
    <i>
      <x v="9"/>
      <x v="1"/>
    </i>
    <i>
      <x v="10"/>
      <x v="4"/>
    </i>
    <i>
      <x v="11"/>
      <x v="4"/>
    </i>
    <i>
      <x v="12"/>
      <x v="4"/>
    </i>
    <i>
      <x v="13"/>
      <x v="4"/>
    </i>
    <i>
      <x v="14"/>
      <x v="3"/>
    </i>
    <i>
      <x v="15"/>
      <x/>
    </i>
    <i>
      <x v="16"/>
      <x v="2"/>
    </i>
    <i>
      <x v="17"/>
      <x v="2"/>
    </i>
    <i>
      <x v="18"/>
      <x v="2"/>
    </i>
    <i>
      <x v="19"/>
      <x v="4"/>
    </i>
    <i>
      <x v="20"/>
      <x v="4"/>
    </i>
    <i>
      <x v="21"/>
      <x/>
    </i>
    <i>
      <x v="22"/>
      <x v="4"/>
    </i>
    <i>
      <x v="23"/>
      <x v="4"/>
    </i>
    <i>
      <x v="24"/>
      <x v="4"/>
    </i>
    <i>
      <x v="25"/>
      <x v="1"/>
    </i>
    <i>
      <x v="26"/>
      <x v="2"/>
    </i>
    <i>
      <x v="27"/>
      <x v="2"/>
    </i>
    <i>
      <x v="28"/>
      <x v="1"/>
    </i>
    <i>
      <x v="29"/>
      <x v="2"/>
    </i>
    <i>
      <x v="30"/>
      <x v="3"/>
    </i>
    <i>
      <x v="31"/>
      <x v="4"/>
    </i>
    <i>
      <x v="32"/>
      <x v="4"/>
    </i>
    <i>
      <x v="33"/>
      <x/>
    </i>
    <i>
      <x v="34"/>
      <x v="1"/>
    </i>
    <i>
      <x v="35"/>
      <x v="2"/>
    </i>
    <i>
      <x v="36"/>
      <x v="2"/>
    </i>
    <i>
      <x v="37"/>
      <x v="3"/>
    </i>
    <i>
      <x v="38"/>
      <x v="4"/>
    </i>
    <i>
      <x v="39"/>
      <x/>
    </i>
    <i>
      <x v="40"/>
      <x/>
    </i>
    <i>
      <x v="41"/>
      <x v="1"/>
    </i>
    <i>
      <x v="42"/>
      <x v="2"/>
    </i>
    <i>
      <x v="43"/>
      <x v="3"/>
    </i>
    <i>
      <x v="44"/>
      <x v="1"/>
    </i>
    <i>
      <x v="45"/>
      <x v="2"/>
    </i>
    <i>
      <x v="46"/>
      <x v="4"/>
    </i>
    <i>
      <x v="47"/>
      <x v="1"/>
    </i>
    <i t="grand">
      <x/>
    </i>
  </rowItems>
  <colItems count="1">
    <i/>
  </colItems>
  <dataFields count="1">
    <dataField name="Sum of Total Sales" fld="0" baseField="0" baseItem="0"/>
  </dataFields>
  <chartFormats count="1">
    <chartFormat chart="0" format="0"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4"/>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9A427C-9576-401D-B332-4242C421DA54}" name="PivotTable3" cacheId="5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7:B50" firstHeaderRow="1" firstDataRow="1" firstDataCol="1"/>
  <pivotFields count="3">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Units Sold" fld="1" baseField="0" baseItem="0"/>
  </dataFields>
  <chartFormats count="1">
    <chartFormat chart="6" format="2"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296B76-FE26-4965-8E19-0546F0F55010}" name="PivotTable2" cacheId="50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9:D30" firstHeaderRow="0" firstDataRow="1" firstDataCol="1"/>
  <pivotFields count="5">
    <pivotField dataField="1" subtotalTop="0" showAll="0" defaultSubtotal="0"/>
    <pivotField dataField="1" subtotalTop="0" showAll="0" defaultSubtotal="0"/>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11">
    <i>
      <x v="4"/>
    </i>
    <i>
      <x/>
    </i>
    <i>
      <x v="2"/>
    </i>
    <i>
      <x v="7"/>
    </i>
    <i>
      <x v="3"/>
    </i>
    <i>
      <x v="9"/>
    </i>
    <i>
      <x v="6"/>
    </i>
    <i>
      <x v="5"/>
    </i>
    <i>
      <x v="1"/>
    </i>
    <i>
      <x v="8"/>
    </i>
    <i t="grand">
      <x/>
    </i>
  </rowItems>
  <colFields count="1">
    <field x="-2"/>
  </colFields>
  <colItems count="3">
    <i>
      <x/>
    </i>
    <i i="1">
      <x v="1"/>
    </i>
    <i i="2">
      <x v="2"/>
    </i>
  </colItems>
  <dataFields count="3">
    <dataField name="Sum of Total Sales" fld="0" baseField="0" baseItem="0"/>
    <dataField name="Sum of Operating Profit" fld="2" baseField="0" baseItem="0"/>
    <dataField name="Sum of Units Sold" fld="1" baseField="0" baseItem="0"/>
  </dataFields>
  <formats count="1">
    <format dxfId="1">
      <pivotArea collapsedLevelsAreSubtotals="1" fieldPosition="0">
        <references count="2">
          <reference field="4294967294" count="2" selected="0">
            <x v="0"/>
            <x v="1"/>
          </reference>
          <reference field="3" count="0"/>
        </references>
      </pivotArea>
    </format>
  </formats>
  <chartFormats count="1">
    <chartFormat chart="0" format="0"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3" type="count" id="1" iMeasureHier="18">
      <autoFilter ref="A1">
        <filterColumn colId="0">
          <top10 val="10" filterVal="10"/>
        </filterColumn>
      </autoFilter>
    </filter>
  </filters>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B31E459-A1F7-4A90-A98F-77BDCB294218}" name="PivotTable1" cacheId="5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Total Sales" fld="1" baseField="0" baseItem="0"/>
  </dataFields>
  <formats count="1">
    <format dxfId="0">
      <pivotArea collapsedLevelsAreSubtotals="1" fieldPosition="0">
        <references count="1">
          <reference field="0" count="0"/>
        </references>
      </pivotArea>
    </format>
  </format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0"/>
          </reference>
        </references>
      </pivotArea>
    </chartFormat>
    <chartFormat chart="4" format="8">
      <pivotArea type="data" outline="0" fieldPosition="0">
        <references count="2">
          <reference field="4294967294" count="1" selected="0">
            <x v="0"/>
          </reference>
          <reference field="0" count="1" selected="0">
            <x v="1"/>
          </reference>
        </references>
      </pivotArea>
    </chartFormat>
    <chartFormat chart="4" format="9">
      <pivotArea type="data" outline="0" fieldPosition="0">
        <references count="2">
          <reference field="4294967294" count="1" selected="0">
            <x v="0"/>
          </reference>
          <reference field="0" count="1" selected="0">
            <x v="2"/>
          </reference>
        </references>
      </pivotArea>
    </chartFormat>
    <chartFormat chart="4" format="10">
      <pivotArea type="data" outline="0" fieldPosition="0">
        <references count="2">
          <reference field="4294967294" count="1" selected="0">
            <x v="0"/>
          </reference>
          <reference field="0" count="1" selected="0">
            <x v="3"/>
          </reference>
        </references>
      </pivotArea>
    </chartFormat>
  </chartFormats>
  <pivotHierarchies count="2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verage_Brand" xr10:uid="{B4767739-D2F9-49B7-9EBC-AC57FEBB95C8}" sourceName="[Table1].[Beverage Brand]">
  <pivotTables>
    <pivotTable tabId="4" name="PivotTable2"/>
    <pivotTable tabId="4" name="PivotTable1"/>
    <pivotTable tabId="4" name="PivotTable11"/>
    <pivotTable tabId="4" name="PivotTable3"/>
    <pivotTable tabId="4" name="PivotTable4"/>
  </pivotTables>
  <data>
    <olap pivotCacheId="1378453344">
      <levels count="2">
        <level uniqueName="[Table1].[Beverage Brand].[(All)]" sourceCaption="(All)" count="0"/>
        <level uniqueName="[Table1].[Beverage Brand].[Beverage Brand]" sourceCaption="Beverage Brand" count="6">
          <ranges>
            <range startItem="0">
              <i n="[Table1].[Beverage Brand].&amp;[Coca-Cola]" c="Coca-Cola"/>
              <i n="[Table1].[Beverage Brand].&amp;[Dasani Water]" c="Dasani Water"/>
              <i n="[Table1].[Beverage Brand].&amp;[Diet Coke]" c="Diet Coke"/>
              <i n="[Table1].[Beverage Brand].&amp;[Fanta]" c="Fanta"/>
              <i n="[Table1].[Beverage Brand].&amp;[Powerade]" c="Powerade"/>
              <i n="[Table1].[Beverage Brand].&amp;[Sprite]" c="Sprite"/>
            </range>
          </ranges>
        </level>
      </levels>
      <selections count="1">
        <selection n="[Table1].[Beverage Bran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everage Brand" xr10:uid="{99738683-F9C5-415B-9804-DD4F582A37D3}" cache="Slicer_Beverage_Brand" caption="Beverage Brand" level="1"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35F242-6195-4C8D-AB27-955BC6442A80}" name="Table1" displayName="Table1" ref="A1:N3745" totalsRowShown="0" headerRowDxfId="20" dataDxfId="19">
  <autoFilter ref="A1:N3745" xr:uid="{C135F242-6195-4C8D-AB27-955BC6442A80}"/>
  <tableColumns count="14">
    <tableColumn id="1" xr3:uid="{32F75BD1-DBE5-4983-ABAA-13AE5D143B71}" name="Retailer" dataDxfId="18"/>
    <tableColumn id="2" xr3:uid="{49612AD8-A454-41F5-ABF0-084342755F74}" name="Retailer ID" dataDxfId="17"/>
    <tableColumn id="3" xr3:uid="{2EFD6362-E3AF-49F3-8284-03AA534C416B}" name="Invoice Date" dataDxfId="16"/>
    <tableColumn id="4" xr3:uid="{ACEECF2E-9E82-4F8D-84DD-E635C0348C1F}" name="Region" dataDxfId="15"/>
    <tableColumn id="5" xr3:uid="{B2F9DFF2-B914-4A20-BB21-E6B0C8496DAA}" name="State" dataDxfId="14"/>
    <tableColumn id="6" xr3:uid="{A909EF13-5ED5-419D-8316-CE2E123A73C4}" name="City" dataDxfId="13"/>
    <tableColumn id="7" xr3:uid="{28589678-1ED8-497E-AA14-2FC27F4651BD}" name="Beverage Brand" dataDxfId="12"/>
    <tableColumn id="8" xr3:uid="{FDC0DD99-DFB1-4D41-9A6A-3E0932F60FF7}" name="Days to _x000a_Deliver" dataDxfId="11"/>
    <tableColumn id="9" xr3:uid="{7C9D0A74-15CE-41E4-9F1A-6BE31DDFC8AD}" name="Delivery _x000a_Company" dataDxfId="10"/>
    <tableColumn id="10" xr3:uid="{97F5CB12-72CA-4757-930A-8331221D8692}" name="Price per _x000a_Unit" dataDxfId="9"/>
    <tableColumn id="11" xr3:uid="{D90A0980-73F3-4E15-84E4-80E58D47E5FE}" name="Units Sold" dataDxfId="8"/>
    <tableColumn id="12" xr3:uid="{6FEF89DC-569C-4FF4-9308-FD7BD1DF4752}" name="Total Sales" dataDxfId="7">
      <calculatedColumnFormula>J2*K2</calculatedColumnFormula>
    </tableColumn>
    <tableColumn id="13" xr3:uid="{B5F2FD62-CE08-4545-955A-3CC7FDFBD517}" name="Operating Profit" dataDxfId="6">
      <calculatedColumnFormula>L2*N2</calculatedColumnFormula>
    </tableColumn>
    <tableColumn id="14" xr3:uid="{CC4A877A-8B93-447D-B7C8-8D31795CA278}" name="Operating Margin" dataDxfId="5"/>
  </tableColumns>
  <tableStyleInfo name="TableStyleLight21" showFirstColumn="0" showLastColumn="0" showRowStripes="1" showColumnStripes="0"/>
</table>
</file>

<file path=xl/theme/theme1.xml><?xml version="1.0" encoding="utf-8"?>
<a:theme xmlns:a="http://schemas.openxmlformats.org/drawingml/2006/main" name="Sheets">
  <a:themeElements>
    <a:clrScheme name="Orange">
      <a:dk1>
        <a:srgbClr val="000000"/>
      </a:dk1>
      <a:lt1>
        <a:sysClr val="window" lastClr="FFFFFF"/>
      </a:lt1>
      <a:dk2>
        <a:srgbClr val="637052"/>
      </a:dk2>
      <a:lt2>
        <a:srgbClr val="CCDDEA"/>
      </a:lt2>
      <a:accent1>
        <a:srgbClr val="E48312"/>
      </a:accent1>
      <a:accent2>
        <a:srgbClr val="BD582C"/>
      </a:accent2>
      <a:accent3>
        <a:srgbClr val="865640"/>
      </a:accent3>
      <a:accent4>
        <a:srgbClr val="9B8357"/>
      </a:accent4>
      <a:accent5>
        <a:srgbClr val="C2BC80"/>
      </a:accent5>
      <a:accent6>
        <a:srgbClr val="94A088"/>
      </a:accent6>
      <a:hlink>
        <a:srgbClr val="2998E3"/>
      </a:hlink>
      <a:folHlink>
        <a:srgbClr val="8C8C8C"/>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CD013-FFE5-49E3-9E08-C830DFB19EE9}">
  <dimension ref="A3:P105"/>
  <sheetViews>
    <sheetView topLeftCell="D1" zoomScale="115" zoomScaleNormal="115" workbookViewId="0">
      <selection activeCell="N9" sqref="N9"/>
    </sheetView>
  </sheetViews>
  <sheetFormatPr defaultRowHeight="14.25" x14ac:dyDescent="0.45"/>
  <cols>
    <col min="1" max="1" width="12.06640625" bestFit="1" customWidth="1"/>
    <col min="2" max="2" width="8.73046875" bestFit="1" customWidth="1"/>
    <col min="3" max="3" width="15.86328125" bestFit="1" customWidth="1"/>
    <col min="4" max="4" width="15.265625" bestFit="1" customWidth="1"/>
    <col min="7" max="7" width="14.9296875" customWidth="1"/>
    <col min="8" max="8" width="15.46484375" customWidth="1"/>
    <col min="9" max="9" width="15.1328125" customWidth="1"/>
    <col min="10" max="10" width="17.33203125" customWidth="1"/>
    <col min="14" max="14" width="15.86328125" bestFit="1" customWidth="1"/>
    <col min="15" max="15" width="15.265625" bestFit="1" customWidth="1"/>
    <col min="16" max="16" width="20.265625" bestFit="1" customWidth="1"/>
  </cols>
  <sheetData>
    <row r="3" spans="1:16" x14ac:dyDescent="0.45">
      <c r="A3" s="10" t="s">
        <v>130</v>
      </c>
      <c r="B3" t="s">
        <v>132</v>
      </c>
    </row>
    <row r="4" spans="1:16" x14ac:dyDescent="0.45">
      <c r="A4" s="11" t="s">
        <v>120</v>
      </c>
      <c r="B4" s="13">
        <v>1291535</v>
      </c>
    </row>
    <row r="5" spans="1:16" x14ac:dyDescent="0.45">
      <c r="A5" s="11" t="s">
        <v>121</v>
      </c>
      <c r="B5" s="13">
        <v>2115587.5</v>
      </c>
    </row>
    <row r="6" spans="1:16" x14ac:dyDescent="0.45">
      <c r="A6" s="11" t="s">
        <v>122</v>
      </c>
      <c r="B6" s="13">
        <v>404412.5</v>
      </c>
    </row>
    <row r="7" spans="1:16" x14ac:dyDescent="0.45">
      <c r="A7" s="11" t="s">
        <v>119</v>
      </c>
      <c r="B7" s="13">
        <v>4403630</v>
      </c>
    </row>
    <row r="8" spans="1:16" x14ac:dyDescent="0.45">
      <c r="A8" s="11" t="s">
        <v>131</v>
      </c>
      <c r="B8" s="12">
        <v>8215165</v>
      </c>
    </row>
    <row r="9" spans="1:16" x14ac:dyDescent="0.45">
      <c r="N9" t="s">
        <v>132</v>
      </c>
      <c r="O9" t="s">
        <v>133</v>
      </c>
      <c r="P9" t="s">
        <v>134</v>
      </c>
    </row>
    <row r="10" spans="1:16" x14ac:dyDescent="0.45">
      <c r="N10" s="13">
        <v>8215165</v>
      </c>
      <c r="O10" s="12">
        <v>16482500</v>
      </c>
      <c r="P10" s="13">
        <v>3041141.875</v>
      </c>
    </row>
    <row r="14" spans="1:16" x14ac:dyDescent="0.45">
      <c r="N14" s="13"/>
    </row>
    <row r="19" spans="1:10" x14ac:dyDescent="0.45">
      <c r="A19" s="10" t="s">
        <v>130</v>
      </c>
      <c r="B19" t="s">
        <v>132</v>
      </c>
      <c r="C19" t="s">
        <v>134</v>
      </c>
      <c r="D19" t="s">
        <v>133</v>
      </c>
      <c r="G19" s="15" t="s">
        <v>135</v>
      </c>
      <c r="H19" s="16" t="str">
        <f>B19</f>
        <v>Sum of Total Sales</v>
      </c>
      <c r="I19" s="16" t="str">
        <f t="shared" ref="I19:J19" si="0">C19</f>
        <v>Sum of Operating Profit</v>
      </c>
      <c r="J19" s="16" t="str">
        <f t="shared" si="0"/>
        <v>Sum of Units Sold</v>
      </c>
    </row>
    <row r="20" spans="1:10" x14ac:dyDescent="0.45">
      <c r="A20" s="11" t="s">
        <v>12</v>
      </c>
      <c r="B20" s="13">
        <v>582675</v>
      </c>
      <c r="C20" s="13">
        <v>203082.5</v>
      </c>
      <c r="D20" s="12">
        <v>1125200</v>
      </c>
      <c r="G20" t="str">
        <f>A20</f>
        <v>New York</v>
      </c>
      <c r="H20" s="13">
        <f t="shared" ref="H20:J20" si="1">B20</f>
        <v>582675</v>
      </c>
      <c r="I20" s="13">
        <f t="shared" si="1"/>
        <v>203082.5</v>
      </c>
      <c r="J20">
        <f t="shared" si="1"/>
        <v>1125200</v>
      </c>
    </row>
    <row r="21" spans="1:10" x14ac:dyDescent="0.45">
      <c r="A21" s="11" t="s">
        <v>23</v>
      </c>
      <c r="B21" s="13">
        <v>582400</v>
      </c>
      <c r="C21" s="13">
        <v>183895.625</v>
      </c>
      <c r="D21" s="12">
        <v>1037250</v>
      </c>
      <c r="G21" t="str">
        <f t="shared" ref="G21:G29" si="2">A21</f>
        <v>California</v>
      </c>
      <c r="H21" s="13">
        <f t="shared" ref="H21:H29" si="3">B21</f>
        <v>582400</v>
      </c>
      <c r="I21" s="13">
        <f t="shared" ref="I21:I29" si="4">C21</f>
        <v>183895.625</v>
      </c>
      <c r="J21">
        <f t="shared" ref="J21:J29" si="5">D21</f>
        <v>1037250</v>
      </c>
    </row>
    <row r="22" spans="1:10" x14ac:dyDescent="0.45">
      <c r="A22" s="11" t="s">
        <v>39</v>
      </c>
      <c r="B22" s="13">
        <v>561850</v>
      </c>
      <c r="C22" s="13">
        <v>214731.25</v>
      </c>
      <c r="D22" s="12">
        <v>1051700</v>
      </c>
      <c r="G22" t="str">
        <f t="shared" si="2"/>
        <v>Florida</v>
      </c>
      <c r="H22" s="13">
        <f t="shared" si="3"/>
        <v>561850</v>
      </c>
      <c r="I22" s="13">
        <f t="shared" si="4"/>
        <v>214731.25</v>
      </c>
      <c r="J22">
        <f t="shared" si="5"/>
        <v>1051700</v>
      </c>
    </row>
    <row r="23" spans="1:10" x14ac:dyDescent="0.45">
      <c r="A23" s="11" t="s">
        <v>20</v>
      </c>
      <c r="B23" s="13">
        <v>440987.5</v>
      </c>
      <c r="C23" s="13">
        <v>176324.375</v>
      </c>
      <c r="D23" s="12">
        <v>1014250</v>
      </c>
      <c r="G23" t="str">
        <f t="shared" si="2"/>
        <v>Texas</v>
      </c>
      <c r="H23" s="13">
        <f t="shared" si="3"/>
        <v>440987.5</v>
      </c>
      <c r="I23" s="13">
        <f t="shared" si="4"/>
        <v>176324.375</v>
      </c>
      <c r="J23">
        <f t="shared" si="5"/>
        <v>1014250</v>
      </c>
    </row>
    <row r="24" spans="1:10" x14ac:dyDescent="0.45">
      <c r="A24" s="11" t="s">
        <v>74</v>
      </c>
      <c r="B24" s="13">
        <v>292210</v>
      </c>
      <c r="C24" s="13">
        <v>111621.5</v>
      </c>
      <c r="D24" s="12">
        <v>579350</v>
      </c>
      <c r="G24" t="str">
        <f t="shared" si="2"/>
        <v>Georgia</v>
      </c>
      <c r="H24" s="13">
        <f t="shared" si="3"/>
        <v>292210</v>
      </c>
      <c r="I24" s="13">
        <f t="shared" si="4"/>
        <v>111621.5</v>
      </c>
      <c r="J24">
        <f t="shared" si="5"/>
        <v>579350</v>
      </c>
    </row>
    <row r="25" spans="1:10" x14ac:dyDescent="0.45">
      <c r="A25" s="11" t="s">
        <v>36</v>
      </c>
      <c r="B25" s="13">
        <v>250237.5</v>
      </c>
      <c r="C25" s="13">
        <v>64440.625</v>
      </c>
      <c r="D25" s="12">
        <v>348750</v>
      </c>
      <c r="G25" t="str">
        <f t="shared" si="2"/>
        <v>Washington</v>
      </c>
      <c r="H25" s="13">
        <f t="shared" si="3"/>
        <v>250237.5</v>
      </c>
      <c r="I25" s="13">
        <f t="shared" si="4"/>
        <v>64440.625</v>
      </c>
      <c r="J25">
        <f t="shared" si="5"/>
        <v>348750</v>
      </c>
    </row>
    <row r="26" spans="1:10" x14ac:dyDescent="0.45">
      <c r="A26" s="11" t="s">
        <v>76</v>
      </c>
      <c r="B26" s="13">
        <v>238055</v>
      </c>
      <c r="C26" s="13">
        <v>96130.125</v>
      </c>
      <c r="D26" s="12">
        <v>507350</v>
      </c>
      <c r="G26" t="str">
        <f t="shared" si="2"/>
        <v>South Carolina</v>
      </c>
      <c r="H26" s="13">
        <f t="shared" si="3"/>
        <v>238055</v>
      </c>
      <c r="I26" s="13">
        <f t="shared" si="4"/>
        <v>96130.125</v>
      </c>
      <c r="J26">
        <f t="shared" si="5"/>
        <v>507350</v>
      </c>
    </row>
    <row r="27" spans="1:10" x14ac:dyDescent="0.45">
      <c r="A27" s="11" t="s">
        <v>65</v>
      </c>
      <c r="B27" s="13">
        <v>226300</v>
      </c>
      <c r="C27" s="13">
        <v>89835</v>
      </c>
      <c r="D27" s="12">
        <v>346750</v>
      </c>
      <c r="G27" t="str">
        <f t="shared" si="2"/>
        <v>Oregon</v>
      </c>
      <c r="H27" s="13">
        <f t="shared" si="3"/>
        <v>226300</v>
      </c>
      <c r="I27" s="13">
        <f t="shared" si="4"/>
        <v>89835</v>
      </c>
      <c r="J27">
        <f t="shared" si="5"/>
        <v>346750</v>
      </c>
    </row>
    <row r="28" spans="1:10" x14ac:dyDescent="0.45">
      <c r="A28" s="11" t="s">
        <v>34</v>
      </c>
      <c r="B28" s="13">
        <v>202725</v>
      </c>
      <c r="C28" s="13">
        <v>74185.625</v>
      </c>
      <c r="D28" s="12">
        <v>324250</v>
      </c>
      <c r="G28" t="str">
        <f t="shared" si="2"/>
        <v>Colorado</v>
      </c>
      <c r="H28" s="13">
        <f t="shared" si="3"/>
        <v>202725</v>
      </c>
      <c r="I28" s="13">
        <f t="shared" si="4"/>
        <v>74185.625</v>
      </c>
      <c r="J28">
        <f t="shared" si="5"/>
        <v>324250</v>
      </c>
    </row>
    <row r="29" spans="1:10" x14ac:dyDescent="0.45">
      <c r="A29" s="11" t="s">
        <v>63</v>
      </c>
      <c r="B29" s="13">
        <v>199937.5</v>
      </c>
      <c r="C29" s="13">
        <v>69359.375</v>
      </c>
      <c r="D29" s="12">
        <v>310750</v>
      </c>
      <c r="G29" t="str">
        <f t="shared" si="2"/>
        <v>Utah</v>
      </c>
      <c r="H29" s="13">
        <f t="shared" si="3"/>
        <v>199937.5</v>
      </c>
      <c r="I29" s="13">
        <f t="shared" si="4"/>
        <v>69359.375</v>
      </c>
      <c r="J29">
        <f t="shared" si="5"/>
        <v>310750</v>
      </c>
    </row>
    <row r="30" spans="1:10" x14ac:dyDescent="0.45">
      <c r="A30" s="11" t="s">
        <v>131</v>
      </c>
      <c r="B30" s="12">
        <v>3577377.5</v>
      </c>
      <c r="C30" s="12">
        <v>1283606</v>
      </c>
      <c r="D30" s="12">
        <v>6645600</v>
      </c>
    </row>
    <row r="37" spans="1:2" x14ac:dyDescent="0.45">
      <c r="A37" s="10" t="s">
        <v>130</v>
      </c>
      <c r="B37" t="s">
        <v>133</v>
      </c>
    </row>
    <row r="38" spans="1:2" x14ac:dyDescent="0.45">
      <c r="A38" s="11" t="s">
        <v>136</v>
      </c>
      <c r="B38" s="12">
        <v>1305750</v>
      </c>
    </row>
    <row r="39" spans="1:2" x14ac:dyDescent="0.45">
      <c r="A39" s="11" t="s">
        <v>137</v>
      </c>
      <c r="B39" s="12">
        <v>1232250</v>
      </c>
    </row>
    <row r="40" spans="1:2" x14ac:dyDescent="0.45">
      <c r="A40" s="11" t="s">
        <v>138</v>
      </c>
      <c r="B40" s="12">
        <v>1162250</v>
      </c>
    </row>
    <row r="41" spans="1:2" x14ac:dyDescent="0.45">
      <c r="A41" s="11" t="s">
        <v>139</v>
      </c>
      <c r="B41" s="12">
        <v>1135250</v>
      </c>
    </row>
    <row r="42" spans="1:2" x14ac:dyDescent="0.45">
      <c r="A42" s="11" t="s">
        <v>140</v>
      </c>
      <c r="B42" s="12">
        <v>1307500</v>
      </c>
    </row>
    <row r="43" spans="1:2" x14ac:dyDescent="0.45">
      <c r="A43" s="11" t="s">
        <v>141</v>
      </c>
      <c r="B43" s="12">
        <v>1550750</v>
      </c>
    </row>
    <row r="44" spans="1:2" x14ac:dyDescent="0.45">
      <c r="A44" s="11" t="s">
        <v>142</v>
      </c>
      <c r="B44" s="12">
        <v>1683500</v>
      </c>
    </row>
    <row r="45" spans="1:2" x14ac:dyDescent="0.45">
      <c r="A45" s="11" t="s">
        <v>143</v>
      </c>
      <c r="B45" s="12">
        <v>1583000</v>
      </c>
    </row>
    <row r="46" spans="1:2" x14ac:dyDescent="0.45">
      <c r="A46" s="11" t="s">
        <v>144</v>
      </c>
      <c r="B46" s="12">
        <v>1330750</v>
      </c>
    </row>
    <row r="47" spans="1:2" x14ac:dyDescent="0.45">
      <c r="A47" s="11" t="s">
        <v>145</v>
      </c>
      <c r="B47" s="12">
        <v>1207500</v>
      </c>
    </row>
    <row r="48" spans="1:2" x14ac:dyDescent="0.45">
      <c r="A48" s="11" t="s">
        <v>146</v>
      </c>
      <c r="B48" s="12">
        <v>1380000</v>
      </c>
    </row>
    <row r="49" spans="1:8" x14ac:dyDescent="0.45">
      <c r="A49" s="11" t="s">
        <v>147</v>
      </c>
      <c r="B49" s="12">
        <v>1604000</v>
      </c>
    </row>
    <row r="50" spans="1:8" x14ac:dyDescent="0.45">
      <c r="A50" s="11" t="s">
        <v>131</v>
      </c>
      <c r="B50" s="12">
        <v>16482500</v>
      </c>
    </row>
    <row r="56" spans="1:8" x14ac:dyDescent="0.45">
      <c r="A56" s="10" t="s">
        <v>4</v>
      </c>
      <c r="B56" s="10" t="s">
        <v>3</v>
      </c>
      <c r="C56" t="s">
        <v>132</v>
      </c>
      <c r="F56" t="str">
        <f>B56</f>
        <v>Region</v>
      </c>
      <c r="G56" t="str">
        <f>C56</f>
        <v>Sum of Total Sales</v>
      </c>
      <c r="H56" t="str">
        <f t="shared" ref="G56:H56" si="6">C56</f>
        <v>Sum of Total Sales</v>
      </c>
    </row>
    <row r="57" spans="1:8" x14ac:dyDescent="0.45">
      <c r="A57" t="s">
        <v>49</v>
      </c>
      <c r="B57" t="s">
        <v>19</v>
      </c>
      <c r="C57" s="12">
        <v>170562.5</v>
      </c>
      <c r="F57" t="str">
        <f>A57</f>
        <v>Alabama</v>
      </c>
      <c r="G57" s="14">
        <f t="shared" ref="G57:G104" si="7">C57</f>
        <v>170562.5</v>
      </c>
      <c r="H57" s="14">
        <f t="shared" ref="G57:H57" si="8">C57</f>
        <v>170562.5</v>
      </c>
    </row>
    <row r="58" spans="1:8" x14ac:dyDescent="0.45">
      <c r="A58" t="s">
        <v>70</v>
      </c>
      <c r="B58" t="s">
        <v>22</v>
      </c>
      <c r="C58" s="12">
        <v>192137.5</v>
      </c>
      <c r="F58" t="str">
        <f t="shared" ref="F58:F104" si="9">A58</f>
        <v>Arizona</v>
      </c>
      <c r="G58" s="14">
        <f t="shared" si="7"/>
        <v>192137.5</v>
      </c>
      <c r="H58" s="14">
        <f t="shared" ref="H58:H104" si="10">C58</f>
        <v>192137.5</v>
      </c>
    </row>
    <row r="59" spans="1:8" x14ac:dyDescent="0.45">
      <c r="A59" t="s">
        <v>86</v>
      </c>
      <c r="B59" t="s">
        <v>19</v>
      </c>
      <c r="C59" s="12">
        <v>101732.5</v>
      </c>
      <c r="F59" t="str">
        <f t="shared" si="9"/>
        <v>Arkansas</v>
      </c>
      <c r="G59" s="14">
        <f t="shared" si="7"/>
        <v>101732.5</v>
      </c>
      <c r="H59" s="14">
        <f t="shared" si="10"/>
        <v>101732.5</v>
      </c>
    </row>
    <row r="60" spans="1:8" x14ac:dyDescent="0.45">
      <c r="A60" t="s">
        <v>23</v>
      </c>
      <c r="B60" t="s">
        <v>22</v>
      </c>
      <c r="C60" s="12">
        <v>582400</v>
      </c>
      <c r="F60" t="str">
        <f t="shared" si="9"/>
        <v>California</v>
      </c>
      <c r="G60" s="14">
        <f t="shared" si="7"/>
        <v>582400</v>
      </c>
      <c r="H60" s="14">
        <f t="shared" si="10"/>
        <v>582400</v>
      </c>
    </row>
    <row r="61" spans="1:8" x14ac:dyDescent="0.45">
      <c r="A61" t="s">
        <v>34</v>
      </c>
      <c r="B61" t="s">
        <v>22</v>
      </c>
      <c r="C61" s="12">
        <v>202725</v>
      </c>
      <c r="F61" t="str">
        <f t="shared" si="9"/>
        <v>Colorado</v>
      </c>
      <c r="G61" s="14">
        <f t="shared" si="7"/>
        <v>202725</v>
      </c>
      <c r="H61" s="14">
        <f t="shared" si="10"/>
        <v>202725</v>
      </c>
    </row>
    <row r="62" spans="1:8" x14ac:dyDescent="0.45">
      <c r="A62" t="s">
        <v>109</v>
      </c>
      <c r="B62" t="s">
        <v>11</v>
      </c>
      <c r="C62" s="12">
        <v>78595</v>
      </c>
      <c r="F62" t="str">
        <f t="shared" si="9"/>
        <v>Connecticut</v>
      </c>
      <c r="G62" s="14">
        <f t="shared" si="7"/>
        <v>78595</v>
      </c>
      <c r="H62" s="14">
        <f t="shared" si="10"/>
        <v>78595</v>
      </c>
    </row>
    <row r="63" spans="1:8" x14ac:dyDescent="0.45">
      <c r="A63" t="s">
        <v>105</v>
      </c>
      <c r="B63" t="s">
        <v>11</v>
      </c>
      <c r="C63" s="12">
        <v>94695</v>
      </c>
      <c r="F63" t="str">
        <f t="shared" si="9"/>
        <v>Delaware</v>
      </c>
      <c r="G63" s="14">
        <f t="shared" si="7"/>
        <v>94695</v>
      </c>
      <c r="H63" s="14">
        <f t="shared" si="10"/>
        <v>94695</v>
      </c>
    </row>
    <row r="64" spans="1:8" x14ac:dyDescent="0.45">
      <c r="A64" t="s">
        <v>39</v>
      </c>
      <c r="B64" t="s">
        <v>38</v>
      </c>
      <c r="C64" s="12">
        <v>561850</v>
      </c>
      <c r="F64" t="str">
        <f t="shared" si="9"/>
        <v>Florida</v>
      </c>
      <c r="G64" s="14">
        <f t="shared" si="7"/>
        <v>561850</v>
      </c>
      <c r="H64" s="14">
        <f t="shared" si="10"/>
        <v>561850</v>
      </c>
    </row>
    <row r="65" spans="1:8" x14ac:dyDescent="0.45">
      <c r="A65" t="s">
        <v>74</v>
      </c>
      <c r="B65" t="s">
        <v>38</v>
      </c>
      <c r="C65" s="12">
        <v>292210</v>
      </c>
      <c r="F65" t="str">
        <f t="shared" si="9"/>
        <v>Georgia</v>
      </c>
      <c r="G65" s="14">
        <f t="shared" si="7"/>
        <v>292210</v>
      </c>
      <c r="H65" s="14">
        <f t="shared" si="10"/>
        <v>292210</v>
      </c>
    </row>
    <row r="66" spans="1:8" x14ac:dyDescent="0.45">
      <c r="A66" t="s">
        <v>68</v>
      </c>
      <c r="B66" t="s">
        <v>22</v>
      </c>
      <c r="C66" s="12">
        <v>146650</v>
      </c>
      <c r="F66" t="str">
        <f t="shared" si="9"/>
        <v>Idaho</v>
      </c>
      <c r="G66" s="14">
        <f t="shared" si="7"/>
        <v>146650</v>
      </c>
      <c r="H66" s="14">
        <f t="shared" si="10"/>
        <v>146650</v>
      </c>
    </row>
    <row r="67" spans="1:8" x14ac:dyDescent="0.45">
      <c r="A67" t="s">
        <v>27</v>
      </c>
      <c r="B67" t="s">
        <v>26</v>
      </c>
      <c r="C67" s="12">
        <v>93282.5</v>
      </c>
      <c r="F67" t="str">
        <f t="shared" si="9"/>
        <v>Illinois</v>
      </c>
      <c r="G67" s="14">
        <f t="shared" si="7"/>
        <v>93282.5</v>
      </c>
      <c r="H67" s="14">
        <f t="shared" si="10"/>
        <v>93282.5</v>
      </c>
    </row>
    <row r="68" spans="1:8" x14ac:dyDescent="0.45">
      <c r="A68" t="s">
        <v>100</v>
      </c>
      <c r="B68" t="s">
        <v>26</v>
      </c>
      <c r="C68" s="12">
        <v>106825</v>
      </c>
      <c r="F68" t="str">
        <f t="shared" si="9"/>
        <v>Indiana</v>
      </c>
      <c r="G68" s="14">
        <f t="shared" si="7"/>
        <v>106825</v>
      </c>
      <c r="H68" s="14">
        <f t="shared" si="10"/>
        <v>106825</v>
      </c>
    </row>
    <row r="69" spans="1:8" x14ac:dyDescent="0.45">
      <c r="A69" t="s">
        <v>96</v>
      </c>
      <c r="B69" t="s">
        <v>26</v>
      </c>
      <c r="C69" s="12">
        <v>72667.5</v>
      </c>
      <c r="F69" t="str">
        <f t="shared" si="9"/>
        <v>Iowa</v>
      </c>
      <c r="G69" s="14">
        <f t="shared" si="7"/>
        <v>72667.5</v>
      </c>
      <c r="H69" s="14">
        <f t="shared" si="10"/>
        <v>72667.5</v>
      </c>
    </row>
    <row r="70" spans="1:8" x14ac:dyDescent="0.45">
      <c r="A70" t="s">
        <v>90</v>
      </c>
      <c r="B70" t="s">
        <v>26</v>
      </c>
      <c r="C70" s="12">
        <v>84090</v>
      </c>
      <c r="F70" t="str">
        <f t="shared" si="9"/>
        <v>Kansas</v>
      </c>
      <c r="G70" s="14">
        <f t="shared" si="7"/>
        <v>84090</v>
      </c>
      <c r="H70" s="14">
        <f t="shared" si="10"/>
        <v>84090</v>
      </c>
    </row>
    <row r="71" spans="1:8" x14ac:dyDescent="0.45">
      <c r="A71" t="s">
        <v>82</v>
      </c>
      <c r="B71" t="s">
        <v>38</v>
      </c>
      <c r="C71" s="12">
        <v>152552.5</v>
      </c>
      <c r="F71" t="str">
        <f t="shared" si="9"/>
        <v>Kentucky</v>
      </c>
      <c r="G71" s="14">
        <f t="shared" si="7"/>
        <v>152552.5</v>
      </c>
      <c r="H71" s="14">
        <f t="shared" si="10"/>
        <v>152552.5</v>
      </c>
    </row>
    <row r="72" spans="1:8" x14ac:dyDescent="0.45">
      <c r="A72" t="s">
        <v>66</v>
      </c>
      <c r="B72" t="s">
        <v>19</v>
      </c>
      <c r="C72" s="12">
        <v>185375</v>
      </c>
      <c r="F72" t="str">
        <f t="shared" si="9"/>
        <v>Louisiana</v>
      </c>
      <c r="G72" s="14">
        <f t="shared" si="7"/>
        <v>185375</v>
      </c>
      <c r="H72" s="14">
        <f t="shared" si="10"/>
        <v>185375</v>
      </c>
    </row>
    <row r="73" spans="1:8" x14ac:dyDescent="0.45">
      <c r="A73" t="s">
        <v>51</v>
      </c>
      <c r="B73" t="s">
        <v>11</v>
      </c>
      <c r="C73" s="12">
        <v>87825</v>
      </c>
      <c r="F73" t="str">
        <f t="shared" si="9"/>
        <v>Maine</v>
      </c>
      <c r="G73" s="14">
        <f t="shared" si="7"/>
        <v>87825</v>
      </c>
      <c r="H73" s="14">
        <f t="shared" si="10"/>
        <v>87825</v>
      </c>
    </row>
    <row r="74" spans="1:8" x14ac:dyDescent="0.45">
      <c r="A74" t="s">
        <v>103</v>
      </c>
      <c r="B74" t="s">
        <v>11</v>
      </c>
      <c r="C74" s="12">
        <v>122875</v>
      </c>
      <c r="F74" t="str">
        <f t="shared" si="9"/>
        <v>Maryland</v>
      </c>
      <c r="G74" s="14">
        <f t="shared" si="7"/>
        <v>122875</v>
      </c>
      <c r="H74" s="14">
        <f t="shared" si="10"/>
        <v>122875</v>
      </c>
    </row>
    <row r="75" spans="1:8" x14ac:dyDescent="0.45">
      <c r="A75" t="s">
        <v>113</v>
      </c>
      <c r="B75" t="s">
        <v>11</v>
      </c>
      <c r="C75" s="12">
        <v>134955</v>
      </c>
      <c r="F75" t="str">
        <f t="shared" si="9"/>
        <v>Massachusetts</v>
      </c>
      <c r="G75" s="14">
        <f t="shared" si="7"/>
        <v>134955</v>
      </c>
      <c r="H75" s="14">
        <f t="shared" si="10"/>
        <v>134955</v>
      </c>
    </row>
    <row r="76" spans="1:8" x14ac:dyDescent="0.45">
      <c r="A76" t="s">
        <v>59</v>
      </c>
      <c r="B76" t="s">
        <v>26</v>
      </c>
      <c r="C76" s="12">
        <v>95262.5</v>
      </c>
      <c r="F76" t="str">
        <f t="shared" si="9"/>
        <v>Michigan</v>
      </c>
      <c r="G76" s="14">
        <f t="shared" si="7"/>
        <v>95262.5</v>
      </c>
      <c r="H76" s="14">
        <f t="shared" si="10"/>
        <v>95262.5</v>
      </c>
    </row>
    <row r="77" spans="1:8" x14ac:dyDescent="0.45">
      <c r="A77" t="s">
        <v>41</v>
      </c>
      <c r="B77" t="s">
        <v>26</v>
      </c>
      <c r="C77" s="12">
        <v>67910</v>
      </c>
      <c r="F77" t="str">
        <f t="shared" si="9"/>
        <v>Minnesota</v>
      </c>
      <c r="G77" s="14">
        <f t="shared" si="7"/>
        <v>67910</v>
      </c>
      <c r="H77" s="14">
        <f t="shared" si="10"/>
        <v>67910</v>
      </c>
    </row>
    <row r="78" spans="1:8" x14ac:dyDescent="0.45">
      <c r="A78" t="s">
        <v>84</v>
      </c>
      <c r="B78" t="s">
        <v>19</v>
      </c>
      <c r="C78" s="12">
        <v>121982.5</v>
      </c>
      <c r="F78" t="str">
        <f t="shared" si="9"/>
        <v>Mississippi</v>
      </c>
      <c r="G78" s="14">
        <f t="shared" si="7"/>
        <v>121982.5</v>
      </c>
      <c r="H78" s="14">
        <f t="shared" si="10"/>
        <v>121982.5</v>
      </c>
    </row>
    <row r="79" spans="1:8" x14ac:dyDescent="0.45">
      <c r="A79" t="s">
        <v>61</v>
      </c>
      <c r="B79" t="s">
        <v>26</v>
      </c>
      <c r="C79" s="12">
        <v>91370</v>
      </c>
      <c r="F79" t="str">
        <f t="shared" si="9"/>
        <v>Missouri</v>
      </c>
      <c r="G79" s="14">
        <f t="shared" si="7"/>
        <v>91370</v>
      </c>
      <c r="H79" s="14">
        <f t="shared" si="10"/>
        <v>91370</v>
      </c>
    </row>
    <row r="80" spans="1:8" x14ac:dyDescent="0.45">
      <c r="A80" t="s">
        <v>43</v>
      </c>
      <c r="B80" t="s">
        <v>26</v>
      </c>
      <c r="C80" s="12">
        <v>153762.5</v>
      </c>
      <c r="F80" t="str">
        <f t="shared" si="9"/>
        <v>Montana</v>
      </c>
      <c r="G80" s="14">
        <f t="shared" si="7"/>
        <v>153762.5</v>
      </c>
      <c r="H80" s="14">
        <f t="shared" si="10"/>
        <v>153762.5</v>
      </c>
    </row>
    <row r="81" spans="1:8" x14ac:dyDescent="0.45">
      <c r="A81" t="s">
        <v>47</v>
      </c>
      <c r="B81" t="s">
        <v>26</v>
      </c>
      <c r="C81" s="12">
        <v>54380</v>
      </c>
      <c r="F81" t="str">
        <f t="shared" si="9"/>
        <v>Nebraska</v>
      </c>
      <c r="G81" s="14">
        <f t="shared" si="7"/>
        <v>54380</v>
      </c>
      <c r="H81" s="14">
        <f t="shared" si="10"/>
        <v>54380</v>
      </c>
    </row>
    <row r="82" spans="1:8" x14ac:dyDescent="0.45">
      <c r="A82" t="s">
        <v>32</v>
      </c>
      <c r="B82" t="s">
        <v>22</v>
      </c>
      <c r="C82" s="12">
        <v>199837.5</v>
      </c>
      <c r="F82" t="str">
        <f t="shared" si="9"/>
        <v>Nevada</v>
      </c>
      <c r="G82" s="14">
        <f t="shared" si="7"/>
        <v>199837.5</v>
      </c>
      <c r="H82" s="14">
        <f t="shared" si="10"/>
        <v>199837.5</v>
      </c>
    </row>
    <row r="83" spans="1:8" x14ac:dyDescent="0.45">
      <c r="A83" t="s">
        <v>117</v>
      </c>
      <c r="B83" t="s">
        <v>11</v>
      </c>
      <c r="C83" s="12">
        <v>148470</v>
      </c>
      <c r="F83" t="str">
        <f t="shared" si="9"/>
        <v>New Hampshire</v>
      </c>
      <c r="G83" s="14">
        <f t="shared" si="7"/>
        <v>148470</v>
      </c>
      <c r="H83" s="14">
        <f t="shared" si="10"/>
        <v>148470</v>
      </c>
    </row>
    <row r="84" spans="1:8" x14ac:dyDescent="0.45">
      <c r="A84" t="s">
        <v>107</v>
      </c>
      <c r="B84" t="s">
        <v>11</v>
      </c>
      <c r="C84" s="12">
        <v>113925</v>
      </c>
      <c r="F84" t="str">
        <f t="shared" si="9"/>
        <v>New Jersey</v>
      </c>
      <c r="G84" s="14">
        <f t="shared" si="7"/>
        <v>113925</v>
      </c>
      <c r="H84" s="14">
        <f t="shared" si="10"/>
        <v>113925</v>
      </c>
    </row>
    <row r="85" spans="1:8" x14ac:dyDescent="0.45">
      <c r="A85" t="s">
        <v>72</v>
      </c>
      <c r="B85" t="s">
        <v>22</v>
      </c>
      <c r="C85" s="12">
        <v>166075</v>
      </c>
      <c r="F85" t="str">
        <f t="shared" si="9"/>
        <v>New Mexico</v>
      </c>
      <c r="G85" s="14">
        <f t="shared" si="7"/>
        <v>166075</v>
      </c>
      <c r="H85" s="14">
        <f t="shared" si="10"/>
        <v>166075</v>
      </c>
    </row>
    <row r="86" spans="1:8" x14ac:dyDescent="0.45">
      <c r="A86" t="s">
        <v>12</v>
      </c>
      <c r="B86" t="s">
        <v>11</v>
      </c>
      <c r="C86" s="12">
        <v>582675</v>
      </c>
      <c r="F86" t="str">
        <f t="shared" si="9"/>
        <v>New York</v>
      </c>
      <c r="G86" s="14">
        <f t="shared" si="7"/>
        <v>582675</v>
      </c>
      <c r="H86" s="14">
        <f t="shared" si="10"/>
        <v>582675</v>
      </c>
    </row>
    <row r="87" spans="1:8" x14ac:dyDescent="0.45">
      <c r="A87" t="s">
        <v>78</v>
      </c>
      <c r="B87" t="s">
        <v>38</v>
      </c>
      <c r="C87" s="12">
        <v>187045</v>
      </c>
      <c r="F87" t="str">
        <f t="shared" si="9"/>
        <v>North Carolina</v>
      </c>
      <c r="G87" s="14">
        <f t="shared" si="7"/>
        <v>187045</v>
      </c>
      <c r="H87" s="14">
        <f t="shared" si="10"/>
        <v>187045</v>
      </c>
    </row>
    <row r="88" spans="1:8" x14ac:dyDescent="0.45">
      <c r="A88" t="s">
        <v>94</v>
      </c>
      <c r="B88" t="s">
        <v>26</v>
      </c>
      <c r="C88" s="12">
        <v>72380</v>
      </c>
      <c r="F88" t="str">
        <f t="shared" si="9"/>
        <v>North Dakota</v>
      </c>
      <c r="G88" s="14">
        <f t="shared" si="7"/>
        <v>72380</v>
      </c>
      <c r="H88" s="14">
        <f t="shared" si="10"/>
        <v>72380</v>
      </c>
    </row>
    <row r="89" spans="1:8" x14ac:dyDescent="0.45">
      <c r="A89" t="s">
        <v>80</v>
      </c>
      <c r="B89" t="s">
        <v>26</v>
      </c>
      <c r="C89" s="12">
        <v>95142.5</v>
      </c>
      <c r="F89" t="str">
        <f t="shared" si="9"/>
        <v>Ohio</v>
      </c>
      <c r="G89" s="14">
        <f t="shared" si="7"/>
        <v>95142.5</v>
      </c>
      <c r="H89" s="14">
        <f t="shared" si="10"/>
        <v>95142.5</v>
      </c>
    </row>
    <row r="90" spans="1:8" x14ac:dyDescent="0.45">
      <c r="A90" t="s">
        <v>88</v>
      </c>
      <c r="B90" t="s">
        <v>19</v>
      </c>
      <c r="C90" s="12">
        <v>94982.5</v>
      </c>
      <c r="F90" t="str">
        <f t="shared" si="9"/>
        <v>Oklahoma</v>
      </c>
      <c r="G90" s="14">
        <f t="shared" si="7"/>
        <v>94982.5</v>
      </c>
      <c r="H90" s="14">
        <f t="shared" si="10"/>
        <v>94982.5</v>
      </c>
    </row>
    <row r="91" spans="1:8" x14ac:dyDescent="0.45">
      <c r="A91" t="s">
        <v>65</v>
      </c>
      <c r="B91" t="s">
        <v>22</v>
      </c>
      <c r="C91" s="12">
        <v>226300</v>
      </c>
      <c r="F91" t="str">
        <f t="shared" si="9"/>
        <v>Oregon</v>
      </c>
      <c r="G91" s="14">
        <f t="shared" si="7"/>
        <v>226300</v>
      </c>
      <c r="H91" s="14">
        <f t="shared" si="10"/>
        <v>226300</v>
      </c>
    </row>
    <row r="92" spans="1:8" x14ac:dyDescent="0.45">
      <c r="A92" t="s">
        <v>30</v>
      </c>
      <c r="B92" t="s">
        <v>11</v>
      </c>
      <c r="C92" s="12">
        <v>95690</v>
      </c>
      <c r="F92" t="str">
        <f t="shared" si="9"/>
        <v>Pennsylvania</v>
      </c>
      <c r="G92" s="14">
        <f t="shared" si="7"/>
        <v>95690</v>
      </c>
      <c r="H92" s="14">
        <f t="shared" si="10"/>
        <v>95690</v>
      </c>
    </row>
    <row r="93" spans="1:8" x14ac:dyDescent="0.45">
      <c r="A93" t="s">
        <v>111</v>
      </c>
      <c r="B93" t="s">
        <v>11</v>
      </c>
      <c r="C93" s="12">
        <v>101462.5</v>
      </c>
      <c r="F93" t="str">
        <f t="shared" si="9"/>
        <v>Rhode Island</v>
      </c>
      <c r="G93" s="14">
        <f t="shared" si="7"/>
        <v>101462.5</v>
      </c>
      <c r="H93" s="14">
        <f t="shared" si="10"/>
        <v>101462.5</v>
      </c>
    </row>
    <row r="94" spans="1:8" x14ac:dyDescent="0.45">
      <c r="A94" t="s">
        <v>76</v>
      </c>
      <c r="B94" t="s">
        <v>38</v>
      </c>
      <c r="C94" s="12">
        <v>238055</v>
      </c>
      <c r="F94" t="str">
        <f t="shared" si="9"/>
        <v>South Carolina</v>
      </c>
      <c r="G94" s="14">
        <f t="shared" si="7"/>
        <v>238055</v>
      </c>
      <c r="H94" s="14">
        <f t="shared" si="10"/>
        <v>238055</v>
      </c>
    </row>
    <row r="95" spans="1:8" x14ac:dyDescent="0.45">
      <c r="A95" t="s">
        <v>92</v>
      </c>
      <c r="B95" t="s">
        <v>26</v>
      </c>
      <c r="C95" s="12">
        <v>77285</v>
      </c>
      <c r="F95" t="str">
        <f t="shared" si="9"/>
        <v>South Dakota</v>
      </c>
      <c r="G95" s="14">
        <f t="shared" si="7"/>
        <v>77285</v>
      </c>
      <c r="H95" s="14">
        <f t="shared" si="10"/>
        <v>77285</v>
      </c>
    </row>
    <row r="96" spans="1:8" x14ac:dyDescent="0.45">
      <c r="A96" t="s">
        <v>45</v>
      </c>
      <c r="B96" t="s">
        <v>19</v>
      </c>
      <c r="C96" s="12">
        <v>175912.5</v>
      </c>
      <c r="F96" t="str">
        <f t="shared" si="9"/>
        <v>Tennessee</v>
      </c>
      <c r="G96" s="14">
        <f t="shared" si="7"/>
        <v>175912.5</v>
      </c>
      <c r="H96" s="14">
        <f t="shared" si="10"/>
        <v>175912.5</v>
      </c>
    </row>
    <row r="97" spans="1:8" x14ac:dyDescent="0.45">
      <c r="A97" t="s">
        <v>20</v>
      </c>
      <c r="B97" t="s">
        <v>19</v>
      </c>
      <c r="C97" s="12">
        <v>440987.5</v>
      </c>
      <c r="F97" t="str">
        <f t="shared" si="9"/>
        <v>Texas</v>
      </c>
      <c r="G97" s="14">
        <f t="shared" si="7"/>
        <v>440987.5</v>
      </c>
      <c r="H97" s="14">
        <f t="shared" si="10"/>
        <v>440987.5</v>
      </c>
    </row>
    <row r="98" spans="1:8" x14ac:dyDescent="0.45">
      <c r="A98" t="s">
        <v>63</v>
      </c>
      <c r="B98" t="s">
        <v>22</v>
      </c>
      <c r="C98" s="12">
        <v>199937.5</v>
      </c>
      <c r="F98" t="str">
        <f t="shared" si="9"/>
        <v>Utah</v>
      </c>
      <c r="G98" s="14">
        <f t="shared" si="7"/>
        <v>199937.5</v>
      </c>
      <c r="H98" s="14">
        <f t="shared" si="10"/>
        <v>199937.5</v>
      </c>
    </row>
    <row r="99" spans="1:8" x14ac:dyDescent="0.45">
      <c r="A99" t="s">
        <v>115</v>
      </c>
      <c r="B99" t="s">
        <v>11</v>
      </c>
      <c r="C99" s="12">
        <v>156035</v>
      </c>
      <c r="F99" t="str">
        <f t="shared" si="9"/>
        <v>Vermont</v>
      </c>
      <c r="G99" s="14">
        <f t="shared" si="7"/>
        <v>156035</v>
      </c>
      <c r="H99" s="14">
        <f t="shared" si="10"/>
        <v>156035</v>
      </c>
    </row>
    <row r="100" spans="1:8" x14ac:dyDescent="0.45">
      <c r="A100" t="s">
        <v>57</v>
      </c>
      <c r="B100" t="s">
        <v>38</v>
      </c>
      <c r="C100" s="12">
        <v>187222.5</v>
      </c>
      <c r="F100" t="str">
        <f t="shared" si="9"/>
        <v>Virginia</v>
      </c>
      <c r="G100" s="14">
        <f t="shared" si="7"/>
        <v>187222.5</v>
      </c>
      <c r="H100" s="14">
        <f t="shared" si="10"/>
        <v>187222.5</v>
      </c>
    </row>
    <row r="101" spans="1:8" x14ac:dyDescent="0.45">
      <c r="A101" t="s">
        <v>36</v>
      </c>
      <c r="B101" t="s">
        <v>22</v>
      </c>
      <c r="C101" s="12">
        <v>250237.5</v>
      </c>
      <c r="F101" t="str">
        <f t="shared" si="9"/>
        <v>Washington</v>
      </c>
      <c r="G101" s="14">
        <f t="shared" si="7"/>
        <v>250237.5</v>
      </c>
      <c r="H101" s="14">
        <f t="shared" si="10"/>
        <v>250237.5</v>
      </c>
    </row>
    <row r="102" spans="1:8" x14ac:dyDescent="0.45">
      <c r="A102" t="s">
        <v>102</v>
      </c>
      <c r="B102" t="s">
        <v>11</v>
      </c>
      <c r="C102" s="12">
        <v>71145</v>
      </c>
      <c r="F102" t="str">
        <f t="shared" si="9"/>
        <v>West Virginia</v>
      </c>
      <c r="G102" s="14">
        <f t="shared" si="7"/>
        <v>71145</v>
      </c>
      <c r="H102" s="14">
        <f t="shared" si="10"/>
        <v>71145</v>
      </c>
    </row>
    <row r="103" spans="1:8" x14ac:dyDescent="0.45">
      <c r="A103" t="s">
        <v>98</v>
      </c>
      <c r="B103" t="s">
        <v>26</v>
      </c>
      <c r="C103" s="12">
        <v>85752.5</v>
      </c>
      <c r="F103" t="str">
        <f t="shared" si="9"/>
        <v>Wisconsin</v>
      </c>
      <c r="G103" s="14">
        <f t="shared" si="7"/>
        <v>85752.5</v>
      </c>
      <c r="H103" s="14">
        <f t="shared" si="10"/>
        <v>85752.5</v>
      </c>
    </row>
    <row r="104" spans="1:8" x14ac:dyDescent="0.45">
      <c r="A104" t="s">
        <v>55</v>
      </c>
      <c r="B104" t="s">
        <v>22</v>
      </c>
      <c r="C104" s="12">
        <v>199937.5</v>
      </c>
      <c r="F104" t="str">
        <f t="shared" si="9"/>
        <v>Wyoming</v>
      </c>
      <c r="G104" s="14">
        <f t="shared" si="7"/>
        <v>199937.5</v>
      </c>
      <c r="H104" s="14">
        <f t="shared" si="10"/>
        <v>199937.5</v>
      </c>
    </row>
    <row r="105" spans="1:8" x14ac:dyDescent="0.45">
      <c r="A105" t="s">
        <v>131</v>
      </c>
      <c r="C105" s="12">
        <v>8215165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745"/>
  <sheetViews>
    <sheetView showGridLines="0" topLeftCell="A2" zoomScale="130" zoomScaleNormal="130" workbookViewId="0">
      <selection activeCell="D44" sqref="D44"/>
    </sheetView>
  </sheetViews>
  <sheetFormatPr defaultColWidth="14.46484375" defaultRowHeight="15" customHeight="1" x14ac:dyDescent="0.45"/>
  <cols>
    <col min="1" max="1" width="9.33203125" customWidth="1"/>
    <col min="2" max="2" width="10.796875" customWidth="1"/>
    <col min="3" max="3" width="12.06640625" customWidth="1"/>
    <col min="4" max="4" width="9.33203125" bestFit="1" customWidth="1"/>
    <col min="5" max="5" width="14.46484375" bestFit="1" customWidth="1"/>
    <col min="6" max="6" width="10.46484375" customWidth="1"/>
    <col min="7" max="7" width="14.796875" customWidth="1"/>
    <col min="8" max="8" width="13.33203125" bestFit="1" customWidth="1"/>
    <col min="9" max="9" width="13.33203125" customWidth="1"/>
    <col min="10" max="10" width="12.46484375" customWidth="1"/>
    <col min="11" max="11" width="10.1328125" customWidth="1"/>
    <col min="12" max="12" width="10.6640625" customWidth="1"/>
    <col min="13" max="13" width="15.796875" customWidth="1"/>
    <col min="14" max="14" width="16.33203125" customWidth="1"/>
    <col min="15" max="15" width="8.796875" customWidth="1"/>
  </cols>
  <sheetData>
    <row r="1" spans="1:14" s="9" customFormat="1" ht="28.5" x14ac:dyDescent="0.45">
      <c r="A1" s="7" t="s">
        <v>0</v>
      </c>
      <c r="B1" s="7" t="s">
        <v>1</v>
      </c>
      <c r="C1" s="7" t="s">
        <v>2</v>
      </c>
      <c r="D1" s="7" t="s">
        <v>3</v>
      </c>
      <c r="E1" s="7" t="s">
        <v>4</v>
      </c>
      <c r="F1" s="7" t="s">
        <v>5</v>
      </c>
      <c r="G1" s="7" t="s">
        <v>6</v>
      </c>
      <c r="H1" s="8" t="s">
        <v>127</v>
      </c>
      <c r="I1" s="8" t="s">
        <v>128</v>
      </c>
      <c r="J1" s="8" t="s">
        <v>129</v>
      </c>
      <c r="K1" s="7" t="s">
        <v>7</v>
      </c>
      <c r="L1" s="7" t="s">
        <v>8</v>
      </c>
      <c r="M1" s="7" t="s">
        <v>9</v>
      </c>
      <c r="N1" s="7" t="s">
        <v>10</v>
      </c>
    </row>
    <row r="2" spans="1:14" ht="14.25" x14ac:dyDescent="0.45">
      <c r="A2" s="1" t="s">
        <v>119</v>
      </c>
      <c r="B2" s="1">
        <v>1185732</v>
      </c>
      <c r="C2" s="2">
        <v>44575</v>
      </c>
      <c r="D2" s="1" t="s">
        <v>11</v>
      </c>
      <c r="E2" s="1" t="s">
        <v>12</v>
      </c>
      <c r="F2" s="1" t="s">
        <v>12</v>
      </c>
      <c r="G2" s="1" t="s">
        <v>13</v>
      </c>
      <c r="H2" s="1">
        <v>25</v>
      </c>
      <c r="I2" s="1" t="s">
        <v>124</v>
      </c>
      <c r="J2" s="3">
        <v>0.5</v>
      </c>
      <c r="K2" s="4">
        <v>12000</v>
      </c>
      <c r="L2" s="5">
        <f t="shared" ref="L2:L256" si="0">J2*K2</f>
        <v>6000</v>
      </c>
      <c r="M2" s="5">
        <f t="shared" ref="M2:M256" si="1">L2*N2</f>
        <v>3000</v>
      </c>
      <c r="N2" s="6">
        <v>0.5</v>
      </c>
    </row>
    <row r="3" spans="1:14" ht="14.25" x14ac:dyDescent="0.45">
      <c r="A3" s="1" t="s">
        <v>119</v>
      </c>
      <c r="B3" s="1">
        <v>1185732</v>
      </c>
      <c r="C3" s="2">
        <v>44575</v>
      </c>
      <c r="D3" s="1" t="s">
        <v>11</v>
      </c>
      <c r="E3" s="1" t="s">
        <v>12</v>
      </c>
      <c r="F3" s="1" t="s">
        <v>12</v>
      </c>
      <c r="G3" s="1" t="s">
        <v>14</v>
      </c>
      <c r="H3" s="1">
        <v>34</v>
      </c>
      <c r="I3" s="1" t="s">
        <v>123</v>
      </c>
      <c r="J3" s="3">
        <v>0.5</v>
      </c>
      <c r="K3" s="4">
        <v>10000</v>
      </c>
      <c r="L3" s="5">
        <f t="shared" si="0"/>
        <v>5000</v>
      </c>
      <c r="M3" s="5">
        <f t="shared" si="1"/>
        <v>1500</v>
      </c>
      <c r="N3" s="6">
        <v>0.3</v>
      </c>
    </row>
    <row r="4" spans="1:14" ht="14.25" x14ac:dyDescent="0.45">
      <c r="A4" s="1" t="s">
        <v>119</v>
      </c>
      <c r="B4" s="1">
        <v>1185732</v>
      </c>
      <c r="C4" s="2">
        <v>44575</v>
      </c>
      <c r="D4" s="1" t="s">
        <v>11</v>
      </c>
      <c r="E4" s="1" t="s">
        <v>12</v>
      </c>
      <c r="F4" s="1" t="s">
        <v>12</v>
      </c>
      <c r="G4" s="1" t="s">
        <v>15</v>
      </c>
      <c r="H4" s="1">
        <v>48</v>
      </c>
      <c r="I4" s="1" t="s">
        <v>126</v>
      </c>
      <c r="J4" s="3">
        <v>0.4</v>
      </c>
      <c r="K4" s="4">
        <v>10000</v>
      </c>
      <c r="L4" s="5">
        <f t="shared" si="0"/>
        <v>4000</v>
      </c>
      <c r="M4" s="5">
        <f t="shared" si="1"/>
        <v>1400</v>
      </c>
      <c r="N4" s="6">
        <v>0.35</v>
      </c>
    </row>
    <row r="5" spans="1:14" ht="14.25" x14ac:dyDescent="0.45">
      <c r="A5" s="1" t="s">
        <v>119</v>
      </c>
      <c r="B5" s="1">
        <v>1185732</v>
      </c>
      <c r="C5" s="2">
        <v>44575</v>
      </c>
      <c r="D5" s="1" t="s">
        <v>11</v>
      </c>
      <c r="E5" s="1" t="s">
        <v>12</v>
      </c>
      <c r="F5" s="1" t="s">
        <v>12</v>
      </c>
      <c r="G5" s="1" t="s">
        <v>16</v>
      </c>
      <c r="H5" s="1">
        <v>20</v>
      </c>
      <c r="I5" s="1" t="s">
        <v>124</v>
      </c>
      <c r="J5" s="3">
        <v>0.45</v>
      </c>
      <c r="K5" s="4">
        <v>8500</v>
      </c>
      <c r="L5" s="5">
        <f t="shared" si="0"/>
        <v>3825</v>
      </c>
      <c r="M5" s="5">
        <f t="shared" si="1"/>
        <v>1338.75</v>
      </c>
      <c r="N5" s="6">
        <v>0.35</v>
      </c>
    </row>
    <row r="6" spans="1:14" ht="14.25" x14ac:dyDescent="0.45">
      <c r="A6" s="1" t="s">
        <v>119</v>
      </c>
      <c r="B6" s="1">
        <v>1185732</v>
      </c>
      <c r="C6" s="2">
        <v>44575</v>
      </c>
      <c r="D6" s="1" t="s">
        <v>11</v>
      </c>
      <c r="E6" s="1" t="s">
        <v>12</v>
      </c>
      <c r="F6" s="1" t="s">
        <v>12</v>
      </c>
      <c r="G6" s="1" t="s">
        <v>17</v>
      </c>
      <c r="H6" s="1">
        <v>26</v>
      </c>
      <c r="I6" s="1" t="s">
        <v>124</v>
      </c>
      <c r="J6" s="3">
        <v>0.6</v>
      </c>
      <c r="K6" s="4">
        <v>9000</v>
      </c>
      <c r="L6" s="5">
        <f t="shared" si="0"/>
        <v>5400</v>
      </c>
      <c r="M6" s="5">
        <f t="shared" si="1"/>
        <v>1620</v>
      </c>
      <c r="N6" s="6">
        <v>0.3</v>
      </c>
    </row>
    <row r="7" spans="1:14" ht="14.25" x14ac:dyDescent="0.45">
      <c r="A7" s="1" t="s">
        <v>119</v>
      </c>
      <c r="B7" s="1">
        <v>1185732</v>
      </c>
      <c r="C7" s="2">
        <v>44575</v>
      </c>
      <c r="D7" s="1" t="s">
        <v>11</v>
      </c>
      <c r="E7" s="1" t="s">
        <v>12</v>
      </c>
      <c r="F7" s="1" t="s">
        <v>12</v>
      </c>
      <c r="G7" s="1" t="s">
        <v>18</v>
      </c>
      <c r="H7" s="1">
        <v>43</v>
      </c>
      <c r="I7" s="1" t="s">
        <v>125</v>
      </c>
      <c r="J7" s="3">
        <v>0.5</v>
      </c>
      <c r="K7" s="4">
        <v>10000</v>
      </c>
      <c r="L7" s="5">
        <f t="shared" si="0"/>
        <v>5000</v>
      </c>
      <c r="M7" s="5">
        <f t="shared" si="1"/>
        <v>1250</v>
      </c>
      <c r="N7" s="6">
        <v>0.25</v>
      </c>
    </row>
    <row r="8" spans="1:14" ht="14.25" x14ac:dyDescent="0.45">
      <c r="A8" s="1" t="s">
        <v>119</v>
      </c>
      <c r="B8" s="1">
        <v>1185732</v>
      </c>
      <c r="C8" s="2">
        <v>44604</v>
      </c>
      <c r="D8" s="1" t="s">
        <v>11</v>
      </c>
      <c r="E8" s="1" t="s">
        <v>12</v>
      </c>
      <c r="F8" s="1" t="s">
        <v>12</v>
      </c>
      <c r="G8" s="1" t="s">
        <v>13</v>
      </c>
      <c r="H8" s="1">
        <v>19</v>
      </c>
      <c r="I8" s="1" t="s">
        <v>123</v>
      </c>
      <c r="J8" s="3">
        <v>0.5</v>
      </c>
      <c r="K8" s="4">
        <v>12500</v>
      </c>
      <c r="L8" s="5">
        <f t="shared" si="0"/>
        <v>6250</v>
      </c>
      <c r="M8" s="5">
        <f t="shared" si="1"/>
        <v>3125</v>
      </c>
      <c r="N8" s="6">
        <v>0.5</v>
      </c>
    </row>
    <row r="9" spans="1:14" ht="14.25" x14ac:dyDescent="0.45">
      <c r="A9" s="1" t="s">
        <v>119</v>
      </c>
      <c r="B9" s="1">
        <v>1185732</v>
      </c>
      <c r="C9" s="2">
        <v>44604</v>
      </c>
      <c r="D9" s="1" t="s">
        <v>11</v>
      </c>
      <c r="E9" s="1" t="s">
        <v>12</v>
      </c>
      <c r="F9" s="1" t="s">
        <v>12</v>
      </c>
      <c r="G9" s="1" t="s">
        <v>14</v>
      </c>
      <c r="H9" s="1">
        <v>41</v>
      </c>
      <c r="I9" s="1" t="s">
        <v>123</v>
      </c>
      <c r="J9" s="3">
        <v>0.5</v>
      </c>
      <c r="K9" s="4">
        <v>9000</v>
      </c>
      <c r="L9" s="5">
        <f t="shared" si="0"/>
        <v>4500</v>
      </c>
      <c r="M9" s="5">
        <f t="shared" si="1"/>
        <v>1350</v>
      </c>
      <c r="N9" s="6">
        <v>0.3</v>
      </c>
    </row>
    <row r="10" spans="1:14" ht="14.25" x14ac:dyDescent="0.45">
      <c r="A10" s="1" t="s">
        <v>119</v>
      </c>
      <c r="B10" s="1">
        <v>1185732</v>
      </c>
      <c r="C10" s="2">
        <v>44604</v>
      </c>
      <c r="D10" s="1" t="s">
        <v>11</v>
      </c>
      <c r="E10" s="1" t="s">
        <v>12</v>
      </c>
      <c r="F10" s="1" t="s">
        <v>12</v>
      </c>
      <c r="G10" s="1" t="s">
        <v>15</v>
      </c>
      <c r="H10" s="1">
        <v>34</v>
      </c>
      <c r="I10" s="1" t="s">
        <v>124</v>
      </c>
      <c r="J10" s="3">
        <v>0.4</v>
      </c>
      <c r="K10" s="4">
        <v>9500</v>
      </c>
      <c r="L10" s="5">
        <f t="shared" si="0"/>
        <v>3800</v>
      </c>
      <c r="M10" s="5">
        <f t="shared" si="1"/>
        <v>1330</v>
      </c>
      <c r="N10" s="6">
        <v>0.35</v>
      </c>
    </row>
    <row r="11" spans="1:14" ht="14.25" x14ac:dyDescent="0.45">
      <c r="A11" s="1" t="s">
        <v>119</v>
      </c>
      <c r="B11" s="1">
        <v>1185732</v>
      </c>
      <c r="C11" s="2">
        <v>44604</v>
      </c>
      <c r="D11" s="1" t="s">
        <v>11</v>
      </c>
      <c r="E11" s="1" t="s">
        <v>12</v>
      </c>
      <c r="F11" s="1" t="s">
        <v>12</v>
      </c>
      <c r="G11" s="1" t="s">
        <v>16</v>
      </c>
      <c r="H11" s="1">
        <v>42</v>
      </c>
      <c r="I11" s="1" t="s">
        <v>126</v>
      </c>
      <c r="J11" s="3">
        <v>0.45</v>
      </c>
      <c r="K11" s="4">
        <v>8250</v>
      </c>
      <c r="L11" s="5">
        <f t="shared" si="0"/>
        <v>3712.5</v>
      </c>
      <c r="M11" s="5">
        <f t="shared" si="1"/>
        <v>1299.375</v>
      </c>
      <c r="N11" s="6">
        <v>0.35</v>
      </c>
    </row>
    <row r="12" spans="1:14" ht="14.25" x14ac:dyDescent="0.45">
      <c r="A12" s="1" t="s">
        <v>119</v>
      </c>
      <c r="B12" s="1">
        <v>1185732</v>
      </c>
      <c r="C12" s="2">
        <v>44604</v>
      </c>
      <c r="D12" s="1" t="s">
        <v>11</v>
      </c>
      <c r="E12" s="1" t="s">
        <v>12</v>
      </c>
      <c r="F12" s="1" t="s">
        <v>12</v>
      </c>
      <c r="G12" s="1" t="s">
        <v>17</v>
      </c>
      <c r="H12" s="1">
        <v>37</v>
      </c>
      <c r="I12" s="1" t="s">
        <v>126</v>
      </c>
      <c r="J12" s="3">
        <v>0.6</v>
      </c>
      <c r="K12" s="4">
        <v>9000</v>
      </c>
      <c r="L12" s="5">
        <f t="shared" si="0"/>
        <v>5400</v>
      </c>
      <c r="M12" s="5">
        <f t="shared" si="1"/>
        <v>1620</v>
      </c>
      <c r="N12" s="6">
        <v>0.3</v>
      </c>
    </row>
    <row r="13" spans="1:14" ht="14.25" x14ac:dyDescent="0.45">
      <c r="A13" s="1" t="s">
        <v>119</v>
      </c>
      <c r="B13" s="1">
        <v>1185732</v>
      </c>
      <c r="C13" s="2">
        <v>44604</v>
      </c>
      <c r="D13" s="1" t="s">
        <v>11</v>
      </c>
      <c r="E13" s="1" t="s">
        <v>12</v>
      </c>
      <c r="F13" s="1" t="s">
        <v>12</v>
      </c>
      <c r="G13" s="1" t="s">
        <v>18</v>
      </c>
      <c r="H13" s="1">
        <v>59</v>
      </c>
      <c r="I13" s="1" t="s">
        <v>126</v>
      </c>
      <c r="J13" s="3">
        <v>0.5</v>
      </c>
      <c r="K13" s="4">
        <v>10000</v>
      </c>
      <c r="L13" s="5">
        <f t="shared" si="0"/>
        <v>5000</v>
      </c>
      <c r="M13" s="5">
        <f t="shared" si="1"/>
        <v>1250</v>
      </c>
      <c r="N13" s="6">
        <v>0.25</v>
      </c>
    </row>
    <row r="14" spans="1:14" ht="14.25" x14ac:dyDescent="0.45">
      <c r="A14" s="1" t="s">
        <v>119</v>
      </c>
      <c r="B14" s="1">
        <v>1185732</v>
      </c>
      <c r="C14" s="2">
        <v>44630</v>
      </c>
      <c r="D14" s="1" t="s">
        <v>11</v>
      </c>
      <c r="E14" s="1" t="s">
        <v>12</v>
      </c>
      <c r="F14" s="1" t="s">
        <v>12</v>
      </c>
      <c r="G14" s="1" t="s">
        <v>13</v>
      </c>
      <c r="H14" s="1">
        <v>27</v>
      </c>
      <c r="I14" s="1" t="s">
        <v>126</v>
      </c>
      <c r="J14" s="3">
        <v>0.5</v>
      </c>
      <c r="K14" s="4">
        <v>12200</v>
      </c>
      <c r="L14" s="5">
        <f t="shared" si="0"/>
        <v>6100</v>
      </c>
      <c r="M14" s="5">
        <f t="shared" si="1"/>
        <v>3050</v>
      </c>
      <c r="N14" s="6">
        <v>0.5</v>
      </c>
    </row>
    <row r="15" spans="1:14" ht="14.25" x14ac:dyDescent="0.45">
      <c r="A15" s="1" t="s">
        <v>119</v>
      </c>
      <c r="B15" s="1">
        <v>1185732</v>
      </c>
      <c r="C15" s="2">
        <v>44630</v>
      </c>
      <c r="D15" s="1" t="s">
        <v>11</v>
      </c>
      <c r="E15" s="1" t="s">
        <v>12</v>
      </c>
      <c r="F15" s="1" t="s">
        <v>12</v>
      </c>
      <c r="G15" s="1" t="s">
        <v>14</v>
      </c>
      <c r="H15" s="1">
        <v>44</v>
      </c>
      <c r="I15" s="1" t="s">
        <v>123</v>
      </c>
      <c r="J15" s="3">
        <v>0.5</v>
      </c>
      <c r="K15" s="4">
        <v>9250</v>
      </c>
      <c r="L15" s="5">
        <f t="shared" si="0"/>
        <v>4625</v>
      </c>
      <c r="M15" s="5">
        <f t="shared" si="1"/>
        <v>1387.5</v>
      </c>
      <c r="N15" s="6">
        <v>0.3</v>
      </c>
    </row>
    <row r="16" spans="1:14" ht="14.25" x14ac:dyDescent="0.45">
      <c r="A16" s="1" t="s">
        <v>119</v>
      </c>
      <c r="B16" s="1">
        <v>1185732</v>
      </c>
      <c r="C16" s="2">
        <v>44630</v>
      </c>
      <c r="D16" s="1" t="s">
        <v>11</v>
      </c>
      <c r="E16" s="1" t="s">
        <v>12</v>
      </c>
      <c r="F16" s="1" t="s">
        <v>12</v>
      </c>
      <c r="G16" s="1" t="s">
        <v>15</v>
      </c>
      <c r="H16" s="1">
        <v>44</v>
      </c>
      <c r="I16" s="1" t="s">
        <v>125</v>
      </c>
      <c r="J16" s="3">
        <v>0.4</v>
      </c>
      <c r="K16" s="4">
        <v>9500</v>
      </c>
      <c r="L16" s="5">
        <f t="shared" si="0"/>
        <v>3800</v>
      </c>
      <c r="M16" s="5">
        <f t="shared" si="1"/>
        <v>1330</v>
      </c>
      <c r="N16" s="6">
        <v>0.35</v>
      </c>
    </row>
    <row r="17" spans="1:14" ht="15.75" customHeight="1" x14ac:dyDescent="0.45">
      <c r="A17" s="1" t="s">
        <v>119</v>
      </c>
      <c r="B17" s="1">
        <v>1185732</v>
      </c>
      <c r="C17" s="2">
        <v>44630</v>
      </c>
      <c r="D17" s="1" t="s">
        <v>11</v>
      </c>
      <c r="E17" s="1" t="s">
        <v>12</v>
      </c>
      <c r="F17" s="1" t="s">
        <v>12</v>
      </c>
      <c r="G17" s="1" t="s">
        <v>16</v>
      </c>
      <c r="H17" s="1">
        <v>36</v>
      </c>
      <c r="I17" s="1" t="s">
        <v>125</v>
      </c>
      <c r="J17" s="3">
        <v>0.45</v>
      </c>
      <c r="K17" s="4">
        <v>8000</v>
      </c>
      <c r="L17" s="5">
        <f t="shared" si="0"/>
        <v>3600</v>
      </c>
      <c r="M17" s="5">
        <f t="shared" si="1"/>
        <v>1260</v>
      </c>
      <c r="N17" s="6">
        <v>0.35</v>
      </c>
    </row>
    <row r="18" spans="1:14" ht="15.75" customHeight="1" x14ac:dyDescent="0.45">
      <c r="A18" s="1" t="s">
        <v>119</v>
      </c>
      <c r="B18" s="1">
        <v>1185732</v>
      </c>
      <c r="C18" s="2">
        <v>44630</v>
      </c>
      <c r="D18" s="1" t="s">
        <v>11</v>
      </c>
      <c r="E18" s="1" t="s">
        <v>12</v>
      </c>
      <c r="F18" s="1" t="s">
        <v>12</v>
      </c>
      <c r="G18" s="1" t="s">
        <v>17</v>
      </c>
      <c r="H18" s="1">
        <v>37</v>
      </c>
      <c r="I18" s="1" t="s">
        <v>125</v>
      </c>
      <c r="J18" s="3">
        <v>0.6</v>
      </c>
      <c r="K18" s="4">
        <v>8500</v>
      </c>
      <c r="L18" s="5">
        <f t="shared" si="0"/>
        <v>5100</v>
      </c>
      <c r="M18" s="5">
        <f t="shared" si="1"/>
        <v>1530</v>
      </c>
      <c r="N18" s="6">
        <v>0.3</v>
      </c>
    </row>
    <row r="19" spans="1:14" ht="15.75" customHeight="1" x14ac:dyDescent="0.45">
      <c r="A19" s="1" t="s">
        <v>119</v>
      </c>
      <c r="B19" s="1">
        <v>1185732</v>
      </c>
      <c r="C19" s="2">
        <v>44630</v>
      </c>
      <c r="D19" s="1" t="s">
        <v>11</v>
      </c>
      <c r="E19" s="1" t="s">
        <v>12</v>
      </c>
      <c r="F19" s="1" t="s">
        <v>12</v>
      </c>
      <c r="G19" s="1" t="s">
        <v>18</v>
      </c>
      <c r="H19" s="1">
        <v>46</v>
      </c>
      <c r="I19" s="1" t="s">
        <v>124</v>
      </c>
      <c r="J19" s="3">
        <v>0.5</v>
      </c>
      <c r="K19" s="4">
        <v>9500</v>
      </c>
      <c r="L19" s="5">
        <f t="shared" si="0"/>
        <v>4750</v>
      </c>
      <c r="M19" s="5">
        <f t="shared" si="1"/>
        <v>1187.5</v>
      </c>
      <c r="N19" s="6">
        <v>0.25</v>
      </c>
    </row>
    <row r="20" spans="1:14" ht="15.75" customHeight="1" x14ac:dyDescent="0.45">
      <c r="A20" s="1" t="s">
        <v>119</v>
      </c>
      <c r="B20" s="1">
        <v>1185732</v>
      </c>
      <c r="C20" s="2">
        <v>44662</v>
      </c>
      <c r="D20" s="1" t="s">
        <v>11</v>
      </c>
      <c r="E20" s="1" t="s">
        <v>12</v>
      </c>
      <c r="F20" s="1" t="s">
        <v>12</v>
      </c>
      <c r="G20" s="1" t="s">
        <v>13</v>
      </c>
      <c r="H20" s="1">
        <v>56</v>
      </c>
      <c r="I20" s="1" t="s">
        <v>123</v>
      </c>
      <c r="J20" s="3">
        <v>0.5</v>
      </c>
      <c r="K20" s="4">
        <v>12000</v>
      </c>
      <c r="L20" s="5">
        <f t="shared" si="0"/>
        <v>6000</v>
      </c>
      <c r="M20" s="5">
        <f t="shared" si="1"/>
        <v>3000</v>
      </c>
      <c r="N20" s="6">
        <v>0.5</v>
      </c>
    </row>
    <row r="21" spans="1:14" ht="15.75" customHeight="1" x14ac:dyDescent="0.45">
      <c r="A21" s="1" t="s">
        <v>119</v>
      </c>
      <c r="B21" s="1">
        <v>1185732</v>
      </c>
      <c r="C21" s="2">
        <v>44662</v>
      </c>
      <c r="D21" s="1" t="s">
        <v>11</v>
      </c>
      <c r="E21" s="1" t="s">
        <v>12</v>
      </c>
      <c r="F21" s="1" t="s">
        <v>12</v>
      </c>
      <c r="G21" s="1" t="s">
        <v>14</v>
      </c>
      <c r="H21" s="1">
        <v>24</v>
      </c>
      <c r="I21" s="1" t="s">
        <v>125</v>
      </c>
      <c r="J21" s="3">
        <v>0.5</v>
      </c>
      <c r="K21" s="4">
        <v>9000</v>
      </c>
      <c r="L21" s="5">
        <f t="shared" si="0"/>
        <v>4500</v>
      </c>
      <c r="M21" s="5">
        <f t="shared" si="1"/>
        <v>1350</v>
      </c>
      <c r="N21" s="6">
        <v>0.3</v>
      </c>
    </row>
    <row r="22" spans="1:14" ht="15.75" customHeight="1" x14ac:dyDescent="0.45">
      <c r="A22" s="1" t="s">
        <v>119</v>
      </c>
      <c r="B22" s="1">
        <v>1185732</v>
      </c>
      <c r="C22" s="2">
        <v>44662</v>
      </c>
      <c r="D22" s="1" t="s">
        <v>11</v>
      </c>
      <c r="E22" s="1" t="s">
        <v>12</v>
      </c>
      <c r="F22" s="1" t="s">
        <v>12</v>
      </c>
      <c r="G22" s="1" t="s">
        <v>15</v>
      </c>
      <c r="H22" s="1">
        <v>29</v>
      </c>
      <c r="I22" s="1" t="s">
        <v>123</v>
      </c>
      <c r="J22" s="3">
        <v>0.4</v>
      </c>
      <c r="K22" s="4">
        <v>9000</v>
      </c>
      <c r="L22" s="5">
        <f t="shared" si="0"/>
        <v>3600</v>
      </c>
      <c r="M22" s="5">
        <f t="shared" si="1"/>
        <v>1260</v>
      </c>
      <c r="N22" s="6">
        <v>0.35</v>
      </c>
    </row>
    <row r="23" spans="1:14" ht="15.75" customHeight="1" x14ac:dyDescent="0.45">
      <c r="A23" s="1" t="s">
        <v>119</v>
      </c>
      <c r="B23" s="1">
        <v>1185732</v>
      </c>
      <c r="C23" s="2">
        <v>44662</v>
      </c>
      <c r="D23" s="1" t="s">
        <v>11</v>
      </c>
      <c r="E23" s="1" t="s">
        <v>12</v>
      </c>
      <c r="F23" s="1" t="s">
        <v>12</v>
      </c>
      <c r="G23" s="1" t="s">
        <v>16</v>
      </c>
      <c r="H23" s="1">
        <v>38</v>
      </c>
      <c r="I23" s="1" t="s">
        <v>124</v>
      </c>
      <c r="J23" s="3">
        <v>0.45</v>
      </c>
      <c r="K23" s="4">
        <v>8250</v>
      </c>
      <c r="L23" s="5">
        <f t="shared" si="0"/>
        <v>3712.5</v>
      </c>
      <c r="M23" s="5">
        <f t="shared" si="1"/>
        <v>1299.375</v>
      </c>
      <c r="N23" s="6">
        <v>0.35</v>
      </c>
    </row>
    <row r="24" spans="1:14" ht="15.75" customHeight="1" x14ac:dyDescent="0.45">
      <c r="A24" s="1" t="s">
        <v>119</v>
      </c>
      <c r="B24" s="1">
        <v>1185732</v>
      </c>
      <c r="C24" s="2">
        <v>44662</v>
      </c>
      <c r="D24" s="1" t="s">
        <v>11</v>
      </c>
      <c r="E24" s="1" t="s">
        <v>12</v>
      </c>
      <c r="F24" s="1" t="s">
        <v>12</v>
      </c>
      <c r="G24" s="1" t="s">
        <v>17</v>
      </c>
      <c r="H24" s="1">
        <v>16</v>
      </c>
      <c r="I24" s="1" t="s">
        <v>123</v>
      </c>
      <c r="J24" s="3">
        <v>0.6</v>
      </c>
      <c r="K24" s="4">
        <v>8250</v>
      </c>
      <c r="L24" s="5">
        <f t="shared" si="0"/>
        <v>4950</v>
      </c>
      <c r="M24" s="5">
        <f t="shared" si="1"/>
        <v>1485</v>
      </c>
      <c r="N24" s="6">
        <v>0.3</v>
      </c>
    </row>
    <row r="25" spans="1:14" ht="15.75" customHeight="1" x14ac:dyDescent="0.45">
      <c r="A25" s="1" t="s">
        <v>119</v>
      </c>
      <c r="B25" s="1">
        <v>1185732</v>
      </c>
      <c r="C25" s="2">
        <v>44662</v>
      </c>
      <c r="D25" s="1" t="s">
        <v>11</v>
      </c>
      <c r="E25" s="1" t="s">
        <v>12</v>
      </c>
      <c r="F25" s="1" t="s">
        <v>12</v>
      </c>
      <c r="G25" s="1" t="s">
        <v>18</v>
      </c>
      <c r="H25" s="1">
        <v>32</v>
      </c>
      <c r="I25" s="1" t="s">
        <v>125</v>
      </c>
      <c r="J25" s="3">
        <v>0.5</v>
      </c>
      <c r="K25" s="4">
        <v>9500</v>
      </c>
      <c r="L25" s="5">
        <f t="shared" si="0"/>
        <v>4750</v>
      </c>
      <c r="M25" s="5">
        <f t="shared" si="1"/>
        <v>1187.5</v>
      </c>
      <c r="N25" s="6">
        <v>0.25</v>
      </c>
    </row>
    <row r="26" spans="1:14" ht="15.75" customHeight="1" x14ac:dyDescent="0.45">
      <c r="A26" s="1" t="s">
        <v>119</v>
      </c>
      <c r="B26" s="1">
        <v>1185732</v>
      </c>
      <c r="C26" s="2">
        <v>44691</v>
      </c>
      <c r="D26" s="1" t="s">
        <v>11</v>
      </c>
      <c r="E26" s="1" t="s">
        <v>12</v>
      </c>
      <c r="F26" s="1" t="s">
        <v>12</v>
      </c>
      <c r="G26" s="1" t="s">
        <v>13</v>
      </c>
      <c r="H26" s="1">
        <v>18</v>
      </c>
      <c r="I26" s="1" t="s">
        <v>124</v>
      </c>
      <c r="J26" s="3">
        <v>0.6</v>
      </c>
      <c r="K26" s="4">
        <v>12200</v>
      </c>
      <c r="L26" s="5">
        <f t="shared" si="0"/>
        <v>7320</v>
      </c>
      <c r="M26" s="5">
        <f t="shared" si="1"/>
        <v>3660</v>
      </c>
      <c r="N26" s="6">
        <v>0.5</v>
      </c>
    </row>
    <row r="27" spans="1:14" ht="15.75" customHeight="1" x14ac:dyDescent="0.45">
      <c r="A27" s="1" t="s">
        <v>119</v>
      </c>
      <c r="B27" s="1">
        <v>1185732</v>
      </c>
      <c r="C27" s="2">
        <v>44691</v>
      </c>
      <c r="D27" s="1" t="s">
        <v>11</v>
      </c>
      <c r="E27" s="1" t="s">
        <v>12</v>
      </c>
      <c r="F27" s="1" t="s">
        <v>12</v>
      </c>
      <c r="G27" s="1" t="s">
        <v>14</v>
      </c>
      <c r="H27" s="1">
        <v>39</v>
      </c>
      <c r="I27" s="1" t="s">
        <v>125</v>
      </c>
      <c r="J27" s="3">
        <v>0.55000000000000004</v>
      </c>
      <c r="K27" s="4">
        <v>9250</v>
      </c>
      <c r="L27" s="5">
        <f t="shared" si="0"/>
        <v>5087.5</v>
      </c>
      <c r="M27" s="5">
        <f t="shared" si="1"/>
        <v>1526.25</v>
      </c>
      <c r="N27" s="6">
        <v>0.3</v>
      </c>
    </row>
    <row r="28" spans="1:14" ht="15.75" customHeight="1" x14ac:dyDescent="0.45">
      <c r="A28" s="1" t="s">
        <v>119</v>
      </c>
      <c r="B28" s="1">
        <v>1185732</v>
      </c>
      <c r="C28" s="2">
        <v>44691</v>
      </c>
      <c r="D28" s="1" t="s">
        <v>11</v>
      </c>
      <c r="E28" s="1" t="s">
        <v>12</v>
      </c>
      <c r="F28" s="1" t="s">
        <v>12</v>
      </c>
      <c r="G28" s="1" t="s">
        <v>15</v>
      </c>
      <c r="H28" s="1">
        <v>16</v>
      </c>
      <c r="I28" s="1" t="s">
        <v>126</v>
      </c>
      <c r="J28" s="3">
        <v>0.5</v>
      </c>
      <c r="K28" s="4">
        <v>9000</v>
      </c>
      <c r="L28" s="5">
        <f t="shared" si="0"/>
        <v>4500</v>
      </c>
      <c r="M28" s="5">
        <f t="shared" si="1"/>
        <v>1575</v>
      </c>
      <c r="N28" s="6">
        <v>0.35</v>
      </c>
    </row>
    <row r="29" spans="1:14" ht="15.75" customHeight="1" x14ac:dyDescent="0.45">
      <c r="A29" s="1" t="s">
        <v>119</v>
      </c>
      <c r="B29" s="1">
        <v>1185732</v>
      </c>
      <c r="C29" s="2">
        <v>44691</v>
      </c>
      <c r="D29" s="1" t="s">
        <v>11</v>
      </c>
      <c r="E29" s="1" t="s">
        <v>12</v>
      </c>
      <c r="F29" s="1" t="s">
        <v>12</v>
      </c>
      <c r="G29" s="1" t="s">
        <v>16</v>
      </c>
      <c r="H29" s="1">
        <v>22</v>
      </c>
      <c r="I29" s="1" t="s">
        <v>123</v>
      </c>
      <c r="J29" s="3">
        <v>0.5</v>
      </c>
      <c r="K29" s="4">
        <v>8500</v>
      </c>
      <c r="L29" s="5">
        <f t="shared" si="0"/>
        <v>4250</v>
      </c>
      <c r="M29" s="5">
        <f t="shared" si="1"/>
        <v>1487.5</v>
      </c>
      <c r="N29" s="6">
        <v>0.35</v>
      </c>
    </row>
    <row r="30" spans="1:14" ht="15.75" customHeight="1" x14ac:dyDescent="0.45">
      <c r="A30" s="1" t="s">
        <v>119</v>
      </c>
      <c r="B30" s="1">
        <v>1185732</v>
      </c>
      <c r="C30" s="2">
        <v>44691</v>
      </c>
      <c r="D30" s="1" t="s">
        <v>11</v>
      </c>
      <c r="E30" s="1" t="s">
        <v>12</v>
      </c>
      <c r="F30" s="1" t="s">
        <v>12</v>
      </c>
      <c r="G30" s="1" t="s">
        <v>17</v>
      </c>
      <c r="H30" s="1">
        <v>24</v>
      </c>
      <c r="I30" s="1" t="s">
        <v>125</v>
      </c>
      <c r="J30" s="3">
        <v>0.6</v>
      </c>
      <c r="K30" s="4">
        <v>8750</v>
      </c>
      <c r="L30" s="5">
        <f t="shared" si="0"/>
        <v>5250</v>
      </c>
      <c r="M30" s="5">
        <f t="shared" si="1"/>
        <v>1575</v>
      </c>
      <c r="N30" s="6">
        <v>0.3</v>
      </c>
    </row>
    <row r="31" spans="1:14" ht="15.75" customHeight="1" x14ac:dyDescent="0.45">
      <c r="A31" s="1" t="s">
        <v>119</v>
      </c>
      <c r="B31" s="1">
        <v>1185732</v>
      </c>
      <c r="C31" s="2">
        <v>44691</v>
      </c>
      <c r="D31" s="1" t="s">
        <v>11</v>
      </c>
      <c r="E31" s="1" t="s">
        <v>12</v>
      </c>
      <c r="F31" s="1" t="s">
        <v>12</v>
      </c>
      <c r="G31" s="1" t="s">
        <v>18</v>
      </c>
      <c r="H31" s="1">
        <v>20</v>
      </c>
      <c r="I31" s="1" t="s">
        <v>123</v>
      </c>
      <c r="J31" s="3">
        <v>0.65</v>
      </c>
      <c r="K31" s="4">
        <v>10000</v>
      </c>
      <c r="L31" s="5">
        <f t="shared" si="0"/>
        <v>6500</v>
      </c>
      <c r="M31" s="5">
        <f t="shared" si="1"/>
        <v>1625</v>
      </c>
      <c r="N31" s="6">
        <v>0.25</v>
      </c>
    </row>
    <row r="32" spans="1:14" ht="15.75" customHeight="1" x14ac:dyDescent="0.45">
      <c r="A32" s="1" t="s">
        <v>119</v>
      </c>
      <c r="B32" s="1">
        <v>1185732</v>
      </c>
      <c r="C32" s="2">
        <v>44724</v>
      </c>
      <c r="D32" s="1" t="s">
        <v>11</v>
      </c>
      <c r="E32" s="1" t="s">
        <v>12</v>
      </c>
      <c r="F32" s="1" t="s">
        <v>12</v>
      </c>
      <c r="G32" s="1" t="s">
        <v>13</v>
      </c>
      <c r="H32" s="1">
        <v>18</v>
      </c>
      <c r="I32" s="1" t="s">
        <v>126</v>
      </c>
      <c r="J32" s="3">
        <v>0.6</v>
      </c>
      <c r="K32" s="4">
        <v>12500</v>
      </c>
      <c r="L32" s="5">
        <f t="shared" si="0"/>
        <v>7500</v>
      </c>
      <c r="M32" s="5">
        <f t="shared" si="1"/>
        <v>3750</v>
      </c>
      <c r="N32" s="6">
        <v>0.5</v>
      </c>
    </row>
    <row r="33" spans="1:14" ht="15.75" customHeight="1" x14ac:dyDescent="0.45">
      <c r="A33" s="1" t="s">
        <v>119</v>
      </c>
      <c r="B33" s="1">
        <v>1185732</v>
      </c>
      <c r="C33" s="2">
        <v>44724</v>
      </c>
      <c r="D33" s="1" t="s">
        <v>11</v>
      </c>
      <c r="E33" s="1" t="s">
        <v>12</v>
      </c>
      <c r="F33" s="1" t="s">
        <v>12</v>
      </c>
      <c r="G33" s="1" t="s">
        <v>14</v>
      </c>
      <c r="H33" s="1">
        <v>36</v>
      </c>
      <c r="I33" s="1" t="s">
        <v>124</v>
      </c>
      <c r="J33" s="3">
        <v>0.55000000000000004</v>
      </c>
      <c r="K33" s="4">
        <v>10000</v>
      </c>
      <c r="L33" s="5">
        <f t="shared" si="0"/>
        <v>5500</v>
      </c>
      <c r="M33" s="5">
        <f t="shared" si="1"/>
        <v>1650</v>
      </c>
      <c r="N33" s="6">
        <v>0.3</v>
      </c>
    </row>
    <row r="34" spans="1:14" ht="15.75" customHeight="1" x14ac:dyDescent="0.45">
      <c r="A34" s="1" t="s">
        <v>119</v>
      </c>
      <c r="B34" s="1">
        <v>1185732</v>
      </c>
      <c r="C34" s="2">
        <v>44724</v>
      </c>
      <c r="D34" s="1" t="s">
        <v>11</v>
      </c>
      <c r="E34" s="1" t="s">
        <v>12</v>
      </c>
      <c r="F34" s="1" t="s">
        <v>12</v>
      </c>
      <c r="G34" s="1" t="s">
        <v>15</v>
      </c>
      <c r="H34" s="1">
        <v>58</v>
      </c>
      <c r="I34" s="1" t="s">
        <v>126</v>
      </c>
      <c r="J34" s="3">
        <v>0.5</v>
      </c>
      <c r="K34" s="4">
        <v>9250</v>
      </c>
      <c r="L34" s="5">
        <f t="shared" si="0"/>
        <v>4625</v>
      </c>
      <c r="M34" s="5">
        <f t="shared" si="1"/>
        <v>1618.75</v>
      </c>
      <c r="N34" s="6">
        <v>0.35</v>
      </c>
    </row>
    <row r="35" spans="1:14" ht="15.75" customHeight="1" x14ac:dyDescent="0.45">
      <c r="A35" s="1" t="s">
        <v>119</v>
      </c>
      <c r="B35" s="1">
        <v>1185732</v>
      </c>
      <c r="C35" s="2">
        <v>44724</v>
      </c>
      <c r="D35" s="1" t="s">
        <v>11</v>
      </c>
      <c r="E35" s="1" t="s">
        <v>12</v>
      </c>
      <c r="F35" s="1" t="s">
        <v>12</v>
      </c>
      <c r="G35" s="1" t="s">
        <v>16</v>
      </c>
      <c r="H35" s="1">
        <v>51</v>
      </c>
      <c r="I35" s="1" t="s">
        <v>125</v>
      </c>
      <c r="J35" s="3">
        <v>0.5</v>
      </c>
      <c r="K35" s="4">
        <v>9000</v>
      </c>
      <c r="L35" s="5">
        <f t="shared" si="0"/>
        <v>4500</v>
      </c>
      <c r="M35" s="5">
        <f t="shared" si="1"/>
        <v>1575</v>
      </c>
      <c r="N35" s="6">
        <v>0.35</v>
      </c>
    </row>
    <row r="36" spans="1:14" ht="15.75" customHeight="1" x14ac:dyDescent="0.45">
      <c r="A36" s="1" t="s">
        <v>119</v>
      </c>
      <c r="B36" s="1">
        <v>1185732</v>
      </c>
      <c r="C36" s="2">
        <v>44724</v>
      </c>
      <c r="D36" s="1" t="s">
        <v>11</v>
      </c>
      <c r="E36" s="1" t="s">
        <v>12</v>
      </c>
      <c r="F36" s="1" t="s">
        <v>12</v>
      </c>
      <c r="G36" s="1" t="s">
        <v>17</v>
      </c>
      <c r="H36" s="1">
        <v>37</v>
      </c>
      <c r="I36" s="1" t="s">
        <v>123</v>
      </c>
      <c r="J36" s="3">
        <v>0.6</v>
      </c>
      <c r="K36" s="4">
        <v>9000</v>
      </c>
      <c r="L36" s="5">
        <f t="shared" si="0"/>
        <v>5400</v>
      </c>
      <c r="M36" s="5">
        <f t="shared" si="1"/>
        <v>1620</v>
      </c>
      <c r="N36" s="6">
        <v>0.3</v>
      </c>
    </row>
    <row r="37" spans="1:14" ht="15.75" customHeight="1" x14ac:dyDescent="0.45">
      <c r="A37" s="1" t="s">
        <v>119</v>
      </c>
      <c r="B37" s="1">
        <v>1185732</v>
      </c>
      <c r="C37" s="2">
        <v>44724</v>
      </c>
      <c r="D37" s="1" t="s">
        <v>11</v>
      </c>
      <c r="E37" s="1" t="s">
        <v>12</v>
      </c>
      <c r="F37" s="1" t="s">
        <v>12</v>
      </c>
      <c r="G37" s="1" t="s">
        <v>18</v>
      </c>
      <c r="H37" s="1">
        <v>16</v>
      </c>
      <c r="I37" s="1" t="s">
        <v>125</v>
      </c>
      <c r="J37" s="3">
        <v>0.65</v>
      </c>
      <c r="K37" s="4">
        <v>10500</v>
      </c>
      <c r="L37" s="5">
        <f t="shared" si="0"/>
        <v>6825</v>
      </c>
      <c r="M37" s="5">
        <f t="shared" si="1"/>
        <v>1706.25</v>
      </c>
      <c r="N37" s="6">
        <v>0.25</v>
      </c>
    </row>
    <row r="38" spans="1:14" ht="15.75" customHeight="1" x14ac:dyDescent="0.45">
      <c r="A38" s="1" t="s">
        <v>119</v>
      </c>
      <c r="B38" s="1">
        <v>1185732</v>
      </c>
      <c r="C38" s="2">
        <v>44752</v>
      </c>
      <c r="D38" s="1" t="s">
        <v>11</v>
      </c>
      <c r="E38" s="1" t="s">
        <v>12</v>
      </c>
      <c r="F38" s="1" t="s">
        <v>12</v>
      </c>
      <c r="G38" s="1" t="s">
        <v>13</v>
      </c>
      <c r="H38" s="1">
        <v>44</v>
      </c>
      <c r="I38" s="1" t="s">
        <v>123</v>
      </c>
      <c r="J38" s="3">
        <v>0.6</v>
      </c>
      <c r="K38" s="4">
        <v>12750</v>
      </c>
      <c r="L38" s="5">
        <f t="shared" si="0"/>
        <v>7650</v>
      </c>
      <c r="M38" s="5">
        <f t="shared" si="1"/>
        <v>3825</v>
      </c>
      <c r="N38" s="6">
        <v>0.5</v>
      </c>
    </row>
    <row r="39" spans="1:14" ht="15.75" customHeight="1" x14ac:dyDescent="0.45">
      <c r="A39" s="1" t="s">
        <v>119</v>
      </c>
      <c r="B39" s="1">
        <v>1185732</v>
      </c>
      <c r="C39" s="2">
        <v>44752</v>
      </c>
      <c r="D39" s="1" t="s">
        <v>11</v>
      </c>
      <c r="E39" s="1" t="s">
        <v>12</v>
      </c>
      <c r="F39" s="1" t="s">
        <v>12</v>
      </c>
      <c r="G39" s="1" t="s">
        <v>14</v>
      </c>
      <c r="H39" s="1">
        <v>32</v>
      </c>
      <c r="I39" s="1" t="s">
        <v>125</v>
      </c>
      <c r="J39" s="3">
        <v>0.55000000000000004</v>
      </c>
      <c r="K39" s="4">
        <v>10250</v>
      </c>
      <c r="L39" s="5">
        <f t="shared" si="0"/>
        <v>5637.5000000000009</v>
      </c>
      <c r="M39" s="5">
        <f t="shared" si="1"/>
        <v>1691.2500000000002</v>
      </c>
      <c r="N39" s="6">
        <v>0.3</v>
      </c>
    </row>
    <row r="40" spans="1:14" ht="15.75" customHeight="1" x14ac:dyDescent="0.45">
      <c r="A40" s="1" t="s">
        <v>119</v>
      </c>
      <c r="B40" s="1">
        <v>1185732</v>
      </c>
      <c r="C40" s="2">
        <v>44752</v>
      </c>
      <c r="D40" s="1" t="s">
        <v>11</v>
      </c>
      <c r="E40" s="1" t="s">
        <v>12</v>
      </c>
      <c r="F40" s="1" t="s">
        <v>12</v>
      </c>
      <c r="G40" s="1" t="s">
        <v>15</v>
      </c>
      <c r="H40" s="1">
        <v>43</v>
      </c>
      <c r="I40" s="1" t="s">
        <v>125</v>
      </c>
      <c r="J40" s="3">
        <v>0.5</v>
      </c>
      <c r="K40" s="4">
        <v>9500</v>
      </c>
      <c r="L40" s="5">
        <f t="shared" si="0"/>
        <v>4750</v>
      </c>
      <c r="M40" s="5">
        <f t="shared" si="1"/>
        <v>1662.5</v>
      </c>
      <c r="N40" s="6">
        <v>0.35</v>
      </c>
    </row>
    <row r="41" spans="1:14" ht="15.75" customHeight="1" x14ac:dyDescent="0.45">
      <c r="A41" s="1" t="s">
        <v>119</v>
      </c>
      <c r="B41" s="1">
        <v>1185732</v>
      </c>
      <c r="C41" s="2">
        <v>44752</v>
      </c>
      <c r="D41" s="1" t="s">
        <v>11</v>
      </c>
      <c r="E41" s="1" t="s">
        <v>12</v>
      </c>
      <c r="F41" s="1" t="s">
        <v>12</v>
      </c>
      <c r="G41" s="1" t="s">
        <v>16</v>
      </c>
      <c r="H41" s="1">
        <v>25</v>
      </c>
      <c r="I41" s="1" t="s">
        <v>125</v>
      </c>
      <c r="J41" s="3">
        <v>0.5</v>
      </c>
      <c r="K41" s="4">
        <v>9000</v>
      </c>
      <c r="L41" s="5">
        <f t="shared" si="0"/>
        <v>4500</v>
      </c>
      <c r="M41" s="5">
        <f t="shared" si="1"/>
        <v>1575</v>
      </c>
      <c r="N41" s="6">
        <v>0.35</v>
      </c>
    </row>
    <row r="42" spans="1:14" ht="15.75" customHeight="1" x14ac:dyDescent="0.45">
      <c r="A42" s="1" t="s">
        <v>119</v>
      </c>
      <c r="B42" s="1">
        <v>1185732</v>
      </c>
      <c r="C42" s="2">
        <v>44752</v>
      </c>
      <c r="D42" s="1" t="s">
        <v>11</v>
      </c>
      <c r="E42" s="1" t="s">
        <v>12</v>
      </c>
      <c r="F42" s="1" t="s">
        <v>12</v>
      </c>
      <c r="G42" s="1" t="s">
        <v>17</v>
      </c>
      <c r="H42" s="1">
        <v>55</v>
      </c>
      <c r="I42" s="1" t="s">
        <v>124</v>
      </c>
      <c r="J42" s="3">
        <v>0.6</v>
      </c>
      <c r="K42" s="4">
        <v>9250</v>
      </c>
      <c r="L42" s="5">
        <f t="shared" si="0"/>
        <v>5550</v>
      </c>
      <c r="M42" s="5">
        <f t="shared" si="1"/>
        <v>1665</v>
      </c>
      <c r="N42" s="6">
        <v>0.3</v>
      </c>
    </row>
    <row r="43" spans="1:14" ht="15.75" customHeight="1" x14ac:dyDescent="0.45">
      <c r="A43" s="1" t="s">
        <v>119</v>
      </c>
      <c r="B43" s="1">
        <v>1185732</v>
      </c>
      <c r="C43" s="2">
        <v>44752</v>
      </c>
      <c r="D43" s="1" t="s">
        <v>11</v>
      </c>
      <c r="E43" s="1" t="s">
        <v>12</v>
      </c>
      <c r="F43" s="1" t="s">
        <v>12</v>
      </c>
      <c r="G43" s="1" t="s">
        <v>18</v>
      </c>
      <c r="H43" s="1">
        <v>19</v>
      </c>
      <c r="I43" s="1" t="s">
        <v>126</v>
      </c>
      <c r="J43" s="3">
        <v>0.65</v>
      </c>
      <c r="K43" s="4">
        <v>11000</v>
      </c>
      <c r="L43" s="5">
        <f t="shared" si="0"/>
        <v>7150</v>
      </c>
      <c r="M43" s="5">
        <f t="shared" si="1"/>
        <v>1787.5</v>
      </c>
      <c r="N43" s="6">
        <v>0.25</v>
      </c>
    </row>
    <row r="44" spans="1:14" ht="15.75" customHeight="1" x14ac:dyDescent="0.45">
      <c r="A44" s="1" t="s">
        <v>119</v>
      </c>
      <c r="B44" s="1">
        <v>1185732</v>
      </c>
      <c r="C44" s="2">
        <v>44784</v>
      </c>
      <c r="D44" s="1" t="s">
        <v>11</v>
      </c>
      <c r="E44" s="1" t="s">
        <v>12</v>
      </c>
      <c r="F44" s="1" t="s">
        <v>12</v>
      </c>
      <c r="G44" s="1" t="s">
        <v>13</v>
      </c>
      <c r="H44" s="1">
        <v>52</v>
      </c>
      <c r="I44" s="1" t="s">
        <v>123</v>
      </c>
      <c r="J44" s="3">
        <v>0.6</v>
      </c>
      <c r="K44" s="4">
        <v>12500</v>
      </c>
      <c r="L44" s="5">
        <f t="shared" si="0"/>
        <v>7500</v>
      </c>
      <c r="M44" s="5">
        <f t="shared" si="1"/>
        <v>3750</v>
      </c>
      <c r="N44" s="6">
        <v>0.5</v>
      </c>
    </row>
    <row r="45" spans="1:14" ht="15.75" customHeight="1" x14ac:dyDescent="0.45">
      <c r="A45" s="1" t="s">
        <v>119</v>
      </c>
      <c r="B45" s="1">
        <v>1185732</v>
      </c>
      <c r="C45" s="2">
        <v>44784</v>
      </c>
      <c r="D45" s="1" t="s">
        <v>11</v>
      </c>
      <c r="E45" s="1" t="s">
        <v>12</v>
      </c>
      <c r="F45" s="1" t="s">
        <v>12</v>
      </c>
      <c r="G45" s="1" t="s">
        <v>14</v>
      </c>
      <c r="H45" s="1">
        <v>18</v>
      </c>
      <c r="I45" s="1" t="s">
        <v>124</v>
      </c>
      <c r="J45" s="3">
        <v>0.55000000000000004</v>
      </c>
      <c r="K45" s="4">
        <v>10250</v>
      </c>
      <c r="L45" s="5">
        <f t="shared" si="0"/>
        <v>5637.5000000000009</v>
      </c>
      <c r="M45" s="5">
        <f t="shared" si="1"/>
        <v>1691.2500000000002</v>
      </c>
      <c r="N45" s="6">
        <v>0.3</v>
      </c>
    </row>
    <row r="46" spans="1:14" ht="15.75" customHeight="1" x14ac:dyDescent="0.45">
      <c r="A46" s="1" t="s">
        <v>119</v>
      </c>
      <c r="B46" s="1">
        <v>1185732</v>
      </c>
      <c r="C46" s="2">
        <v>44784</v>
      </c>
      <c r="D46" s="1" t="s">
        <v>11</v>
      </c>
      <c r="E46" s="1" t="s">
        <v>12</v>
      </c>
      <c r="F46" s="1" t="s">
        <v>12</v>
      </c>
      <c r="G46" s="1" t="s">
        <v>15</v>
      </c>
      <c r="H46" s="1">
        <v>33</v>
      </c>
      <c r="I46" s="1" t="s">
        <v>123</v>
      </c>
      <c r="J46" s="3">
        <v>0.5</v>
      </c>
      <c r="K46" s="4">
        <v>9500</v>
      </c>
      <c r="L46" s="5">
        <f t="shared" si="0"/>
        <v>4750</v>
      </c>
      <c r="M46" s="5">
        <f t="shared" si="1"/>
        <v>1662.5</v>
      </c>
      <c r="N46" s="6">
        <v>0.35</v>
      </c>
    </row>
    <row r="47" spans="1:14" ht="15.75" customHeight="1" x14ac:dyDescent="0.45">
      <c r="A47" s="1" t="s">
        <v>119</v>
      </c>
      <c r="B47" s="1">
        <v>1185732</v>
      </c>
      <c r="C47" s="2">
        <v>44784</v>
      </c>
      <c r="D47" s="1" t="s">
        <v>11</v>
      </c>
      <c r="E47" s="1" t="s">
        <v>12</v>
      </c>
      <c r="F47" s="1" t="s">
        <v>12</v>
      </c>
      <c r="G47" s="1" t="s">
        <v>16</v>
      </c>
      <c r="H47" s="1">
        <v>19</v>
      </c>
      <c r="I47" s="1" t="s">
        <v>124</v>
      </c>
      <c r="J47" s="3">
        <v>0.5</v>
      </c>
      <c r="K47" s="4">
        <v>9250</v>
      </c>
      <c r="L47" s="5">
        <f t="shared" si="0"/>
        <v>4625</v>
      </c>
      <c r="M47" s="5">
        <f t="shared" si="1"/>
        <v>1618.75</v>
      </c>
      <c r="N47" s="6">
        <v>0.35</v>
      </c>
    </row>
    <row r="48" spans="1:14" ht="15.75" customHeight="1" x14ac:dyDescent="0.45">
      <c r="A48" s="1" t="s">
        <v>119</v>
      </c>
      <c r="B48" s="1">
        <v>1185732</v>
      </c>
      <c r="C48" s="2">
        <v>44784</v>
      </c>
      <c r="D48" s="1" t="s">
        <v>11</v>
      </c>
      <c r="E48" s="1" t="s">
        <v>12</v>
      </c>
      <c r="F48" s="1" t="s">
        <v>12</v>
      </c>
      <c r="G48" s="1" t="s">
        <v>17</v>
      </c>
      <c r="H48" s="1">
        <v>60</v>
      </c>
      <c r="I48" s="1" t="s">
        <v>123</v>
      </c>
      <c r="J48" s="3">
        <v>0.6</v>
      </c>
      <c r="K48" s="4">
        <v>9000</v>
      </c>
      <c r="L48" s="5">
        <f t="shared" si="0"/>
        <v>5400</v>
      </c>
      <c r="M48" s="5">
        <f t="shared" si="1"/>
        <v>1620</v>
      </c>
      <c r="N48" s="6">
        <v>0.3</v>
      </c>
    </row>
    <row r="49" spans="1:14" ht="15.75" customHeight="1" x14ac:dyDescent="0.45">
      <c r="A49" s="1" t="s">
        <v>119</v>
      </c>
      <c r="B49" s="1">
        <v>1185732</v>
      </c>
      <c r="C49" s="2">
        <v>44784</v>
      </c>
      <c r="D49" s="1" t="s">
        <v>11</v>
      </c>
      <c r="E49" s="1" t="s">
        <v>12</v>
      </c>
      <c r="F49" s="1" t="s">
        <v>12</v>
      </c>
      <c r="G49" s="1" t="s">
        <v>18</v>
      </c>
      <c r="H49" s="1">
        <v>21</v>
      </c>
      <c r="I49" s="1" t="s">
        <v>124</v>
      </c>
      <c r="J49" s="3">
        <v>0.65</v>
      </c>
      <c r="K49" s="4">
        <v>10750</v>
      </c>
      <c r="L49" s="5">
        <f t="shared" si="0"/>
        <v>6987.5</v>
      </c>
      <c r="M49" s="5">
        <f t="shared" si="1"/>
        <v>1746.875</v>
      </c>
      <c r="N49" s="6">
        <v>0.25</v>
      </c>
    </row>
    <row r="50" spans="1:14" ht="15.75" customHeight="1" x14ac:dyDescent="0.45">
      <c r="A50" s="1" t="s">
        <v>119</v>
      </c>
      <c r="B50" s="1">
        <v>1185732</v>
      </c>
      <c r="C50" s="2">
        <v>44814</v>
      </c>
      <c r="D50" s="1" t="s">
        <v>11</v>
      </c>
      <c r="E50" s="1" t="s">
        <v>12</v>
      </c>
      <c r="F50" s="1" t="s">
        <v>12</v>
      </c>
      <c r="G50" s="1" t="s">
        <v>13</v>
      </c>
      <c r="H50" s="1">
        <v>15</v>
      </c>
      <c r="I50" s="1" t="s">
        <v>125</v>
      </c>
      <c r="J50" s="3">
        <v>0.6</v>
      </c>
      <c r="K50" s="4">
        <v>12000</v>
      </c>
      <c r="L50" s="5">
        <f t="shared" si="0"/>
        <v>7200</v>
      </c>
      <c r="M50" s="5">
        <f t="shared" si="1"/>
        <v>3600</v>
      </c>
      <c r="N50" s="6">
        <v>0.5</v>
      </c>
    </row>
    <row r="51" spans="1:14" ht="15.75" customHeight="1" x14ac:dyDescent="0.45">
      <c r="A51" s="1" t="s">
        <v>119</v>
      </c>
      <c r="B51" s="1">
        <v>1185732</v>
      </c>
      <c r="C51" s="2">
        <v>44814</v>
      </c>
      <c r="D51" s="1" t="s">
        <v>11</v>
      </c>
      <c r="E51" s="1" t="s">
        <v>12</v>
      </c>
      <c r="F51" s="1" t="s">
        <v>12</v>
      </c>
      <c r="G51" s="1" t="s">
        <v>14</v>
      </c>
      <c r="H51" s="1">
        <v>35</v>
      </c>
      <c r="I51" s="1" t="s">
        <v>123</v>
      </c>
      <c r="J51" s="3">
        <v>0.55000000000000004</v>
      </c>
      <c r="K51" s="4">
        <v>10000</v>
      </c>
      <c r="L51" s="5">
        <f t="shared" si="0"/>
        <v>5500</v>
      </c>
      <c r="M51" s="5">
        <f t="shared" si="1"/>
        <v>1650</v>
      </c>
      <c r="N51" s="6">
        <v>0.3</v>
      </c>
    </row>
    <row r="52" spans="1:14" ht="15.75" customHeight="1" x14ac:dyDescent="0.45">
      <c r="A52" s="1" t="s">
        <v>119</v>
      </c>
      <c r="B52" s="1">
        <v>1185732</v>
      </c>
      <c r="C52" s="2">
        <v>44814</v>
      </c>
      <c r="D52" s="1" t="s">
        <v>11</v>
      </c>
      <c r="E52" s="1" t="s">
        <v>12</v>
      </c>
      <c r="F52" s="1" t="s">
        <v>12</v>
      </c>
      <c r="G52" s="1" t="s">
        <v>15</v>
      </c>
      <c r="H52" s="1">
        <v>48</v>
      </c>
      <c r="I52" s="1" t="s">
        <v>125</v>
      </c>
      <c r="J52" s="3">
        <v>0.5</v>
      </c>
      <c r="K52" s="4">
        <v>9250</v>
      </c>
      <c r="L52" s="5">
        <f t="shared" si="0"/>
        <v>4625</v>
      </c>
      <c r="M52" s="5">
        <f t="shared" si="1"/>
        <v>1618.75</v>
      </c>
      <c r="N52" s="6">
        <v>0.35</v>
      </c>
    </row>
    <row r="53" spans="1:14" ht="15.75" customHeight="1" x14ac:dyDescent="0.45">
      <c r="A53" s="1" t="s">
        <v>119</v>
      </c>
      <c r="B53" s="1">
        <v>1185732</v>
      </c>
      <c r="C53" s="2">
        <v>44814</v>
      </c>
      <c r="D53" s="1" t="s">
        <v>11</v>
      </c>
      <c r="E53" s="1" t="s">
        <v>12</v>
      </c>
      <c r="F53" s="1" t="s">
        <v>12</v>
      </c>
      <c r="G53" s="1" t="s">
        <v>16</v>
      </c>
      <c r="H53" s="1">
        <v>24</v>
      </c>
      <c r="I53" s="1" t="s">
        <v>124</v>
      </c>
      <c r="J53" s="3">
        <v>0.5</v>
      </c>
      <c r="K53" s="4">
        <v>9000</v>
      </c>
      <c r="L53" s="5">
        <f t="shared" si="0"/>
        <v>4500</v>
      </c>
      <c r="M53" s="5">
        <f t="shared" si="1"/>
        <v>1575</v>
      </c>
      <c r="N53" s="6">
        <v>0.35</v>
      </c>
    </row>
    <row r="54" spans="1:14" ht="15.75" customHeight="1" x14ac:dyDescent="0.45">
      <c r="A54" s="1" t="s">
        <v>119</v>
      </c>
      <c r="B54" s="1">
        <v>1185732</v>
      </c>
      <c r="C54" s="2">
        <v>44814</v>
      </c>
      <c r="D54" s="1" t="s">
        <v>11</v>
      </c>
      <c r="E54" s="1" t="s">
        <v>12</v>
      </c>
      <c r="F54" s="1" t="s">
        <v>12</v>
      </c>
      <c r="G54" s="1" t="s">
        <v>17</v>
      </c>
      <c r="H54" s="1">
        <v>55</v>
      </c>
      <c r="I54" s="1" t="s">
        <v>125</v>
      </c>
      <c r="J54" s="3">
        <v>0.6</v>
      </c>
      <c r="K54" s="4">
        <v>9000</v>
      </c>
      <c r="L54" s="5">
        <f t="shared" si="0"/>
        <v>5400</v>
      </c>
      <c r="M54" s="5">
        <f t="shared" si="1"/>
        <v>1620</v>
      </c>
      <c r="N54" s="6">
        <v>0.3</v>
      </c>
    </row>
    <row r="55" spans="1:14" ht="15.75" customHeight="1" x14ac:dyDescent="0.45">
      <c r="A55" s="1" t="s">
        <v>119</v>
      </c>
      <c r="B55" s="1">
        <v>1185732</v>
      </c>
      <c r="C55" s="2">
        <v>44814</v>
      </c>
      <c r="D55" s="1" t="s">
        <v>11</v>
      </c>
      <c r="E55" s="1" t="s">
        <v>12</v>
      </c>
      <c r="F55" s="1" t="s">
        <v>12</v>
      </c>
      <c r="G55" s="1" t="s">
        <v>18</v>
      </c>
      <c r="H55" s="1">
        <v>17</v>
      </c>
      <c r="I55" s="1" t="s">
        <v>126</v>
      </c>
      <c r="J55" s="3">
        <v>0.65</v>
      </c>
      <c r="K55" s="4">
        <v>10000</v>
      </c>
      <c r="L55" s="5">
        <f t="shared" si="0"/>
        <v>6500</v>
      </c>
      <c r="M55" s="5">
        <f t="shared" si="1"/>
        <v>1625</v>
      </c>
      <c r="N55" s="6">
        <v>0.25</v>
      </c>
    </row>
    <row r="56" spans="1:14" ht="15.75" customHeight="1" x14ac:dyDescent="0.45">
      <c r="A56" s="1" t="s">
        <v>119</v>
      </c>
      <c r="B56" s="1">
        <v>1185732</v>
      </c>
      <c r="C56" s="2">
        <v>44846</v>
      </c>
      <c r="D56" s="1" t="s">
        <v>11</v>
      </c>
      <c r="E56" s="1" t="s">
        <v>12</v>
      </c>
      <c r="F56" s="1" t="s">
        <v>12</v>
      </c>
      <c r="G56" s="1" t="s">
        <v>13</v>
      </c>
      <c r="H56" s="1">
        <v>55</v>
      </c>
      <c r="I56" s="1" t="s">
        <v>123</v>
      </c>
      <c r="J56" s="3">
        <v>0.65</v>
      </c>
      <c r="K56" s="4">
        <v>11750</v>
      </c>
      <c r="L56" s="5">
        <f t="shared" si="0"/>
        <v>7637.5</v>
      </c>
      <c r="M56" s="5">
        <f t="shared" si="1"/>
        <v>3818.75</v>
      </c>
      <c r="N56" s="6">
        <v>0.5</v>
      </c>
    </row>
    <row r="57" spans="1:14" ht="15.75" customHeight="1" x14ac:dyDescent="0.45">
      <c r="A57" s="1" t="s">
        <v>119</v>
      </c>
      <c r="B57" s="1">
        <v>1185732</v>
      </c>
      <c r="C57" s="2">
        <v>44846</v>
      </c>
      <c r="D57" s="1" t="s">
        <v>11</v>
      </c>
      <c r="E57" s="1" t="s">
        <v>12</v>
      </c>
      <c r="F57" s="1" t="s">
        <v>12</v>
      </c>
      <c r="G57" s="1" t="s">
        <v>14</v>
      </c>
      <c r="H57" s="1">
        <v>54</v>
      </c>
      <c r="I57" s="1" t="s">
        <v>123</v>
      </c>
      <c r="J57" s="3">
        <v>0.55000000000000004</v>
      </c>
      <c r="K57" s="4">
        <v>10000</v>
      </c>
      <c r="L57" s="5">
        <f t="shared" si="0"/>
        <v>5500</v>
      </c>
      <c r="M57" s="5">
        <f t="shared" si="1"/>
        <v>1650</v>
      </c>
      <c r="N57" s="6">
        <v>0.3</v>
      </c>
    </row>
    <row r="58" spans="1:14" ht="15.75" customHeight="1" x14ac:dyDescent="0.45">
      <c r="A58" s="1" t="s">
        <v>119</v>
      </c>
      <c r="B58" s="1">
        <v>1185732</v>
      </c>
      <c r="C58" s="2">
        <v>44846</v>
      </c>
      <c r="D58" s="1" t="s">
        <v>11</v>
      </c>
      <c r="E58" s="1" t="s">
        <v>12</v>
      </c>
      <c r="F58" s="1" t="s">
        <v>12</v>
      </c>
      <c r="G58" s="1" t="s">
        <v>15</v>
      </c>
      <c r="H58" s="1">
        <v>30</v>
      </c>
      <c r="I58" s="1" t="s">
        <v>123</v>
      </c>
      <c r="J58" s="3">
        <v>0.55000000000000004</v>
      </c>
      <c r="K58" s="4">
        <v>9000</v>
      </c>
      <c r="L58" s="5">
        <f t="shared" si="0"/>
        <v>4950</v>
      </c>
      <c r="M58" s="5">
        <f t="shared" si="1"/>
        <v>1732.5</v>
      </c>
      <c r="N58" s="6">
        <v>0.35</v>
      </c>
    </row>
    <row r="59" spans="1:14" ht="15.75" customHeight="1" x14ac:dyDescent="0.45">
      <c r="A59" s="1" t="s">
        <v>119</v>
      </c>
      <c r="B59" s="1">
        <v>1185732</v>
      </c>
      <c r="C59" s="2">
        <v>44846</v>
      </c>
      <c r="D59" s="1" t="s">
        <v>11</v>
      </c>
      <c r="E59" s="1" t="s">
        <v>12</v>
      </c>
      <c r="F59" s="1" t="s">
        <v>12</v>
      </c>
      <c r="G59" s="1" t="s">
        <v>16</v>
      </c>
      <c r="H59" s="1">
        <v>55</v>
      </c>
      <c r="I59" s="1" t="s">
        <v>126</v>
      </c>
      <c r="J59" s="3">
        <v>0.55000000000000004</v>
      </c>
      <c r="K59" s="4">
        <v>8750</v>
      </c>
      <c r="L59" s="5">
        <f t="shared" si="0"/>
        <v>4812.5</v>
      </c>
      <c r="M59" s="5">
        <f t="shared" si="1"/>
        <v>1684.375</v>
      </c>
      <c r="N59" s="6">
        <v>0.35</v>
      </c>
    </row>
    <row r="60" spans="1:14" ht="15.75" customHeight="1" x14ac:dyDescent="0.45">
      <c r="A60" s="1" t="s">
        <v>119</v>
      </c>
      <c r="B60" s="1">
        <v>1185732</v>
      </c>
      <c r="C60" s="2">
        <v>44846</v>
      </c>
      <c r="D60" s="1" t="s">
        <v>11</v>
      </c>
      <c r="E60" s="1" t="s">
        <v>12</v>
      </c>
      <c r="F60" s="1" t="s">
        <v>12</v>
      </c>
      <c r="G60" s="1" t="s">
        <v>17</v>
      </c>
      <c r="H60" s="1">
        <v>25</v>
      </c>
      <c r="I60" s="1" t="s">
        <v>124</v>
      </c>
      <c r="J60" s="3">
        <v>0.65</v>
      </c>
      <c r="K60" s="4">
        <v>8750</v>
      </c>
      <c r="L60" s="5">
        <f t="shared" si="0"/>
        <v>5687.5</v>
      </c>
      <c r="M60" s="5">
        <f t="shared" si="1"/>
        <v>1706.25</v>
      </c>
      <c r="N60" s="6">
        <v>0.3</v>
      </c>
    </row>
    <row r="61" spans="1:14" ht="15.75" customHeight="1" x14ac:dyDescent="0.45">
      <c r="A61" s="1" t="s">
        <v>119</v>
      </c>
      <c r="B61" s="1">
        <v>1185732</v>
      </c>
      <c r="C61" s="2">
        <v>44846</v>
      </c>
      <c r="D61" s="1" t="s">
        <v>11</v>
      </c>
      <c r="E61" s="1" t="s">
        <v>12</v>
      </c>
      <c r="F61" s="1" t="s">
        <v>12</v>
      </c>
      <c r="G61" s="1" t="s">
        <v>18</v>
      </c>
      <c r="H61" s="1">
        <v>48</v>
      </c>
      <c r="I61" s="1" t="s">
        <v>124</v>
      </c>
      <c r="J61" s="3">
        <v>0.7</v>
      </c>
      <c r="K61" s="4">
        <v>10000</v>
      </c>
      <c r="L61" s="5">
        <f t="shared" si="0"/>
        <v>7000</v>
      </c>
      <c r="M61" s="5">
        <f t="shared" si="1"/>
        <v>1750</v>
      </c>
      <c r="N61" s="6">
        <v>0.25</v>
      </c>
    </row>
    <row r="62" spans="1:14" ht="15.75" customHeight="1" x14ac:dyDescent="0.45">
      <c r="A62" s="1" t="s">
        <v>119</v>
      </c>
      <c r="B62" s="1">
        <v>1185732</v>
      </c>
      <c r="C62" s="2">
        <v>44876</v>
      </c>
      <c r="D62" s="1" t="s">
        <v>11</v>
      </c>
      <c r="E62" s="1" t="s">
        <v>12</v>
      </c>
      <c r="F62" s="1" t="s">
        <v>12</v>
      </c>
      <c r="G62" s="1" t="s">
        <v>13</v>
      </c>
      <c r="H62" s="1">
        <v>25</v>
      </c>
      <c r="I62" s="1" t="s">
        <v>124</v>
      </c>
      <c r="J62" s="3">
        <v>0.65</v>
      </c>
      <c r="K62" s="4">
        <v>11500</v>
      </c>
      <c r="L62" s="5">
        <f t="shared" si="0"/>
        <v>7475</v>
      </c>
      <c r="M62" s="5">
        <f t="shared" si="1"/>
        <v>3737.5</v>
      </c>
      <c r="N62" s="6">
        <v>0.5</v>
      </c>
    </row>
    <row r="63" spans="1:14" ht="15.75" customHeight="1" x14ac:dyDescent="0.45">
      <c r="A63" s="1" t="s">
        <v>119</v>
      </c>
      <c r="B63" s="1">
        <v>1185732</v>
      </c>
      <c r="C63" s="2">
        <v>44876</v>
      </c>
      <c r="D63" s="1" t="s">
        <v>11</v>
      </c>
      <c r="E63" s="1" t="s">
        <v>12</v>
      </c>
      <c r="F63" s="1" t="s">
        <v>12</v>
      </c>
      <c r="G63" s="1" t="s">
        <v>14</v>
      </c>
      <c r="H63" s="1">
        <v>44</v>
      </c>
      <c r="I63" s="1" t="s">
        <v>125</v>
      </c>
      <c r="J63" s="3">
        <v>0.55000000000000004</v>
      </c>
      <c r="K63" s="4">
        <v>9750</v>
      </c>
      <c r="L63" s="5">
        <f t="shared" si="0"/>
        <v>5362.5</v>
      </c>
      <c r="M63" s="5">
        <f t="shared" si="1"/>
        <v>1608.75</v>
      </c>
      <c r="N63" s="6">
        <v>0.3</v>
      </c>
    </row>
    <row r="64" spans="1:14" ht="15.75" customHeight="1" x14ac:dyDescent="0.45">
      <c r="A64" s="1" t="s">
        <v>119</v>
      </c>
      <c r="B64" s="1">
        <v>1185732</v>
      </c>
      <c r="C64" s="2">
        <v>44876</v>
      </c>
      <c r="D64" s="1" t="s">
        <v>11</v>
      </c>
      <c r="E64" s="1" t="s">
        <v>12</v>
      </c>
      <c r="F64" s="1" t="s">
        <v>12</v>
      </c>
      <c r="G64" s="1" t="s">
        <v>15</v>
      </c>
      <c r="H64" s="1">
        <v>35</v>
      </c>
      <c r="I64" s="1" t="s">
        <v>124</v>
      </c>
      <c r="J64" s="3">
        <v>0.55000000000000004</v>
      </c>
      <c r="K64" s="4">
        <v>9200</v>
      </c>
      <c r="L64" s="5">
        <f t="shared" si="0"/>
        <v>5060</v>
      </c>
      <c r="M64" s="5">
        <f t="shared" si="1"/>
        <v>1771</v>
      </c>
      <c r="N64" s="6">
        <v>0.35</v>
      </c>
    </row>
    <row r="65" spans="1:14" ht="15.75" customHeight="1" x14ac:dyDescent="0.45">
      <c r="A65" s="1" t="s">
        <v>119</v>
      </c>
      <c r="B65" s="1">
        <v>1185732</v>
      </c>
      <c r="C65" s="2">
        <v>44876</v>
      </c>
      <c r="D65" s="1" t="s">
        <v>11</v>
      </c>
      <c r="E65" s="1" t="s">
        <v>12</v>
      </c>
      <c r="F65" s="1" t="s">
        <v>12</v>
      </c>
      <c r="G65" s="1" t="s">
        <v>16</v>
      </c>
      <c r="H65" s="1">
        <v>27</v>
      </c>
      <c r="I65" s="1" t="s">
        <v>123</v>
      </c>
      <c r="J65" s="3">
        <v>0.55000000000000004</v>
      </c>
      <c r="K65" s="4">
        <v>9000</v>
      </c>
      <c r="L65" s="5">
        <f t="shared" si="0"/>
        <v>4950</v>
      </c>
      <c r="M65" s="5">
        <f t="shared" si="1"/>
        <v>1732.5</v>
      </c>
      <c r="N65" s="6">
        <v>0.35</v>
      </c>
    </row>
    <row r="66" spans="1:14" ht="15.75" customHeight="1" x14ac:dyDescent="0.45">
      <c r="A66" s="1" t="s">
        <v>119</v>
      </c>
      <c r="B66" s="1">
        <v>1185732</v>
      </c>
      <c r="C66" s="2">
        <v>44876</v>
      </c>
      <c r="D66" s="1" t="s">
        <v>11</v>
      </c>
      <c r="E66" s="1" t="s">
        <v>12</v>
      </c>
      <c r="F66" s="1" t="s">
        <v>12</v>
      </c>
      <c r="G66" s="1" t="s">
        <v>17</v>
      </c>
      <c r="H66" s="1">
        <v>17</v>
      </c>
      <c r="I66" s="1" t="s">
        <v>123</v>
      </c>
      <c r="J66" s="3">
        <v>0.65</v>
      </c>
      <c r="K66" s="4">
        <v>8750</v>
      </c>
      <c r="L66" s="5">
        <f t="shared" si="0"/>
        <v>5687.5</v>
      </c>
      <c r="M66" s="5">
        <f t="shared" si="1"/>
        <v>1706.25</v>
      </c>
      <c r="N66" s="6">
        <v>0.3</v>
      </c>
    </row>
    <row r="67" spans="1:14" ht="15.75" customHeight="1" x14ac:dyDescent="0.45">
      <c r="A67" s="1" t="s">
        <v>119</v>
      </c>
      <c r="B67" s="1">
        <v>1185732</v>
      </c>
      <c r="C67" s="2">
        <v>44876</v>
      </c>
      <c r="D67" s="1" t="s">
        <v>11</v>
      </c>
      <c r="E67" s="1" t="s">
        <v>12</v>
      </c>
      <c r="F67" s="1" t="s">
        <v>12</v>
      </c>
      <c r="G67" s="1" t="s">
        <v>18</v>
      </c>
      <c r="H67" s="1">
        <v>19</v>
      </c>
      <c r="I67" s="1" t="s">
        <v>125</v>
      </c>
      <c r="J67" s="3">
        <v>0.7</v>
      </c>
      <c r="K67" s="4">
        <v>9750</v>
      </c>
      <c r="L67" s="5">
        <f t="shared" si="0"/>
        <v>6825</v>
      </c>
      <c r="M67" s="5">
        <f t="shared" si="1"/>
        <v>1706.25</v>
      </c>
      <c r="N67" s="6">
        <v>0.25</v>
      </c>
    </row>
    <row r="68" spans="1:14" ht="15.75" customHeight="1" x14ac:dyDescent="0.45">
      <c r="A68" s="1" t="s">
        <v>119</v>
      </c>
      <c r="B68" s="1">
        <v>1185732</v>
      </c>
      <c r="C68" s="2">
        <v>44905</v>
      </c>
      <c r="D68" s="1" t="s">
        <v>11</v>
      </c>
      <c r="E68" s="1" t="s">
        <v>12</v>
      </c>
      <c r="F68" s="1" t="s">
        <v>12</v>
      </c>
      <c r="G68" s="1" t="s">
        <v>13</v>
      </c>
      <c r="H68" s="1">
        <v>55</v>
      </c>
      <c r="I68" s="1" t="s">
        <v>125</v>
      </c>
      <c r="J68" s="3">
        <v>0.65</v>
      </c>
      <c r="K68" s="4">
        <v>12000</v>
      </c>
      <c r="L68" s="5">
        <f t="shared" si="0"/>
        <v>7800</v>
      </c>
      <c r="M68" s="5">
        <f t="shared" si="1"/>
        <v>3900</v>
      </c>
      <c r="N68" s="6">
        <v>0.5</v>
      </c>
    </row>
    <row r="69" spans="1:14" ht="15.75" customHeight="1" x14ac:dyDescent="0.45">
      <c r="A69" s="1" t="s">
        <v>119</v>
      </c>
      <c r="B69" s="1">
        <v>1185732</v>
      </c>
      <c r="C69" s="2">
        <v>44905</v>
      </c>
      <c r="D69" s="1" t="s">
        <v>11</v>
      </c>
      <c r="E69" s="1" t="s">
        <v>12</v>
      </c>
      <c r="F69" s="1" t="s">
        <v>12</v>
      </c>
      <c r="G69" s="1" t="s">
        <v>14</v>
      </c>
      <c r="H69" s="1">
        <v>23</v>
      </c>
      <c r="I69" s="1" t="s">
        <v>123</v>
      </c>
      <c r="J69" s="3">
        <v>0.55000000000000004</v>
      </c>
      <c r="K69" s="4">
        <v>10000</v>
      </c>
      <c r="L69" s="5">
        <f t="shared" si="0"/>
        <v>5500</v>
      </c>
      <c r="M69" s="5">
        <f t="shared" si="1"/>
        <v>1650</v>
      </c>
      <c r="N69" s="6">
        <v>0.3</v>
      </c>
    </row>
    <row r="70" spans="1:14" ht="15.75" customHeight="1" x14ac:dyDescent="0.45">
      <c r="A70" s="1" t="s">
        <v>119</v>
      </c>
      <c r="B70" s="1">
        <v>1185732</v>
      </c>
      <c r="C70" s="2">
        <v>44905</v>
      </c>
      <c r="D70" s="1" t="s">
        <v>11</v>
      </c>
      <c r="E70" s="1" t="s">
        <v>12</v>
      </c>
      <c r="F70" s="1" t="s">
        <v>12</v>
      </c>
      <c r="G70" s="1" t="s">
        <v>15</v>
      </c>
      <c r="H70" s="1">
        <v>42</v>
      </c>
      <c r="I70" s="1" t="s">
        <v>123</v>
      </c>
      <c r="J70" s="3">
        <v>0.55000000000000004</v>
      </c>
      <c r="K70" s="4">
        <v>9500</v>
      </c>
      <c r="L70" s="5">
        <f t="shared" si="0"/>
        <v>5225</v>
      </c>
      <c r="M70" s="5">
        <f t="shared" si="1"/>
        <v>1828.7499999999998</v>
      </c>
      <c r="N70" s="6">
        <v>0.35</v>
      </c>
    </row>
    <row r="71" spans="1:14" ht="15.75" customHeight="1" x14ac:dyDescent="0.45">
      <c r="A71" s="1" t="s">
        <v>119</v>
      </c>
      <c r="B71" s="1">
        <v>1185732</v>
      </c>
      <c r="C71" s="2">
        <v>44905</v>
      </c>
      <c r="D71" s="1" t="s">
        <v>11</v>
      </c>
      <c r="E71" s="1" t="s">
        <v>12</v>
      </c>
      <c r="F71" s="1" t="s">
        <v>12</v>
      </c>
      <c r="G71" s="1" t="s">
        <v>16</v>
      </c>
      <c r="H71" s="1">
        <v>47</v>
      </c>
      <c r="I71" s="1" t="s">
        <v>126</v>
      </c>
      <c r="J71" s="3">
        <v>0.55000000000000004</v>
      </c>
      <c r="K71" s="4">
        <v>9000</v>
      </c>
      <c r="L71" s="5">
        <f t="shared" si="0"/>
        <v>4950</v>
      </c>
      <c r="M71" s="5">
        <f t="shared" si="1"/>
        <v>1732.5</v>
      </c>
      <c r="N71" s="6">
        <v>0.35</v>
      </c>
    </row>
    <row r="72" spans="1:14" ht="15.75" customHeight="1" x14ac:dyDescent="0.45">
      <c r="A72" s="1" t="s">
        <v>119</v>
      </c>
      <c r="B72" s="1">
        <v>1185732</v>
      </c>
      <c r="C72" s="2">
        <v>44905</v>
      </c>
      <c r="D72" s="1" t="s">
        <v>11</v>
      </c>
      <c r="E72" s="1" t="s">
        <v>12</v>
      </c>
      <c r="F72" s="1" t="s">
        <v>12</v>
      </c>
      <c r="G72" s="1" t="s">
        <v>17</v>
      </c>
      <c r="H72" s="1">
        <v>26</v>
      </c>
      <c r="I72" s="1" t="s">
        <v>124</v>
      </c>
      <c r="J72" s="3">
        <v>0.65</v>
      </c>
      <c r="K72" s="4">
        <v>9000</v>
      </c>
      <c r="L72" s="5">
        <f t="shared" si="0"/>
        <v>5850</v>
      </c>
      <c r="M72" s="5">
        <f t="shared" si="1"/>
        <v>1755</v>
      </c>
      <c r="N72" s="6">
        <v>0.3</v>
      </c>
    </row>
    <row r="73" spans="1:14" ht="15.75" customHeight="1" x14ac:dyDescent="0.45">
      <c r="A73" s="1" t="s">
        <v>119</v>
      </c>
      <c r="B73" s="1">
        <v>1185732</v>
      </c>
      <c r="C73" s="2">
        <v>44905</v>
      </c>
      <c r="D73" s="1" t="s">
        <v>11</v>
      </c>
      <c r="E73" s="1" t="s">
        <v>12</v>
      </c>
      <c r="F73" s="1" t="s">
        <v>12</v>
      </c>
      <c r="G73" s="1" t="s">
        <v>18</v>
      </c>
      <c r="H73" s="1">
        <v>45</v>
      </c>
      <c r="I73" s="1" t="s">
        <v>126</v>
      </c>
      <c r="J73" s="3">
        <v>0.7</v>
      </c>
      <c r="K73" s="4">
        <v>10000</v>
      </c>
      <c r="L73" s="5">
        <f t="shared" si="0"/>
        <v>7000</v>
      </c>
      <c r="M73" s="5">
        <f t="shared" si="1"/>
        <v>1750</v>
      </c>
      <c r="N73" s="6">
        <v>0.25</v>
      </c>
    </row>
    <row r="74" spans="1:14" ht="15.75" customHeight="1" x14ac:dyDescent="0.45">
      <c r="A74" s="1" t="s">
        <v>120</v>
      </c>
      <c r="B74" s="1">
        <v>1197831</v>
      </c>
      <c r="C74" s="2">
        <v>44563</v>
      </c>
      <c r="D74" s="1" t="s">
        <v>19</v>
      </c>
      <c r="E74" s="1" t="s">
        <v>20</v>
      </c>
      <c r="F74" s="1" t="s">
        <v>21</v>
      </c>
      <c r="G74" s="1" t="s">
        <v>13</v>
      </c>
      <c r="H74" s="1">
        <v>30</v>
      </c>
      <c r="I74" s="1" t="s">
        <v>126</v>
      </c>
      <c r="J74" s="3">
        <v>0.25</v>
      </c>
      <c r="K74" s="4">
        <v>9000</v>
      </c>
      <c r="L74" s="5">
        <f t="shared" si="0"/>
        <v>2250</v>
      </c>
      <c r="M74" s="5">
        <f t="shared" si="1"/>
        <v>787.5</v>
      </c>
      <c r="N74" s="6">
        <v>0.35</v>
      </c>
    </row>
    <row r="75" spans="1:14" ht="15.75" customHeight="1" x14ac:dyDescent="0.45">
      <c r="A75" s="1" t="s">
        <v>120</v>
      </c>
      <c r="B75" s="1">
        <v>1197831</v>
      </c>
      <c r="C75" s="2">
        <v>44563</v>
      </c>
      <c r="D75" s="1" t="s">
        <v>19</v>
      </c>
      <c r="E75" s="1" t="s">
        <v>20</v>
      </c>
      <c r="F75" s="1" t="s">
        <v>21</v>
      </c>
      <c r="G75" s="1" t="s">
        <v>14</v>
      </c>
      <c r="H75" s="1">
        <v>28</v>
      </c>
      <c r="I75" s="1" t="s">
        <v>124</v>
      </c>
      <c r="J75" s="3">
        <v>0.35</v>
      </c>
      <c r="K75" s="4">
        <v>9000</v>
      </c>
      <c r="L75" s="5">
        <f t="shared" si="0"/>
        <v>3150</v>
      </c>
      <c r="M75" s="5">
        <f t="shared" si="1"/>
        <v>1102.5</v>
      </c>
      <c r="N75" s="6">
        <v>0.35</v>
      </c>
    </row>
    <row r="76" spans="1:14" ht="15.75" customHeight="1" x14ac:dyDescent="0.45">
      <c r="A76" s="1" t="s">
        <v>120</v>
      </c>
      <c r="B76" s="1">
        <v>1197831</v>
      </c>
      <c r="C76" s="2">
        <v>44563</v>
      </c>
      <c r="D76" s="1" t="s">
        <v>19</v>
      </c>
      <c r="E76" s="1" t="s">
        <v>20</v>
      </c>
      <c r="F76" s="1" t="s">
        <v>21</v>
      </c>
      <c r="G76" s="1" t="s">
        <v>15</v>
      </c>
      <c r="H76" s="1">
        <v>16</v>
      </c>
      <c r="I76" s="1" t="s">
        <v>123</v>
      </c>
      <c r="J76" s="3">
        <v>0.35</v>
      </c>
      <c r="K76" s="4">
        <v>7000</v>
      </c>
      <c r="L76" s="5">
        <f t="shared" si="0"/>
        <v>2450</v>
      </c>
      <c r="M76" s="5">
        <f t="shared" si="1"/>
        <v>857.5</v>
      </c>
      <c r="N76" s="6">
        <v>0.35</v>
      </c>
    </row>
    <row r="77" spans="1:14" ht="15.75" customHeight="1" x14ac:dyDescent="0.45">
      <c r="A77" s="1" t="s">
        <v>120</v>
      </c>
      <c r="B77" s="1">
        <v>1197831</v>
      </c>
      <c r="C77" s="2">
        <v>44563</v>
      </c>
      <c r="D77" s="1" t="s">
        <v>19</v>
      </c>
      <c r="E77" s="1" t="s">
        <v>20</v>
      </c>
      <c r="F77" s="1" t="s">
        <v>21</v>
      </c>
      <c r="G77" s="1" t="s">
        <v>16</v>
      </c>
      <c r="H77" s="1">
        <v>38</v>
      </c>
      <c r="I77" s="1" t="s">
        <v>124</v>
      </c>
      <c r="J77" s="3">
        <v>0.35</v>
      </c>
      <c r="K77" s="4">
        <v>7000</v>
      </c>
      <c r="L77" s="5">
        <f t="shared" si="0"/>
        <v>2450</v>
      </c>
      <c r="M77" s="5">
        <f t="shared" si="1"/>
        <v>1102.5</v>
      </c>
      <c r="N77" s="6">
        <v>0.45</v>
      </c>
    </row>
    <row r="78" spans="1:14" ht="15.75" customHeight="1" x14ac:dyDescent="0.45">
      <c r="A78" s="1" t="s">
        <v>120</v>
      </c>
      <c r="B78" s="1">
        <v>1197831</v>
      </c>
      <c r="C78" s="2">
        <v>44563</v>
      </c>
      <c r="D78" s="1" t="s">
        <v>19</v>
      </c>
      <c r="E78" s="1" t="s">
        <v>20</v>
      </c>
      <c r="F78" s="1" t="s">
        <v>21</v>
      </c>
      <c r="G78" s="1" t="s">
        <v>17</v>
      </c>
      <c r="H78" s="1">
        <v>42</v>
      </c>
      <c r="I78" s="1" t="s">
        <v>123</v>
      </c>
      <c r="J78" s="3">
        <v>0.4</v>
      </c>
      <c r="K78" s="4">
        <v>5500</v>
      </c>
      <c r="L78" s="5">
        <f t="shared" si="0"/>
        <v>2200</v>
      </c>
      <c r="M78" s="5">
        <f t="shared" si="1"/>
        <v>660</v>
      </c>
      <c r="N78" s="6">
        <v>0.3</v>
      </c>
    </row>
    <row r="79" spans="1:14" ht="15.75" customHeight="1" x14ac:dyDescent="0.45">
      <c r="A79" s="1" t="s">
        <v>120</v>
      </c>
      <c r="B79" s="1">
        <v>1197831</v>
      </c>
      <c r="C79" s="2">
        <v>44563</v>
      </c>
      <c r="D79" s="1" t="s">
        <v>19</v>
      </c>
      <c r="E79" s="1" t="s">
        <v>20</v>
      </c>
      <c r="F79" s="1" t="s">
        <v>21</v>
      </c>
      <c r="G79" s="1" t="s">
        <v>18</v>
      </c>
      <c r="H79" s="1">
        <v>19</v>
      </c>
      <c r="I79" s="1" t="s">
        <v>125</v>
      </c>
      <c r="J79" s="3">
        <v>0.35</v>
      </c>
      <c r="K79" s="4">
        <v>7000</v>
      </c>
      <c r="L79" s="5">
        <f t="shared" si="0"/>
        <v>2450</v>
      </c>
      <c r="M79" s="5">
        <f t="shared" si="1"/>
        <v>1225</v>
      </c>
      <c r="N79" s="6">
        <v>0.5</v>
      </c>
    </row>
    <row r="80" spans="1:14" ht="15.75" customHeight="1" x14ac:dyDescent="0.45">
      <c r="A80" s="1" t="s">
        <v>120</v>
      </c>
      <c r="B80" s="1">
        <v>1197831</v>
      </c>
      <c r="C80" s="2">
        <v>44593</v>
      </c>
      <c r="D80" s="1" t="s">
        <v>19</v>
      </c>
      <c r="E80" s="1" t="s">
        <v>20</v>
      </c>
      <c r="F80" s="1" t="s">
        <v>21</v>
      </c>
      <c r="G80" s="1" t="s">
        <v>13</v>
      </c>
      <c r="H80" s="1">
        <v>21</v>
      </c>
      <c r="I80" s="1" t="s">
        <v>126</v>
      </c>
      <c r="J80" s="3">
        <v>0.25</v>
      </c>
      <c r="K80" s="4">
        <v>8500</v>
      </c>
      <c r="L80" s="5">
        <f t="shared" si="0"/>
        <v>2125</v>
      </c>
      <c r="M80" s="5">
        <f t="shared" si="1"/>
        <v>743.75</v>
      </c>
      <c r="N80" s="6">
        <v>0.35</v>
      </c>
    </row>
    <row r="81" spans="1:14" ht="15.75" customHeight="1" x14ac:dyDescent="0.45">
      <c r="A81" s="1" t="s">
        <v>120</v>
      </c>
      <c r="B81" s="1">
        <v>1197831</v>
      </c>
      <c r="C81" s="2">
        <v>44593</v>
      </c>
      <c r="D81" s="1" t="s">
        <v>19</v>
      </c>
      <c r="E81" s="1" t="s">
        <v>20</v>
      </c>
      <c r="F81" s="1" t="s">
        <v>21</v>
      </c>
      <c r="G81" s="1" t="s">
        <v>14</v>
      </c>
      <c r="H81" s="1">
        <v>32</v>
      </c>
      <c r="I81" s="1" t="s">
        <v>126</v>
      </c>
      <c r="J81" s="3">
        <v>0.35</v>
      </c>
      <c r="K81" s="4">
        <v>8500</v>
      </c>
      <c r="L81" s="5">
        <f t="shared" si="0"/>
        <v>2975</v>
      </c>
      <c r="M81" s="5">
        <f t="shared" si="1"/>
        <v>1041.25</v>
      </c>
      <c r="N81" s="6">
        <v>0.35</v>
      </c>
    </row>
    <row r="82" spans="1:14" ht="15.75" customHeight="1" x14ac:dyDescent="0.45">
      <c r="A82" s="1" t="s">
        <v>120</v>
      </c>
      <c r="B82" s="1">
        <v>1197831</v>
      </c>
      <c r="C82" s="2">
        <v>44593</v>
      </c>
      <c r="D82" s="1" t="s">
        <v>19</v>
      </c>
      <c r="E82" s="1" t="s">
        <v>20</v>
      </c>
      <c r="F82" s="1" t="s">
        <v>21</v>
      </c>
      <c r="G82" s="1" t="s">
        <v>15</v>
      </c>
      <c r="H82" s="1">
        <v>31</v>
      </c>
      <c r="I82" s="1" t="s">
        <v>124</v>
      </c>
      <c r="J82" s="3">
        <v>0.35</v>
      </c>
      <c r="K82" s="4">
        <v>6750</v>
      </c>
      <c r="L82" s="5">
        <f t="shared" si="0"/>
        <v>2362.5</v>
      </c>
      <c r="M82" s="5">
        <f t="shared" si="1"/>
        <v>826.875</v>
      </c>
      <c r="N82" s="6">
        <v>0.35</v>
      </c>
    </row>
    <row r="83" spans="1:14" ht="15.75" customHeight="1" x14ac:dyDescent="0.45">
      <c r="A83" s="1" t="s">
        <v>120</v>
      </c>
      <c r="B83" s="1">
        <v>1197831</v>
      </c>
      <c r="C83" s="2">
        <v>44593</v>
      </c>
      <c r="D83" s="1" t="s">
        <v>19</v>
      </c>
      <c r="E83" s="1" t="s">
        <v>20</v>
      </c>
      <c r="F83" s="1" t="s">
        <v>21</v>
      </c>
      <c r="G83" s="1" t="s">
        <v>16</v>
      </c>
      <c r="H83" s="1">
        <v>43</v>
      </c>
      <c r="I83" s="1" t="s">
        <v>124</v>
      </c>
      <c r="J83" s="3">
        <v>0.35</v>
      </c>
      <c r="K83" s="4">
        <v>6250</v>
      </c>
      <c r="L83" s="5">
        <f t="shared" si="0"/>
        <v>2187.5</v>
      </c>
      <c r="M83" s="5">
        <f t="shared" si="1"/>
        <v>984.375</v>
      </c>
      <c r="N83" s="6">
        <v>0.45</v>
      </c>
    </row>
    <row r="84" spans="1:14" ht="15.75" customHeight="1" x14ac:dyDescent="0.45">
      <c r="A84" s="1" t="s">
        <v>120</v>
      </c>
      <c r="B84" s="1">
        <v>1197831</v>
      </c>
      <c r="C84" s="2">
        <v>44593</v>
      </c>
      <c r="D84" s="1" t="s">
        <v>19</v>
      </c>
      <c r="E84" s="1" t="s">
        <v>20</v>
      </c>
      <c r="F84" s="1" t="s">
        <v>21</v>
      </c>
      <c r="G84" s="1" t="s">
        <v>17</v>
      </c>
      <c r="H84" s="1">
        <v>45</v>
      </c>
      <c r="I84" s="1" t="s">
        <v>125</v>
      </c>
      <c r="J84" s="3">
        <v>0.4</v>
      </c>
      <c r="K84" s="4">
        <v>5000</v>
      </c>
      <c r="L84" s="5">
        <f t="shared" si="0"/>
        <v>2000</v>
      </c>
      <c r="M84" s="5">
        <f t="shared" si="1"/>
        <v>600</v>
      </c>
      <c r="N84" s="6">
        <v>0.3</v>
      </c>
    </row>
    <row r="85" spans="1:14" ht="15.75" customHeight="1" x14ac:dyDescent="0.45">
      <c r="A85" s="1" t="s">
        <v>120</v>
      </c>
      <c r="B85" s="1">
        <v>1197831</v>
      </c>
      <c r="C85" s="2">
        <v>44593</v>
      </c>
      <c r="D85" s="1" t="s">
        <v>19</v>
      </c>
      <c r="E85" s="1" t="s">
        <v>20</v>
      </c>
      <c r="F85" s="1" t="s">
        <v>21</v>
      </c>
      <c r="G85" s="1" t="s">
        <v>18</v>
      </c>
      <c r="H85" s="1">
        <v>19</v>
      </c>
      <c r="I85" s="1" t="s">
        <v>125</v>
      </c>
      <c r="J85" s="3">
        <v>0.35</v>
      </c>
      <c r="K85" s="4">
        <v>7000</v>
      </c>
      <c r="L85" s="5">
        <f t="shared" si="0"/>
        <v>2450</v>
      </c>
      <c r="M85" s="5">
        <f t="shared" si="1"/>
        <v>1225</v>
      </c>
      <c r="N85" s="6">
        <v>0.5</v>
      </c>
    </row>
    <row r="86" spans="1:14" ht="15.75" customHeight="1" x14ac:dyDescent="0.45">
      <c r="A86" s="1" t="s">
        <v>120</v>
      </c>
      <c r="B86" s="1">
        <v>1197831</v>
      </c>
      <c r="C86" s="2">
        <v>44623</v>
      </c>
      <c r="D86" s="1" t="s">
        <v>19</v>
      </c>
      <c r="E86" s="1" t="s">
        <v>20</v>
      </c>
      <c r="F86" s="1" t="s">
        <v>21</v>
      </c>
      <c r="G86" s="1" t="s">
        <v>13</v>
      </c>
      <c r="H86" s="1">
        <v>29</v>
      </c>
      <c r="I86" s="1" t="s">
        <v>125</v>
      </c>
      <c r="J86" s="3">
        <v>0.3</v>
      </c>
      <c r="K86" s="4">
        <v>8750</v>
      </c>
      <c r="L86" s="5">
        <f t="shared" si="0"/>
        <v>2625</v>
      </c>
      <c r="M86" s="5">
        <f t="shared" si="1"/>
        <v>918.74999999999989</v>
      </c>
      <c r="N86" s="6">
        <v>0.35</v>
      </c>
    </row>
    <row r="87" spans="1:14" ht="15.75" customHeight="1" x14ac:dyDescent="0.45">
      <c r="A87" s="1" t="s">
        <v>120</v>
      </c>
      <c r="B87" s="1">
        <v>1197831</v>
      </c>
      <c r="C87" s="2">
        <v>44623</v>
      </c>
      <c r="D87" s="1" t="s">
        <v>19</v>
      </c>
      <c r="E87" s="1" t="s">
        <v>20</v>
      </c>
      <c r="F87" s="1" t="s">
        <v>21</v>
      </c>
      <c r="G87" s="1" t="s">
        <v>14</v>
      </c>
      <c r="H87" s="1">
        <v>50</v>
      </c>
      <c r="I87" s="1" t="s">
        <v>123</v>
      </c>
      <c r="J87" s="3">
        <v>0.4</v>
      </c>
      <c r="K87" s="4">
        <v>8750</v>
      </c>
      <c r="L87" s="5">
        <f t="shared" si="0"/>
        <v>3500</v>
      </c>
      <c r="M87" s="5">
        <f t="shared" si="1"/>
        <v>1225</v>
      </c>
      <c r="N87" s="6">
        <v>0.35</v>
      </c>
    </row>
    <row r="88" spans="1:14" ht="15.75" customHeight="1" x14ac:dyDescent="0.45">
      <c r="A88" s="1" t="s">
        <v>120</v>
      </c>
      <c r="B88" s="1">
        <v>1197831</v>
      </c>
      <c r="C88" s="2">
        <v>44623</v>
      </c>
      <c r="D88" s="1" t="s">
        <v>19</v>
      </c>
      <c r="E88" s="1" t="s">
        <v>20</v>
      </c>
      <c r="F88" s="1" t="s">
        <v>21</v>
      </c>
      <c r="G88" s="1" t="s">
        <v>15</v>
      </c>
      <c r="H88" s="1">
        <v>32</v>
      </c>
      <c r="I88" s="1" t="s">
        <v>124</v>
      </c>
      <c r="J88" s="3">
        <v>0.35</v>
      </c>
      <c r="K88" s="4">
        <v>7000</v>
      </c>
      <c r="L88" s="5">
        <f t="shared" si="0"/>
        <v>2450</v>
      </c>
      <c r="M88" s="5">
        <f t="shared" si="1"/>
        <v>857.5</v>
      </c>
      <c r="N88" s="6">
        <v>0.35</v>
      </c>
    </row>
    <row r="89" spans="1:14" ht="15.75" customHeight="1" x14ac:dyDescent="0.45">
      <c r="A89" s="1" t="s">
        <v>120</v>
      </c>
      <c r="B89" s="1">
        <v>1197831</v>
      </c>
      <c r="C89" s="2">
        <v>44623</v>
      </c>
      <c r="D89" s="1" t="s">
        <v>19</v>
      </c>
      <c r="E89" s="1" t="s">
        <v>20</v>
      </c>
      <c r="F89" s="1" t="s">
        <v>21</v>
      </c>
      <c r="G89" s="1" t="s">
        <v>16</v>
      </c>
      <c r="H89" s="1">
        <v>32</v>
      </c>
      <c r="I89" s="1" t="s">
        <v>124</v>
      </c>
      <c r="J89" s="3">
        <v>0.4</v>
      </c>
      <c r="K89" s="4">
        <v>6000</v>
      </c>
      <c r="L89" s="5">
        <f t="shared" si="0"/>
        <v>2400</v>
      </c>
      <c r="M89" s="5">
        <f t="shared" si="1"/>
        <v>1080</v>
      </c>
      <c r="N89" s="6">
        <v>0.45</v>
      </c>
    </row>
    <row r="90" spans="1:14" ht="15.75" customHeight="1" x14ac:dyDescent="0.45">
      <c r="A90" s="1" t="s">
        <v>120</v>
      </c>
      <c r="B90" s="1">
        <v>1197831</v>
      </c>
      <c r="C90" s="2">
        <v>44623</v>
      </c>
      <c r="D90" s="1" t="s">
        <v>19</v>
      </c>
      <c r="E90" s="1" t="s">
        <v>20</v>
      </c>
      <c r="F90" s="1" t="s">
        <v>21</v>
      </c>
      <c r="G90" s="1" t="s">
        <v>17</v>
      </c>
      <c r="H90" s="1">
        <v>50</v>
      </c>
      <c r="I90" s="1" t="s">
        <v>125</v>
      </c>
      <c r="J90" s="3">
        <v>0.45</v>
      </c>
      <c r="K90" s="4">
        <v>5000</v>
      </c>
      <c r="L90" s="5">
        <f t="shared" si="0"/>
        <v>2250</v>
      </c>
      <c r="M90" s="5">
        <f t="shared" si="1"/>
        <v>675</v>
      </c>
      <c r="N90" s="6">
        <v>0.3</v>
      </c>
    </row>
    <row r="91" spans="1:14" ht="15.75" customHeight="1" x14ac:dyDescent="0.45">
      <c r="A91" s="1" t="s">
        <v>120</v>
      </c>
      <c r="B91" s="1">
        <v>1197831</v>
      </c>
      <c r="C91" s="2">
        <v>44623</v>
      </c>
      <c r="D91" s="1" t="s">
        <v>19</v>
      </c>
      <c r="E91" s="1" t="s">
        <v>20</v>
      </c>
      <c r="F91" s="1" t="s">
        <v>21</v>
      </c>
      <c r="G91" s="1" t="s">
        <v>18</v>
      </c>
      <c r="H91" s="1">
        <v>19</v>
      </c>
      <c r="I91" s="1" t="s">
        <v>126</v>
      </c>
      <c r="J91" s="3">
        <v>0.4</v>
      </c>
      <c r="K91" s="4">
        <v>6500</v>
      </c>
      <c r="L91" s="5">
        <f t="shared" si="0"/>
        <v>2600</v>
      </c>
      <c r="M91" s="5">
        <f t="shared" si="1"/>
        <v>1300</v>
      </c>
      <c r="N91" s="6">
        <v>0.5</v>
      </c>
    </row>
    <row r="92" spans="1:14" ht="15.75" customHeight="1" x14ac:dyDescent="0.45">
      <c r="A92" s="1" t="s">
        <v>120</v>
      </c>
      <c r="B92" s="1">
        <v>1197831</v>
      </c>
      <c r="C92" s="2">
        <v>44653</v>
      </c>
      <c r="D92" s="1" t="s">
        <v>19</v>
      </c>
      <c r="E92" s="1" t="s">
        <v>20</v>
      </c>
      <c r="F92" s="1" t="s">
        <v>21</v>
      </c>
      <c r="G92" s="1" t="s">
        <v>13</v>
      </c>
      <c r="H92" s="1">
        <v>58</v>
      </c>
      <c r="I92" s="1" t="s">
        <v>123</v>
      </c>
      <c r="J92" s="3">
        <v>0.3</v>
      </c>
      <c r="K92" s="4">
        <v>9000</v>
      </c>
      <c r="L92" s="5">
        <f t="shared" si="0"/>
        <v>2700</v>
      </c>
      <c r="M92" s="5">
        <f t="shared" si="1"/>
        <v>944.99999999999989</v>
      </c>
      <c r="N92" s="6">
        <v>0.35</v>
      </c>
    </row>
    <row r="93" spans="1:14" ht="15.75" customHeight="1" x14ac:dyDescent="0.45">
      <c r="A93" s="1" t="s">
        <v>120</v>
      </c>
      <c r="B93" s="1">
        <v>1197831</v>
      </c>
      <c r="C93" s="2">
        <v>44653</v>
      </c>
      <c r="D93" s="1" t="s">
        <v>19</v>
      </c>
      <c r="E93" s="1" t="s">
        <v>20</v>
      </c>
      <c r="F93" s="1" t="s">
        <v>21</v>
      </c>
      <c r="G93" s="1" t="s">
        <v>14</v>
      </c>
      <c r="H93" s="1">
        <v>27</v>
      </c>
      <c r="I93" s="1" t="s">
        <v>123</v>
      </c>
      <c r="J93" s="3">
        <v>0.4</v>
      </c>
      <c r="K93" s="4">
        <v>9000</v>
      </c>
      <c r="L93" s="5">
        <f t="shared" si="0"/>
        <v>3600</v>
      </c>
      <c r="M93" s="5">
        <f t="shared" si="1"/>
        <v>1260</v>
      </c>
      <c r="N93" s="6">
        <v>0.35</v>
      </c>
    </row>
    <row r="94" spans="1:14" ht="15.75" customHeight="1" x14ac:dyDescent="0.45">
      <c r="A94" s="1" t="s">
        <v>120</v>
      </c>
      <c r="B94" s="1">
        <v>1197831</v>
      </c>
      <c r="C94" s="2">
        <v>44653</v>
      </c>
      <c r="D94" s="1" t="s">
        <v>19</v>
      </c>
      <c r="E94" s="1" t="s">
        <v>20</v>
      </c>
      <c r="F94" s="1" t="s">
        <v>21</v>
      </c>
      <c r="G94" s="1" t="s">
        <v>15</v>
      </c>
      <c r="H94" s="1">
        <v>21</v>
      </c>
      <c r="I94" s="1" t="s">
        <v>125</v>
      </c>
      <c r="J94" s="3">
        <v>0.35</v>
      </c>
      <c r="K94" s="4">
        <v>7250</v>
      </c>
      <c r="L94" s="5">
        <f t="shared" si="0"/>
        <v>2537.5</v>
      </c>
      <c r="M94" s="5">
        <f t="shared" si="1"/>
        <v>888.125</v>
      </c>
      <c r="N94" s="6">
        <v>0.35</v>
      </c>
    </row>
    <row r="95" spans="1:14" ht="15.75" customHeight="1" x14ac:dyDescent="0.45">
      <c r="A95" s="1" t="s">
        <v>120</v>
      </c>
      <c r="B95" s="1">
        <v>1197831</v>
      </c>
      <c r="C95" s="2">
        <v>44653</v>
      </c>
      <c r="D95" s="1" t="s">
        <v>19</v>
      </c>
      <c r="E95" s="1" t="s">
        <v>20</v>
      </c>
      <c r="F95" s="1" t="s">
        <v>21</v>
      </c>
      <c r="G95" s="1" t="s">
        <v>16</v>
      </c>
      <c r="H95" s="1">
        <v>51</v>
      </c>
      <c r="I95" s="1" t="s">
        <v>123</v>
      </c>
      <c r="J95" s="3">
        <v>0.4</v>
      </c>
      <c r="K95" s="4">
        <v>6250</v>
      </c>
      <c r="L95" s="5">
        <f t="shared" si="0"/>
        <v>2500</v>
      </c>
      <c r="M95" s="5">
        <f t="shared" si="1"/>
        <v>1125</v>
      </c>
      <c r="N95" s="6">
        <v>0.45</v>
      </c>
    </row>
    <row r="96" spans="1:14" ht="15.75" customHeight="1" x14ac:dyDescent="0.45">
      <c r="A96" s="1" t="s">
        <v>120</v>
      </c>
      <c r="B96" s="1">
        <v>1197831</v>
      </c>
      <c r="C96" s="2">
        <v>44653</v>
      </c>
      <c r="D96" s="1" t="s">
        <v>19</v>
      </c>
      <c r="E96" s="1" t="s">
        <v>20</v>
      </c>
      <c r="F96" s="1" t="s">
        <v>21</v>
      </c>
      <c r="G96" s="1" t="s">
        <v>17</v>
      </c>
      <c r="H96" s="1">
        <v>23</v>
      </c>
      <c r="I96" s="1" t="s">
        <v>126</v>
      </c>
      <c r="J96" s="3">
        <v>0.45</v>
      </c>
      <c r="K96" s="4">
        <v>5250</v>
      </c>
      <c r="L96" s="5">
        <f t="shared" si="0"/>
        <v>2362.5</v>
      </c>
      <c r="M96" s="5">
        <f t="shared" si="1"/>
        <v>708.75</v>
      </c>
      <c r="N96" s="6">
        <v>0.3</v>
      </c>
    </row>
    <row r="97" spans="1:14" ht="15.75" customHeight="1" x14ac:dyDescent="0.45">
      <c r="A97" s="1" t="s">
        <v>120</v>
      </c>
      <c r="B97" s="1">
        <v>1197831</v>
      </c>
      <c r="C97" s="2">
        <v>44653</v>
      </c>
      <c r="D97" s="1" t="s">
        <v>19</v>
      </c>
      <c r="E97" s="1" t="s">
        <v>20</v>
      </c>
      <c r="F97" s="1" t="s">
        <v>21</v>
      </c>
      <c r="G97" s="1" t="s">
        <v>18</v>
      </c>
      <c r="H97" s="1">
        <v>35</v>
      </c>
      <c r="I97" s="1" t="s">
        <v>124</v>
      </c>
      <c r="J97" s="3">
        <v>0.4</v>
      </c>
      <c r="K97" s="4">
        <v>8000</v>
      </c>
      <c r="L97" s="5">
        <f t="shared" si="0"/>
        <v>3200</v>
      </c>
      <c r="M97" s="5">
        <f t="shared" si="1"/>
        <v>1600</v>
      </c>
      <c r="N97" s="6">
        <v>0.5</v>
      </c>
    </row>
    <row r="98" spans="1:14" ht="15.75" customHeight="1" x14ac:dyDescent="0.45">
      <c r="A98" s="1" t="s">
        <v>120</v>
      </c>
      <c r="B98" s="1">
        <v>1197831</v>
      </c>
      <c r="C98" s="2">
        <v>44683</v>
      </c>
      <c r="D98" s="1" t="s">
        <v>19</v>
      </c>
      <c r="E98" s="1" t="s">
        <v>20</v>
      </c>
      <c r="F98" s="1" t="s">
        <v>21</v>
      </c>
      <c r="G98" s="1" t="s">
        <v>13</v>
      </c>
      <c r="H98" s="1">
        <v>22</v>
      </c>
      <c r="I98" s="1" t="s">
        <v>124</v>
      </c>
      <c r="J98" s="3">
        <v>0.3</v>
      </c>
      <c r="K98" s="4">
        <v>9250</v>
      </c>
      <c r="L98" s="5">
        <f t="shared" si="0"/>
        <v>2775</v>
      </c>
      <c r="M98" s="5">
        <f t="shared" si="1"/>
        <v>971.24999999999989</v>
      </c>
      <c r="N98" s="6">
        <v>0.35</v>
      </c>
    </row>
    <row r="99" spans="1:14" ht="15.75" customHeight="1" x14ac:dyDescent="0.45">
      <c r="A99" s="1" t="s">
        <v>120</v>
      </c>
      <c r="B99" s="1">
        <v>1197831</v>
      </c>
      <c r="C99" s="2">
        <v>44683</v>
      </c>
      <c r="D99" s="1" t="s">
        <v>19</v>
      </c>
      <c r="E99" s="1" t="s">
        <v>20</v>
      </c>
      <c r="F99" s="1" t="s">
        <v>21</v>
      </c>
      <c r="G99" s="1" t="s">
        <v>14</v>
      </c>
      <c r="H99" s="1">
        <v>42</v>
      </c>
      <c r="I99" s="1" t="s">
        <v>126</v>
      </c>
      <c r="J99" s="3">
        <v>0.4</v>
      </c>
      <c r="K99" s="4">
        <v>9250</v>
      </c>
      <c r="L99" s="5">
        <f t="shared" si="0"/>
        <v>3700</v>
      </c>
      <c r="M99" s="5">
        <f t="shared" si="1"/>
        <v>1295</v>
      </c>
      <c r="N99" s="6">
        <v>0.35</v>
      </c>
    </row>
    <row r="100" spans="1:14" ht="15.75" customHeight="1" x14ac:dyDescent="0.45">
      <c r="A100" s="1" t="s">
        <v>120</v>
      </c>
      <c r="B100" s="1">
        <v>1197831</v>
      </c>
      <c r="C100" s="2">
        <v>44683</v>
      </c>
      <c r="D100" s="1" t="s">
        <v>19</v>
      </c>
      <c r="E100" s="1" t="s">
        <v>20</v>
      </c>
      <c r="F100" s="1" t="s">
        <v>21</v>
      </c>
      <c r="G100" s="1" t="s">
        <v>15</v>
      </c>
      <c r="H100" s="1">
        <v>24</v>
      </c>
      <c r="I100" s="1" t="s">
        <v>125</v>
      </c>
      <c r="J100" s="3">
        <v>0.35</v>
      </c>
      <c r="K100" s="4">
        <v>7750</v>
      </c>
      <c r="L100" s="5">
        <f t="shared" si="0"/>
        <v>2712.5</v>
      </c>
      <c r="M100" s="5">
        <f t="shared" si="1"/>
        <v>949.37499999999989</v>
      </c>
      <c r="N100" s="6">
        <v>0.35</v>
      </c>
    </row>
    <row r="101" spans="1:14" ht="15.75" customHeight="1" x14ac:dyDescent="0.45">
      <c r="A101" s="1" t="s">
        <v>120</v>
      </c>
      <c r="B101" s="1">
        <v>1197831</v>
      </c>
      <c r="C101" s="2">
        <v>44683</v>
      </c>
      <c r="D101" s="1" t="s">
        <v>19</v>
      </c>
      <c r="E101" s="1" t="s">
        <v>20</v>
      </c>
      <c r="F101" s="1" t="s">
        <v>21</v>
      </c>
      <c r="G101" s="1" t="s">
        <v>16</v>
      </c>
      <c r="H101" s="1">
        <v>47</v>
      </c>
      <c r="I101" s="1" t="s">
        <v>124</v>
      </c>
      <c r="J101" s="3">
        <v>0.4</v>
      </c>
      <c r="K101" s="4">
        <v>7000</v>
      </c>
      <c r="L101" s="5">
        <f t="shared" si="0"/>
        <v>2800</v>
      </c>
      <c r="M101" s="5">
        <f t="shared" si="1"/>
        <v>1260</v>
      </c>
      <c r="N101" s="6">
        <v>0.45</v>
      </c>
    </row>
    <row r="102" spans="1:14" ht="15.75" customHeight="1" x14ac:dyDescent="0.45">
      <c r="A102" s="1" t="s">
        <v>120</v>
      </c>
      <c r="B102" s="1">
        <v>1197831</v>
      </c>
      <c r="C102" s="2">
        <v>44683</v>
      </c>
      <c r="D102" s="1" t="s">
        <v>19</v>
      </c>
      <c r="E102" s="1" t="s">
        <v>20</v>
      </c>
      <c r="F102" s="1" t="s">
        <v>21</v>
      </c>
      <c r="G102" s="1" t="s">
        <v>17</v>
      </c>
      <c r="H102" s="1">
        <v>32</v>
      </c>
      <c r="I102" s="1" t="s">
        <v>125</v>
      </c>
      <c r="J102" s="3">
        <v>0.45</v>
      </c>
      <c r="K102" s="4">
        <v>6000</v>
      </c>
      <c r="L102" s="5">
        <f t="shared" si="0"/>
        <v>2700</v>
      </c>
      <c r="M102" s="5">
        <f t="shared" si="1"/>
        <v>810</v>
      </c>
      <c r="N102" s="6">
        <v>0.3</v>
      </c>
    </row>
    <row r="103" spans="1:14" ht="15.75" customHeight="1" x14ac:dyDescent="0.45">
      <c r="A103" s="1" t="s">
        <v>120</v>
      </c>
      <c r="B103" s="1">
        <v>1197831</v>
      </c>
      <c r="C103" s="2">
        <v>44683</v>
      </c>
      <c r="D103" s="1" t="s">
        <v>19</v>
      </c>
      <c r="E103" s="1" t="s">
        <v>20</v>
      </c>
      <c r="F103" s="1" t="s">
        <v>21</v>
      </c>
      <c r="G103" s="1" t="s">
        <v>18</v>
      </c>
      <c r="H103" s="1">
        <v>53</v>
      </c>
      <c r="I103" s="1" t="s">
        <v>126</v>
      </c>
      <c r="J103" s="3">
        <v>0.4</v>
      </c>
      <c r="K103" s="4">
        <v>9500</v>
      </c>
      <c r="L103" s="5">
        <f t="shared" si="0"/>
        <v>3800</v>
      </c>
      <c r="M103" s="5">
        <f t="shared" si="1"/>
        <v>1900</v>
      </c>
      <c r="N103" s="6">
        <v>0.5</v>
      </c>
    </row>
    <row r="104" spans="1:14" ht="15.75" customHeight="1" x14ac:dyDescent="0.45">
      <c r="A104" s="1" t="s">
        <v>120</v>
      </c>
      <c r="B104" s="1">
        <v>1197831</v>
      </c>
      <c r="C104" s="2">
        <v>44713</v>
      </c>
      <c r="D104" s="1" t="s">
        <v>19</v>
      </c>
      <c r="E104" s="1" t="s">
        <v>20</v>
      </c>
      <c r="F104" s="1" t="s">
        <v>21</v>
      </c>
      <c r="G104" s="1" t="s">
        <v>13</v>
      </c>
      <c r="H104" s="1">
        <v>59</v>
      </c>
      <c r="I104" s="1" t="s">
        <v>123</v>
      </c>
      <c r="J104" s="3">
        <v>0.4</v>
      </c>
      <c r="K104" s="4">
        <v>9500</v>
      </c>
      <c r="L104" s="5">
        <f t="shared" si="0"/>
        <v>3800</v>
      </c>
      <c r="M104" s="5">
        <f t="shared" si="1"/>
        <v>1330</v>
      </c>
      <c r="N104" s="6">
        <v>0.35</v>
      </c>
    </row>
    <row r="105" spans="1:14" ht="15.75" customHeight="1" x14ac:dyDescent="0.45">
      <c r="A105" s="1" t="s">
        <v>120</v>
      </c>
      <c r="B105" s="1">
        <v>1197831</v>
      </c>
      <c r="C105" s="2">
        <v>44713</v>
      </c>
      <c r="D105" s="1" t="s">
        <v>19</v>
      </c>
      <c r="E105" s="1" t="s">
        <v>20</v>
      </c>
      <c r="F105" s="1" t="s">
        <v>21</v>
      </c>
      <c r="G105" s="1" t="s">
        <v>14</v>
      </c>
      <c r="H105" s="1">
        <v>23</v>
      </c>
      <c r="I105" s="1" t="s">
        <v>125</v>
      </c>
      <c r="J105" s="3">
        <v>0.45</v>
      </c>
      <c r="K105" s="4">
        <v>9500</v>
      </c>
      <c r="L105" s="5">
        <f t="shared" si="0"/>
        <v>4275</v>
      </c>
      <c r="M105" s="5">
        <f t="shared" si="1"/>
        <v>1496.25</v>
      </c>
      <c r="N105" s="6">
        <v>0.35</v>
      </c>
    </row>
    <row r="106" spans="1:14" ht="15.75" customHeight="1" x14ac:dyDescent="0.45">
      <c r="A106" s="1" t="s">
        <v>120</v>
      </c>
      <c r="B106" s="1">
        <v>1197831</v>
      </c>
      <c r="C106" s="2">
        <v>44713</v>
      </c>
      <c r="D106" s="1" t="s">
        <v>19</v>
      </c>
      <c r="E106" s="1" t="s">
        <v>20</v>
      </c>
      <c r="F106" s="1" t="s">
        <v>21</v>
      </c>
      <c r="G106" s="1" t="s">
        <v>15</v>
      </c>
      <c r="H106" s="1">
        <v>29</v>
      </c>
      <c r="I106" s="1" t="s">
        <v>126</v>
      </c>
      <c r="J106" s="3">
        <v>0.4</v>
      </c>
      <c r="K106" s="4">
        <v>8000</v>
      </c>
      <c r="L106" s="5">
        <f t="shared" si="0"/>
        <v>3200</v>
      </c>
      <c r="M106" s="5">
        <f t="shared" si="1"/>
        <v>1120</v>
      </c>
      <c r="N106" s="6">
        <v>0.35</v>
      </c>
    </row>
    <row r="107" spans="1:14" ht="15.75" customHeight="1" x14ac:dyDescent="0.45">
      <c r="A107" s="1" t="s">
        <v>120</v>
      </c>
      <c r="B107" s="1">
        <v>1197831</v>
      </c>
      <c r="C107" s="2">
        <v>44713</v>
      </c>
      <c r="D107" s="1" t="s">
        <v>19</v>
      </c>
      <c r="E107" s="1" t="s">
        <v>20</v>
      </c>
      <c r="F107" s="1" t="s">
        <v>21</v>
      </c>
      <c r="G107" s="1" t="s">
        <v>16</v>
      </c>
      <c r="H107" s="1">
        <v>35</v>
      </c>
      <c r="I107" s="1" t="s">
        <v>124</v>
      </c>
      <c r="J107" s="3">
        <v>0.4</v>
      </c>
      <c r="K107" s="4">
        <v>7500</v>
      </c>
      <c r="L107" s="5">
        <f t="shared" si="0"/>
        <v>3000</v>
      </c>
      <c r="M107" s="5">
        <f t="shared" si="1"/>
        <v>1350</v>
      </c>
      <c r="N107" s="6">
        <v>0.45</v>
      </c>
    </row>
    <row r="108" spans="1:14" ht="15.75" customHeight="1" x14ac:dyDescent="0.45">
      <c r="A108" s="1" t="s">
        <v>120</v>
      </c>
      <c r="B108" s="1">
        <v>1197831</v>
      </c>
      <c r="C108" s="2">
        <v>44713</v>
      </c>
      <c r="D108" s="1" t="s">
        <v>19</v>
      </c>
      <c r="E108" s="1" t="s">
        <v>20</v>
      </c>
      <c r="F108" s="1" t="s">
        <v>21</v>
      </c>
      <c r="G108" s="1" t="s">
        <v>17</v>
      </c>
      <c r="H108" s="1">
        <v>19</v>
      </c>
      <c r="I108" s="1" t="s">
        <v>126</v>
      </c>
      <c r="J108" s="3">
        <v>0.45</v>
      </c>
      <c r="K108" s="4">
        <v>6500</v>
      </c>
      <c r="L108" s="5">
        <f t="shared" si="0"/>
        <v>2925</v>
      </c>
      <c r="M108" s="5">
        <f t="shared" si="1"/>
        <v>877.5</v>
      </c>
      <c r="N108" s="6">
        <v>0.3</v>
      </c>
    </row>
    <row r="109" spans="1:14" ht="15.75" customHeight="1" x14ac:dyDescent="0.45">
      <c r="A109" s="1" t="s">
        <v>120</v>
      </c>
      <c r="B109" s="1">
        <v>1197831</v>
      </c>
      <c r="C109" s="2">
        <v>44713</v>
      </c>
      <c r="D109" s="1" t="s">
        <v>19</v>
      </c>
      <c r="E109" s="1" t="s">
        <v>20</v>
      </c>
      <c r="F109" s="1" t="s">
        <v>21</v>
      </c>
      <c r="G109" s="1" t="s">
        <v>18</v>
      </c>
      <c r="H109" s="1">
        <v>45</v>
      </c>
      <c r="I109" s="1" t="s">
        <v>124</v>
      </c>
      <c r="J109" s="3">
        <v>0.5</v>
      </c>
      <c r="K109" s="4">
        <v>10000</v>
      </c>
      <c r="L109" s="5">
        <f t="shared" si="0"/>
        <v>5000</v>
      </c>
      <c r="M109" s="5">
        <f t="shared" si="1"/>
        <v>2500</v>
      </c>
      <c r="N109" s="6">
        <v>0.5</v>
      </c>
    </row>
    <row r="110" spans="1:14" ht="15.75" customHeight="1" x14ac:dyDescent="0.45">
      <c r="A110" s="1" t="s">
        <v>120</v>
      </c>
      <c r="B110" s="1">
        <v>1197831</v>
      </c>
      <c r="C110" s="2">
        <v>44745</v>
      </c>
      <c r="D110" s="1" t="s">
        <v>19</v>
      </c>
      <c r="E110" s="1" t="s">
        <v>20</v>
      </c>
      <c r="F110" s="1" t="s">
        <v>21</v>
      </c>
      <c r="G110" s="1" t="s">
        <v>13</v>
      </c>
      <c r="H110" s="1">
        <v>18</v>
      </c>
      <c r="I110" s="1" t="s">
        <v>123</v>
      </c>
      <c r="J110" s="3">
        <v>0.4</v>
      </c>
      <c r="K110" s="4">
        <v>9500</v>
      </c>
      <c r="L110" s="5">
        <f t="shared" si="0"/>
        <v>3800</v>
      </c>
      <c r="M110" s="5">
        <f t="shared" si="1"/>
        <v>1330</v>
      </c>
      <c r="N110" s="6">
        <v>0.35</v>
      </c>
    </row>
    <row r="111" spans="1:14" ht="15.75" customHeight="1" x14ac:dyDescent="0.45">
      <c r="A111" s="1" t="s">
        <v>120</v>
      </c>
      <c r="B111" s="1">
        <v>1197831</v>
      </c>
      <c r="C111" s="2">
        <v>44745</v>
      </c>
      <c r="D111" s="1" t="s">
        <v>19</v>
      </c>
      <c r="E111" s="1" t="s">
        <v>20</v>
      </c>
      <c r="F111" s="1" t="s">
        <v>21</v>
      </c>
      <c r="G111" s="1" t="s">
        <v>14</v>
      </c>
      <c r="H111" s="1">
        <v>37</v>
      </c>
      <c r="I111" s="1" t="s">
        <v>125</v>
      </c>
      <c r="J111" s="3">
        <v>0.45</v>
      </c>
      <c r="K111" s="4">
        <v>9500</v>
      </c>
      <c r="L111" s="5">
        <f t="shared" si="0"/>
        <v>4275</v>
      </c>
      <c r="M111" s="5">
        <f t="shared" si="1"/>
        <v>1496.25</v>
      </c>
      <c r="N111" s="6">
        <v>0.35</v>
      </c>
    </row>
    <row r="112" spans="1:14" ht="15.75" customHeight="1" x14ac:dyDescent="0.45">
      <c r="A112" s="1" t="s">
        <v>120</v>
      </c>
      <c r="B112" s="1">
        <v>1197831</v>
      </c>
      <c r="C112" s="2">
        <v>44745</v>
      </c>
      <c r="D112" s="1" t="s">
        <v>19</v>
      </c>
      <c r="E112" s="1" t="s">
        <v>20</v>
      </c>
      <c r="F112" s="1" t="s">
        <v>21</v>
      </c>
      <c r="G112" s="1" t="s">
        <v>15</v>
      </c>
      <c r="H112" s="1">
        <v>45</v>
      </c>
      <c r="I112" s="1" t="s">
        <v>124</v>
      </c>
      <c r="J112" s="3">
        <v>0.4</v>
      </c>
      <c r="K112" s="4">
        <v>11000</v>
      </c>
      <c r="L112" s="5">
        <f t="shared" si="0"/>
        <v>4400</v>
      </c>
      <c r="M112" s="5">
        <f t="shared" si="1"/>
        <v>1540</v>
      </c>
      <c r="N112" s="6">
        <v>0.35</v>
      </c>
    </row>
    <row r="113" spans="1:14" ht="15.75" customHeight="1" x14ac:dyDescent="0.45">
      <c r="A113" s="1" t="s">
        <v>120</v>
      </c>
      <c r="B113" s="1">
        <v>1197831</v>
      </c>
      <c r="C113" s="2">
        <v>44745</v>
      </c>
      <c r="D113" s="1" t="s">
        <v>19</v>
      </c>
      <c r="E113" s="1" t="s">
        <v>20</v>
      </c>
      <c r="F113" s="1" t="s">
        <v>21</v>
      </c>
      <c r="G113" s="1" t="s">
        <v>16</v>
      </c>
      <c r="H113" s="1">
        <v>19</v>
      </c>
      <c r="I113" s="1" t="s">
        <v>125</v>
      </c>
      <c r="J113" s="3">
        <v>0.4</v>
      </c>
      <c r="K113" s="4">
        <v>7000</v>
      </c>
      <c r="L113" s="5">
        <f t="shared" si="0"/>
        <v>2800</v>
      </c>
      <c r="M113" s="5">
        <f t="shared" si="1"/>
        <v>1260</v>
      </c>
      <c r="N113" s="6">
        <v>0.45</v>
      </c>
    </row>
    <row r="114" spans="1:14" ht="15.75" customHeight="1" x14ac:dyDescent="0.45">
      <c r="A114" s="1" t="s">
        <v>120</v>
      </c>
      <c r="B114" s="1">
        <v>1197831</v>
      </c>
      <c r="C114" s="2">
        <v>44745</v>
      </c>
      <c r="D114" s="1" t="s">
        <v>19</v>
      </c>
      <c r="E114" s="1" t="s">
        <v>20</v>
      </c>
      <c r="F114" s="1" t="s">
        <v>21</v>
      </c>
      <c r="G114" s="1" t="s">
        <v>17</v>
      </c>
      <c r="H114" s="1">
        <v>54</v>
      </c>
      <c r="I114" s="1" t="s">
        <v>124</v>
      </c>
      <c r="J114" s="3">
        <v>0.45</v>
      </c>
      <c r="K114" s="4">
        <v>7000</v>
      </c>
      <c r="L114" s="5">
        <f t="shared" si="0"/>
        <v>3150</v>
      </c>
      <c r="M114" s="5">
        <f t="shared" si="1"/>
        <v>945</v>
      </c>
      <c r="N114" s="6">
        <v>0.3</v>
      </c>
    </row>
    <row r="115" spans="1:14" ht="15.75" customHeight="1" x14ac:dyDescent="0.45">
      <c r="A115" s="1" t="s">
        <v>120</v>
      </c>
      <c r="B115" s="1">
        <v>1197831</v>
      </c>
      <c r="C115" s="2">
        <v>44745</v>
      </c>
      <c r="D115" s="1" t="s">
        <v>19</v>
      </c>
      <c r="E115" s="1" t="s">
        <v>20</v>
      </c>
      <c r="F115" s="1" t="s">
        <v>21</v>
      </c>
      <c r="G115" s="1" t="s">
        <v>18</v>
      </c>
      <c r="H115" s="1">
        <v>30</v>
      </c>
      <c r="I115" s="1" t="s">
        <v>126</v>
      </c>
      <c r="J115" s="3">
        <v>0.5</v>
      </c>
      <c r="K115" s="4">
        <v>9750</v>
      </c>
      <c r="L115" s="5">
        <f t="shared" si="0"/>
        <v>4875</v>
      </c>
      <c r="M115" s="5">
        <f t="shared" si="1"/>
        <v>2437.5</v>
      </c>
      <c r="N115" s="6">
        <v>0.5</v>
      </c>
    </row>
    <row r="116" spans="1:14" ht="15.75" customHeight="1" x14ac:dyDescent="0.45">
      <c r="A116" s="1" t="s">
        <v>120</v>
      </c>
      <c r="B116" s="1">
        <v>1197831</v>
      </c>
      <c r="C116" s="2">
        <v>44778</v>
      </c>
      <c r="D116" s="1" t="s">
        <v>19</v>
      </c>
      <c r="E116" s="1" t="s">
        <v>20</v>
      </c>
      <c r="F116" s="1" t="s">
        <v>21</v>
      </c>
      <c r="G116" s="1" t="s">
        <v>13</v>
      </c>
      <c r="H116" s="1">
        <v>40</v>
      </c>
      <c r="I116" s="1" t="s">
        <v>125</v>
      </c>
      <c r="J116" s="3">
        <v>0.4</v>
      </c>
      <c r="K116" s="4">
        <v>9250</v>
      </c>
      <c r="L116" s="5">
        <f t="shared" si="0"/>
        <v>3700</v>
      </c>
      <c r="M116" s="5">
        <f t="shared" si="1"/>
        <v>1295</v>
      </c>
      <c r="N116" s="6">
        <v>0.35</v>
      </c>
    </row>
    <row r="117" spans="1:14" ht="15.75" customHeight="1" x14ac:dyDescent="0.45">
      <c r="A117" s="1" t="s">
        <v>120</v>
      </c>
      <c r="B117" s="1">
        <v>1197831</v>
      </c>
      <c r="C117" s="2">
        <v>44778</v>
      </c>
      <c r="D117" s="1" t="s">
        <v>19</v>
      </c>
      <c r="E117" s="1" t="s">
        <v>20</v>
      </c>
      <c r="F117" s="1" t="s">
        <v>21</v>
      </c>
      <c r="G117" s="1" t="s">
        <v>14</v>
      </c>
      <c r="H117" s="1">
        <v>23</v>
      </c>
      <c r="I117" s="1" t="s">
        <v>123</v>
      </c>
      <c r="J117" s="3">
        <v>0.45</v>
      </c>
      <c r="K117" s="4">
        <v>9250</v>
      </c>
      <c r="L117" s="5">
        <f t="shared" si="0"/>
        <v>4162.5</v>
      </c>
      <c r="M117" s="5">
        <f t="shared" si="1"/>
        <v>1456.875</v>
      </c>
      <c r="N117" s="6">
        <v>0.35</v>
      </c>
    </row>
    <row r="118" spans="1:14" ht="15.75" customHeight="1" x14ac:dyDescent="0.45">
      <c r="A118" s="1" t="s">
        <v>120</v>
      </c>
      <c r="B118" s="1">
        <v>1197831</v>
      </c>
      <c r="C118" s="2">
        <v>44778</v>
      </c>
      <c r="D118" s="1" t="s">
        <v>19</v>
      </c>
      <c r="E118" s="1" t="s">
        <v>20</v>
      </c>
      <c r="F118" s="1" t="s">
        <v>21</v>
      </c>
      <c r="G118" s="1" t="s">
        <v>15</v>
      </c>
      <c r="H118" s="1">
        <v>52</v>
      </c>
      <c r="I118" s="1" t="s">
        <v>125</v>
      </c>
      <c r="J118" s="3">
        <v>0.4</v>
      </c>
      <c r="K118" s="4">
        <v>11000</v>
      </c>
      <c r="L118" s="5">
        <f t="shared" si="0"/>
        <v>4400</v>
      </c>
      <c r="M118" s="5">
        <f t="shared" si="1"/>
        <v>1540</v>
      </c>
      <c r="N118" s="6">
        <v>0.35</v>
      </c>
    </row>
    <row r="119" spans="1:14" ht="15.75" customHeight="1" x14ac:dyDescent="0.45">
      <c r="A119" s="1" t="s">
        <v>120</v>
      </c>
      <c r="B119" s="1">
        <v>1197831</v>
      </c>
      <c r="C119" s="2">
        <v>44778</v>
      </c>
      <c r="D119" s="1" t="s">
        <v>19</v>
      </c>
      <c r="E119" s="1" t="s">
        <v>20</v>
      </c>
      <c r="F119" s="1" t="s">
        <v>21</v>
      </c>
      <c r="G119" s="1" t="s">
        <v>16</v>
      </c>
      <c r="H119" s="1">
        <v>31</v>
      </c>
      <c r="I119" s="1" t="s">
        <v>126</v>
      </c>
      <c r="J119" s="3">
        <v>0.4</v>
      </c>
      <c r="K119" s="4">
        <v>6500</v>
      </c>
      <c r="L119" s="5">
        <f t="shared" si="0"/>
        <v>2600</v>
      </c>
      <c r="M119" s="5">
        <f t="shared" si="1"/>
        <v>1170</v>
      </c>
      <c r="N119" s="6">
        <v>0.45</v>
      </c>
    </row>
    <row r="120" spans="1:14" ht="15.75" customHeight="1" x14ac:dyDescent="0.45">
      <c r="A120" s="1" t="s">
        <v>120</v>
      </c>
      <c r="B120" s="1">
        <v>1197831</v>
      </c>
      <c r="C120" s="2">
        <v>44778</v>
      </c>
      <c r="D120" s="1" t="s">
        <v>19</v>
      </c>
      <c r="E120" s="1" t="s">
        <v>20</v>
      </c>
      <c r="F120" s="1" t="s">
        <v>21</v>
      </c>
      <c r="G120" s="1" t="s">
        <v>17</v>
      </c>
      <c r="H120" s="1">
        <v>37</v>
      </c>
      <c r="I120" s="1" t="s">
        <v>126</v>
      </c>
      <c r="J120" s="3">
        <v>0.45</v>
      </c>
      <c r="K120" s="4">
        <v>6500</v>
      </c>
      <c r="L120" s="5">
        <f t="shared" si="0"/>
        <v>2925</v>
      </c>
      <c r="M120" s="5">
        <f t="shared" si="1"/>
        <v>877.5</v>
      </c>
      <c r="N120" s="6">
        <v>0.3</v>
      </c>
    </row>
    <row r="121" spans="1:14" ht="15.75" customHeight="1" x14ac:dyDescent="0.45">
      <c r="A121" s="1" t="s">
        <v>120</v>
      </c>
      <c r="B121" s="1">
        <v>1197831</v>
      </c>
      <c r="C121" s="2">
        <v>44778</v>
      </c>
      <c r="D121" s="1" t="s">
        <v>19</v>
      </c>
      <c r="E121" s="1" t="s">
        <v>20</v>
      </c>
      <c r="F121" s="1" t="s">
        <v>21</v>
      </c>
      <c r="G121" s="1" t="s">
        <v>18</v>
      </c>
      <c r="H121" s="1">
        <v>59</v>
      </c>
      <c r="I121" s="1" t="s">
        <v>123</v>
      </c>
      <c r="J121" s="3">
        <v>0.5</v>
      </c>
      <c r="K121" s="4">
        <v>9000</v>
      </c>
      <c r="L121" s="5">
        <f t="shared" si="0"/>
        <v>4500</v>
      </c>
      <c r="M121" s="5">
        <f t="shared" si="1"/>
        <v>2250</v>
      </c>
      <c r="N121" s="6">
        <v>0.5</v>
      </c>
    </row>
    <row r="122" spans="1:14" ht="15.75" customHeight="1" x14ac:dyDescent="0.45">
      <c r="A122" s="1" t="s">
        <v>120</v>
      </c>
      <c r="B122" s="1">
        <v>1197831</v>
      </c>
      <c r="C122" s="2">
        <v>44806</v>
      </c>
      <c r="D122" s="1" t="s">
        <v>19</v>
      </c>
      <c r="E122" s="1" t="s">
        <v>20</v>
      </c>
      <c r="F122" s="1" t="s">
        <v>21</v>
      </c>
      <c r="G122" s="1" t="s">
        <v>13</v>
      </c>
      <c r="H122" s="1">
        <v>53</v>
      </c>
      <c r="I122" s="1" t="s">
        <v>123</v>
      </c>
      <c r="J122" s="3">
        <v>0.45</v>
      </c>
      <c r="K122" s="4">
        <v>8500</v>
      </c>
      <c r="L122" s="5">
        <f t="shared" si="0"/>
        <v>3825</v>
      </c>
      <c r="M122" s="5">
        <f t="shared" si="1"/>
        <v>1338.75</v>
      </c>
      <c r="N122" s="6">
        <v>0.35</v>
      </c>
    </row>
    <row r="123" spans="1:14" ht="15.75" customHeight="1" x14ac:dyDescent="0.45">
      <c r="A123" s="1" t="s">
        <v>120</v>
      </c>
      <c r="B123" s="1">
        <v>1197831</v>
      </c>
      <c r="C123" s="2">
        <v>44806</v>
      </c>
      <c r="D123" s="1" t="s">
        <v>19</v>
      </c>
      <c r="E123" s="1" t="s">
        <v>20</v>
      </c>
      <c r="F123" s="1" t="s">
        <v>21</v>
      </c>
      <c r="G123" s="1" t="s">
        <v>14</v>
      </c>
      <c r="H123" s="1">
        <v>58</v>
      </c>
      <c r="I123" s="1" t="s">
        <v>124</v>
      </c>
      <c r="J123" s="3">
        <v>0.45</v>
      </c>
      <c r="K123" s="4">
        <v>8500</v>
      </c>
      <c r="L123" s="5">
        <f t="shared" si="0"/>
        <v>3825</v>
      </c>
      <c r="M123" s="5">
        <f t="shared" si="1"/>
        <v>1338.75</v>
      </c>
      <c r="N123" s="6">
        <v>0.35</v>
      </c>
    </row>
    <row r="124" spans="1:14" ht="15.75" customHeight="1" x14ac:dyDescent="0.45">
      <c r="A124" s="1" t="s">
        <v>120</v>
      </c>
      <c r="B124" s="1">
        <v>1197831</v>
      </c>
      <c r="C124" s="2">
        <v>44806</v>
      </c>
      <c r="D124" s="1" t="s">
        <v>19</v>
      </c>
      <c r="E124" s="1" t="s">
        <v>20</v>
      </c>
      <c r="F124" s="1" t="s">
        <v>21</v>
      </c>
      <c r="G124" s="1" t="s">
        <v>15</v>
      </c>
      <c r="H124" s="1">
        <v>57</v>
      </c>
      <c r="I124" s="1" t="s">
        <v>125</v>
      </c>
      <c r="J124" s="3">
        <v>0.5</v>
      </c>
      <c r="K124" s="4">
        <v>9000</v>
      </c>
      <c r="L124" s="5">
        <f t="shared" si="0"/>
        <v>4500</v>
      </c>
      <c r="M124" s="5">
        <f t="shared" si="1"/>
        <v>1575</v>
      </c>
      <c r="N124" s="6">
        <v>0.35</v>
      </c>
    </row>
    <row r="125" spans="1:14" ht="15.75" customHeight="1" x14ac:dyDescent="0.45">
      <c r="A125" s="1" t="s">
        <v>120</v>
      </c>
      <c r="B125" s="1">
        <v>1197831</v>
      </c>
      <c r="C125" s="2">
        <v>44806</v>
      </c>
      <c r="D125" s="1" t="s">
        <v>19</v>
      </c>
      <c r="E125" s="1" t="s">
        <v>20</v>
      </c>
      <c r="F125" s="1" t="s">
        <v>21</v>
      </c>
      <c r="G125" s="1" t="s">
        <v>16</v>
      </c>
      <c r="H125" s="1">
        <v>22</v>
      </c>
      <c r="I125" s="1" t="s">
        <v>125</v>
      </c>
      <c r="J125" s="3">
        <v>0.5</v>
      </c>
      <c r="K125" s="4">
        <v>6250</v>
      </c>
      <c r="L125" s="5">
        <f t="shared" si="0"/>
        <v>3125</v>
      </c>
      <c r="M125" s="5">
        <f t="shared" si="1"/>
        <v>1406.25</v>
      </c>
      <c r="N125" s="6">
        <v>0.45</v>
      </c>
    </row>
    <row r="126" spans="1:14" ht="15.75" customHeight="1" x14ac:dyDescent="0.45">
      <c r="A126" s="1" t="s">
        <v>120</v>
      </c>
      <c r="B126" s="1">
        <v>1197831</v>
      </c>
      <c r="C126" s="2">
        <v>44806</v>
      </c>
      <c r="D126" s="1" t="s">
        <v>19</v>
      </c>
      <c r="E126" s="1" t="s">
        <v>20</v>
      </c>
      <c r="F126" s="1" t="s">
        <v>21</v>
      </c>
      <c r="G126" s="1" t="s">
        <v>17</v>
      </c>
      <c r="H126" s="1">
        <v>24</v>
      </c>
      <c r="I126" s="1" t="s">
        <v>125</v>
      </c>
      <c r="J126" s="3">
        <v>0.45</v>
      </c>
      <c r="K126" s="4">
        <v>6250</v>
      </c>
      <c r="L126" s="5">
        <f t="shared" si="0"/>
        <v>2812.5</v>
      </c>
      <c r="M126" s="5">
        <f t="shared" si="1"/>
        <v>843.75</v>
      </c>
      <c r="N126" s="6">
        <v>0.3</v>
      </c>
    </row>
    <row r="127" spans="1:14" ht="15.75" customHeight="1" x14ac:dyDescent="0.45">
      <c r="A127" s="1" t="s">
        <v>120</v>
      </c>
      <c r="B127" s="1">
        <v>1197831</v>
      </c>
      <c r="C127" s="2">
        <v>44806</v>
      </c>
      <c r="D127" s="1" t="s">
        <v>19</v>
      </c>
      <c r="E127" s="1" t="s">
        <v>20</v>
      </c>
      <c r="F127" s="1" t="s">
        <v>21</v>
      </c>
      <c r="G127" s="1" t="s">
        <v>18</v>
      </c>
      <c r="H127" s="1">
        <v>31</v>
      </c>
      <c r="I127" s="1" t="s">
        <v>124</v>
      </c>
      <c r="J127" s="3">
        <v>0.55000000000000004</v>
      </c>
      <c r="K127" s="4">
        <v>8500</v>
      </c>
      <c r="L127" s="5">
        <f t="shared" si="0"/>
        <v>4675</v>
      </c>
      <c r="M127" s="5">
        <f t="shared" si="1"/>
        <v>2337.5</v>
      </c>
      <c r="N127" s="6">
        <v>0.5</v>
      </c>
    </row>
    <row r="128" spans="1:14" ht="15.75" customHeight="1" x14ac:dyDescent="0.45">
      <c r="A128" s="1" t="s">
        <v>120</v>
      </c>
      <c r="B128" s="1">
        <v>1197831</v>
      </c>
      <c r="C128" s="2">
        <v>44835</v>
      </c>
      <c r="D128" s="1" t="s">
        <v>19</v>
      </c>
      <c r="E128" s="1" t="s">
        <v>20</v>
      </c>
      <c r="F128" s="1" t="s">
        <v>21</v>
      </c>
      <c r="G128" s="1" t="s">
        <v>13</v>
      </c>
      <c r="H128" s="1">
        <v>43</v>
      </c>
      <c r="I128" s="1" t="s">
        <v>124</v>
      </c>
      <c r="J128" s="3">
        <v>0.45</v>
      </c>
      <c r="K128" s="4">
        <v>8000</v>
      </c>
      <c r="L128" s="5">
        <f t="shared" si="0"/>
        <v>3600</v>
      </c>
      <c r="M128" s="5">
        <f t="shared" si="1"/>
        <v>1260</v>
      </c>
      <c r="N128" s="6">
        <v>0.35</v>
      </c>
    </row>
    <row r="129" spans="1:14" ht="15.75" customHeight="1" x14ac:dyDescent="0.45">
      <c r="A129" s="1" t="s">
        <v>120</v>
      </c>
      <c r="B129" s="1">
        <v>1197831</v>
      </c>
      <c r="C129" s="2">
        <v>44835</v>
      </c>
      <c r="D129" s="1" t="s">
        <v>19</v>
      </c>
      <c r="E129" s="1" t="s">
        <v>20</v>
      </c>
      <c r="F129" s="1" t="s">
        <v>21</v>
      </c>
      <c r="G129" s="1" t="s">
        <v>14</v>
      </c>
      <c r="H129" s="1">
        <v>35</v>
      </c>
      <c r="I129" s="1" t="s">
        <v>124</v>
      </c>
      <c r="J129" s="3">
        <v>0.45</v>
      </c>
      <c r="K129" s="4">
        <v>8000</v>
      </c>
      <c r="L129" s="5">
        <f t="shared" si="0"/>
        <v>3600</v>
      </c>
      <c r="M129" s="5">
        <f t="shared" si="1"/>
        <v>1260</v>
      </c>
      <c r="N129" s="6">
        <v>0.35</v>
      </c>
    </row>
    <row r="130" spans="1:14" ht="15.75" customHeight="1" x14ac:dyDescent="0.45">
      <c r="A130" s="1" t="s">
        <v>120</v>
      </c>
      <c r="B130" s="1">
        <v>1197831</v>
      </c>
      <c r="C130" s="2">
        <v>44835</v>
      </c>
      <c r="D130" s="1" t="s">
        <v>19</v>
      </c>
      <c r="E130" s="1" t="s">
        <v>20</v>
      </c>
      <c r="F130" s="1" t="s">
        <v>21</v>
      </c>
      <c r="G130" s="1" t="s">
        <v>15</v>
      </c>
      <c r="H130" s="1">
        <v>60</v>
      </c>
      <c r="I130" s="1" t="s">
        <v>124</v>
      </c>
      <c r="J130" s="3">
        <v>0.5</v>
      </c>
      <c r="K130" s="4">
        <v>7500</v>
      </c>
      <c r="L130" s="5">
        <f t="shared" si="0"/>
        <v>3750</v>
      </c>
      <c r="M130" s="5">
        <f t="shared" si="1"/>
        <v>1312.5</v>
      </c>
      <c r="N130" s="6">
        <v>0.35</v>
      </c>
    </row>
    <row r="131" spans="1:14" ht="15.75" customHeight="1" x14ac:dyDescent="0.45">
      <c r="A131" s="1" t="s">
        <v>120</v>
      </c>
      <c r="B131" s="1">
        <v>1197831</v>
      </c>
      <c r="C131" s="2">
        <v>44835</v>
      </c>
      <c r="D131" s="1" t="s">
        <v>19</v>
      </c>
      <c r="E131" s="1" t="s">
        <v>20</v>
      </c>
      <c r="F131" s="1" t="s">
        <v>21</v>
      </c>
      <c r="G131" s="1" t="s">
        <v>16</v>
      </c>
      <c r="H131" s="1">
        <v>32</v>
      </c>
      <c r="I131" s="1" t="s">
        <v>123</v>
      </c>
      <c r="J131" s="3">
        <v>0.5</v>
      </c>
      <c r="K131" s="4">
        <v>6000</v>
      </c>
      <c r="L131" s="5">
        <f t="shared" si="0"/>
        <v>3000</v>
      </c>
      <c r="M131" s="5">
        <f t="shared" si="1"/>
        <v>1350</v>
      </c>
      <c r="N131" s="6">
        <v>0.45</v>
      </c>
    </row>
    <row r="132" spans="1:14" ht="15.75" customHeight="1" x14ac:dyDescent="0.45">
      <c r="A132" s="1" t="s">
        <v>120</v>
      </c>
      <c r="B132" s="1">
        <v>1197831</v>
      </c>
      <c r="C132" s="2">
        <v>44835</v>
      </c>
      <c r="D132" s="1" t="s">
        <v>19</v>
      </c>
      <c r="E132" s="1" t="s">
        <v>20</v>
      </c>
      <c r="F132" s="1" t="s">
        <v>21</v>
      </c>
      <c r="G132" s="1" t="s">
        <v>17</v>
      </c>
      <c r="H132" s="1">
        <v>16</v>
      </c>
      <c r="I132" s="1" t="s">
        <v>124</v>
      </c>
      <c r="J132" s="3">
        <v>0.45</v>
      </c>
      <c r="K132" s="4">
        <v>5750</v>
      </c>
      <c r="L132" s="5">
        <f t="shared" si="0"/>
        <v>2587.5</v>
      </c>
      <c r="M132" s="5">
        <f t="shared" si="1"/>
        <v>776.25</v>
      </c>
      <c r="N132" s="6">
        <v>0.3</v>
      </c>
    </row>
    <row r="133" spans="1:14" ht="15.75" customHeight="1" x14ac:dyDescent="0.45">
      <c r="A133" s="1" t="s">
        <v>120</v>
      </c>
      <c r="B133" s="1">
        <v>1197831</v>
      </c>
      <c r="C133" s="2">
        <v>44835</v>
      </c>
      <c r="D133" s="1" t="s">
        <v>19</v>
      </c>
      <c r="E133" s="1" t="s">
        <v>20</v>
      </c>
      <c r="F133" s="1" t="s">
        <v>21</v>
      </c>
      <c r="G133" s="1" t="s">
        <v>18</v>
      </c>
      <c r="H133" s="1">
        <v>20</v>
      </c>
      <c r="I133" s="1" t="s">
        <v>123</v>
      </c>
      <c r="J133" s="3">
        <v>0.55000000000000004</v>
      </c>
      <c r="K133" s="4">
        <v>7500</v>
      </c>
      <c r="L133" s="5">
        <f t="shared" si="0"/>
        <v>4125</v>
      </c>
      <c r="M133" s="5">
        <f t="shared" si="1"/>
        <v>2062.5</v>
      </c>
      <c r="N133" s="6">
        <v>0.5</v>
      </c>
    </row>
    <row r="134" spans="1:14" ht="15.75" customHeight="1" x14ac:dyDescent="0.45">
      <c r="A134" s="1" t="s">
        <v>120</v>
      </c>
      <c r="B134" s="1">
        <v>1197831</v>
      </c>
      <c r="C134" s="2">
        <v>44867</v>
      </c>
      <c r="D134" s="1" t="s">
        <v>19</v>
      </c>
      <c r="E134" s="1" t="s">
        <v>20</v>
      </c>
      <c r="F134" s="1" t="s">
        <v>21</v>
      </c>
      <c r="G134" s="1" t="s">
        <v>13</v>
      </c>
      <c r="H134" s="1">
        <v>53</v>
      </c>
      <c r="I134" s="1" t="s">
        <v>123</v>
      </c>
      <c r="J134" s="3">
        <v>0.45</v>
      </c>
      <c r="K134" s="4">
        <v>9000</v>
      </c>
      <c r="L134" s="5">
        <f t="shared" si="0"/>
        <v>4050</v>
      </c>
      <c r="M134" s="5">
        <f t="shared" si="1"/>
        <v>1417.5</v>
      </c>
      <c r="N134" s="6">
        <v>0.35</v>
      </c>
    </row>
    <row r="135" spans="1:14" ht="15.75" customHeight="1" x14ac:dyDescent="0.45">
      <c r="A135" s="1" t="s">
        <v>120</v>
      </c>
      <c r="B135" s="1">
        <v>1197831</v>
      </c>
      <c r="C135" s="2">
        <v>44867</v>
      </c>
      <c r="D135" s="1" t="s">
        <v>19</v>
      </c>
      <c r="E135" s="1" t="s">
        <v>20</v>
      </c>
      <c r="F135" s="1" t="s">
        <v>21</v>
      </c>
      <c r="G135" s="1" t="s">
        <v>14</v>
      </c>
      <c r="H135" s="1">
        <v>40</v>
      </c>
      <c r="I135" s="1" t="s">
        <v>123</v>
      </c>
      <c r="J135" s="3">
        <v>0.45</v>
      </c>
      <c r="K135" s="4">
        <v>9000</v>
      </c>
      <c r="L135" s="5">
        <f t="shared" si="0"/>
        <v>4050</v>
      </c>
      <c r="M135" s="5">
        <f t="shared" si="1"/>
        <v>1417.5</v>
      </c>
      <c r="N135" s="6">
        <v>0.35</v>
      </c>
    </row>
    <row r="136" spans="1:14" ht="15.75" customHeight="1" x14ac:dyDescent="0.45">
      <c r="A136" s="1" t="s">
        <v>120</v>
      </c>
      <c r="B136" s="1">
        <v>1197831</v>
      </c>
      <c r="C136" s="2">
        <v>44867</v>
      </c>
      <c r="D136" s="1" t="s">
        <v>19</v>
      </c>
      <c r="E136" s="1" t="s">
        <v>20</v>
      </c>
      <c r="F136" s="1" t="s">
        <v>21</v>
      </c>
      <c r="G136" s="1" t="s">
        <v>15</v>
      </c>
      <c r="H136" s="1">
        <v>35</v>
      </c>
      <c r="I136" s="1" t="s">
        <v>126</v>
      </c>
      <c r="J136" s="3">
        <v>0.5</v>
      </c>
      <c r="K136" s="4">
        <v>8250</v>
      </c>
      <c r="L136" s="5">
        <f t="shared" si="0"/>
        <v>4125</v>
      </c>
      <c r="M136" s="5">
        <f t="shared" si="1"/>
        <v>1443.75</v>
      </c>
      <c r="N136" s="6">
        <v>0.35</v>
      </c>
    </row>
    <row r="137" spans="1:14" ht="15.75" customHeight="1" x14ac:dyDescent="0.45">
      <c r="A137" s="1" t="s">
        <v>120</v>
      </c>
      <c r="B137" s="1">
        <v>1197831</v>
      </c>
      <c r="C137" s="2">
        <v>44867</v>
      </c>
      <c r="D137" s="1" t="s">
        <v>19</v>
      </c>
      <c r="E137" s="1" t="s">
        <v>20</v>
      </c>
      <c r="F137" s="1" t="s">
        <v>21</v>
      </c>
      <c r="G137" s="1" t="s">
        <v>16</v>
      </c>
      <c r="H137" s="1">
        <v>30</v>
      </c>
      <c r="I137" s="1" t="s">
        <v>126</v>
      </c>
      <c r="J137" s="3">
        <v>0.5</v>
      </c>
      <c r="K137" s="4">
        <v>6750</v>
      </c>
      <c r="L137" s="5">
        <f t="shared" si="0"/>
        <v>3375</v>
      </c>
      <c r="M137" s="5">
        <f t="shared" si="1"/>
        <v>1518.75</v>
      </c>
      <c r="N137" s="6">
        <v>0.45</v>
      </c>
    </row>
    <row r="138" spans="1:14" ht="15.75" customHeight="1" x14ac:dyDescent="0.45">
      <c r="A138" s="1" t="s">
        <v>120</v>
      </c>
      <c r="B138" s="1">
        <v>1197831</v>
      </c>
      <c r="C138" s="2">
        <v>44867</v>
      </c>
      <c r="D138" s="1" t="s">
        <v>19</v>
      </c>
      <c r="E138" s="1" t="s">
        <v>20</v>
      </c>
      <c r="F138" s="1" t="s">
        <v>21</v>
      </c>
      <c r="G138" s="1" t="s">
        <v>17</v>
      </c>
      <c r="H138" s="1">
        <v>15</v>
      </c>
      <c r="I138" s="1" t="s">
        <v>125</v>
      </c>
      <c r="J138" s="3">
        <v>0.45</v>
      </c>
      <c r="K138" s="4">
        <v>6500</v>
      </c>
      <c r="L138" s="5">
        <f t="shared" si="0"/>
        <v>2925</v>
      </c>
      <c r="M138" s="5">
        <f t="shared" si="1"/>
        <v>877.5</v>
      </c>
      <c r="N138" s="6">
        <v>0.3</v>
      </c>
    </row>
    <row r="139" spans="1:14" ht="15.75" customHeight="1" x14ac:dyDescent="0.45">
      <c r="A139" s="1" t="s">
        <v>120</v>
      </c>
      <c r="B139" s="1">
        <v>1197831</v>
      </c>
      <c r="C139" s="2">
        <v>44867</v>
      </c>
      <c r="D139" s="1" t="s">
        <v>19</v>
      </c>
      <c r="E139" s="1" t="s">
        <v>20</v>
      </c>
      <c r="F139" s="1" t="s">
        <v>21</v>
      </c>
      <c r="G139" s="1" t="s">
        <v>18</v>
      </c>
      <c r="H139" s="1">
        <v>24</v>
      </c>
      <c r="I139" s="1" t="s">
        <v>124</v>
      </c>
      <c r="J139" s="3">
        <v>0.55000000000000004</v>
      </c>
      <c r="K139" s="4">
        <v>8500</v>
      </c>
      <c r="L139" s="5">
        <f t="shared" si="0"/>
        <v>4675</v>
      </c>
      <c r="M139" s="5">
        <f t="shared" si="1"/>
        <v>2337.5</v>
      </c>
      <c r="N139" s="6">
        <v>0.5</v>
      </c>
    </row>
    <row r="140" spans="1:14" ht="15.75" customHeight="1" x14ac:dyDescent="0.45">
      <c r="A140" s="1" t="s">
        <v>120</v>
      </c>
      <c r="B140" s="1">
        <v>1197831</v>
      </c>
      <c r="C140" s="2">
        <v>44896</v>
      </c>
      <c r="D140" s="1" t="s">
        <v>19</v>
      </c>
      <c r="E140" s="1" t="s">
        <v>20</v>
      </c>
      <c r="F140" s="1" t="s">
        <v>21</v>
      </c>
      <c r="G140" s="1" t="s">
        <v>13</v>
      </c>
      <c r="H140" s="1">
        <v>22</v>
      </c>
      <c r="I140" s="1" t="s">
        <v>123</v>
      </c>
      <c r="J140" s="3">
        <v>0.45</v>
      </c>
      <c r="K140" s="4">
        <v>9500</v>
      </c>
      <c r="L140" s="5">
        <f t="shared" si="0"/>
        <v>4275</v>
      </c>
      <c r="M140" s="5">
        <f t="shared" si="1"/>
        <v>1496.25</v>
      </c>
      <c r="N140" s="6">
        <v>0.35</v>
      </c>
    </row>
    <row r="141" spans="1:14" ht="15.75" customHeight="1" x14ac:dyDescent="0.45">
      <c r="A141" s="1" t="s">
        <v>120</v>
      </c>
      <c r="B141" s="1">
        <v>1197831</v>
      </c>
      <c r="C141" s="2">
        <v>44896</v>
      </c>
      <c r="D141" s="1" t="s">
        <v>19</v>
      </c>
      <c r="E141" s="1" t="s">
        <v>20</v>
      </c>
      <c r="F141" s="1" t="s">
        <v>21</v>
      </c>
      <c r="G141" s="1" t="s">
        <v>14</v>
      </c>
      <c r="H141" s="1">
        <v>46</v>
      </c>
      <c r="I141" s="1" t="s">
        <v>125</v>
      </c>
      <c r="J141" s="3">
        <v>0.45</v>
      </c>
      <c r="K141" s="4">
        <v>9500</v>
      </c>
      <c r="L141" s="5">
        <f t="shared" si="0"/>
        <v>4275</v>
      </c>
      <c r="M141" s="5">
        <f t="shared" si="1"/>
        <v>1496.25</v>
      </c>
      <c r="N141" s="6">
        <v>0.35</v>
      </c>
    </row>
    <row r="142" spans="1:14" ht="15.75" customHeight="1" x14ac:dyDescent="0.45">
      <c r="A142" s="1" t="s">
        <v>120</v>
      </c>
      <c r="B142" s="1">
        <v>1197831</v>
      </c>
      <c r="C142" s="2">
        <v>44896</v>
      </c>
      <c r="D142" s="1" t="s">
        <v>19</v>
      </c>
      <c r="E142" s="1" t="s">
        <v>20</v>
      </c>
      <c r="F142" s="1" t="s">
        <v>21</v>
      </c>
      <c r="G142" s="1" t="s">
        <v>15</v>
      </c>
      <c r="H142" s="1">
        <v>45</v>
      </c>
      <c r="I142" s="1" t="s">
        <v>123</v>
      </c>
      <c r="J142" s="3">
        <v>0.5</v>
      </c>
      <c r="K142" s="4">
        <v>8500</v>
      </c>
      <c r="L142" s="5">
        <f t="shared" si="0"/>
        <v>4250</v>
      </c>
      <c r="M142" s="5">
        <f t="shared" si="1"/>
        <v>1487.5</v>
      </c>
      <c r="N142" s="6">
        <v>0.35</v>
      </c>
    </row>
    <row r="143" spans="1:14" ht="15.75" customHeight="1" x14ac:dyDescent="0.45">
      <c r="A143" s="1" t="s">
        <v>120</v>
      </c>
      <c r="B143" s="1">
        <v>1197831</v>
      </c>
      <c r="C143" s="2">
        <v>44896</v>
      </c>
      <c r="D143" s="1" t="s">
        <v>19</v>
      </c>
      <c r="E143" s="1" t="s">
        <v>20</v>
      </c>
      <c r="F143" s="1" t="s">
        <v>21</v>
      </c>
      <c r="G143" s="1" t="s">
        <v>16</v>
      </c>
      <c r="H143" s="1">
        <v>22</v>
      </c>
      <c r="I143" s="1" t="s">
        <v>124</v>
      </c>
      <c r="J143" s="3">
        <v>0.5</v>
      </c>
      <c r="K143" s="4">
        <v>7000</v>
      </c>
      <c r="L143" s="5">
        <f t="shared" si="0"/>
        <v>3500</v>
      </c>
      <c r="M143" s="5">
        <f t="shared" si="1"/>
        <v>1575</v>
      </c>
      <c r="N143" s="6">
        <v>0.45</v>
      </c>
    </row>
    <row r="144" spans="1:14" ht="15.75" customHeight="1" x14ac:dyDescent="0.45">
      <c r="A144" s="1" t="s">
        <v>120</v>
      </c>
      <c r="B144" s="1">
        <v>1197831</v>
      </c>
      <c r="C144" s="2">
        <v>44896</v>
      </c>
      <c r="D144" s="1" t="s">
        <v>19</v>
      </c>
      <c r="E144" s="1" t="s">
        <v>20</v>
      </c>
      <c r="F144" s="1" t="s">
        <v>21</v>
      </c>
      <c r="G144" s="1" t="s">
        <v>17</v>
      </c>
      <c r="H144" s="1">
        <v>35</v>
      </c>
      <c r="I144" s="1" t="s">
        <v>125</v>
      </c>
      <c r="J144" s="3">
        <v>0.45</v>
      </c>
      <c r="K144" s="4">
        <v>6500</v>
      </c>
      <c r="L144" s="5">
        <f t="shared" si="0"/>
        <v>2925</v>
      </c>
      <c r="M144" s="5">
        <f t="shared" si="1"/>
        <v>877.5</v>
      </c>
      <c r="N144" s="6">
        <v>0.3</v>
      </c>
    </row>
    <row r="145" spans="1:14" ht="15.75" customHeight="1" x14ac:dyDescent="0.45">
      <c r="A145" s="1" t="s">
        <v>120</v>
      </c>
      <c r="B145" s="1">
        <v>1197831</v>
      </c>
      <c r="C145" s="2">
        <v>44896</v>
      </c>
      <c r="D145" s="1" t="s">
        <v>19</v>
      </c>
      <c r="E145" s="1" t="s">
        <v>20</v>
      </c>
      <c r="F145" s="1" t="s">
        <v>21</v>
      </c>
      <c r="G145" s="1" t="s">
        <v>18</v>
      </c>
      <c r="H145" s="1">
        <v>16</v>
      </c>
      <c r="I145" s="1" t="s">
        <v>123</v>
      </c>
      <c r="J145" s="3">
        <v>0.55000000000000004</v>
      </c>
      <c r="K145" s="4">
        <v>9000</v>
      </c>
      <c r="L145" s="5">
        <f t="shared" si="0"/>
        <v>4950</v>
      </c>
      <c r="M145" s="5">
        <f t="shared" si="1"/>
        <v>2475</v>
      </c>
      <c r="N145" s="6">
        <v>0.5</v>
      </c>
    </row>
    <row r="146" spans="1:14" ht="15.75" customHeight="1" x14ac:dyDescent="0.45">
      <c r="A146" s="1" t="s">
        <v>121</v>
      </c>
      <c r="B146" s="1">
        <v>1128299</v>
      </c>
      <c r="C146" s="2">
        <v>44581</v>
      </c>
      <c r="D146" s="1" t="s">
        <v>22</v>
      </c>
      <c r="E146" s="1" t="s">
        <v>23</v>
      </c>
      <c r="F146" s="1" t="s">
        <v>24</v>
      </c>
      <c r="G146" s="1" t="s">
        <v>13</v>
      </c>
      <c r="H146" s="1">
        <v>45</v>
      </c>
      <c r="I146" s="1" t="s">
        <v>125</v>
      </c>
      <c r="J146" s="3">
        <v>0.39999999999999997</v>
      </c>
      <c r="K146" s="4">
        <v>7750</v>
      </c>
      <c r="L146" s="5">
        <f t="shared" si="0"/>
        <v>3099.9999999999995</v>
      </c>
      <c r="M146" s="5">
        <f t="shared" si="1"/>
        <v>1085</v>
      </c>
      <c r="N146" s="6">
        <v>0.35000000000000003</v>
      </c>
    </row>
    <row r="147" spans="1:14" ht="15.75" customHeight="1" x14ac:dyDescent="0.45">
      <c r="A147" s="1" t="s">
        <v>121</v>
      </c>
      <c r="B147" s="1">
        <v>1128299</v>
      </c>
      <c r="C147" s="2">
        <v>44581</v>
      </c>
      <c r="D147" s="1" t="s">
        <v>22</v>
      </c>
      <c r="E147" s="1" t="s">
        <v>23</v>
      </c>
      <c r="F147" s="1" t="s">
        <v>24</v>
      </c>
      <c r="G147" s="1" t="s">
        <v>14</v>
      </c>
      <c r="H147" s="1">
        <v>50</v>
      </c>
      <c r="I147" s="1" t="s">
        <v>126</v>
      </c>
      <c r="J147" s="3">
        <v>0.5</v>
      </c>
      <c r="K147" s="4">
        <v>7750</v>
      </c>
      <c r="L147" s="5">
        <f t="shared" si="0"/>
        <v>3875</v>
      </c>
      <c r="M147" s="5">
        <f t="shared" si="1"/>
        <v>775</v>
      </c>
      <c r="N147" s="6">
        <v>0.2</v>
      </c>
    </row>
    <row r="148" spans="1:14" ht="15.75" customHeight="1" x14ac:dyDescent="0.45">
      <c r="A148" s="1" t="s">
        <v>121</v>
      </c>
      <c r="B148" s="1">
        <v>1128299</v>
      </c>
      <c r="C148" s="2">
        <v>44581</v>
      </c>
      <c r="D148" s="1" t="s">
        <v>22</v>
      </c>
      <c r="E148" s="1" t="s">
        <v>23</v>
      </c>
      <c r="F148" s="1" t="s">
        <v>24</v>
      </c>
      <c r="G148" s="1" t="s">
        <v>15</v>
      </c>
      <c r="H148" s="1">
        <v>25</v>
      </c>
      <c r="I148" s="1" t="s">
        <v>124</v>
      </c>
      <c r="J148" s="3">
        <v>0.5</v>
      </c>
      <c r="K148" s="4">
        <v>7750</v>
      </c>
      <c r="L148" s="5">
        <f t="shared" si="0"/>
        <v>3875</v>
      </c>
      <c r="M148" s="5">
        <f t="shared" si="1"/>
        <v>1356.2500000000002</v>
      </c>
      <c r="N148" s="6">
        <v>0.35000000000000003</v>
      </c>
    </row>
    <row r="149" spans="1:14" ht="15.75" customHeight="1" x14ac:dyDescent="0.45">
      <c r="A149" s="1" t="s">
        <v>121</v>
      </c>
      <c r="B149" s="1">
        <v>1128299</v>
      </c>
      <c r="C149" s="2">
        <v>44581</v>
      </c>
      <c r="D149" s="1" t="s">
        <v>22</v>
      </c>
      <c r="E149" s="1" t="s">
        <v>23</v>
      </c>
      <c r="F149" s="1" t="s">
        <v>24</v>
      </c>
      <c r="G149" s="1" t="s">
        <v>16</v>
      </c>
      <c r="H149" s="1">
        <v>48</v>
      </c>
      <c r="I149" s="1" t="s">
        <v>126</v>
      </c>
      <c r="J149" s="3">
        <v>0.5</v>
      </c>
      <c r="K149" s="4">
        <v>6250</v>
      </c>
      <c r="L149" s="5">
        <f t="shared" si="0"/>
        <v>3125</v>
      </c>
      <c r="M149" s="5">
        <f t="shared" si="1"/>
        <v>937.5</v>
      </c>
      <c r="N149" s="6">
        <v>0.3</v>
      </c>
    </row>
    <row r="150" spans="1:14" ht="15.75" customHeight="1" x14ac:dyDescent="0.45">
      <c r="A150" s="1" t="s">
        <v>121</v>
      </c>
      <c r="B150" s="1">
        <v>1128299</v>
      </c>
      <c r="C150" s="2">
        <v>44581</v>
      </c>
      <c r="D150" s="1" t="s">
        <v>22</v>
      </c>
      <c r="E150" s="1" t="s">
        <v>23</v>
      </c>
      <c r="F150" s="1" t="s">
        <v>24</v>
      </c>
      <c r="G150" s="1" t="s">
        <v>17</v>
      </c>
      <c r="H150" s="1">
        <v>57</v>
      </c>
      <c r="I150" s="1" t="s">
        <v>123</v>
      </c>
      <c r="J150" s="3">
        <v>0.55000000000000004</v>
      </c>
      <c r="K150" s="4">
        <v>5750</v>
      </c>
      <c r="L150" s="5">
        <f t="shared" si="0"/>
        <v>3162.5000000000005</v>
      </c>
      <c r="M150" s="5">
        <f t="shared" si="1"/>
        <v>1581.2500000000002</v>
      </c>
      <c r="N150" s="6">
        <v>0.5</v>
      </c>
    </row>
    <row r="151" spans="1:14" ht="15.75" customHeight="1" x14ac:dyDescent="0.45">
      <c r="A151" s="1" t="s">
        <v>121</v>
      </c>
      <c r="B151" s="1">
        <v>1128299</v>
      </c>
      <c r="C151" s="2">
        <v>44581</v>
      </c>
      <c r="D151" s="1" t="s">
        <v>22</v>
      </c>
      <c r="E151" s="1" t="s">
        <v>23</v>
      </c>
      <c r="F151" s="1" t="s">
        <v>24</v>
      </c>
      <c r="G151" s="1" t="s">
        <v>18</v>
      </c>
      <c r="H151" s="1">
        <v>20</v>
      </c>
      <c r="I151" s="1" t="s">
        <v>125</v>
      </c>
      <c r="J151" s="3">
        <v>0.5</v>
      </c>
      <c r="K151" s="4">
        <v>7750</v>
      </c>
      <c r="L151" s="5">
        <f t="shared" si="0"/>
        <v>3875</v>
      </c>
      <c r="M151" s="5">
        <f t="shared" si="1"/>
        <v>581.25000000000011</v>
      </c>
      <c r="N151" s="6">
        <v>0.15000000000000002</v>
      </c>
    </row>
    <row r="152" spans="1:14" ht="15.75" customHeight="1" x14ac:dyDescent="0.45">
      <c r="A152" s="1" t="s">
        <v>121</v>
      </c>
      <c r="B152" s="1">
        <v>1128299</v>
      </c>
      <c r="C152" s="2">
        <v>44612</v>
      </c>
      <c r="D152" s="1" t="s">
        <v>22</v>
      </c>
      <c r="E152" s="1" t="s">
        <v>23</v>
      </c>
      <c r="F152" s="1" t="s">
        <v>24</v>
      </c>
      <c r="G152" s="1" t="s">
        <v>13</v>
      </c>
      <c r="H152" s="1">
        <v>26</v>
      </c>
      <c r="I152" s="1" t="s">
        <v>124</v>
      </c>
      <c r="J152" s="3">
        <v>0.39999999999999997</v>
      </c>
      <c r="K152" s="4">
        <v>8250</v>
      </c>
      <c r="L152" s="5">
        <f t="shared" si="0"/>
        <v>3299.9999999999995</v>
      </c>
      <c r="M152" s="5">
        <f t="shared" si="1"/>
        <v>1155</v>
      </c>
      <c r="N152" s="6">
        <v>0.35000000000000003</v>
      </c>
    </row>
    <row r="153" spans="1:14" ht="15.75" customHeight="1" x14ac:dyDescent="0.45">
      <c r="A153" s="1" t="s">
        <v>121</v>
      </c>
      <c r="B153" s="1">
        <v>1128299</v>
      </c>
      <c r="C153" s="2">
        <v>44612</v>
      </c>
      <c r="D153" s="1" t="s">
        <v>22</v>
      </c>
      <c r="E153" s="1" t="s">
        <v>23</v>
      </c>
      <c r="F153" s="1" t="s">
        <v>24</v>
      </c>
      <c r="G153" s="1" t="s">
        <v>14</v>
      </c>
      <c r="H153" s="1">
        <v>55</v>
      </c>
      <c r="I153" s="1" t="s">
        <v>123</v>
      </c>
      <c r="J153" s="3">
        <v>0.5</v>
      </c>
      <c r="K153" s="4">
        <v>7250</v>
      </c>
      <c r="L153" s="5">
        <f t="shared" si="0"/>
        <v>3625</v>
      </c>
      <c r="M153" s="5">
        <f t="shared" si="1"/>
        <v>725</v>
      </c>
      <c r="N153" s="6">
        <v>0.2</v>
      </c>
    </row>
    <row r="154" spans="1:14" ht="15.75" customHeight="1" x14ac:dyDescent="0.45">
      <c r="A154" s="1" t="s">
        <v>121</v>
      </c>
      <c r="B154" s="1">
        <v>1128299</v>
      </c>
      <c r="C154" s="2">
        <v>44612</v>
      </c>
      <c r="D154" s="1" t="s">
        <v>22</v>
      </c>
      <c r="E154" s="1" t="s">
        <v>23</v>
      </c>
      <c r="F154" s="1" t="s">
        <v>24</v>
      </c>
      <c r="G154" s="1" t="s">
        <v>15</v>
      </c>
      <c r="H154" s="1">
        <v>59</v>
      </c>
      <c r="I154" s="1" t="s">
        <v>124</v>
      </c>
      <c r="J154" s="3">
        <v>0.5</v>
      </c>
      <c r="K154" s="4">
        <v>7250</v>
      </c>
      <c r="L154" s="5">
        <f t="shared" si="0"/>
        <v>3625</v>
      </c>
      <c r="M154" s="5">
        <f t="shared" si="1"/>
        <v>1268.7500000000002</v>
      </c>
      <c r="N154" s="6">
        <v>0.35000000000000003</v>
      </c>
    </row>
    <row r="155" spans="1:14" ht="15.75" customHeight="1" x14ac:dyDescent="0.45">
      <c r="A155" s="1" t="s">
        <v>121</v>
      </c>
      <c r="B155" s="1">
        <v>1128299</v>
      </c>
      <c r="C155" s="2">
        <v>44612</v>
      </c>
      <c r="D155" s="1" t="s">
        <v>22</v>
      </c>
      <c r="E155" s="1" t="s">
        <v>23</v>
      </c>
      <c r="F155" s="1" t="s">
        <v>24</v>
      </c>
      <c r="G155" s="1" t="s">
        <v>16</v>
      </c>
      <c r="H155" s="1">
        <v>60</v>
      </c>
      <c r="I155" s="1" t="s">
        <v>123</v>
      </c>
      <c r="J155" s="3">
        <v>0.5</v>
      </c>
      <c r="K155" s="4">
        <v>5750</v>
      </c>
      <c r="L155" s="5">
        <f t="shared" si="0"/>
        <v>2875</v>
      </c>
      <c r="M155" s="5">
        <f t="shared" si="1"/>
        <v>862.5</v>
      </c>
      <c r="N155" s="6">
        <v>0.3</v>
      </c>
    </row>
    <row r="156" spans="1:14" ht="15.75" customHeight="1" x14ac:dyDescent="0.45">
      <c r="A156" s="1" t="s">
        <v>121</v>
      </c>
      <c r="B156" s="1">
        <v>1128299</v>
      </c>
      <c r="C156" s="2">
        <v>44612</v>
      </c>
      <c r="D156" s="1" t="s">
        <v>22</v>
      </c>
      <c r="E156" s="1" t="s">
        <v>23</v>
      </c>
      <c r="F156" s="1" t="s">
        <v>24</v>
      </c>
      <c r="G156" s="1" t="s">
        <v>17</v>
      </c>
      <c r="H156" s="1">
        <v>21</v>
      </c>
      <c r="I156" s="1" t="s">
        <v>126</v>
      </c>
      <c r="J156" s="3">
        <v>0.55000000000000004</v>
      </c>
      <c r="K156" s="4">
        <v>5000</v>
      </c>
      <c r="L156" s="5">
        <f t="shared" si="0"/>
        <v>2750</v>
      </c>
      <c r="M156" s="5">
        <f t="shared" si="1"/>
        <v>1375</v>
      </c>
      <c r="N156" s="6">
        <v>0.5</v>
      </c>
    </row>
    <row r="157" spans="1:14" ht="15.75" customHeight="1" x14ac:dyDescent="0.45">
      <c r="A157" s="1" t="s">
        <v>121</v>
      </c>
      <c r="B157" s="1">
        <v>1128299</v>
      </c>
      <c r="C157" s="2">
        <v>44612</v>
      </c>
      <c r="D157" s="1" t="s">
        <v>22</v>
      </c>
      <c r="E157" s="1" t="s">
        <v>23</v>
      </c>
      <c r="F157" s="1" t="s">
        <v>24</v>
      </c>
      <c r="G157" s="1" t="s">
        <v>18</v>
      </c>
      <c r="H157" s="1">
        <v>39</v>
      </c>
      <c r="I157" s="1" t="s">
        <v>125</v>
      </c>
      <c r="J157" s="3">
        <v>0.5</v>
      </c>
      <c r="K157" s="4">
        <v>7000</v>
      </c>
      <c r="L157" s="5">
        <f t="shared" si="0"/>
        <v>3500</v>
      </c>
      <c r="M157" s="5">
        <f t="shared" si="1"/>
        <v>525.00000000000011</v>
      </c>
      <c r="N157" s="6">
        <v>0.15000000000000002</v>
      </c>
    </row>
    <row r="158" spans="1:14" ht="15.75" customHeight="1" x14ac:dyDescent="0.45">
      <c r="A158" s="1" t="s">
        <v>121</v>
      </c>
      <c r="B158" s="1">
        <v>1128299</v>
      </c>
      <c r="C158" s="2">
        <v>44639</v>
      </c>
      <c r="D158" s="1" t="s">
        <v>22</v>
      </c>
      <c r="E158" s="1" t="s">
        <v>23</v>
      </c>
      <c r="F158" s="1" t="s">
        <v>24</v>
      </c>
      <c r="G158" s="1" t="s">
        <v>13</v>
      </c>
      <c r="H158" s="1">
        <v>55</v>
      </c>
      <c r="I158" s="1" t="s">
        <v>123</v>
      </c>
      <c r="J158" s="3">
        <v>0.5</v>
      </c>
      <c r="K158" s="4">
        <v>8500</v>
      </c>
      <c r="L158" s="5">
        <f t="shared" si="0"/>
        <v>4250</v>
      </c>
      <c r="M158" s="5">
        <f t="shared" si="1"/>
        <v>1487.5000000000002</v>
      </c>
      <c r="N158" s="6">
        <v>0.35000000000000003</v>
      </c>
    </row>
    <row r="159" spans="1:14" ht="15.75" customHeight="1" x14ac:dyDescent="0.45">
      <c r="A159" s="1" t="s">
        <v>121</v>
      </c>
      <c r="B159" s="1">
        <v>1128299</v>
      </c>
      <c r="C159" s="2">
        <v>44639</v>
      </c>
      <c r="D159" s="1" t="s">
        <v>22</v>
      </c>
      <c r="E159" s="1" t="s">
        <v>23</v>
      </c>
      <c r="F159" s="1" t="s">
        <v>24</v>
      </c>
      <c r="G159" s="1" t="s">
        <v>14</v>
      </c>
      <c r="H159" s="1">
        <v>38</v>
      </c>
      <c r="I159" s="1" t="s">
        <v>125</v>
      </c>
      <c r="J159" s="3">
        <v>0.6</v>
      </c>
      <c r="K159" s="4">
        <v>7000</v>
      </c>
      <c r="L159" s="5">
        <f t="shared" si="0"/>
        <v>4200</v>
      </c>
      <c r="M159" s="5">
        <f t="shared" si="1"/>
        <v>840</v>
      </c>
      <c r="N159" s="6">
        <v>0.2</v>
      </c>
    </row>
    <row r="160" spans="1:14" ht="15.75" customHeight="1" x14ac:dyDescent="0.45">
      <c r="A160" s="1" t="s">
        <v>121</v>
      </c>
      <c r="B160" s="1">
        <v>1128299</v>
      </c>
      <c r="C160" s="2">
        <v>44639</v>
      </c>
      <c r="D160" s="1" t="s">
        <v>22</v>
      </c>
      <c r="E160" s="1" t="s">
        <v>23</v>
      </c>
      <c r="F160" s="1" t="s">
        <v>24</v>
      </c>
      <c r="G160" s="1" t="s">
        <v>15</v>
      </c>
      <c r="H160" s="1">
        <v>49</v>
      </c>
      <c r="I160" s="1" t="s">
        <v>126</v>
      </c>
      <c r="J160" s="3">
        <v>0.6</v>
      </c>
      <c r="K160" s="4">
        <v>7000</v>
      </c>
      <c r="L160" s="5">
        <f t="shared" si="0"/>
        <v>4200</v>
      </c>
      <c r="M160" s="5">
        <f t="shared" si="1"/>
        <v>1470.0000000000002</v>
      </c>
      <c r="N160" s="6">
        <v>0.35000000000000003</v>
      </c>
    </row>
    <row r="161" spans="1:14" ht="15.75" customHeight="1" x14ac:dyDescent="0.45">
      <c r="A161" s="1" t="s">
        <v>121</v>
      </c>
      <c r="B161" s="1">
        <v>1128299</v>
      </c>
      <c r="C161" s="2">
        <v>44639</v>
      </c>
      <c r="D161" s="1" t="s">
        <v>22</v>
      </c>
      <c r="E161" s="1" t="s">
        <v>23</v>
      </c>
      <c r="F161" s="1" t="s">
        <v>24</v>
      </c>
      <c r="G161" s="1" t="s">
        <v>16</v>
      </c>
      <c r="H161" s="1">
        <v>39</v>
      </c>
      <c r="I161" s="1" t="s">
        <v>126</v>
      </c>
      <c r="J161" s="3">
        <v>0.6</v>
      </c>
      <c r="K161" s="4">
        <v>6000</v>
      </c>
      <c r="L161" s="5">
        <f t="shared" si="0"/>
        <v>3600</v>
      </c>
      <c r="M161" s="5">
        <f t="shared" si="1"/>
        <v>1080</v>
      </c>
      <c r="N161" s="6">
        <v>0.3</v>
      </c>
    </row>
    <row r="162" spans="1:14" ht="15.75" customHeight="1" x14ac:dyDescent="0.45">
      <c r="A162" s="1" t="s">
        <v>121</v>
      </c>
      <c r="B162" s="1">
        <v>1128299</v>
      </c>
      <c r="C162" s="2">
        <v>44639</v>
      </c>
      <c r="D162" s="1" t="s">
        <v>22</v>
      </c>
      <c r="E162" s="1" t="s">
        <v>23</v>
      </c>
      <c r="F162" s="1" t="s">
        <v>24</v>
      </c>
      <c r="G162" s="1" t="s">
        <v>17</v>
      </c>
      <c r="H162" s="1">
        <v>15</v>
      </c>
      <c r="I162" s="1" t="s">
        <v>125</v>
      </c>
      <c r="J162" s="3">
        <v>0.65</v>
      </c>
      <c r="K162" s="4">
        <v>5000</v>
      </c>
      <c r="L162" s="5">
        <f t="shared" si="0"/>
        <v>3250</v>
      </c>
      <c r="M162" s="5">
        <f t="shared" si="1"/>
        <v>1625</v>
      </c>
      <c r="N162" s="6">
        <v>0.5</v>
      </c>
    </row>
    <row r="163" spans="1:14" ht="15.75" customHeight="1" x14ac:dyDescent="0.45">
      <c r="A163" s="1" t="s">
        <v>121</v>
      </c>
      <c r="B163" s="1">
        <v>1128299</v>
      </c>
      <c r="C163" s="2">
        <v>44639</v>
      </c>
      <c r="D163" s="1" t="s">
        <v>22</v>
      </c>
      <c r="E163" s="1" t="s">
        <v>23</v>
      </c>
      <c r="F163" s="1" t="s">
        <v>24</v>
      </c>
      <c r="G163" s="1" t="s">
        <v>18</v>
      </c>
      <c r="H163" s="1">
        <v>26</v>
      </c>
      <c r="I163" s="1" t="s">
        <v>123</v>
      </c>
      <c r="J163" s="3">
        <v>0.6</v>
      </c>
      <c r="K163" s="4">
        <v>7000</v>
      </c>
      <c r="L163" s="5">
        <f t="shared" si="0"/>
        <v>4200</v>
      </c>
      <c r="M163" s="5">
        <f t="shared" si="1"/>
        <v>630.00000000000011</v>
      </c>
      <c r="N163" s="6">
        <v>0.15000000000000002</v>
      </c>
    </row>
    <row r="164" spans="1:14" ht="15.75" customHeight="1" x14ac:dyDescent="0.45">
      <c r="A164" s="1" t="s">
        <v>121</v>
      </c>
      <c r="B164" s="1">
        <v>1128299</v>
      </c>
      <c r="C164" s="2">
        <v>44671</v>
      </c>
      <c r="D164" s="1" t="s">
        <v>22</v>
      </c>
      <c r="E164" s="1" t="s">
        <v>23</v>
      </c>
      <c r="F164" s="1" t="s">
        <v>24</v>
      </c>
      <c r="G164" s="1" t="s">
        <v>13</v>
      </c>
      <c r="H164" s="1">
        <v>31</v>
      </c>
      <c r="I164" s="1" t="s">
        <v>123</v>
      </c>
      <c r="J164" s="3">
        <v>0.6</v>
      </c>
      <c r="K164" s="4">
        <v>8750</v>
      </c>
      <c r="L164" s="5">
        <f t="shared" si="0"/>
        <v>5250</v>
      </c>
      <c r="M164" s="5">
        <f t="shared" si="1"/>
        <v>1837.5000000000002</v>
      </c>
      <c r="N164" s="6">
        <v>0.35000000000000003</v>
      </c>
    </row>
    <row r="165" spans="1:14" ht="15.75" customHeight="1" x14ac:dyDescent="0.45">
      <c r="A165" s="1" t="s">
        <v>121</v>
      </c>
      <c r="B165" s="1">
        <v>1128299</v>
      </c>
      <c r="C165" s="2">
        <v>44671</v>
      </c>
      <c r="D165" s="1" t="s">
        <v>22</v>
      </c>
      <c r="E165" s="1" t="s">
        <v>23</v>
      </c>
      <c r="F165" s="1" t="s">
        <v>24</v>
      </c>
      <c r="G165" s="1" t="s">
        <v>14</v>
      </c>
      <c r="H165" s="1">
        <v>18</v>
      </c>
      <c r="I165" s="1" t="s">
        <v>126</v>
      </c>
      <c r="J165" s="3">
        <v>0.65</v>
      </c>
      <c r="K165" s="4">
        <v>6750</v>
      </c>
      <c r="L165" s="5">
        <f t="shared" si="0"/>
        <v>4387.5</v>
      </c>
      <c r="M165" s="5">
        <f t="shared" si="1"/>
        <v>877.5</v>
      </c>
      <c r="N165" s="6">
        <v>0.2</v>
      </c>
    </row>
    <row r="166" spans="1:14" ht="15.75" customHeight="1" x14ac:dyDescent="0.45">
      <c r="A166" s="1" t="s">
        <v>121</v>
      </c>
      <c r="B166" s="1">
        <v>1128299</v>
      </c>
      <c r="C166" s="2">
        <v>44671</v>
      </c>
      <c r="D166" s="1" t="s">
        <v>22</v>
      </c>
      <c r="E166" s="1" t="s">
        <v>23</v>
      </c>
      <c r="F166" s="1" t="s">
        <v>24</v>
      </c>
      <c r="G166" s="1" t="s">
        <v>15</v>
      </c>
      <c r="H166" s="1">
        <v>41</v>
      </c>
      <c r="I166" s="1" t="s">
        <v>125</v>
      </c>
      <c r="J166" s="3">
        <v>0.65</v>
      </c>
      <c r="K166" s="4">
        <v>7250</v>
      </c>
      <c r="L166" s="5">
        <f t="shared" si="0"/>
        <v>4712.5</v>
      </c>
      <c r="M166" s="5">
        <f t="shared" si="1"/>
        <v>1649.3750000000002</v>
      </c>
      <c r="N166" s="6">
        <v>0.35000000000000003</v>
      </c>
    </row>
    <row r="167" spans="1:14" ht="15.75" customHeight="1" x14ac:dyDescent="0.45">
      <c r="A167" s="1" t="s">
        <v>121</v>
      </c>
      <c r="B167" s="1">
        <v>1128299</v>
      </c>
      <c r="C167" s="2">
        <v>44671</v>
      </c>
      <c r="D167" s="1" t="s">
        <v>22</v>
      </c>
      <c r="E167" s="1" t="s">
        <v>23</v>
      </c>
      <c r="F167" s="1" t="s">
        <v>24</v>
      </c>
      <c r="G167" s="1" t="s">
        <v>16</v>
      </c>
      <c r="H167" s="1">
        <v>31</v>
      </c>
      <c r="I167" s="1" t="s">
        <v>124</v>
      </c>
      <c r="J167" s="3">
        <v>0.6</v>
      </c>
      <c r="K167" s="4">
        <v>6250</v>
      </c>
      <c r="L167" s="5">
        <f t="shared" si="0"/>
        <v>3750</v>
      </c>
      <c r="M167" s="5">
        <f t="shared" si="1"/>
        <v>1125</v>
      </c>
      <c r="N167" s="6">
        <v>0.3</v>
      </c>
    </row>
    <row r="168" spans="1:14" ht="15.75" customHeight="1" x14ac:dyDescent="0.45">
      <c r="A168" s="1" t="s">
        <v>121</v>
      </c>
      <c r="B168" s="1">
        <v>1128299</v>
      </c>
      <c r="C168" s="2">
        <v>44671</v>
      </c>
      <c r="D168" s="1" t="s">
        <v>22</v>
      </c>
      <c r="E168" s="1" t="s">
        <v>23</v>
      </c>
      <c r="F168" s="1" t="s">
        <v>24</v>
      </c>
      <c r="G168" s="1" t="s">
        <v>17</v>
      </c>
      <c r="H168" s="1">
        <v>46</v>
      </c>
      <c r="I168" s="1" t="s">
        <v>123</v>
      </c>
      <c r="J168" s="3">
        <v>0.65</v>
      </c>
      <c r="K168" s="4">
        <v>5250</v>
      </c>
      <c r="L168" s="5">
        <f t="shared" si="0"/>
        <v>3412.5</v>
      </c>
      <c r="M168" s="5">
        <f t="shared" si="1"/>
        <v>1706.25</v>
      </c>
      <c r="N168" s="6">
        <v>0.5</v>
      </c>
    </row>
    <row r="169" spans="1:14" ht="15.75" customHeight="1" x14ac:dyDescent="0.45">
      <c r="A169" s="1" t="s">
        <v>121</v>
      </c>
      <c r="B169" s="1">
        <v>1128299</v>
      </c>
      <c r="C169" s="2">
        <v>44671</v>
      </c>
      <c r="D169" s="1" t="s">
        <v>22</v>
      </c>
      <c r="E169" s="1" t="s">
        <v>23</v>
      </c>
      <c r="F169" s="1" t="s">
        <v>24</v>
      </c>
      <c r="G169" s="1" t="s">
        <v>18</v>
      </c>
      <c r="H169" s="1">
        <v>36</v>
      </c>
      <c r="I169" s="1" t="s">
        <v>124</v>
      </c>
      <c r="J169" s="3">
        <v>0.8</v>
      </c>
      <c r="K169" s="4">
        <v>7000</v>
      </c>
      <c r="L169" s="5">
        <f t="shared" si="0"/>
        <v>5600</v>
      </c>
      <c r="M169" s="5">
        <f t="shared" si="1"/>
        <v>840.00000000000011</v>
      </c>
      <c r="N169" s="6">
        <v>0.15000000000000002</v>
      </c>
    </row>
    <row r="170" spans="1:14" ht="15.75" customHeight="1" x14ac:dyDescent="0.45">
      <c r="A170" s="1" t="s">
        <v>121</v>
      </c>
      <c r="B170" s="1">
        <v>1128299</v>
      </c>
      <c r="C170" s="2">
        <v>44702</v>
      </c>
      <c r="D170" s="1" t="s">
        <v>22</v>
      </c>
      <c r="E170" s="1" t="s">
        <v>23</v>
      </c>
      <c r="F170" s="1" t="s">
        <v>24</v>
      </c>
      <c r="G170" s="1" t="s">
        <v>13</v>
      </c>
      <c r="H170" s="1">
        <v>26</v>
      </c>
      <c r="I170" s="1" t="s">
        <v>125</v>
      </c>
      <c r="J170" s="3">
        <v>0.6</v>
      </c>
      <c r="K170" s="4">
        <v>9000</v>
      </c>
      <c r="L170" s="5">
        <f t="shared" si="0"/>
        <v>5400</v>
      </c>
      <c r="M170" s="5">
        <f t="shared" si="1"/>
        <v>2160</v>
      </c>
      <c r="N170" s="6">
        <v>0.4</v>
      </c>
    </row>
    <row r="171" spans="1:14" ht="15.75" customHeight="1" x14ac:dyDescent="0.45">
      <c r="A171" s="1" t="s">
        <v>121</v>
      </c>
      <c r="B171" s="1">
        <v>1128299</v>
      </c>
      <c r="C171" s="2">
        <v>44702</v>
      </c>
      <c r="D171" s="1" t="s">
        <v>22</v>
      </c>
      <c r="E171" s="1" t="s">
        <v>23</v>
      </c>
      <c r="F171" s="1" t="s">
        <v>24</v>
      </c>
      <c r="G171" s="1" t="s">
        <v>14</v>
      </c>
      <c r="H171" s="1">
        <v>15</v>
      </c>
      <c r="I171" s="1" t="s">
        <v>126</v>
      </c>
      <c r="J171" s="3">
        <v>0.65</v>
      </c>
      <c r="K171" s="4">
        <v>7500</v>
      </c>
      <c r="L171" s="5">
        <f t="shared" si="0"/>
        <v>4875</v>
      </c>
      <c r="M171" s="5">
        <f t="shared" si="1"/>
        <v>1218.75</v>
      </c>
      <c r="N171" s="6">
        <v>0.25</v>
      </c>
    </row>
    <row r="172" spans="1:14" ht="15.75" customHeight="1" x14ac:dyDescent="0.45">
      <c r="A172" s="1" t="s">
        <v>121</v>
      </c>
      <c r="B172" s="1">
        <v>1128299</v>
      </c>
      <c r="C172" s="2">
        <v>44702</v>
      </c>
      <c r="D172" s="1" t="s">
        <v>22</v>
      </c>
      <c r="E172" s="1" t="s">
        <v>23</v>
      </c>
      <c r="F172" s="1" t="s">
        <v>24</v>
      </c>
      <c r="G172" s="1" t="s">
        <v>15</v>
      </c>
      <c r="H172" s="1">
        <v>39</v>
      </c>
      <c r="I172" s="1" t="s">
        <v>123</v>
      </c>
      <c r="J172" s="3">
        <v>0.65</v>
      </c>
      <c r="K172" s="4">
        <v>7500</v>
      </c>
      <c r="L172" s="5">
        <f t="shared" si="0"/>
        <v>4875</v>
      </c>
      <c r="M172" s="5">
        <f t="shared" si="1"/>
        <v>1950</v>
      </c>
      <c r="N172" s="6">
        <v>0.4</v>
      </c>
    </row>
    <row r="173" spans="1:14" ht="15.75" customHeight="1" x14ac:dyDescent="0.45">
      <c r="A173" s="1" t="s">
        <v>121</v>
      </c>
      <c r="B173" s="1">
        <v>1128299</v>
      </c>
      <c r="C173" s="2">
        <v>44702</v>
      </c>
      <c r="D173" s="1" t="s">
        <v>22</v>
      </c>
      <c r="E173" s="1" t="s">
        <v>23</v>
      </c>
      <c r="F173" s="1" t="s">
        <v>24</v>
      </c>
      <c r="G173" s="1" t="s">
        <v>16</v>
      </c>
      <c r="H173" s="1">
        <v>32</v>
      </c>
      <c r="I173" s="1" t="s">
        <v>124</v>
      </c>
      <c r="J173" s="3">
        <v>0.6</v>
      </c>
      <c r="K173" s="4">
        <v>6500</v>
      </c>
      <c r="L173" s="5">
        <f t="shared" si="0"/>
        <v>3900</v>
      </c>
      <c r="M173" s="5">
        <f t="shared" si="1"/>
        <v>1365</v>
      </c>
      <c r="N173" s="6">
        <v>0.35</v>
      </c>
    </row>
    <row r="174" spans="1:14" ht="15.75" customHeight="1" x14ac:dyDescent="0.45">
      <c r="A174" s="1" t="s">
        <v>121</v>
      </c>
      <c r="B174" s="1">
        <v>1128299</v>
      </c>
      <c r="C174" s="2">
        <v>44702</v>
      </c>
      <c r="D174" s="1" t="s">
        <v>22</v>
      </c>
      <c r="E174" s="1" t="s">
        <v>23</v>
      </c>
      <c r="F174" s="1" t="s">
        <v>24</v>
      </c>
      <c r="G174" s="1" t="s">
        <v>17</v>
      </c>
      <c r="H174" s="1">
        <v>55</v>
      </c>
      <c r="I174" s="1" t="s">
        <v>124</v>
      </c>
      <c r="J174" s="3">
        <v>0.65</v>
      </c>
      <c r="K174" s="4">
        <v>5500</v>
      </c>
      <c r="L174" s="5">
        <f t="shared" si="0"/>
        <v>3575</v>
      </c>
      <c r="M174" s="5">
        <f t="shared" si="1"/>
        <v>1966.2500000000002</v>
      </c>
      <c r="N174" s="6">
        <v>0.55000000000000004</v>
      </c>
    </row>
    <row r="175" spans="1:14" ht="15.75" customHeight="1" x14ac:dyDescent="0.45">
      <c r="A175" s="1" t="s">
        <v>121</v>
      </c>
      <c r="B175" s="1">
        <v>1128299</v>
      </c>
      <c r="C175" s="2">
        <v>44702</v>
      </c>
      <c r="D175" s="1" t="s">
        <v>22</v>
      </c>
      <c r="E175" s="1" t="s">
        <v>23</v>
      </c>
      <c r="F175" s="1" t="s">
        <v>24</v>
      </c>
      <c r="G175" s="1" t="s">
        <v>18</v>
      </c>
      <c r="H175" s="1">
        <v>50</v>
      </c>
      <c r="I175" s="1" t="s">
        <v>125</v>
      </c>
      <c r="J175" s="3">
        <v>0.8</v>
      </c>
      <c r="K175" s="4">
        <v>7250</v>
      </c>
      <c r="L175" s="5">
        <f t="shared" si="0"/>
        <v>5800</v>
      </c>
      <c r="M175" s="5">
        <f t="shared" si="1"/>
        <v>1160</v>
      </c>
      <c r="N175" s="6">
        <v>0.2</v>
      </c>
    </row>
    <row r="176" spans="1:14" ht="15.75" customHeight="1" x14ac:dyDescent="0.45">
      <c r="A176" s="1" t="s">
        <v>121</v>
      </c>
      <c r="B176" s="1">
        <v>1128299</v>
      </c>
      <c r="C176" s="2">
        <v>44732</v>
      </c>
      <c r="D176" s="1" t="s">
        <v>22</v>
      </c>
      <c r="E176" s="1" t="s">
        <v>23</v>
      </c>
      <c r="F176" s="1" t="s">
        <v>24</v>
      </c>
      <c r="G176" s="1" t="s">
        <v>13</v>
      </c>
      <c r="H176" s="1">
        <v>33</v>
      </c>
      <c r="I176" s="1" t="s">
        <v>126</v>
      </c>
      <c r="J176" s="3">
        <v>0.6</v>
      </c>
      <c r="K176" s="4">
        <v>9750</v>
      </c>
      <c r="L176" s="5">
        <f t="shared" si="0"/>
        <v>5850</v>
      </c>
      <c r="M176" s="5">
        <f t="shared" si="1"/>
        <v>2340</v>
      </c>
      <c r="N176" s="6">
        <v>0.4</v>
      </c>
    </row>
    <row r="177" spans="1:14" ht="15.75" customHeight="1" x14ac:dyDescent="0.45">
      <c r="A177" s="1" t="s">
        <v>121</v>
      </c>
      <c r="B177" s="1">
        <v>1128299</v>
      </c>
      <c r="C177" s="2">
        <v>44732</v>
      </c>
      <c r="D177" s="1" t="s">
        <v>22</v>
      </c>
      <c r="E177" s="1" t="s">
        <v>23</v>
      </c>
      <c r="F177" s="1" t="s">
        <v>24</v>
      </c>
      <c r="G177" s="1" t="s">
        <v>14</v>
      </c>
      <c r="H177" s="1">
        <v>27</v>
      </c>
      <c r="I177" s="1" t="s">
        <v>123</v>
      </c>
      <c r="J177" s="3">
        <v>0.65</v>
      </c>
      <c r="K177" s="4">
        <v>8250</v>
      </c>
      <c r="L177" s="5">
        <f t="shared" si="0"/>
        <v>5362.5</v>
      </c>
      <c r="M177" s="5">
        <f t="shared" si="1"/>
        <v>1340.625</v>
      </c>
      <c r="N177" s="6">
        <v>0.25</v>
      </c>
    </row>
    <row r="178" spans="1:14" ht="15.75" customHeight="1" x14ac:dyDescent="0.45">
      <c r="A178" s="1" t="s">
        <v>121</v>
      </c>
      <c r="B178" s="1">
        <v>1128299</v>
      </c>
      <c r="C178" s="2">
        <v>44732</v>
      </c>
      <c r="D178" s="1" t="s">
        <v>22</v>
      </c>
      <c r="E178" s="1" t="s">
        <v>23</v>
      </c>
      <c r="F178" s="1" t="s">
        <v>24</v>
      </c>
      <c r="G178" s="1" t="s">
        <v>15</v>
      </c>
      <c r="H178" s="1">
        <v>53</v>
      </c>
      <c r="I178" s="1" t="s">
        <v>125</v>
      </c>
      <c r="J178" s="3">
        <v>0.65</v>
      </c>
      <c r="K178" s="4">
        <v>8250</v>
      </c>
      <c r="L178" s="5">
        <f t="shared" si="0"/>
        <v>5362.5</v>
      </c>
      <c r="M178" s="5">
        <f t="shared" si="1"/>
        <v>2145</v>
      </c>
      <c r="N178" s="6">
        <v>0.4</v>
      </c>
    </row>
    <row r="179" spans="1:14" ht="15.75" customHeight="1" x14ac:dyDescent="0.45">
      <c r="A179" s="1" t="s">
        <v>121</v>
      </c>
      <c r="B179" s="1">
        <v>1128299</v>
      </c>
      <c r="C179" s="2">
        <v>44732</v>
      </c>
      <c r="D179" s="1" t="s">
        <v>22</v>
      </c>
      <c r="E179" s="1" t="s">
        <v>23</v>
      </c>
      <c r="F179" s="1" t="s">
        <v>24</v>
      </c>
      <c r="G179" s="1" t="s">
        <v>16</v>
      </c>
      <c r="H179" s="1">
        <v>55</v>
      </c>
      <c r="I179" s="1" t="s">
        <v>126</v>
      </c>
      <c r="J179" s="3">
        <v>0.6</v>
      </c>
      <c r="K179" s="4">
        <v>7000</v>
      </c>
      <c r="L179" s="5">
        <f t="shared" si="0"/>
        <v>4200</v>
      </c>
      <c r="M179" s="5">
        <f t="shared" si="1"/>
        <v>1470</v>
      </c>
      <c r="N179" s="6">
        <v>0.35</v>
      </c>
    </row>
    <row r="180" spans="1:14" ht="15.75" customHeight="1" x14ac:dyDescent="0.45">
      <c r="A180" s="1" t="s">
        <v>121</v>
      </c>
      <c r="B180" s="1">
        <v>1128299</v>
      </c>
      <c r="C180" s="2">
        <v>44732</v>
      </c>
      <c r="D180" s="1" t="s">
        <v>22</v>
      </c>
      <c r="E180" s="1" t="s">
        <v>23</v>
      </c>
      <c r="F180" s="1" t="s">
        <v>24</v>
      </c>
      <c r="G180" s="1" t="s">
        <v>17</v>
      </c>
      <c r="H180" s="1">
        <v>46</v>
      </c>
      <c r="I180" s="1" t="s">
        <v>123</v>
      </c>
      <c r="J180" s="3">
        <v>0.65</v>
      </c>
      <c r="K180" s="4">
        <v>5750</v>
      </c>
      <c r="L180" s="5">
        <f t="shared" si="0"/>
        <v>3737.5</v>
      </c>
      <c r="M180" s="5">
        <f t="shared" si="1"/>
        <v>2055.625</v>
      </c>
      <c r="N180" s="6">
        <v>0.55000000000000004</v>
      </c>
    </row>
    <row r="181" spans="1:14" ht="15.75" customHeight="1" x14ac:dyDescent="0.45">
      <c r="A181" s="1" t="s">
        <v>121</v>
      </c>
      <c r="B181" s="1">
        <v>1128299</v>
      </c>
      <c r="C181" s="2">
        <v>44732</v>
      </c>
      <c r="D181" s="1" t="s">
        <v>22</v>
      </c>
      <c r="E181" s="1" t="s">
        <v>23</v>
      </c>
      <c r="F181" s="1" t="s">
        <v>24</v>
      </c>
      <c r="G181" s="1" t="s">
        <v>18</v>
      </c>
      <c r="H181" s="1">
        <v>35</v>
      </c>
      <c r="I181" s="1" t="s">
        <v>125</v>
      </c>
      <c r="J181" s="3">
        <v>0.8</v>
      </c>
      <c r="K181" s="4">
        <v>8750</v>
      </c>
      <c r="L181" s="5">
        <f t="shared" si="0"/>
        <v>7000</v>
      </c>
      <c r="M181" s="5">
        <f t="shared" si="1"/>
        <v>1400</v>
      </c>
      <c r="N181" s="6">
        <v>0.2</v>
      </c>
    </row>
    <row r="182" spans="1:14" ht="15.75" customHeight="1" x14ac:dyDescent="0.45">
      <c r="A182" s="1" t="s">
        <v>121</v>
      </c>
      <c r="B182" s="1">
        <v>1128299</v>
      </c>
      <c r="C182" s="2">
        <v>44761</v>
      </c>
      <c r="D182" s="1" t="s">
        <v>22</v>
      </c>
      <c r="E182" s="1" t="s">
        <v>23</v>
      </c>
      <c r="F182" s="1" t="s">
        <v>24</v>
      </c>
      <c r="G182" s="1" t="s">
        <v>13</v>
      </c>
      <c r="H182" s="1">
        <v>26</v>
      </c>
      <c r="I182" s="1" t="s">
        <v>124</v>
      </c>
      <c r="J182" s="3">
        <v>0.6</v>
      </c>
      <c r="K182" s="4">
        <v>10250</v>
      </c>
      <c r="L182" s="5">
        <f t="shared" si="0"/>
        <v>6150</v>
      </c>
      <c r="M182" s="5">
        <f t="shared" si="1"/>
        <v>2152.5</v>
      </c>
      <c r="N182" s="6">
        <v>0.35000000000000003</v>
      </c>
    </row>
    <row r="183" spans="1:14" ht="15.75" customHeight="1" x14ac:dyDescent="0.45">
      <c r="A183" s="1" t="s">
        <v>121</v>
      </c>
      <c r="B183" s="1">
        <v>1128299</v>
      </c>
      <c r="C183" s="2">
        <v>44761</v>
      </c>
      <c r="D183" s="1" t="s">
        <v>22</v>
      </c>
      <c r="E183" s="1" t="s">
        <v>23</v>
      </c>
      <c r="F183" s="1" t="s">
        <v>24</v>
      </c>
      <c r="G183" s="1" t="s">
        <v>14</v>
      </c>
      <c r="H183" s="1">
        <v>25</v>
      </c>
      <c r="I183" s="1" t="s">
        <v>126</v>
      </c>
      <c r="J183" s="3">
        <v>0.65</v>
      </c>
      <c r="K183" s="4">
        <v>8750</v>
      </c>
      <c r="L183" s="5">
        <f t="shared" si="0"/>
        <v>5687.5</v>
      </c>
      <c r="M183" s="5">
        <f t="shared" si="1"/>
        <v>1137.5</v>
      </c>
      <c r="N183" s="6">
        <v>0.2</v>
      </c>
    </row>
    <row r="184" spans="1:14" ht="15.75" customHeight="1" x14ac:dyDescent="0.45">
      <c r="A184" s="1" t="s">
        <v>121</v>
      </c>
      <c r="B184" s="1">
        <v>1128299</v>
      </c>
      <c r="C184" s="2">
        <v>44761</v>
      </c>
      <c r="D184" s="1" t="s">
        <v>22</v>
      </c>
      <c r="E184" s="1" t="s">
        <v>23</v>
      </c>
      <c r="F184" s="1" t="s">
        <v>24</v>
      </c>
      <c r="G184" s="1" t="s">
        <v>15</v>
      </c>
      <c r="H184" s="1">
        <v>36</v>
      </c>
      <c r="I184" s="1" t="s">
        <v>126</v>
      </c>
      <c r="J184" s="3">
        <v>0.65</v>
      </c>
      <c r="K184" s="4">
        <v>8250</v>
      </c>
      <c r="L184" s="5">
        <f t="shared" si="0"/>
        <v>5362.5</v>
      </c>
      <c r="M184" s="5">
        <f t="shared" si="1"/>
        <v>1876.8750000000002</v>
      </c>
      <c r="N184" s="6">
        <v>0.35000000000000003</v>
      </c>
    </row>
    <row r="185" spans="1:14" ht="15.75" customHeight="1" x14ac:dyDescent="0.45">
      <c r="A185" s="1" t="s">
        <v>121</v>
      </c>
      <c r="B185" s="1">
        <v>1128299</v>
      </c>
      <c r="C185" s="2">
        <v>44761</v>
      </c>
      <c r="D185" s="1" t="s">
        <v>22</v>
      </c>
      <c r="E185" s="1" t="s">
        <v>23</v>
      </c>
      <c r="F185" s="1" t="s">
        <v>24</v>
      </c>
      <c r="G185" s="1" t="s">
        <v>16</v>
      </c>
      <c r="H185" s="1">
        <v>35</v>
      </c>
      <c r="I185" s="1" t="s">
        <v>126</v>
      </c>
      <c r="J185" s="3">
        <v>0.6</v>
      </c>
      <c r="K185" s="4">
        <v>7250</v>
      </c>
      <c r="L185" s="5">
        <f t="shared" si="0"/>
        <v>4350</v>
      </c>
      <c r="M185" s="5">
        <f t="shared" si="1"/>
        <v>1305</v>
      </c>
      <c r="N185" s="6">
        <v>0.3</v>
      </c>
    </row>
    <row r="186" spans="1:14" ht="15.75" customHeight="1" x14ac:dyDescent="0.45">
      <c r="A186" s="1" t="s">
        <v>121</v>
      </c>
      <c r="B186" s="1">
        <v>1128299</v>
      </c>
      <c r="C186" s="2">
        <v>44761</v>
      </c>
      <c r="D186" s="1" t="s">
        <v>22</v>
      </c>
      <c r="E186" s="1" t="s">
        <v>23</v>
      </c>
      <c r="F186" s="1" t="s">
        <v>24</v>
      </c>
      <c r="G186" s="1" t="s">
        <v>17</v>
      </c>
      <c r="H186" s="1">
        <v>15</v>
      </c>
      <c r="I186" s="1" t="s">
        <v>126</v>
      </c>
      <c r="J186" s="3">
        <v>0.65</v>
      </c>
      <c r="K186" s="4">
        <v>7750</v>
      </c>
      <c r="L186" s="5">
        <f t="shared" si="0"/>
        <v>5037.5</v>
      </c>
      <c r="M186" s="5">
        <f t="shared" si="1"/>
        <v>2518.75</v>
      </c>
      <c r="N186" s="6">
        <v>0.5</v>
      </c>
    </row>
    <row r="187" spans="1:14" ht="15.75" customHeight="1" x14ac:dyDescent="0.45">
      <c r="A187" s="1" t="s">
        <v>121</v>
      </c>
      <c r="B187" s="1">
        <v>1128299</v>
      </c>
      <c r="C187" s="2">
        <v>44761</v>
      </c>
      <c r="D187" s="1" t="s">
        <v>22</v>
      </c>
      <c r="E187" s="1" t="s">
        <v>23</v>
      </c>
      <c r="F187" s="1" t="s">
        <v>24</v>
      </c>
      <c r="G187" s="1" t="s">
        <v>18</v>
      </c>
      <c r="H187" s="1">
        <v>56</v>
      </c>
      <c r="I187" s="1" t="s">
        <v>124</v>
      </c>
      <c r="J187" s="3">
        <v>0.8</v>
      </c>
      <c r="K187" s="4">
        <v>7750</v>
      </c>
      <c r="L187" s="5">
        <f t="shared" si="0"/>
        <v>6200</v>
      </c>
      <c r="M187" s="5">
        <f t="shared" si="1"/>
        <v>930.00000000000011</v>
      </c>
      <c r="N187" s="6">
        <v>0.15000000000000002</v>
      </c>
    </row>
    <row r="188" spans="1:14" ht="15.75" customHeight="1" x14ac:dyDescent="0.45">
      <c r="A188" s="1" t="s">
        <v>121</v>
      </c>
      <c r="B188" s="1">
        <v>1128299</v>
      </c>
      <c r="C188" s="2">
        <v>44793</v>
      </c>
      <c r="D188" s="1" t="s">
        <v>22</v>
      </c>
      <c r="E188" s="1" t="s">
        <v>23</v>
      </c>
      <c r="F188" s="1" t="s">
        <v>24</v>
      </c>
      <c r="G188" s="1" t="s">
        <v>13</v>
      </c>
      <c r="H188" s="1">
        <v>56</v>
      </c>
      <c r="I188" s="1" t="s">
        <v>124</v>
      </c>
      <c r="J188" s="3">
        <v>0.65</v>
      </c>
      <c r="K188" s="4">
        <v>9750</v>
      </c>
      <c r="L188" s="5">
        <f t="shared" si="0"/>
        <v>6337.5</v>
      </c>
      <c r="M188" s="5">
        <f t="shared" si="1"/>
        <v>2218.125</v>
      </c>
      <c r="N188" s="6">
        <v>0.35000000000000003</v>
      </c>
    </row>
    <row r="189" spans="1:14" ht="15.75" customHeight="1" x14ac:dyDescent="0.45">
      <c r="A189" s="1" t="s">
        <v>121</v>
      </c>
      <c r="B189" s="1">
        <v>1128299</v>
      </c>
      <c r="C189" s="2">
        <v>44793</v>
      </c>
      <c r="D189" s="1" t="s">
        <v>22</v>
      </c>
      <c r="E189" s="1" t="s">
        <v>23</v>
      </c>
      <c r="F189" s="1" t="s">
        <v>24</v>
      </c>
      <c r="G189" s="1" t="s">
        <v>14</v>
      </c>
      <c r="H189" s="1">
        <v>57</v>
      </c>
      <c r="I189" s="1" t="s">
        <v>126</v>
      </c>
      <c r="J189" s="3">
        <v>0.70000000000000007</v>
      </c>
      <c r="K189" s="4">
        <v>9250</v>
      </c>
      <c r="L189" s="5">
        <f t="shared" si="0"/>
        <v>6475.0000000000009</v>
      </c>
      <c r="M189" s="5">
        <f t="shared" si="1"/>
        <v>1295.0000000000002</v>
      </c>
      <c r="N189" s="6">
        <v>0.2</v>
      </c>
    </row>
    <row r="190" spans="1:14" ht="15.75" customHeight="1" x14ac:dyDescent="0.45">
      <c r="A190" s="1" t="s">
        <v>121</v>
      </c>
      <c r="B190" s="1">
        <v>1128299</v>
      </c>
      <c r="C190" s="2">
        <v>44793</v>
      </c>
      <c r="D190" s="1" t="s">
        <v>22</v>
      </c>
      <c r="E190" s="1" t="s">
        <v>23</v>
      </c>
      <c r="F190" s="1" t="s">
        <v>24</v>
      </c>
      <c r="G190" s="1" t="s">
        <v>15</v>
      </c>
      <c r="H190" s="1">
        <v>37</v>
      </c>
      <c r="I190" s="1" t="s">
        <v>123</v>
      </c>
      <c r="J190" s="3">
        <v>0.65</v>
      </c>
      <c r="K190" s="4">
        <v>8000</v>
      </c>
      <c r="L190" s="5">
        <f t="shared" si="0"/>
        <v>5200</v>
      </c>
      <c r="M190" s="5">
        <f t="shared" si="1"/>
        <v>1820.0000000000002</v>
      </c>
      <c r="N190" s="6">
        <v>0.35000000000000003</v>
      </c>
    </row>
    <row r="191" spans="1:14" ht="15.75" customHeight="1" x14ac:dyDescent="0.45">
      <c r="A191" s="1" t="s">
        <v>121</v>
      </c>
      <c r="B191" s="1">
        <v>1128299</v>
      </c>
      <c r="C191" s="2">
        <v>44793</v>
      </c>
      <c r="D191" s="1" t="s">
        <v>22</v>
      </c>
      <c r="E191" s="1" t="s">
        <v>23</v>
      </c>
      <c r="F191" s="1" t="s">
        <v>24</v>
      </c>
      <c r="G191" s="1" t="s">
        <v>16</v>
      </c>
      <c r="H191" s="1">
        <v>57</v>
      </c>
      <c r="I191" s="1" t="s">
        <v>125</v>
      </c>
      <c r="J191" s="3">
        <v>0.65</v>
      </c>
      <c r="K191" s="4">
        <v>7500</v>
      </c>
      <c r="L191" s="5">
        <f t="shared" si="0"/>
        <v>4875</v>
      </c>
      <c r="M191" s="5">
        <f t="shared" si="1"/>
        <v>1462.5</v>
      </c>
      <c r="N191" s="6">
        <v>0.3</v>
      </c>
    </row>
    <row r="192" spans="1:14" ht="15.75" customHeight="1" x14ac:dyDescent="0.45">
      <c r="A192" s="1" t="s">
        <v>121</v>
      </c>
      <c r="B192" s="1">
        <v>1128299</v>
      </c>
      <c r="C192" s="2">
        <v>44793</v>
      </c>
      <c r="D192" s="1" t="s">
        <v>22</v>
      </c>
      <c r="E192" s="1" t="s">
        <v>23</v>
      </c>
      <c r="F192" s="1" t="s">
        <v>24</v>
      </c>
      <c r="G192" s="1" t="s">
        <v>17</v>
      </c>
      <c r="H192" s="1">
        <v>15</v>
      </c>
      <c r="I192" s="1" t="s">
        <v>126</v>
      </c>
      <c r="J192" s="3">
        <v>0.75</v>
      </c>
      <c r="K192" s="4">
        <v>7500</v>
      </c>
      <c r="L192" s="5">
        <f t="shared" si="0"/>
        <v>5625</v>
      </c>
      <c r="M192" s="5">
        <f t="shared" si="1"/>
        <v>2812.5</v>
      </c>
      <c r="N192" s="6">
        <v>0.5</v>
      </c>
    </row>
    <row r="193" spans="1:14" ht="15.75" customHeight="1" x14ac:dyDescent="0.45">
      <c r="A193" s="1" t="s">
        <v>121</v>
      </c>
      <c r="B193" s="1">
        <v>1128299</v>
      </c>
      <c r="C193" s="2">
        <v>44793</v>
      </c>
      <c r="D193" s="1" t="s">
        <v>22</v>
      </c>
      <c r="E193" s="1" t="s">
        <v>23</v>
      </c>
      <c r="F193" s="1" t="s">
        <v>24</v>
      </c>
      <c r="G193" s="1" t="s">
        <v>18</v>
      </c>
      <c r="H193" s="1">
        <v>38</v>
      </c>
      <c r="I193" s="1" t="s">
        <v>125</v>
      </c>
      <c r="J193" s="3">
        <v>0.8</v>
      </c>
      <c r="K193" s="4">
        <v>7250</v>
      </c>
      <c r="L193" s="5">
        <f t="shared" si="0"/>
        <v>5800</v>
      </c>
      <c r="M193" s="5">
        <f t="shared" si="1"/>
        <v>870.00000000000011</v>
      </c>
      <c r="N193" s="6">
        <v>0.15000000000000002</v>
      </c>
    </row>
    <row r="194" spans="1:14" ht="15.75" customHeight="1" x14ac:dyDescent="0.45">
      <c r="A194" s="1" t="s">
        <v>121</v>
      </c>
      <c r="B194" s="1">
        <v>1128299</v>
      </c>
      <c r="C194" s="2">
        <v>44825</v>
      </c>
      <c r="D194" s="1" t="s">
        <v>22</v>
      </c>
      <c r="E194" s="1" t="s">
        <v>23</v>
      </c>
      <c r="F194" s="1" t="s">
        <v>24</v>
      </c>
      <c r="G194" s="1" t="s">
        <v>13</v>
      </c>
      <c r="H194" s="1">
        <v>30</v>
      </c>
      <c r="I194" s="1" t="s">
        <v>125</v>
      </c>
      <c r="J194" s="3">
        <v>0.55000000000000004</v>
      </c>
      <c r="K194" s="4">
        <v>9250</v>
      </c>
      <c r="L194" s="5">
        <f t="shared" si="0"/>
        <v>5087.5</v>
      </c>
      <c r="M194" s="5">
        <f t="shared" si="1"/>
        <v>1526.2500000000002</v>
      </c>
      <c r="N194" s="6">
        <v>0.30000000000000004</v>
      </c>
    </row>
    <row r="195" spans="1:14" ht="15.75" customHeight="1" x14ac:dyDescent="0.45">
      <c r="A195" s="1" t="s">
        <v>121</v>
      </c>
      <c r="B195" s="1">
        <v>1128299</v>
      </c>
      <c r="C195" s="2">
        <v>44825</v>
      </c>
      <c r="D195" s="1" t="s">
        <v>22</v>
      </c>
      <c r="E195" s="1" t="s">
        <v>23</v>
      </c>
      <c r="F195" s="1" t="s">
        <v>24</v>
      </c>
      <c r="G195" s="1" t="s">
        <v>14</v>
      </c>
      <c r="H195" s="1">
        <v>58</v>
      </c>
      <c r="I195" s="1" t="s">
        <v>126</v>
      </c>
      <c r="J195" s="3">
        <v>0.60000000000000009</v>
      </c>
      <c r="K195" s="4">
        <v>9250</v>
      </c>
      <c r="L195" s="5">
        <f t="shared" si="0"/>
        <v>5550.0000000000009</v>
      </c>
      <c r="M195" s="5">
        <f t="shared" si="1"/>
        <v>832.50000000000011</v>
      </c>
      <c r="N195" s="6">
        <v>0.15</v>
      </c>
    </row>
    <row r="196" spans="1:14" ht="15.75" customHeight="1" x14ac:dyDescent="0.45">
      <c r="A196" s="1" t="s">
        <v>121</v>
      </c>
      <c r="B196" s="1">
        <v>1128299</v>
      </c>
      <c r="C196" s="2">
        <v>44825</v>
      </c>
      <c r="D196" s="1" t="s">
        <v>22</v>
      </c>
      <c r="E196" s="1" t="s">
        <v>23</v>
      </c>
      <c r="F196" s="1" t="s">
        <v>24</v>
      </c>
      <c r="G196" s="1" t="s">
        <v>15</v>
      </c>
      <c r="H196" s="1">
        <v>38</v>
      </c>
      <c r="I196" s="1" t="s">
        <v>123</v>
      </c>
      <c r="J196" s="3">
        <v>0.55000000000000004</v>
      </c>
      <c r="K196" s="4">
        <v>7750</v>
      </c>
      <c r="L196" s="5">
        <f t="shared" si="0"/>
        <v>4262.5</v>
      </c>
      <c r="M196" s="5">
        <f t="shared" si="1"/>
        <v>1278.7500000000002</v>
      </c>
      <c r="N196" s="6">
        <v>0.30000000000000004</v>
      </c>
    </row>
    <row r="197" spans="1:14" ht="15.75" customHeight="1" x14ac:dyDescent="0.45">
      <c r="A197" s="1" t="s">
        <v>121</v>
      </c>
      <c r="B197" s="1">
        <v>1128299</v>
      </c>
      <c r="C197" s="2">
        <v>44825</v>
      </c>
      <c r="D197" s="1" t="s">
        <v>22</v>
      </c>
      <c r="E197" s="1" t="s">
        <v>23</v>
      </c>
      <c r="F197" s="1" t="s">
        <v>24</v>
      </c>
      <c r="G197" s="1" t="s">
        <v>16</v>
      </c>
      <c r="H197" s="1">
        <v>30</v>
      </c>
      <c r="I197" s="1" t="s">
        <v>126</v>
      </c>
      <c r="J197" s="3">
        <v>0.55000000000000004</v>
      </c>
      <c r="K197" s="4">
        <v>7250</v>
      </c>
      <c r="L197" s="5">
        <f t="shared" si="0"/>
        <v>3987.5000000000005</v>
      </c>
      <c r="M197" s="5">
        <f t="shared" si="1"/>
        <v>996.875</v>
      </c>
      <c r="N197" s="6">
        <v>0.24999999999999997</v>
      </c>
    </row>
    <row r="198" spans="1:14" ht="15.75" customHeight="1" x14ac:dyDescent="0.45">
      <c r="A198" s="1" t="s">
        <v>121</v>
      </c>
      <c r="B198" s="1">
        <v>1128299</v>
      </c>
      <c r="C198" s="2">
        <v>44825</v>
      </c>
      <c r="D198" s="1" t="s">
        <v>22</v>
      </c>
      <c r="E198" s="1" t="s">
        <v>23</v>
      </c>
      <c r="F198" s="1" t="s">
        <v>24</v>
      </c>
      <c r="G198" s="1" t="s">
        <v>17</v>
      </c>
      <c r="H198" s="1">
        <v>19</v>
      </c>
      <c r="I198" s="1" t="s">
        <v>125</v>
      </c>
      <c r="J198" s="3">
        <v>0.65</v>
      </c>
      <c r="K198" s="4">
        <v>7250</v>
      </c>
      <c r="L198" s="5">
        <f t="shared" si="0"/>
        <v>4712.5</v>
      </c>
      <c r="M198" s="5">
        <f t="shared" si="1"/>
        <v>2120.6250000000005</v>
      </c>
      <c r="N198" s="6">
        <v>0.45000000000000007</v>
      </c>
    </row>
    <row r="199" spans="1:14" ht="15.75" customHeight="1" x14ac:dyDescent="0.45">
      <c r="A199" s="1" t="s">
        <v>121</v>
      </c>
      <c r="B199" s="1">
        <v>1128299</v>
      </c>
      <c r="C199" s="2">
        <v>44825</v>
      </c>
      <c r="D199" s="1" t="s">
        <v>22</v>
      </c>
      <c r="E199" s="1" t="s">
        <v>23</v>
      </c>
      <c r="F199" s="1" t="s">
        <v>24</v>
      </c>
      <c r="G199" s="1" t="s">
        <v>18</v>
      </c>
      <c r="H199" s="1">
        <v>48</v>
      </c>
      <c r="I199" s="1" t="s">
        <v>126</v>
      </c>
      <c r="J199" s="3">
        <v>0.70000000000000007</v>
      </c>
      <c r="K199" s="4">
        <v>7750</v>
      </c>
      <c r="L199" s="5">
        <f t="shared" si="0"/>
        <v>5425.0000000000009</v>
      </c>
      <c r="M199" s="5">
        <f t="shared" si="1"/>
        <v>542.50000000000011</v>
      </c>
      <c r="N199" s="6">
        <v>0.1</v>
      </c>
    </row>
    <row r="200" spans="1:14" ht="15.75" customHeight="1" x14ac:dyDescent="0.45">
      <c r="A200" s="1" t="s">
        <v>121</v>
      </c>
      <c r="B200" s="1">
        <v>1128299</v>
      </c>
      <c r="C200" s="2">
        <v>44854</v>
      </c>
      <c r="D200" s="1" t="s">
        <v>22</v>
      </c>
      <c r="E200" s="1" t="s">
        <v>23</v>
      </c>
      <c r="F200" s="1" t="s">
        <v>24</v>
      </c>
      <c r="G200" s="1" t="s">
        <v>13</v>
      </c>
      <c r="H200" s="1">
        <v>55</v>
      </c>
      <c r="I200" s="1" t="s">
        <v>124</v>
      </c>
      <c r="J200" s="3">
        <v>0.55000000000000004</v>
      </c>
      <c r="K200" s="4">
        <v>8750</v>
      </c>
      <c r="L200" s="5">
        <f t="shared" si="0"/>
        <v>4812.5</v>
      </c>
      <c r="M200" s="5">
        <f t="shared" si="1"/>
        <v>1443.7500000000002</v>
      </c>
      <c r="N200" s="6">
        <v>0.30000000000000004</v>
      </c>
    </row>
    <row r="201" spans="1:14" ht="15.75" customHeight="1" x14ac:dyDescent="0.45">
      <c r="A201" s="1" t="s">
        <v>121</v>
      </c>
      <c r="B201" s="1">
        <v>1128299</v>
      </c>
      <c r="C201" s="2">
        <v>44854</v>
      </c>
      <c r="D201" s="1" t="s">
        <v>22</v>
      </c>
      <c r="E201" s="1" t="s">
        <v>23</v>
      </c>
      <c r="F201" s="1" t="s">
        <v>24</v>
      </c>
      <c r="G201" s="1" t="s">
        <v>14</v>
      </c>
      <c r="H201" s="1">
        <v>23</v>
      </c>
      <c r="I201" s="1" t="s">
        <v>124</v>
      </c>
      <c r="J201" s="3">
        <v>0.60000000000000009</v>
      </c>
      <c r="K201" s="4">
        <v>8750</v>
      </c>
      <c r="L201" s="5">
        <f t="shared" si="0"/>
        <v>5250.0000000000009</v>
      </c>
      <c r="M201" s="5">
        <f t="shared" si="1"/>
        <v>787.50000000000011</v>
      </c>
      <c r="N201" s="6">
        <v>0.15</v>
      </c>
    </row>
    <row r="202" spans="1:14" ht="15.75" customHeight="1" x14ac:dyDescent="0.45">
      <c r="A202" s="1" t="s">
        <v>121</v>
      </c>
      <c r="B202" s="1">
        <v>1128299</v>
      </c>
      <c r="C202" s="2">
        <v>44854</v>
      </c>
      <c r="D202" s="1" t="s">
        <v>22</v>
      </c>
      <c r="E202" s="1" t="s">
        <v>23</v>
      </c>
      <c r="F202" s="1" t="s">
        <v>24</v>
      </c>
      <c r="G202" s="1" t="s">
        <v>15</v>
      </c>
      <c r="H202" s="1">
        <v>42</v>
      </c>
      <c r="I202" s="1" t="s">
        <v>126</v>
      </c>
      <c r="J202" s="3">
        <v>0.55000000000000004</v>
      </c>
      <c r="K202" s="4">
        <v>7000</v>
      </c>
      <c r="L202" s="5">
        <f t="shared" si="0"/>
        <v>3850.0000000000005</v>
      </c>
      <c r="M202" s="5">
        <f t="shared" si="1"/>
        <v>1155.0000000000002</v>
      </c>
      <c r="N202" s="6">
        <v>0.30000000000000004</v>
      </c>
    </row>
    <row r="203" spans="1:14" ht="15.75" customHeight="1" x14ac:dyDescent="0.45">
      <c r="A203" s="1" t="s">
        <v>121</v>
      </c>
      <c r="B203" s="1">
        <v>1128299</v>
      </c>
      <c r="C203" s="2">
        <v>44854</v>
      </c>
      <c r="D203" s="1" t="s">
        <v>22</v>
      </c>
      <c r="E203" s="1" t="s">
        <v>23</v>
      </c>
      <c r="F203" s="1" t="s">
        <v>24</v>
      </c>
      <c r="G203" s="1" t="s">
        <v>16</v>
      </c>
      <c r="H203" s="1">
        <v>58</v>
      </c>
      <c r="I203" s="1" t="s">
        <v>126</v>
      </c>
      <c r="J203" s="3">
        <v>0.55000000000000004</v>
      </c>
      <c r="K203" s="4">
        <v>6750</v>
      </c>
      <c r="L203" s="5">
        <f t="shared" si="0"/>
        <v>3712.5000000000005</v>
      </c>
      <c r="M203" s="5">
        <f t="shared" si="1"/>
        <v>928.125</v>
      </c>
      <c r="N203" s="6">
        <v>0.24999999999999997</v>
      </c>
    </row>
    <row r="204" spans="1:14" ht="15.75" customHeight="1" x14ac:dyDescent="0.45">
      <c r="A204" s="1" t="s">
        <v>121</v>
      </c>
      <c r="B204" s="1">
        <v>1128299</v>
      </c>
      <c r="C204" s="2">
        <v>44854</v>
      </c>
      <c r="D204" s="1" t="s">
        <v>22</v>
      </c>
      <c r="E204" s="1" t="s">
        <v>23</v>
      </c>
      <c r="F204" s="1" t="s">
        <v>24</v>
      </c>
      <c r="G204" s="1" t="s">
        <v>17</v>
      </c>
      <c r="H204" s="1">
        <v>35</v>
      </c>
      <c r="I204" s="1" t="s">
        <v>125</v>
      </c>
      <c r="J204" s="3">
        <v>0.65</v>
      </c>
      <c r="K204" s="4">
        <v>6500</v>
      </c>
      <c r="L204" s="5">
        <f t="shared" si="0"/>
        <v>4225</v>
      </c>
      <c r="M204" s="5">
        <f t="shared" si="1"/>
        <v>1901.2500000000002</v>
      </c>
      <c r="N204" s="6">
        <v>0.45000000000000007</v>
      </c>
    </row>
    <row r="205" spans="1:14" ht="15.75" customHeight="1" x14ac:dyDescent="0.45">
      <c r="A205" s="1" t="s">
        <v>121</v>
      </c>
      <c r="B205" s="1">
        <v>1128299</v>
      </c>
      <c r="C205" s="2">
        <v>44854</v>
      </c>
      <c r="D205" s="1" t="s">
        <v>22</v>
      </c>
      <c r="E205" s="1" t="s">
        <v>23</v>
      </c>
      <c r="F205" s="1" t="s">
        <v>24</v>
      </c>
      <c r="G205" s="1" t="s">
        <v>18</v>
      </c>
      <c r="H205" s="1">
        <v>60</v>
      </c>
      <c r="I205" s="1" t="s">
        <v>124</v>
      </c>
      <c r="J205" s="3">
        <v>0.70000000000000007</v>
      </c>
      <c r="K205" s="4">
        <v>7000</v>
      </c>
      <c r="L205" s="5">
        <f t="shared" si="0"/>
        <v>4900.0000000000009</v>
      </c>
      <c r="M205" s="5">
        <f t="shared" si="1"/>
        <v>490.00000000000011</v>
      </c>
      <c r="N205" s="6">
        <v>0.1</v>
      </c>
    </row>
    <row r="206" spans="1:14" ht="15.75" customHeight="1" x14ac:dyDescent="0.45">
      <c r="A206" s="1" t="s">
        <v>121</v>
      </c>
      <c r="B206" s="1">
        <v>1128299</v>
      </c>
      <c r="C206" s="2">
        <v>44885</v>
      </c>
      <c r="D206" s="1" t="s">
        <v>22</v>
      </c>
      <c r="E206" s="1" t="s">
        <v>23</v>
      </c>
      <c r="F206" s="1" t="s">
        <v>24</v>
      </c>
      <c r="G206" s="1" t="s">
        <v>13</v>
      </c>
      <c r="H206" s="1">
        <v>28</v>
      </c>
      <c r="I206" s="1" t="s">
        <v>123</v>
      </c>
      <c r="J206" s="3">
        <v>0.55000000000000004</v>
      </c>
      <c r="K206" s="4">
        <v>8750</v>
      </c>
      <c r="L206" s="5">
        <f t="shared" si="0"/>
        <v>4812.5</v>
      </c>
      <c r="M206" s="5">
        <f t="shared" si="1"/>
        <v>1443.7500000000002</v>
      </c>
      <c r="N206" s="6">
        <v>0.30000000000000004</v>
      </c>
    </row>
    <row r="207" spans="1:14" ht="15.75" customHeight="1" x14ac:dyDescent="0.45">
      <c r="A207" s="1" t="s">
        <v>121</v>
      </c>
      <c r="B207" s="1">
        <v>1128299</v>
      </c>
      <c r="C207" s="2">
        <v>44885</v>
      </c>
      <c r="D207" s="1" t="s">
        <v>22</v>
      </c>
      <c r="E207" s="1" t="s">
        <v>23</v>
      </c>
      <c r="F207" s="1" t="s">
        <v>24</v>
      </c>
      <c r="G207" s="1" t="s">
        <v>14</v>
      </c>
      <c r="H207" s="1">
        <v>28</v>
      </c>
      <c r="I207" s="1" t="s">
        <v>125</v>
      </c>
      <c r="J207" s="3">
        <v>0.60000000000000009</v>
      </c>
      <c r="K207" s="4">
        <v>8750</v>
      </c>
      <c r="L207" s="5">
        <f t="shared" si="0"/>
        <v>5250.0000000000009</v>
      </c>
      <c r="M207" s="5">
        <f t="shared" si="1"/>
        <v>787.50000000000011</v>
      </c>
      <c r="N207" s="6">
        <v>0.15</v>
      </c>
    </row>
    <row r="208" spans="1:14" ht="15.75" customHeight="1" x14ac:dyDescent="0.45">
      <c r="A208" s="1" t="s">
        <v>121</v>
      </c>
      <c r="B208" s="1">
        <v>1128299</v>
      </c>
      <c r="C208" s="2">
        <v>44885</v>
      </c>
      <c r="D208" s="1" t="s">
        <v>22</v>
      </c>
      <c r="E208" s="1" t="s">
        <v>23</v>
      </c>
      <c r="F208" s="1" t="s">
        <v>24</v>
      </c>
      <c r="G208" s="1" t="s">
        <v>15</v>
      </c>
      <c r="H208" s="1">
        <v>30</v>
      </c>
      <c r="I208" s="1" t="s">
        <v>126</v>
      </c>
      <c r="J208" s="3">
        <v>0.55000000000000004</v>
      </c>
      <c r="K208" s="4">
        <v>7250</v>
      </c>
      <c r="L208" s="5">
        <f t="shared" si="0"/>
        <v>3987.5000000000005</v>
      </c>
      <c r="M208" s="5">
        <f t="shared" si="1"/>
        <v>1196.2500000000002</v>
      </c>
      <c r="N208" s="6">
        <v>0.30000000000000004</v>
      </c>
    </row>
    <row r="209" spans="1:14" ht="15.75" customHeight="1" x14ac:dyDescent="0.45">
      <c r="A209" s="1" t="s">
        <v>121</v>
      </c>
      <c r="B209" s="1">
        <v>1128299</v>
      </c>
      <c r="C209" s="2">
        <v>44885</v>
      </c>
      <c r="D209" s="1" t="s">
        <v>22</v>
      </c>
      <c r="E209" s="1" t="s">
        <v>23</v>
      </c>
      <c r="F209" s="1" t="s">
        <v>24</v>
      </c>
      <c r="G209" s="1" t="s">
        <v>16</v>
      </c>
      <c r="H209" s="1">
        <v>47</v>
      </c>
      <c r="I209" s="1" t="s">
        <v>123</v>
      </c>
      <c r="J209" s="3">
        <v>0.55000000000000004</v>
      </c>
      <c r="K209" s="4">
        <v>7000</v>
      </c>
      <c r="L209" s="5">
        <f t="shared" si="0"/>
        <v>3850.0000000000005</v>
      </c>
      <c r="M209" s="5">
        <f t="shared" si="1"/>
        <v>962.5</v>
      </c>
      <c r="N209" s="6">
        <v>0.24999999999999997</v>
      </c>
    </row>
    <row r="210" spans="1:14" ht="15.75" customHeight="1" x14ac:dyDescent="0.45">
      <c r="A210" s="1" t="s">
        <v>121</v>
      </c>
      <c r="B210" s="1">
        <v>1128299</v>
      </c>
      <c r="C210" s="2">
        <v>44885</v>
      </c>
      <c r="D210" s="1" t="s">
        <v>22</v>
      </c>
      <c r="E210" s="1" t="s">
        <v>23</v>
      </c>
      <c r="F210" s="1" t="s">
        <v>24</v>
      </c>
      <c r="G210" s="1" t="s">
        <v>17</v>
      </c>
      <c r="H210" s="1">
        <v>27</v>
      </c>
      <c r="I210" s="1" t="s">
        <v>124</v>
      </c>
      <c r="J210" s="3">
        <v>0.65</v>
      </c>
      <c r="K210" s="4">
        <v>6500</v>
      </c>
      <c r="L210" s="5">
        <f t="shared" si="0"/>
        <v>4225</v>
      </c>
      <c r="M210" s="5">
        <f t="shared" si="1"/>
        <v>1901.2500000000002</v>
      </c>
      <c r="N210" s="6">
        <v>0.45000000000000007</v>
      </c>
    </row>
    <row r="211" spans="1:14" ht="15.75" customHeight="1" x14ac:dyDescent="0.45">
      <c r="A211" s="1" t="s">
        <v>121</v>
      </c>
      <c r="B211" s="1">
        <v>1128299</v>
      </c>
      <c r="C211" s="2">
        <v>44885</v>
      </c>
      <c r="D211" s="1" t="s">
        <v>22</v>
      </c>
      <c r="E211" s="1" t="s">
        <v>23</v>
      </c>
      <c r="F211" s="1" t="s">
        <v>24</v>
      </c>
      <c r="G211" s="1" t="s">
        <v>18</v>
      </c>
      <c r="H211" s="1">
        <v>31</v>
      </c>
      <c r="I211" s="1" t="s">
        <v>126</v>
      </c>
      <c r="J211" s="3">
        <v>0.70000000000000007</v>
      </c>
      <c r="K211" s="4">
        <v>7750</v>
      </c>
      <c r="L211" s="5">
        <f t="shared" si="0"/>
        <v>5425.0000000000009</v>
      </c>
      <c r="M211" s="5">
        <f t="shared" si="1"/>
        <v>542.50000000000011</v>
      </c>
      <c r="N211" s="6">
        <v>0.1</v>
      </c>
    </row>
    <row r="212" spans="1:14" ht="15.75" customHeight="1" x14ac:dyDescent="0.45">
      <c r="A212" s="1" t="s">
        <v>121</v>
      </c>
      <c r="B212" s="1">
        <v>1128299</v>
      </c>
      <c r="C212" s="2">
        <v>44914</v>
      </c>
      <c r="D212" s="1" t="s">
        <v>22</v>
      </c>
      <c r="E212" s="1" t="s">
        <v>23</v>
      </c>
      <c r="F212" s="1" t="s">
        <v>24</v>
      </c>
      <c r="G212" s="1" t="s">
        <v>13</v>
      </c>
      <c r="H212" s="1">
        <v>22</v>
      </c>
      <c r="I212" s="1" t="s">
        <v>123</v>
      </c>
      <c r="J212" s="3">
        <v>0.55000000000000004</v>
      </c>
      <c r="K212" s="4">
        <v>9750</v>
      </c>
      <c r="L212" s="5">
        <f t="shared" si="0"/>
        <v>5362.5</v>
      </c>
      <c r="M212" s="5">
        <f t="shared" si="1"/>
        <v>1608.7500000000002</v>
      </c>
      <c r="N212" s="6">
        <v>0.30000000000000004</v>
      </c>
    </row>
    <row r="213" spans="1:14" ht="15.75" customHeight="1" x14ac:dyDescent="0.45">
      <c r="A213" s="1" t="s">
        <v>121</v>
      </c>
      <c r="B213" s="1">
        <v>1128299</v>
      </c>
      <c r="C213" s="2">
        <v>44914</v>
      </c>
      <c r="D213" s="1" t="s">
        <v>22</v>
      </c>
      <c r="E213" s="1" t="s">
        <v>23</v>
      </c>
      <c r="F213" s="1" t="s">
        <v>24</v>
      </c>
      <c r="G213" s="1" t="s">
        <v>14</v>
      </c>
      <c r="H213" s="1">
        <v>31</v>
      </c>
      <c r="I213" s="1" t="s">
        <v>126</v>
      </c>
      <c r="J213" s="3">
        <v>0.60000000000000009</v>
      </c>
      <c r="K213" s="4">
        <v>9750</v>
      </c>
      <c r="L213" s="5">
        <f t="shared" si="0"/>
        <v>5850.0000000000009</v>
      </c>
      <c r="M213" s="5">
        <f t="shared" si="1"/>
        <v>877.50000000000011</v>
      </c>
      <c r="N213" s="6">
        <v>0.15</v>
      </c>
    </row>
    <row r="214" spans="1:14" ht="15.75" customHeight="1" x14ac:dyDescent="0.45">
      <c r="A214" s="1" t="s">
        <v>121</v>
      </c>
      <c r="B214" s="1">
        <v>1128299</v>
      </c>
      <c r="C214" s="2">
        <v>44914</v>
      </c>
      <c r="D214" s="1" t="s">
        <v>22</v>
      </c>
      <c r="E214" s="1" t="s">
        <v>23</v>
      </c>
      <c r="F214" s="1" t="s">
        <v>24</v>
      </c>
      <c r="G214" s="1" t="s">
        <v>15</v>
      </c>
      <c r="H214" s="1">
        <v>43</v>
      </c>
      <c r="I214" s="1" t="s">
        <v>126</v>
      </c>
      <c r="J214" s="3">
        <v>0.55000000000000004</v>
      </c>
      <c r="K214" s="4">
        <v>7750</v>
      </c>
      <c r="L214" s="5">
        <f t="shared" si="0"/>
        <v>4262.5</v>
      </c>
      <c r="M214" s="5">
        <f t="shared" si="1"/>
        <v>1278.7500000000002</v>
      </c>
      <c r="N214" s="6">
        <v>0.30000000000000004</v>
      </c>
    </row>
    <row r="215" spans="1:14" ht="15.75" customHeight="1" x14ac:dyDescent="0.45">
      <c r="A215" s="1" t="s">
        <v>121</v>
      </c>
      <c r="B215" s="1">
        <v>1128299</v>
      </c>
      <c r="C215" s="2">
        <v>44914</v>
      </c>
      <c r="D215" s="1" t="s">
        <v>22</v>
      </c>
      <c r="E215" s="1" t="s">
        <v>23</v>
      </c>
      <c r="F215" s="1" t="s">
        <v>24</v>
      </c>
      <c r="G215" s="1" t="s">
        <v>16</v>
      </c>
      <c r="H215" s="1">
        <v>16</v>
      </c>
      <c r="I215" s="1" t="s">
        <v>123</v>
      </c>
      <c r="J215" s="3">
        <v>0.55000000000000004</v>
      </c>
      <c r="K215" s="4">
        <v>7750</v>
      </c>
      <c r="L215" s="5">
        <f t="shared" si="0"/>
        <v>4262.5</v>
      </c>
      <c r="M215" s="5">
        <f t="shared" si="1"/>
        <v>1065.6249999999998</v>
      </c>
      <c r="N215" s="6">
        <v>0.24999999999999997</v>
      </c>
    </row>
    <row r="216" spans="1:14" ht="15.75" customHeight="1" x14ac:dyDescent="0.45">
      <c r="A216" s="1" t="s">
        <v>121</v>
      </c>
      <c r="B216" s="1">
        <v>1128299</v>
      </c>
      <c r="C216" s="2">
        <v>44914</v>
      </c>
      <c r="D216" s="1" t="s">
        <v>22</v>
      </c>
      <c r="E216" s="1" t="s">
        <v>23</v>
      </c>
      <c r="F216" s="1" t="s">
        <v>24</v>
      </c>
      <c r="G216" s="1" t="s">
        <v>17</v>
      </c>
      <c r="H216" s="1">
        <v>27</v>
      </c>
      <c r="I216" s="1" t="s">
        <v>125</v>
      </c>
      <c r="J216" s="3">
        <v>0.65</v>
      </c>
      <c r="K216" s="4">
        <v>7000</v>
      </c>
      <c r="L216" s="5">
        <f t="shared" si="0"/>
        <v>4550</v>
      </c>
      <c r="M216" s="5">
        <f t="shared" si="1"/>
        <v>2047.5000000000002</v>
      </c>
      <c r="N216" s="6">
        <v>0.45000000000000007</v>
      </c>
    </row>
    <row r="217" spans="1:14" ht="15.75" customHeight="1" x14ac:dyDescent="0.45">
      <c r="A217" s="1" t="s">
        <v>121</v>
      </c>
      <c r="B217" s="1">
        <v>1128299</v>
      </c>
      <c r="C217" s="2">
        <v>44914</v>
      </c>
      <c r="D217" s="1" t="s">
        <v>22</v>
      </c>
      <c r="E217" s="1" t="s">
        <v>23</v>
      </c>
      <c r="F217" s="1" t="s">
        <v>24</v>
      </c>
      <c r="G217" s="1" t="s">
        <v>18</v>
      </c>
      <c r="H217" s="1">
        <v>57</v>
      </c>
      <c r="I217" s="1" t="s">
        <v>126</v>
      </c>
      <c r="J217" s="3">
        <v>0.70000000000000007</v>
      </c>
      <c r="K217" s="4">
        <v>8000</v>
      </c>
      <c r="L217" s="5">
        <f t="shared" si="0"/>
        <v>5600.0000000000009</v>
      </c>
      <c r="M217" s="5">
        <f t="shared" si="1"/>
        <v>560.00000000000011</v>
      </c>
      <c r="N217" s="6">
        <v>0.1</v>
      </c>
    </row>
    <row r="218" spans="1:14" ht="15.75" customHeight="1" x14ac:dyDescent="0.45">
      <c r="A218" s="1" t="s">
        <v>122</v>
      </c>
      <c r="B218" s="1">
        <v>1189833</v>
      </c>
      <c r="C218" s="2">
        <v>44576</v>
      </c>
      <c r="D218" s="1" t="s">
        <v>22</v>
      </c>
      <c r="E218" s="1" t="s">
        <v>23</v>
      </c>
      <c r="F218" s="1" t="s">
        <v>25</v>
      </c>
      <c r="G218" s="1" t="s">
        <v>13</v>
      </c>
      <c r="H218" s="1">
        <v>54</v>
      </c>
      <c r="I218" s="1" t="s">
        <v>125</v>
      </c>
      <c r="J218" s="3">
        <v>0.35</v>
      </c>
      <c r="K218" s="4">
        <v>7000</v>
      </c>
      <c r="L218" s="5">
        <f t="shared" si="0"/>
        <v>2450</v>
      </c>
      <c r="M218" s="5">
        <f t="shared" si="1"/>
        <v>980</v>
      </c>
      <c r="N218" s="6">
        <v>0.4</v>
      </c>
    </row>
    <row r="219" spans="1:14" ht="15.75" customHeight="1" x14ac:dyDescent="0.45">
      <c r="A219" s="1" t="s">
        <v>122</v>
      </c>
      <c r="B219" s="1">
        <v>1189833</v>
      </c>
      <c r="C219" s="2">
        <v>44576</v>
      </c>
      <c r="D219" s="1" t="s">
        <v>22</v>
      </c>
      <c r="E219" s="1" t="s">
        <v>23</v>
      </c>
      <c r="F219" s="1" t="s">
        <v>25</v>
      </c>
      <c r="G219" s="1" t="s">
        <v>14</v>
      </c>
      <c r="H219" s="1">
        <v>32</v>
      </c>
      <c r="I219" s="1" t="s">
        <v>123</v>
      </c>
      <c r="J219" s="3">
        <v>0.45</v>
      </c>
      <c r="K219" s="4">
        <v>7000</v>
      </c>
      <c r="L219" s="5">
        <f t="shared" si="0"/>
        <v>3150</v>
      </c>
      <c r="M219" s="5">
        <f t="shared" si="1"/>
        <v>787.5</v>
      </c>
      <c r="N219" s="6">
        <v>0.25</v>
      </c>
    </row>
    <row r="220" spans="1:14" ht="15.75" customHeight="1" x14ac:dyDescent="0.45">
      <c r="A220" s="1" t="s">
        <v>122</v>
      </c>
      <c r="B220" s="1">
        <v>1189833</v>
      </c>
      <c r="C220" s="2">
        <v>44576</v>
      </c>
      <c r="D220" s="1" t="s">
        <v>22</v>
      </c>
      <c r="E220" s="1" t="s">
        <v>23</v>
      </c>
      <c r="F220" s="1" t="s">
        <v>25</v>
      </c>
      <c r="G220" s="1" t="s">
        <v>15</v>
      </c>
      <c r="H220" s="1">
        <v>30</v>
      </c>
      <c r="I220" s="1" t="s">
        <v>126</v>
      </c>
      <c r="J220" s="3">
        <v>0.45</v>
      </c>
      <c r="K220" s="4">
        <v>7000</v>
      </c>
      <c r="L220" s="5">
        <f t="shared" si="0"/>
        <v>3150</v>
      </c>
      <c r="M220" s="5">
        <f t="shared" si="1"/>
        <v>1260</v>
      </c>
      <c r="N220" s="6">
        <v>0.4</v>
      </c>
    </row>
    <row r="221" spans="1:14" ht="15.75" customHeight="1" x14ac:dyDescent="0.45">
      <c r="A221" s="1" t="s">
        <v>122</v>
      </c>
      <c r="B221" s="1">
        <v>1189833</v>
      </c>
      <c r="C221" s="2">
        <v>44576</v>
      </c>
      <c r="D221" s="1" t="s">
        <v>22</v>
      </c>
      <c r="E221" s="1" t="s">
        <v>23</v>
      </c>
      <c r="F221" s="1" t="s">
        <v>25</v>
      </c>
      <c r="G221" s="1" t="s">
        <v>16</v>
      </c>
      <c r="H221" s="1">
        <v>30</v>
      </c>
      <c r="I221" s="1" t="s">
        <v>123</v>
      </c>
      <c r="J221" s="3">
        <v>0.45</v>
      </c>
      <c r="K221" s="4">
        <v>5500</v>
      </c>
      <c r="L221" s="5">
        <f t="shared" si="0"/>
        <v>2475</v>
      </c>
      <c r="M221" s="5">
        <f t="shared" si="1"/>
        <v>866.25</v>
      </c>
      <c r="N221" s="6">
        <v>0.35</v>
      </c>
    </row>
    <row r="222" spans="1:14" ht="15.75" customHeight="1" x14ac:dyDescent="0.45">
      <c r="A222" s="1" t="s">
        <v>122</v>
      </c>
      <c r="B222" s="1">
        <v>1189833</v>
      </c>
      <c r="C222" s="2">
        <v>44576</v>
      </c>
      <c r="D222" s="1" t="s">
        <v>22</v>
      </c>
      <c r="E222" s="1" t="s">
        <v>23</v>
      </c>
      <c r="F222" s="1" t="s">
        <v>25</v>
      </c>
      <c r="G222" s="1" t="s">
        <v>17</v>
      </c>
      <c r="H222" s="1">
        <v>19</v>
      </c>
      <c r="I222" s="1" t="s">
        <v>125</v>
      </c>
      <c r="J222" s="3">
        <v>0.5</v>
      </c>
      <c r="K222" s="4">
        <v>5000</v>
      </c>
      <c r="L222" s="5">
        <f t="shared" si="0"/>
        <v>2500</v>
      </c>
      <c r="M222" s="5">
        <f t="shared" si="1"/>
        <v>1375</v>
      </c>
      <c r="N222" s="6">
        <v>0.55000000000000004</v>
      </c>
    </row>
    <row r="223" spans="1:14" ht="15.75" customHeight="1" x14ac:dyDescent="0.45">
      <c r="A223" s="1" t="s">
        <v>122</v>
      </c>
      <c r="B223" s="1">
        <v>1189833</v>
      </c>
      <c r="C223" s="2">
        <v>44576</v>
      </c>
      <c r="D223" s="1" t="s">
        <v>22</v>
      </c>
      <c r="E223" s="1" t="s">
        <v>23</v>
      </c>
      <c r="F223" s="1" t="s">
        <v>25</v>
      </c>
      <c r="G223" s="1" t="s">
        <v>18</v>
      </c>
      <c r="H223" s="1">
        <v>44</v>
      </c>
      <c r="I223" s="1" t="s">
        <v>125</v>
      </c>
      <c r="J223" s="3">
        <v>0.45</v>
      </c>
      <c r="K223" s="4">
        <v>7000</v>
      </c>
      <c r="L223" s="5">
        <f t="shared" si="0"/>
        <v>3150</v>
      </c>
      <c r="M223" s="5">
        <f t="shared" si="1"/>
        <v>630</v>
      </c>
      <c r="N223" s="6">
        <v>0.2</v>
      </c>
    </row>
    <row r="224" spans="1:14" ht="15.75" customHeight="1" x14ac:dyDescent="0.45">
      <c r="A224" s="1" t="s">
        <v>122</v>
      </c>
      <c r="B224" s="1">
        <v>1189833</v>
      </c>
      <c r="C224" s="2">
        <v>44607</v>
      </c>
      <c r="D224" s="1" t="s">
        <v>22</v>
      </c>
      <c r="E224" s="1" t="s">
        <v>23</v>
      </c>
      <c r="F224" s="1" t="s">
        <v>25</v>
      </c>
      <c r="G224" s="1" t="s">
        <v>13</v>
      </c>
      <c r="H224" s="1">
        <v>44</v>
      </c>
      <c r="I224" s="1" t="s">
        <v>123</v>
      </c>
      <c r="J224" s="3">
        <v>0.35</v>
      </c>
      <c r="K224" s="4">
        <v>7500</v>
      </c>
      <c r="L224" s="5">
        <f t="shared" si="0"/>
        <v>2625</v>
      </c>
      <c r="M224" s="5">
        <f t="shared" si="1"/>
        <v>1050</v>
      </c>
      <c r="N224" s="6">
        <v>0.4</v>
      </c>
    </row>
    <row r="225" spans="1:14" ht="15.75" customHeight="1" x14ac:dyDescent="0.45">
      <c r="A225" s="1" t="s">
        <v>122</v>
      </c>
      <c r="B225" s="1">
        <v>1189833</v>
      </c>
      <c r="C225" s="2">
        <v>44607</v>
      </c>
      <c r="D225" s="1" t="s">
        <v>22</v>
      </c>
      <c r="E225" s="1" t="s">
        <v>23</v>
      </c>
      <c r="F225" s="1" t="s">
        <v>25</v>
      </c>
      <c r="G225" s="1" t="s">
        <v>14</v>
      </c>
      <c r="H225" s="1">
        <v>18</v>
      </c>
      <c r="I225" s="1" t="s">
        <v>126</v>
      </c>
      <c r="J225" s="3">
        <v>0.45</v>
      </c>
      <c r="K225" s="4">
        <v>6500</v>
      </c>
      <c r="L225" s="5">
        <f t="shared" si="0"/>
        <v>2925</v>
      </c>
      <c r="M225" s="5">
        <f t="shared" si="1"/>
        <v>731.25</v>
      </c>
      <c r="N225" s="6">
        <v>0.25</v>
      </c>
    </row>
    <row r="226" spans="1:14" ht="15.75" customHeight="1" x14ac:dyDescent="0.45">
      <c r="A226" s="1" t="s">
        <v>122</v>
      </c>
      <c r="B226" s="1">
        <v>1189833</v>
      </c>
      <c r="C226" s="2">
        <v>44607</v>
      </c>
      <c r="D226" s="1" t="s">
        <v>22</v>
      </c>
      <c r="E226" s="1" t="s">
        <v>23</v>
      </c>
      <c r="F226" s="1" t="s">
        <v>25</v>
      </c>
      <c r="G226" s="1" t="s">
        <v>15</v>
      </c>
      <c r="H226" s="1">
        <v>33</v>
      </c>
      <c r="I226" s="1" t="s">
        <v>124</v>
      </c>
      <c r="J226" s="3">
        <v>0.45</v>
      </c>
      <c r="K226" s="4">
        <v>6750</v>
      </c>
      <c r="L226" s="5">
        <f t="shared" si="0"/>
        <v>3037.5</v>
      </c>
      <c r="M226" s="5">
        <f t="shared" si="1"/>
        <v>1215</v>
      </c>
      <c r="N226" s="6">
        <v>0.4</v>
      </c>
    </row>
    <row r="227" spans="1:14" ht="15.75" customHeight="1" x14ac:dyDescent="0.45">
      <c r="A227" s="1" t="s">
        <v>122</v>
      </c>
      <c r="B227" s="1">
        <v>1189833</v>
      </c>
      <c r="C227" s="2">
        <v>44607</v>
      </c>
      <c r="D227" s="1" t="s">
        <v>22</v>
      </c>
      <c r="E227" s="1" t="s">
        <v>23</v>
      </c>
      <c r="F227" s="1" t="s">
        <v>25</v>
      </c>
      <c r="G227" s="1" t="s">
        <v>16</v>
      </c>
      <c r="H227" s="1">
        <v>35</v>
      </c>
      <c r="I227" s="1" t="s">
        <v>123</v>
      </c>
      <c r="J227" s="3">
        <v>0.45</v>
      </c>
      <c r="K227" s="4">
        <v>5250</v>
      </c>
      <c r="L227" s="5">
        <f t="shared" si="0"/>
        <v>2362.5</v>
      </c>
      <c r="M227" s="5">
        <f t="shared" si="1"/>
        <v>826.875</v>
      </c>
      <c r="N227" s="6">
        <v>0.35</v>
      </c>
    </row>
    <row r="228" spans="1:14" ht="15.75" customHeight="1" x14ac:dyDescent="0.45">
      <c r="A228" s="1" t="s">
        <v>122</v>
      </c>
      <c r="B228" s="1">
        <v>1189833</v>
      </c>
      <c r="C228" s="2">
        <v>44607</v>
      </c>
      <c r="D228" s="1" t="s">
        <v>22</v>
      </c>
      <c r="E228" s="1" t="s">
        <v>23</v>
      </c>
      <c r="F228" s="1" t="s">
        <v>25</v>
      </c>
      <c r="G228" s="1" t="s">
        <v>17</v>
      </c>
      <c r="H228" s="1">
        <v>37</v>
      </c>
      <c r="I228" s="1" t="s">
        <v>126</v>
      </c>
      <c r="J228" s="3">
        <v>0.5</v>
      </c>
      <c r="K228" s="4">
        <v>4500</v>
      </c>
      <c r="L228" s="5">
        <f t="shared" si="0"/>
        <v>2250</v>
      </c>
      <c r="M228" s="5">
        <f t="shared" si="1"/>
        <v>1237.5</v>
      </c>
      <c r="N228" s="6">
        <v>0.55000000000000004</v>
      </c>
    </row>
    <row r="229" spans="1:14" ht="15.75" customHeight="1" x14ac:dyDescent="0.45">
      <c r="A229" s="1" t="s">
        <v>122</v>
      </c>
      <c r="B229" s="1">
        <v>1189833</v>
      </c>
      <c r="C229" s="2">
        <v>44607</v>
      </c>
      <c r="D229" s="1" t="s">
        <v>22</v>
      </c>
      <c r="E229" s="1" t="s">
        <v>23</v>
      </c>
      <c r="F229" s="1" t="s">
        <v>25</v>
      </c>
      <c r="G229" s="1" t="s">
        <v>18</v>
      </c>
      <c r="H229" s="1">
        <v>31</v>
      </c>
      <c r="I229" s="1" t="s">
        <v>124</v>
      </c>
      <c r="J229" s="3">
        <v>0.45</v>
      </c>
      <c r="K229" s="4">
        <v>6500</v>
      </c>
      <c r="L229" s="5">
        <f t="shared" si="0"/>
        <v>2925</v>
      </c>
      <c r="M229" s="5">
        <f t="shared" si="1"/>
        <v>585</v>
      </c>
      <c r="N229" s="6">
        <v>0.2</v>
      </c>
    </row>
    <row r="230" spans="1:14" ht="15.75" customHeight="1" x14ac:dyDescent="0.45">
      <c r="A230" s="1" t="s">
        <v>122</v>
      </c>
      <c r="B230" s="1">
        <v>1189833</v>
      </c>
      <c r="C230" s="2">
        <v>44634</v>
      </c>
      <c r="D230" s="1" t="s">
        <v>22</v>
      </c>
      <c r="E230" s="1" t="s">
        <v>23</v>
      </c>
      <c r="F230" s="1" t="s">
        <v>25</v>
      </c>
      <c r="G230" s="1" t="s">
        <v>13</v>
      </c>
      <c r="H230" s="1">
        <v>23</v>
      </c>
      <c r="I230" s="1" t="s">
        <v>123</v>
      </c>
      <c r="J230" s="3">
        <v>0.35</v>
      </c>
      <c r="K230" s="4">
        <v>8000</v>
      </c>
      <c r="L230" s="5">
        <f t="shared" si="0"/>
        <v>2800</v>
      </c>
      <c r="M230" s="5">
        <f t="shared" si="1"/>
        <v>1120</v>
      </c>
      <c r="N230" s="6">
        <v>0.4</v>
      </c>
    </row>
    <row r="231" spans="1:14" ht="15.75" customHeight="1" x14ac:dyDescent="0.45">
      <c r="A231" s="1" t="s">
        <v>122</v>
      </c>
      <c r="B231" s="1">
        <v>1189833</v>
      </c>
      <c r="C231" s="2">
        <v>44634</v>
      </c>
      <c r="D231" s="1" t="s">
        <v>22</v>
      </c>
      <c r="E231" s="1" t="s">
        <v>23</v>
      </c>
      <c r="F231" s="1" t="s">
        <v>25</v>
      </c>
      <c r="G231" s="1" t="s">
        <v>14</v>
      </c>
      <c r="H231" s="1">
        <v>47</v>
      </c>
      <c r="I231" s="1" t="s">
        <v>124</v>
      </c>
      <c r="J231" s="3">
        <v>0.45</v>
      </c>
      <c r="K231" s="4">
        <v>6500</v>
      </c>
      <c r="L231" s="5">
        <f t="shared" si="0"/>
        <v>2925</v>
      </c>
      <c r="M231" s="5">
        <f t="shared" si="1"/>
        <v>731.25</v>
      </c>
      <c r="N231" s="6">
        <v>0.25</v>
      </c>
    </row>
    <row r="232" spans="1:14" ht="15.75" customHeight="1" x14ac:dyDescent="0.45">
      <c r="A232" s="1" t="s">
        <v>122</v>
      </c>
      <c r="B232" s="1">
        <v>1189833</v>
      </c>
      <c r="C232" s="2">
        <v>44634</v>
      </c>
      <c r="D232" s="1" t="s">
        <v>22</v>
      </c>
      <c r="E232" s="1" t="s">
        <v>23</v>
      </c>
      <c r="F232" s="1" t="s">
        <v>25</v>
      </c>
      <c r="G232" s="1" t="s">
        <v>15</v>
      </c>
      <c r="H232" s="1">
        <v>52</v>
      </c>
      <c r="I232" s="1" t="s">
        <v>123</v>
      </c>
      <c r="J232" s="3">
        <v>0.45</v>
      </c>
      <c r="K232" s="4">
        <v>6500</v>
      </c>
      <c r="L232" s="5">
        <f t="shared" si="0"/>
        <v>2925</v>
      </c>
      <c r="M232" s="5">
        <f t="shared" si="1"/>
        <v>1170</v>
      </c>
      <c r="N232" s="6">
        <v>0.4</v>
      </c>
    </row>
    <row r="233" spans="1:14" ht="15.75" customHeight="1" x14ac:dyDescent="0.45">
      <c r="A233" s="1" t="s">
        <v>122</v>
      </c>
      <c r="B233" s="1">
        <v>1189833</v>
      </c>
      <c r="C233" s="2">
        <v>44634</v>
      </c>
      <c r="D233" s="1" t="s">
        <v>22</v>
      </c>
      <c r="E233" s="1" t="s">
        <v>23</v>
      </c>
      <c r="F233" s="1" t="s">
        <v>25</v>
      </c>
      <c r="G233" s="1" t="s">
        <v>16</v>
      </c>
      <c r="H233" s="1">
        <v>18</v>
      </c>
      <c r="I233" s="1" t="s">
        <v>124</v>
      </c>
      <c r="J233" s="3">
        <v>0.45</v>
      </c>
      <c r="K233" s="4">
        <v>5500</v>
      </c>
      <c r="L233" s="5">
        <f t="shared" si="0"/>
        <v>2475</v>
      </c>
      <c r="M233" s="5">
        <f t="shared" si="1"/>
        <v>866.25</v>
      </c>
      <c r="N233" s="6">
        <v>0.35</v>
      </c>
    </row>
    <row r="234" spans="1:14" ht="15.75" customHeight="1" x14ac:dyDescent="0.45">
      <c r="A234" s="1" t="s">
        <v>122</v>
      </c>
      <c r="B234" s="1">
        <v>1189833</v>
      </c>
      <c r="C234" s="2">
        <v>44634</v>
      </c>
      <c r="D234" s="1" t="s">
        <v>22</v>
      </c>
      <c r="E234" s="1" t="s">
        <v>23</v>
      </c>
      <c r="F234" s="1" t="s">
        <v>25</v>
      </c>
      <c r="G234" s="1" t="s">
        <v>17</v>
      </c>
      <c r="H234" s="1">
        <v>46</v>
      </c>
      <c r="I234" s="1" t="s">
        <v>124</v>
      </c>
      <c r="J234" s="3">
        <v>0.5</v>
      </c>
      <c r="K234" s="4">
        <v>4250</v>
      </c>
      <c r="L234" s="5">
        <f t="shared" si="0"/>
        <v>2125</v>
      </c>
      <c r="M234" s="5">
        <f t="shared" si="1"/>
        <v>1168.75</v>
      </c>
      <c r="N234" s="6">
        <v>0.55000000000000004</v>
      </c>
    </row>
    <row r="235" spans="1:14" ht="15.75" customHeight="1" x14ac:dyDescent="0.45">
      <c r="A235" s="1" t="s">
        <v>122</v>
      </c>
      <c r="B235" s="1">
        <v>1189833</v>
      </c>
      <c r="C235" s="2">
        <v>44634</v>
      </c>
      <c r="D235" s="1" t="s">
        <v>22</v>
      </c>
      <c r="E235" s="1" t="s">
        <v>23</v>
      </c>
      <c r="F235" s="1" t="s">
        <v>25</v>
      </c>
      <c r="G235" s="1" t="s">
        <v>18</v>
      </c>
      <c r="H235" s="1">
        <v>25</v>
      </c>
      <c r="I235" s="1" t="s">
        <v>124</v>
      </c>
      <c r="J235" s="3">
        <v>0.45</v>
      </c>
      <c r="K235" s="4">
        <v>6250</v>
      </c>
      <c r="L235" s="5">
        <f t="shared" si="0"/>
        <v>2812.5</v>
      </c>
      <c r="M235" s="5">
        <f t="shared" si="1"/>
        <v>562.5</v>
      </c>
      <c r="N235" s="6">
        <v>0.2</v>
      </c>
    </row>
    <row r="236" spans="1:14" ht="15.75" customHeight="1" x14ac:dyDescent="0.45">
      <c r="A236" s="1" t="s">
        <v>122</v>
      </c>
      <c r="B236" s="1">
        <v>1189833</v>
      </c>
      <c r="C236" s="2">
        <v>44666</v>
      </c>
      <c r="D236" s="1" t="s">
        <v>22</v>
      </c>
      <c r="E236" s="1" t="s">
        <v>23</v>
      </c>
      <c r="F236" s="1" t="s">
        <v>25</v>
      </c>
      <c r="G236" s="1" t="s">
        <v>13</v>
      </c>
      <c r="H236" s="1">
        <v>46</v>
      </c>
      <c r="I236" s="1" t="s">
        <v>124</v>
      </c>
      <c r="J236" s="3">
        <v>0.45</v>
      </c>
      <c r="K236" s="4">
        <v>8000</v>
      </c>
      <c r="L236" s="5">
        <f t="shared" si="0"/>
        <v>3600</v>
      </c>
      <c r="M236" s="5">
        <f t="shared" si="1"/>
        <v>1440</v>
      </c>
      <c r="N236" s="6">
        <v>0.4</v>
      </c>
    </row>
    <row r="237" spans="1:14" ht="15.75" customHeight="1" x14ac:dyDescent="0.45">
      <c r="A237" s="1" t="s">
        <v>122</v>
      </c>
      <c r="B237" s="1">
        <v>1189833</v>
      </c>
      <c r="C237" s="2">
        <v>44666</v>
      </c>
      <c r="D237" s="1" t="s">
        <v>22</v>
      </c>
      <c r="E237" s="1" t="s">
        <v>23</v>
      </c>
      <c r="F237" s="1" t="s">
        <v>25</v>
      </c>
      <c r="G237" s="1" t="s">
        <v>14</v>
      </c>
      <c r="H237" s="1">
        <v>23</v>
      </c>
      <c r="I237" s="1" t="s">
        <v>123</v>
      </c>
      <c r="J237" s="3">
        <v>0.5</v>
      </c>
      <c r="K237" s="4">
        <v>6000</v>
      </c>
      <c r="L237" s="5">
        <f t="shared" si="0"/>
        <v>3000</v>
      </c>
      <c r="M237" s="5">
        <f t="shared" si="1"/>
        <v>750</v>
      </c>
      <c r="N237" s="6">
        <v>0.25</v>
      </c>
    </row>
    <row r="238" spans="1:14" ht="15.75" customHeight="1" x14ac:dyDescent="0.45">
      <c r="A238" s="1" t="s">
        <v>122</v>
      </c>
      <c r="B238" s="1">
        <v>1189833</v>
      </c>
      <c r="C238" s="2">
        <v>44666</v>
      </c>
      <c r="D238" s="1" t="s">
        <v>22</v>
      </c>
      <c r="E238" s="1" t="s">
        <v>23</v>
      </c>
      <c r="F238" s="1" t="s">
        <v>25</v>
      </c>
      <c r="G238" s="1" t="s">
        <v>15</v>
      </c>
      <c r="H238" s="1">
        <v>32</v>
      </c>
      <c r="I238" s="1" t="s">
        <v>126</v>
      </c>
      <c r="J238" s="3">
        <v>0.5</v>
      </c>
      <c r="K238" s="4">
        <v>6250</v>
      </c>
      <c r="L238" s="5">
        <f t="shared" si="0"/>
        <v>3125</v>
      </c>
      <c r="M238" s="5">
        <f t="shared" si="1"/>
        <v>1250</v>
      </c>
      <c r="N238" s="6">
        <v>0.4</v>
      </c>
    </row>
    <row r="239" spans="1:14" ht="15.75" customHeight="1" x14ac:dyDescent="0.45">
      <c r="A239" s="1" t="s">
        <v>122</v>
      </c>
      <c r="B239" s="1">
        <v>1189833</v>
      </c>
      <c r="C239" s="2">
        <v>44666</v>
      </c>
      <c r="D239" s="1" t="s">
        <v>22</v>
      </c>
      <c r="E239" s="1" t="s">
        <v>23</v>
      </c>
      <c r="F239" s="1" t="s">
        <v>25</v>
      </c>
      <c r="G239" s="1" t="s">
        <v>16</v>
      </c>
      <c r="H239" s="1">
        <v>34</v>
      </c>
      <c r="I239" s="1" t="s">
        <v>126</v>
      </c>
      <c r="J239" s="3">
        <v>0.45</v>
      </c>
      <c r="K239" s="4">
        <v>5250</v>
      </c>
      <c r="L239" s="5">
        <f t="shared" si="0"/>
        <v>2362.5</v>
      </c>
      <c r="M239" s="5">
        <f t="shared" si="1"/>
        <v>826.875</v>
      </c>
      <c r="N239" s="6">
        <v>0.35</v>
      </c>
    </row>
    <row r="240" spans="1:14" ht="15.75" customHeight="1" x14ac:dyDescent="0.45">
      <c r="A240" s="1" t="s">
        <v>122</v>
      </c>
      <c r="B240" s="1">
        <v>1189833</v>
      </c>
      <c r="C240" s="2">
        <v>44666</v>
      </c>
      <c r="D240" s="1" t="s">
        <v>22</v>
      </c>
      <c r="E240" s="1" t="s">
        <v>23</v>
      </c>
      <c r="F240" s="1" t="s">
        <v>25</v>
      </c>
      <c r="G240" s="1" t="s">
        <v>17</v>
      </c>
      <c r="H240" s="1">
        <v>48</v>
      </c>
      <c r="I240" s="1" t="s">
        <v>124</v>
      </c>
      <c r="J240" s="3">
        <v>0.5</v>
      </c>
      <c r="K240" s="4">
        <v>4250</v>
      </c>
      <c r="L240" s="5">
        <f t="shared" si="0"/>
        <v>2125</v>
      </c>
      <c r="M240" s="5">
        <f t="shared" si="1"/>
        <v>1168.75</v>
      </c>
      <c r="N240" s="6">
        <v>0.55000000000000004</v>
      </c>
    </row>
    <row r="241" spans="1:14" ht="15.75" customHeight="1" x14ac:dyDescent="0.45">
      <c r="A241" s="1" t="s">
        <v>122</v>
      </c>
      <c r="B241" s="1">
        <v>1189833</v>
      </c>
      <c r="C241" s="2">
        <v>44666</v>
      </c>
      <c r="D241" s="1" t="s">
        <v>22</v>
      </c>
      <c r="E241" s="1" t="s">
        <v>23</v>
      </c>
      <c r="F241" s="1" t="s">
        <v>25</v>
      </c>
      <c r="G241" s="1" t="s">
        <v>18</v>
      </c>
      <c r="H241" s="1">
        <v>15</v>
      </c>
      <c r="I241" s="1" t="s">
        <v>125</v>
      </c>
      <c r="J241" s="3">
        <v>0.65</v>
      </c>
      <c r="K241" s="4">
        <v>6000</v>
      </c>
      <c r="L241" s="5">
        <f t="shared" si="0"/>
        <v>3900</v>
      </c>
      <c r="M241" s="5">
        <f t="shared" si="1"/>
        <v>780</v>
      </c>
      <c r="N241" s="6">
        <v>0.2</v>
      </c>
    </row>
    <row r="242" spans="1:14" ht="15.75" customHeight="1" x14ac:dyDescent="0.45">
      <c r="A242" s="1" t="s">
        <v>122</v>
      </c>
      <c r="B242" s="1">
        <v>1189833</v>
      </c>
      <c r="C242" s="2">
        <v>44697</v>
      </c>
      <c r="D242" s="1" t="s">
        <v>22</v>
      </c>
      <c r="E242" s="1" t="s">
        <v>23</v>
      </c>
      <c r="F242" s="1" t="s">
        <v>25</v>
      </c>
      <c r="G242" s="1" t="s">
        <v>13</v>
      </c>
      <c r="H242" s="1">
        <v>46</v>
      </c>
      <c r="I242" s="1" t="s">
        <v>123</v>
      </c>
      <c r="J242" s="3">
        <v>0.45</v>
      </c>
      <c r="K242" s="4">
        <v>8000</v>
      </c>
      <c r="L242" s="5">
        <f t="shared" si="0"/>
        <v>3600</v>
      </c>
      <c r="M242" s="5">
        <f t="shared" si="1"/>
        <v>1440</v>
      </c>
      <c r="N242" s="6">
        <v>0.4</v>
      </c>
    </row>
    <row r="243" spans="1:14" ht="15.75" customHeight="1" x14ac:dyDescent="0.45">
      <c r="A243" s="1" t="s">
        <v>122</v>
      </c>
      <c r="B243" s="1">
        <v>1189833</v>
      </c>
      <c r="C243" s="2">
        <v>44697</v>
      </c>
      <c r="D243" s="1" t="s">
        <v>22</v>
      </c>
      <c r="E243" s="1" t="s">
        <v>23</v>
      </c>
      <c r="F243" s="1" t="s">
        <v>25</v>
      </c>
      <c r="G243" s="1" t="s">
        <v>14</v>
      </c>
      <c r="H243" s="1">
        <v>25</v>
      </c>
      <c r="I243" s="1" t="s">
        <v>124</v>
      </c>
      <c r="J243" s="3">
        <v>0.5</v>
      </c>
      <c r="K243" s="4">
        <v>6500</v>
      </c>
      <c r="L243" s="5">
        <f t="shared" si="0"/>
        <v>3250</v>
      </c>
      <c r="M243" s="5">
        <f t="shared" si="1"/>
        <v>812.5</v>
      </c>
      <c r="N243" s="6">
        <v>0.25</v>
      </c>
    </row>
    <row r="244" spans="1:14" ht="15.75" customHeight="1" x14ac:dyDescent="0.45">
      <c r="A244" s="1" t="s">
        <v>122</v>
      </c>
      <c r="B244" s="1">
        <v>1189833</v>
      </c>
      <c r="C244" s="2">
        <v>44697</v>
      </c>
      <c r="D244" s="1" t="s">
        <v>22</v>
      </c>
      <c r="E244" s="1" t="s">
        <v>23</v>
      </c>
      <c r="F244" s="1" t="s">
        <v>25</v>
      </c>
      <c r="G244" s="1" t="s">
        <v>15</v>
      </c>
      <c r="H244" s="1">
        <v>36</v>
      </c>
      <c r="I244" s="1" t="s">
        <v>124</v>
      </c>
      <c r="J244" s="3">
        <v>0.5</v>
      </c>
      <c r="K244" s="4">
        <v>6500</v>
      </c>
      <c r="L244" s="5">
        <f t="shared" si="0"/>
        <v>3250</v>
      </c>
      <c r="M244" s="5">
        <f t="shared" si="1"/>
        <v>1300</v>
      </c>
      <c r="N244" s="6">
        <v>0.4</v>
      </c>
    </row>
    <row r="245" spans="1:14" ht="15.75" customHeight="1" x14ac:dyDescent="0.45">
      <c r="A245" s="1" t="s">
        <v>122</v>
      </c>
      <c r="B245" s="1">
        <v>1189833</v>
      </c>
      <c r="C245" s="2">
        <v>44697</v>
      </c>
      <c r="D245" s="1" t="s">
        <v>22</v>
      </c>
      <c r="E245" s="1" t="s">
        <v>23</v>
      </c>
      <c r="F245" s="1" t="s">
        <v>25</v>
      </c>
      <c r="G245" s="1" t="s">
        <v>16</v>
      </c>
      <c r="H245" s="1">
        <v>18</v>
      </c>
      <c r="I245" s="1" t="s">
        <v>126</v>
      </c>
      <c r="J245" s="3">
        <v>0.45</v>
      </c>
      <c r="K245" s="4">
        <v>5500</v>
      </c>
      <c r="L245" s="5">
        <f t="shared" si="0"/>
        <v>2475</v>
      </c>
      <c r="M245" s="5">
        <f t="shared" si="1"/>
        <v>866.25</v>
      </c>
      <c r="N245" s="6">
        <v>0.35</v>
      </c>
    </row>
    <row r="246" spans="1:14" ht="15.75" customHeight="1" x14ac:dyDescent="0.45">
      <c r="A246" s="1" t="s">
        <v>122</v>
      </c>
      <c r="B246" s="1">
        <v>1189833</v>
      </c>
      <c r="C246" s="2">
        <v>44697</v>
      </c>
      <c r="D246" s="1" t="s">
        <v>22</v>
      </c>
      <c r="E246" s="1" t="s">
        <v>23</v>
      </c>
      <c r="F246" s="1" t="s">
        <v>25</v>
      </c>
      <c r="G246" s="1" t="s">
        <v>17</v>
      </c>
      <c r="H246" s="1">
        <v>52</v>
      </c>
      <c r="I246" s="1" t="s">
        <v>123</v>
      </c>
      <c r="J246" s="3">
        <v>0.5</v>
      </c>
      <c r="K246" s="4">
        <v>4500</v>
      </c>
      <c r="L246" s="5">
        <f t="shared" si="0"/>
        <v>2250</v>
      </c>
      <c r="M246" s="5">
        <f t="shared" si="1"/>
        <v>1237.5</v>
      </c>
      <c r="N246" s="6">
        <v>0.55000000000000004</v>
      </c>
    </row>
    <row r="247" spans="1:14" ht="15.75" customHeight="1" x14ac:dyDescent="0.45">
      <c r="A247" s="1" t="s">
        <v>122</v>
      </c>
      <c r="B247" s="1">
        <v>1189833</v>
      </c>
      <c r="C247" s="2">
        <v>44697</v>
      </c>
      <c r="D247" s="1" t="s">
        <v>22</v>
      </c>
      <c r="E247" s="1" t="s">
        <v>23</v>
      </c>
      <c r="F247" s="1" t="s">
        <v>25</v>
      </c>
      <c r="G247" s="1" t="s">
        <v>18</v>
      </c>
      <c r="H247" s="1">
        <v>41</v>
      </c>
      <c r="I247" s="1" t="s">
        <v>123</v>
      </c>
      <c r="J247" s="3">
        <v>0.65</v>
      </c>
      <c r="K247" s="4">
        <v>6250</v>
      </c>
      <c r="L247" s="5">
        <f t="shared" si="0"/>
        <v>4062.5</v>
      </c>
      <c r="M247" s="5">
        <f t="shared" si="1"/>
        <v>812.5</v>
      </c>
      <c r="N247" s="6">
        <v>0.2</v>
      </c>
    </row>
    <row r="248" spans="1:14" ht="15.75" customHeight="1" x14ac:dyDescent="0.45">
      <c r="A248" s="1" t="s">
        <v>122</v>
      </c>
      <c r="B248" s="1">
        <v>1189833</v>
      </c>
      <c r="C248" s="2">
        <v>44727</v>
      </c>
      <c r="D248" s="1" t="s">
        <v>22</v>
      </c>
      <c r="E248" s="1" t="s">
        <v>23</v>
      </c>
      <c r="F248" s="1" t="s">
        <v>25</v>
      </c>
      <c r="G248" s="1" t="s">
        <v>13</v>
      </c>
      <c r="H248" s="1">
        <v>58</v>
      </c>
      <c r="I248" s="1" t="s">
        <v>126</v>
      </c>
      <c r="J248" s="3">
        <v>0.45</v>
      </c>
      <c r="K248" s="4">
        <v>9000</v>
      </c>
      <c r="L248" s="5">
        <f t="shared" si="0"/>
        <v>4050</v>
      </c>
      <c r="M248" s="5">
        <f t="shared" si="1"/>
        <v>1620</v>
      </c>
      <c r="N248" s="6">
        <v>0.4</v>
      </c>
    </row>
    <row r="249" spans="1:14" ht="15.75" customHeight="1" x14ac:dyDescent="0.45">
      <c r="A249" s="1" t="s">
        <v>122</v>
      </c>
      <c r="B249" s="1">
        <v>1189833</v>
      </c>
      <c r="C249" s="2">
        <v>44727</v>
      </c>
      <c r="D249" s="1" t="s">
        <v>22</v>
      </c>
      <c r="E249" s="1" t="s">
        <v>23</v>
      </c>
      <c r="F249" s="1" t="s">
        <v>25</v>
      </c>
      <c r="G249" s="1" t="s">
        <v>14</v>
      </c>
      <c r="H249" s="1">
        <v>25</v>
      </c>
      <c r="I249" s="1" t="s">
        <v>124</v>
      </c>
      <c r="J249" s="3">
        <v>0.5</v>
      </c>
      <c r="K249" s="4">
        <v>7500</v>
      </c>
      <c r="L249" s="5">
        <f t="shared" si="0"/>
        <v>3750</v>
      </c>
      <c r="M249" s="5">
        <f t="shared" si="1"/>
        <v>937.5</v>
      </c>
      <c r="N249" s="6">
        <v>0.25</v>
      </c>
    </row>
    <row r="250" spans="1:14" ht="15.75" customHeight="1" x14ac:dyDescent="0.45">
      <c r="A250" s="1" t="s">
        <v>122</v>
      </c>
      <c r="B250" s="1">
        <v>1189833</v>
      </c>
      <c r="C250" s="2">
        <v>44727</v>
      </c>
      <c r="D250" s="1" t="s">
        <v>22</v>
      </c>
      <c r="E250" s="1" t="s">
        <v>23</v>
      </c>
      <c r="F250" s="1" t="s">
        <v>25</v>
      </c>
      <c r="G250" s="1" t="s">
        <v>15</v>
      </c>
      <c r="H250" s="1">
        <v>52</v>
      </c>
      <c r="I250" s="1" t="s">
        <v>125</v>
      </c>
      <c r="J250" s="3">
        <v>0.5</v>
      </c>
      <c r="K250" s="4">
        <v>7500</v>
      </c>
      <c r="L250" s="5">
        <f t="shared" si="0"/>
        <v>3750</v>
      </c>
      <c r="M250" s="5">
        <f t="shared" si="1"/>
        <v>1500</v>
      </c>
      <c r="N250" s="6">
        <v>0.4</v>
      </c>
    </row>
    <row r="251" spans="1:14" ht="15.75" customHeight="1" x14ac:dyDescent="0.45">
      <c r="A251" s="1" t="s">
        <v>122</v>
      </c>
      <c r="B251" s="1">
        <v>1189833</v>
      </c>
      <c r="C251" s="2">
        <v>44727</v>
      </c>
      <c r="D251" s="1" t="s">
        <v>22</v>
      </c>
      <c r="E251" s="1" t="s">
        <v>23</v>
      </c>
      <c r="F251" s="1" t="s">
        <v>25</v>
      </c>
      <c r="G251" s="1" t="s">
        <v>16</v>
      </c>
      <c r="H251" s="1">
        <v>34</v>
      </c>
      <c r="I251" s="1" t="s">
        <v>124</v>
      </c>
      <c r="J251" s="3">
        <v>0.45</v>
      </c>
      <c r="K251" s="4">
        <v>6250</v>
      </c>
      <c r="L251" s="5">
        <f t="shared" si="0"/>
        <v>2812.5</v>
      </c>
      <c r="M251" s="5">
        <f t="shared" si="1"/>
        <v>984.37499999999989</v>
      </c>
      <c r="N251" s="6">
        <v>0.35</v>
      </c>
    </row>
    <row r="252" spans="1:14" ht="15.75" customHeight="1" x14ac:dyDescent="0.45">
      <c r="A252" s="1" t="s">
        <v>122</v>
      </c>
      <c r="B252" s="1">
        <v>1189833</v>
      </c>
      <c r="C252" s="2">
        <v>44727</v>
      </c>
      <c r="D252" s="1" t="s">
        <v>22</v>
      </c>
      <c r="E252" s="1" t="s">
        <v>23</v>
      </c>
      <c r="F252" s="1" t="s">
        <v>25</v>
      </c>
      <c r="G252" s="1" t="s">
        <v>17</v>
      </c>
      <c r="H252" s="1">
        <v>58</v>
      </c>
      <c r="I252" s="1" t="s">
        <v>125</v>
      </c>
      <c r="J252" s="3">
        <v>0.5</v>
      </c>
      <c r="K252" s="4">
        <v>5000</v>
      </c>
      <c r="L252" s="5">
        <f t="shared" si="0"/>
        <v>2500</v>
      </c>
      <c r="M252" s="5">
        <f t="shared" si="1"/>
        <v>1375</v>
      </c>
      <c r="N252" s="6">
        <v>0.55000000000000004</v>
      </c>
    </row>
    <row r="253" spans="1:14" ht="15.75" customHeight="1" x14ac:dyDescent="0.45">
      <c r="A253" s="1" t="s">
        <v>122</v>
      </c>
      <c r="B253" s="1">
        <v>1189833</v>
      </c>
      <c r="C253" s="2">
        <v>44727</v>
      </c>
      <c r="D253" s="1" t="s">
        <v>22</v>
      </c>
      <c r="E253" s="1" t="s">
        <v>23</v>
      </c>
      <c r="F253" s="1" t="s">
        <v>25</v>
      </c>
      <c r="G253" s="1" t="s">
        <v>18</v>
      </c>
      <c r="H253" s="1">
        <v>30</v>
      </c>
      <c r="I253" s="1" t="s">
        <v>123</v>
      </c>
      <c r="J253" s="3">
        <v>0.65</v>
      </c>
      <c r="K253" s="4">
        <v>8000</v>
      </c>
      <c r="L253" s="5">
        <f t="shared" si="0"/>
        <v>5200</v>
      </c>
      <c r="M253" s="5">
        <f t="shared" si="1"/>
        <v>1040</v>
      </c>
      <c r="N253" s="6">
        <v>0.2</v>
      </c>
    </row>
    <row r="254" spans="1:14" ht="15.75" customHeight="1" x14ac:dyDescent="0.45">
      <c r="A254" s="1" t="s">
        <v>122</v>
      </c>
      <c r="B254" s="1">
        <v>1189833</v>
      </c>
      <c r="C254" s="2">
        <v>44756</v>
      </c>
      <c r="D254" s="1" t="s">
        <v>22</v>
      </c>
      <c r="E254" s="1" t="s">
        <v>23</v>
      </c>
      <c r="F254" s="1" t="s">
        <v>25</v>
      </c>
      <c r="G254" s="1" t="s">
        <v>13</v>
      </c>
      <c r="H254" s="1">
        <v>41</v>
      </c>
      <c r="I254" s="1" t="s">
        <v>125</v>
      </c>
      <c r="J254" s="3">
        <v>0.45</v>
      </c>
      <c r="K254" s="4">
        <v>9500</v>
      </c>
      <c r="L254" s="5">
        <f t="shared" si="0"/>
        <v>4275</v>
      </c>
      <c r="M254" s="5">
        <f t="shared" si="1"/>
        <v>1710</v>
      </c>
      <c r="N254" s="6">
        <v>0.4</v>
      </c>
    </row>
    <row r="255" spans="1:14" ht="15.75" customHeight="1" x14ac:dyDescent="0.45">
      <c r="A255" s="1" t="s">
        <v>122</v>
      </c>
      <c r="B255" s="1">
        <v>1189833</v>
      </c>
      <c r="C255" s="2">
        <v>44756</v>
      </c>
      <c r="D255" s="1" t="s">
        <v>22</v>
      </c>
      <c r="E255" s="1" t="s">
        <v>23</v>
      </c>
      <c r="F255" s="1" t="s">
        <v>25</v>
      </c>
      <c r="G255" s="1" t="s">
        <v>14</v>
      </c>
      <c r="H255" s="1">
        <v>50</v>
      </c>
      <c r="I255" s="1" t="s">
        <v>125</v>
      </c>
      <c r="J255" s="3">
        <v>0.5</v>
      </c>
      <c r="K255" s="4">
        <v>8000</v>
      </c>
      <c r="L255" s="5">
        <f t="shared" si="0"/>
        <v>4000</v>
      </c>
      <c r="M255" s="5">
        <f t="shared" si="1"/>
        <v>1000</v>
      </c>
      <c r="N255" s="6">
        <v>0.25</v>
      </c>
    </row>
    <row r="256" spans="1:14" ht="15.75" customHeight="1" x14ac:dyDescent="0.45">
      <c r="A256" s="1" t="s">
        <v>122</v>
      </c>
      <c r="B256" s="1">
        <v>1189833</v>
      </c>
      <c r="C256" s="2">
        <v>44756</v>
      </c>
      <c r="D256" s="1" t="s">
        <v>22</v>
      </c>
      <c r="E256" s="1" t="s">
        <v>23</v>
      </c>
      <c r="F256" s="1" t="s">
        <v>25</v>
      </c>
      <c r="G256" s="1" t="s">
        <v>15</v>
      </c>
      <c r="H256" s="1">
        <v>59</v>
      </c>
      <c r="I256" s="1" t="s">
        <v>125</v>
      </c>
      <c r="J256" s="3">
        <v>0.5</v>
      </c>
      <c r="K256" s="4">
        <v>7500</v>
      </c>
      <c r="L256" s="5">
        <f t="shared" si="0"/>
        <v>3750</v>
      </c>
      <c r="M256" s="5">
        <f t="shared" si="1"/>
        <v>1500</v>
      </c>
      <c r="N256" s="6">
        <v>0.4</v>
      </c>
    </row>
    <row r="257" spans="1:14" ht="15.75" customHeight="1" x14ac:dyDescent="0.45">
      <c r="A257" s="1" t="s">
        <v>122</v>
      </c>
      <c r="B257" s="1">
        <v>1189833</v>
      </c>
      <c r="C257" s="2">
        <v>44756</v>
      </c>
      <c r="D257" s="1" t="s">
        <v>22</v>
      </c>
      <c r="E257" s="1" t="s">
        <v>23</v>
      </c>
      <c r="F257" s="1" t="s">
        <v>25</v>
      </c>
      <c r="G257" s="1" t="s">
        <v>16</v>
      </c>
      <c r="H257" s="1">
        <v>15</v>
      </c>
      <c r="I257" s="1" t="s">
        <v>123</v>
      </c>
      <c r="J257" s="3">
        <v>0.45</v>
      </c>
      <c r="K257" s="4">
        <v>6500</v>
      </c>
      <c r="L257" s="5">
        <f t="shared" ref="L257:L511" si="2">J257*K257</f>
        <v>2925</v>
      </c>
      <c r="M257" s="5">
        <f t="shared" ref="M257:M511" si="3">L257*N257</f>
        <v>1023.7499999999999</v>
      </c>
      <c r="N257" s="6">
        <v>0.35</v>
      </c>
    </row>
    <row r="258" spans="1:14" ht="15.75" customHeight="1" x14ac:dyDescent="0.45">
      <c r="A258" s="1" t="s">
        <v>122</v>
      </c>
      <c r="B258" s="1">
        <v>1189833</v>
      </c>
      <c r="C258" s="2">
        <v>44756</v>
      </c>
      <c r="D258" s="1" t="s">
        <v>22</v>
      </c>
      <c r="E258" s="1" t="s">
        <v>23</v>
      </c>
      <c r="F258" s="1" t="s">
        <v>25</v>
      </c>
      <c r="G258" s="1" t="s">
        <v>17</v>
      </c>
      <c r="H258" s="1">
        <v>57</v>
      </c>
      <c r="I258" s="1" t="s">
        <v>123</v>
      </c>
      <c r="J258" s="3">
        <v>0.5</v>
      </c>
      <c r="K258" s="4">
        <v>7000</v>
      </c>
      <c r="L258" s="5">
        <f t="shared" si="2"/>
        <v>3500</v>
      </c>
      <c r="M258" s="5">
        <f t="shared" si="3"/>
        <v>1925.0000000000002</v>
      </c>
      <c r="N258" s="6">
        <v>0.55000000000000004</v>
      </c>
    </row>
    <row r="259" spans="1:14" ht="15.75" customHeight="1" x14ac:dyDescent="0.45">
      <c r="A259" s="1" t="s">
        <v>122</v>
      </c>
      <c r="B259" s="1">
        <v>1189833</v>
      </c>
      <c r="C259" s="2">
        <v>44756</v>
      </c>
      <c r="D259" s="1" t="s">
        <v>22</v>
      </c>
      <c r="E259" s="1" t="s">
        <v>23</v>
      </c>
      <c r="F259" s="1" t="s">
        <v>25</v>
      </c>
      <c r="G259" s="1" t="s">
        <v>18</v>
      </c>
      <c r="H259" s="1">
        <v>25</v>
      </c>
      <c r="I259" s="1" t="s">
        <v>125</v>
      </c>
      <c r="J259" s="3">
        <v>0.65</v>
      </c>
      <c r="K259" s="4">
        <v>7000</v>
      </c>
      <c r="L259" s="5">
        <f t="shared" si="2"/>
        <v>4550</v>
      </c>
      <c r="M259" s="5">
        <f t="shared" si="3"/>
        <v>910</v>
      </c>
      <c r="N259" s="6">
        <v>0.2</v>
      </c>
    </row>
    <row r="260" spans="1:14" ht="15.75" customHeight="1" x14ac:dyDescent="0.45">
      <c r="A260" s="1" t="s">
        <v>122</v>
      </c>
      <c r="B260" s="1">
        <v>1189833</v>
      </c>
      <c r="C260" s="2">
        <v>44788</v>
      </c>
      <c r="D260" s="1" t="s">
        <v>22</v>
      </c>
      <c r="E260" s="1" t="s">
        <v>23</v>
      </c>
      <c r="F260" s="1" t="s">
        <v>25</v>
      </c>
      <c r="G260" s="1" t="s">
        <v>13</v>
      </c>
      <c r="H260" s="1">
        <v>40</v>
      </c>
      <c r="I260" s="1" t="s">
        <v>126</v>
      </c>
      <c r="J260" s="3">
        <v>0.5</v>
      </c>
      <c r="K260" s="4">
        <v>9000</v>
      </c>
      <c r="L260" s="5">
        <f t="shared" si="2"/>
        <v>4500</v>
      </c>
      <c r="M260" s="5">
        <f t="shared" si="3"/>
        <v>1800</v>
      </c>
      <c r="N260" s="6">
        <v>0.4</v>
      </c>
    </row>
    <row r="261" spans="1:14" ht="15.75" customHeight="1" x14ac:dyDescent="0.45">
      <c r="A261" s="1" t="s">
        <v>122</v>
      </c>
      <c r="B261" s="1">
        <v>1189833</v>
      </c>
      <c r="C261" s="2">
        <v>44788</v>
      </c>
      <c r="D261" s="1" t="s">
        <v>22</v>
      </c>
      <c r="E261" s="1" t="s">
        <v>23</v>
      </c>
      <c r="F261" s="1" t="s">
        <v>25</v>
      </c>
      <c r="G261" s="1" t="s">
        <v>14</v>
      </c>
      <c r="H261" s="1">
        <v>30</v>
      </c>
      <c r="I261" s="1" t="s">
        <v>123</v>
      </c>
      <c r="J261" s="3">
        <v>0.55000000000000004</v>
      </c>
      <c r="K261" s="4">
        <v>8500</v>
      </c>
      <c r="L261" s="5">
        <f t="shared" si="2"/>
        <v>4675</v>
      </c>
      <c r="M261" s="5">
        <f t="shared" si="3"/>
        <v>1168.75</v>
      </c>
      <c r="N261" s="6">
        <v>0.25</v>
      </c>
    </row>
    <row r="262" spans="1:14" ht="15.75" customHeight="1" x14ac:dyDescent="0.45">
      <c r="A262" s="1" t="s">
        <v>122</v>
      </c>
      <c r="B262" s="1">
        <v>1189833</v>
      </c>
      <c r="C262" s="2">
        <v>44788</v>
      </c>
      <c r="D262" s="1" t="s">
        <v>22</v>
      </c>
      <c r="E262" s="1" t="s">
        <v>23</v>
      </c>
      <c r="F262" s="1" t="s">
        <v>25</v>
      </c>
      <c r="G262" s="1" t="s">
        <v>15</v>
      </c>
      <c r="H262" s="1">
        <v>27</v>
      </c>
      <c r="I262" s="1" t="s">
        <v>126</v>
      </c>
      <c r="J262" s="3">
        <v>0.5</v>
      </c>
      <c r="K262" s="4">
        <v>7250</v>
      </c>
      <c r="L262" s="5">
        <f t="shared" si="2"/>
        <v>3625</v>
      </c>
      <c r="M262" s="5">
        <f t="shared" si="3"/>
        <v>1450</v>
      </c>
      <c r="N262" s="6">
        <v>0.4</v>
      </c>
    </row>
    <row r="263" spans="1:14" ht="15.75" customHeight="1" x14ac:dyDescent="0.45">
      <c r="A263" s="1" t="s">
        <v>122</v>
      </c>
      <c r="B263" s="1">
        <v>1189833</v>
      </c>
      <c r="C263" s="2">
        <v>44788</v>
      </c>
      <c r="D263" s="1" t="s">
        <v>22</v>
      </c>
      <c r="E263" s="1" t="s">
        <v>23</v>
      </c>
      <c r="F263" s="1" t="s">
        <v>25</v>
      </c>
      <c r="G263" s="1" t="s">
        <v>16</v>
      </c>
      <c r="H263" s="1">
        <v>23</v>
      </c>
      <c r="I263" s="1" t="s">
        <v>123</v>
      </c>
      <c r="J263" s="3">
        <v>0.5</v>
      </c>
      <c r="K263" s="4">
        <v>6750</v>
      </c>
      <c r="L263" s="5">
        <f t="shared" si="2"/>
        <v>3375</v>
      </c>
      <c r="M263" s="5">
        <f t="shared" si="3"/>
        <v>1181.25</v>
      </c>
      <c r="N263" s="6">
        <v>0.35</v>
      </c>
    </row>
    <row r="264" spans="1:14" ht="15.75" customHeight="1" x14ac:dyDescent="0.45">
      <c r="A264" s="1" t="s">
        <v>122</v>
      </c>
      <c r="B264" s="1">
        <v>1189833</v>
      </c>
      <c r="C264" s="2">
        <v>44788</v>
      </c>
      <c r="D264" s="1" t="s">
        <v>22</v>
      </c>
      <c r="E264" s="1" t="s">
        <v>23</v>
      </c>
      <c r="F264" s="1" t="s">
        <v>25</v>
      </c>
      <c r="G264" s="1" t="s">
        <v>17</v>
      </c>
      <c r="H264" s="1">
        <v>30</v>
      </c>
      <c r="I264" s="1" t="s">
        <v>123</v>
      </c>
      <c r="J264" s="3">
        <v>0.6</v>
      </c>
      <c r="K264" s="4">
        <v>6750</v>
      </c>
      <c r="L264" s="5">
        <f t="shared" si="2"/>
        <v>4050</v>
      </c>
      <c r="M264" s="5">
        <f t="shared" si="3"/>
        <v>2227.5</v>
      </c>
      <c r="N264" s="6">
        <v>0.55000000000000004</v>
      </c>
    </row>
    <row r="265" spans="1:14" ht="15.75" customHeight="1" x14ac:dyDescent="0.45">
      <c r="A265" s="1" t="s">
        <v>122</v>
      </c>
      <c r="B265" s="1">
        <v>1189833</v>
      </c>
      <c r="C265" s="2">
        <v>44788</v>
      </c>
      <c r="D265" s="1" t="s">
        <v>22</v>
      </c>
      <c r="E265" s="1" t="s">
        <v>23</v>
      </c>
      <c r="F265" s="1" t="s">
        <v>25</v>
      </c>
      <c r="G265" s="1" t="s">
        <v>18</v>
      </c>
      <c r="H265" s="1">
        <v>23</v>
      </c>
      <c r="I265" s="1" t="s">
        <v>126</v>
      </c>
      <c r="J265" s="3">
        <v>0.65</v>
      </c>
      <c r="K265" s="4">
        <v>6500</v>
      </c>
      <c r="L265" s="5">
        <f t="shared" si="2"/>
        <v>4225</v>
      </c>
      <c r="M265" s="5">
        <f t="shared" si="3"/>
        <v>845</v>
      </c>
      <c r="N265" s="6">
        <v>0.2</v>
      </c>
    </row>
    <row r="266" spans="1:14" ht="15.75" customHeight="1" x14ac:dyDescent="0.45">
      <c r="A266" s="1" t="s">
        <v>122</v>
      </c>
      <c r="B266" s="1">
        <v>1189833</v>
      </c>
      <c r="C266" s="2">
        <v>44820</v>
      </c>
      <c r="D266" s="1" t="s">
        <v>22</v>
      </c>
      <c r="E266" s="1" t="s">
        <v>23</v>
      </c>
      <c r="F266" s="1" t="s">
        <v>25</v>
      </c>
      <c r="G266" s="1" t="s">
        <v>13</v>
      </c>
      <c r="H266" s="1">
        <v>53</v>
      </c>
      <c r="I266" s="1" t="s">
        <v>126</v>
      </c>
      <c r="J266" s="3">
        <v>0.5</v>
      </c>
      <c r="K266" s="4">
        <v>8500</v>
      </c>
      <c r="L266" s="5">
        <f t="shared" si="2"/>
        <v>4250</v>
      </c>
      <c r="M266" s="5">
        <f t="shared" si="3"/>
        <v>1700</v>
      </c>
      <c r="N266" s="6">
        <v>0.4</v>
      </c>
    </row>
    <row r="267" spans="1:14" ht="15.75" customHeight="1" x14ac:dyDescent="0.45">
      <c r="A267" s="1" t="s">
        <v>122</v>
      </c>
      <c r="B267" s="1">
        <v>1189833</v>
      </c>
      <c r="C267" s="2">
        <v>44820</v>
      </c>
      <c r="D267" s="1" t="s">
        <v>22</v>
      </c>
      <c r="E267" s="1" t="s">
        <v>23</v>
      </c>
      <c r="F267" s="1" t="s">
        <v>25</v>
      </c>
      <c r="G267" s="1" t="s">
        <v>14</v>
      </c>
      <c r="H267" s="1">
        <v>35</v>
      </c>
      <c r="I267" s="1" t="s">
        <v>123</v>
      </c>
      <c r="J267" s="3">
        <v>0.55000000000000004</v>
      </c>
      <c r="K267" s="4">
        <v>8500</v>
      </c>
      <c r="L267" s="5">
        <f t="shared" si="2"/>
        <v>4675</v>
      </c>
      <c r="M267" s="5">
        <f t="shared" si="3"/>
        <v>1168.75</v>
      </c>
      <c r="N267" s="6">
        <v>0.25</v>
      </c>
    </row>
    <row r="268" spans="1:14" ht="15.75" customHeight="1" x14ac:dyDescent="0.45">
      <c r="A268" s="1" t="s">
        <v>122</v>
      </c>
      <c r="B268" s="1">
        <v>1189833</v>
      </c>
      <c r="C268" s="2">
        <v>44820</v>
      </c>
      <c r="D268" s="1" t="s">
        <v>22</v>
      </c>
      <c r="E268" s="1" t="s">
        <v>23</v>
      </c>
      <c r="F268" s="1" t="s">
        <v>25</v>
      </c>
      <c r="G268" s="1" t="s">
        <v>15</v>
      </c>
      <c r="H268" s="1">
        <v>55</v>
      </c>
      <c r="I268" s="1" t="s">
        <v>126</v>
      </c>
      <c r="J268" s="3">
        <v>0.5</v>
      </c>
      <c r="K268" s="4">
        <v>7000</v>
      </c>
      <c r="L268" s="5">
        <f t="shared" si="2"/>
        <v>3500</v>
      </c>
      <c r="M268" s="5">
        <f t="shared" si="3"/>
        <v>1400</v>
      </c>
      <c r="N268" s="6">
        <v>0.4</v>
      </c>
    </row>
    <row r="269" spans="1:14" ht="15.75" customHeight="1" x14ac:dyDescent="0.45">
      <c r="A269" s="1" t="s">
        <v>122</v>
      </c>
      <c r="B269" s="1">
        <v>1189833</v>
      </c>
      <c r="C269" s="2">
        <v>44820</v>
      </c>
      <c r="D269" s="1" t="s">
        <v>22</v>
      </c>
      <c r="E269" s="1" t="s">
        <v>23</v>
      </c>
      <c r="F269" s="1" t="s">
        <v>25</v>
      </c>
      <c r="G269" s="1" t="s">
        <v>16</v>
      </c>
      <c r="H269" s="1">
        <v>16</v>
      </c>
      <c r="I269" s="1" t="s">
        <v>125</v>
      </c>
      <c r="J269" s="3">
        <v>0.5</v>
      </c>
      <c r="K269" s="4">
        <v>6500</v>
      </c>
      <c r="L269" s="5">
        <f t="shared" si="2"/>
        <v>3250</v>
      </c>
      <c r="M269" s="5">
        <f t="shared" si="3"/>
        <v>1137.5</v>
      </c>
      <c r="N269" s="6">
        <v>0.35</v>
      </c>
    </row>
    <row r="270" spans="1:14" ht="15.75" customHeight="1" x14ac:dyDescent="0.45">
      <c r="A270" s="1" t="s">
        <v>122</v>
      </c>
      <c r="B270" s="1">
        <v>1189833</v>
      </c>
      <c r="C270" s="2">
        <v>44820</v>
      </c>
      <c r="D270" s="1" t="s">
        <v>22</v>
      </c>
      <c r="E270" s="1" t="s">
        <v>23</v>
      </c>
      <c r="F270" s="1" t="s">
        <v>25</v>
      </c>
      <c r="G270" s="1" t="s">
        <v>17</v>
      </c>
      <c r="H270" s="1">
        <v>57</v>
      </c>
      <c r="I270" s="1" t="s">
        <v>123</v>
      </c>
      <c r="J270" s="3">
        <v>0.6</v>
      </c>
      <c r="K270" s="4">
        <v>6500</v>
      </c>
      <c r="L270" s="5">
        <f t="shared" si="2"/>
        <v>3900</v>
      </c>
      <c r="M270" s="5">
        <f t="shared" si="3"/>
        <v>2145</v>
      </c>
      <c r="N270" s="6">
        <v>0.55000000000000004</v>
      </c>
    </row>
    <row r="271" spans="1:14" ht="15.75" customHeight="1" x14ac:dyDescent="0.45">
      <c r="A271" s="1" t="s">
        <v>122</v>
      </c>
      <c r="B271" s="1">
        <v>1189833</v>
      </c>
      <c r="C271" s="2">
        <v>44820</v>
      </c>
      <c r="D271" s="1" t="s">
        <v>22</v>
      </c>
      <c r="E271" s="1" t="s">
        <v>23</v>
      </c>
      <c r="F271" s="1" t="s">
        <v>25</v>
      </c>
      <c r="G271" s="1" t="s">
        <v>18</v>
      </c>
      <c r="H271" s="1">
        <v>15</v>
      </c>
      <c r="I271" s="1" t="s">
        <v>126</v>
      </c>
      <c r="J271" s="3">
        <v>0.65</v>
      </c>
      <c r="K271" s="4">
        <v>7000</v>
      </c>
      <c r="L271" s="5">
        <f t="shared" si="2"/>
        <v>4550</v>
      </c>
      <c r="M271" s="5">
        <f t="shared" si="3"/>
        <v>910</v>
      </c>
      <c r="N271" s="6">
        <v>0.2</v>
      </c>
    </row>
    <row r="272" spans="1:14" ht="15.75" customHeight="1" x14ac:dyDescent="0.45">
      <c r="A272" s="1" t="s">
        <v>122</v>
      </c>
      <c r="B272" s="1">
        <v>1189833</v>
      </c>
      <c r="C272" s="2">
        <v>44849</v>
      </c>
      <c r="D272" s="1" t="s">
        <v>22</v>
      </c>
      <c r="E272" s="1" t="s">
        <v>23</v>
      </c>
      <c r="F272" s="1" t="s">
        <v>25</v>
      </c>
      <c r="G272" s="1" t="s">
        <v>13</v>
      </c>
      <c r="H272" s="1">
        <v>45</v>
      </c>
      <c r="I272" s="1" t="s">
        <v>125</v>
      </c>
      <c r="J272" s="3">
        <v>0.5</v>
      </c>
      <c r="K272" s="4">
        <v>8000</v>
      </c>
      <c r="L272" s="5">
        <f t="shared" si="2"/>
        <v>4000</v>
      </c>
      <c r="M272" s="5">
        <f t="shared" si="3"/>
        <v>1600</v>
      </c>
      <c r="N272" s="6">
        <v>0.4</v>
      </c>
    </row>
    <row r="273" spans="1:14" ht="15.75" customHeight="1" x14ac:dyDescent="0.45">
      <c r="A273" s="1" t="s">
        <v>122</v>
      </c>
      <c r="B273" s="1">
        <v>1189833</v>
      </c>
      <c r="C273" s="2">
        <v>44849</v>
      </c>
      <c r="D273" s="1" t="s">
        <v>22</v>
      </c>
      <c r="E273" s="1" t="s">
        <v>23</v>
      </c>
      <c r="F273" s="1" t="s">
        <v>25</v>
      </c>
      <c r="G273" s="1" t="s">
        <v>14</v>
      </c>
      <c r="H273" s="1">
        <v>17</v>
      </c>
      <c r="I273" s="1" t="s">
        <v>126</v>
      </c>
      <c r="J273" s="3">
        <v>0.55000000000000004</v>
      </c>
      <c r="K273" s="4">
        <v>8000</v>
      </c>
      <c r="L273" s="5">
        <f t="shared" si="2"/>
        <v>4400</v>
      </c>
      <c r="M273" s="5">
        <f t="shared" si="3"/>
        <v>1100</v>
      </c>
      <c r="N273" s="6">
        <v>0.25</v>
      </c>
    </row>
    <row r="274" spans="1:14" ht="15.75" customHeight="1" x14ac:dyDescent="0.45">
      <c r="A274" s="1" t="s">
        <v>122</v>
      </c>
      <c r="B274" s="1">
        <v>1189833</v>
      </c>
      <c r="C274" s="2">
        <v>44849</v>
      </c>
      <c r="D274" s="1" t="s">
        <v>22</v>
      </c>
      <c r="E274" s="1" t="s">
        <v>23</v>
      </c>
      <c r="F274" s="1" t="s">
        <v>25</v>
      </c>
      <c r="G274" s="1" t="s">
        <v>15</v>
      </c>
      <c r="H274" s="1">
        <v>29</v>
      </c>
      <c r="I274" s="1" t="s">
        <v>124</v>
      </c>
      <c r="J274" s="3">
        <v>0.5</v>
      </c>
      <c r="K274" s="4">
        <v>6500</v>
      </c>
      <c r="L274" s="5">
        <f t="shared" si="2"/>
        <v>3250</v>
      </c>
      <c r="M274" s="5">
        <f t="shared" si="3"/>
        <v>1300</v>
      </c>
      <c r="N274" s="6">
        <v>0.4</v>
      </c>
    </row>
    <row r="275" spans="1:14" ht="15.75" customHeight="1" x14ac:dyDescent="0.45">
      <c r="A275" s="1" t="s">
        <v>122</v>
      </c>
      <c r="B275" s="1">
        <v>1189833</v>
      </c>
      <c r="C275" s="2">
        <v>44849</v>
      </c>
      <c r="D275" s="1" t="s">
        <v>22</v>
      </c>
      <c r="E275" s="1" t="s">
        <v>23</v>
      </c>
      <c r="F275" s="1" t="s">
        <v>25</v>
      </c>
      <c r="G275" s="1" t="s">
        <v>16</v>
      </c>
      <c r="H275" s="1">
        <v>26</v>
      </c>
      <c r="I275" s="1" t="s">
        <v>123</v>
      </c>
      <c r="J275" s="3">
        <v>0.5</v>
      </c>
      <c r="K275" s="4">
        <v>6250</v>
      </c>
      <c r="L275" s="5">
        <f t="shared" si="2"/>
        <v>3125</v>
      </c>
      <c r="M275" s="5">
        <f t="shared" si="3"/>
        <v>1093.75</v>
      </c>
      <c r="N275" s="6">
        <v>0.35</v>
      </c>
    </row>
    <row r="276" spans="1:14" ht="15.75" customHeight="1" x14ac:dyDescent="0.45">
      <c r="A276" s="1" t="s">
        <v>122</v>
      </c>
      <c r="B276" s="1">
        <v>1189833</v>
      </c>
      <c r="C276" s="2">
        <v>44849</v>
      </c>
      <c r="D276" s="1" t="s">
        <v>22</v>
      </c>
      <c r="E276" s="1" t="s">
        <v>23</v>
      </c>
      <c r="F276" s="1" t="s">
        <v>25</v>
      </c>
      <c r="G276" s="1" t="s">
        <v>17</v>
      </c>
      <c r="H276" s="1">
        <v>30</v>
      </c>
      <c r="I276" s="1" t="s">
        <v>123</v>
      </c>
      <c r="J276" s="3">
        <v>0.6</v>
      </c>
      <c r="K276" s="4">
        <v>6000</v>
      </c>
      <c r="L276" s="5">
        <f t="shared" si="2"/>
        <v>3600</v>
      </c>
      <c r="M276" s="5">
        <f t="shared" si="3"/>
        <v>1980.0000000000002</v>
      </c>
      <c r="N276" s="6">
        <v>0.55000000000000004</v>
      </c>
    </row>
    <row r="277" spans="1:14" ht="15.75" customHeight="1" x14ac:dyDescent="0.45">
      <c r="A277" s="1" t="s">
        <v>122</v>
      </c>
      <c r="B277" s="1">
        <v>1189833</v>
      </c>
      <c r="C277" s="2">
        <v>44849</v>
      </c>
      <c r="D277" s="1" t="s">
        <v>22</v>
      </c>
      <c r="E277" s="1" t="s">
        <v>23</v>
      </c>
      <c r="F277" s="1" t="s">
        <v>25</v>
      </c>
      <c r="G277" s="1" t="s">
        <v>18</v>
      </c>
      <c r="H277" s="1">
        <v>31</v>
      </c>
      <c r="I277" s="1" t="s">
        <v>126</v>
      </c>
      <c r="J277" s="3">
        <v>0.65</v>
      </c>
      <c r="K277" s="4">
        <v>6500</v>
      </c>
      <c r="L277" s="5">
        <f t="shared" si="2"/>
        <v>4225</v>
      </c>
      <c r="M277" s="5">
        <f t="shared" si="3"/>
        <v>845</v>
      </c>
      <c r="N277" s="6">
        <v>0.2</v>
      </c>
    </row>
    <row r="278" spans="1:14" ht="15.75" customHeight="1" x14ac:dyDescent="0.45">
      <c r="A278" s="1" t="s">
        <v>122</v>
      </c>
      <c r="B278" s="1">
        <v>1189833</v>
      </c>
      <c r="C278" s="2">
        <v>44880</v>
      </c>
      <c r="D278" s="1" t="s">
        <v>22</v>
      </c>
      <c r="E278" s="1" t="s">
        <v>23</v>
      </c>
      <c r="F278" s="1" t="s">
        <v>25</v>
      </c>
      <c r="G278" s="1" t="s">
        <v>13</v>
      </c>
      <c r="H278" s="1">
        <v>34</v>
      </c>
      <c r="I278" s="1" t="s">
        <v>123</v>
      </c>
      <c r="J278" s="3">
        <v>0.5</v>
      </c>
      <c r="K278" s="4">
        <v>8250</v>
      </c>
      <c r="L278" s="5">
        <f t="shared" si="2"/>
        <v>4125</v>
      </c>
      <c r="M278" s="5">
        <f t="shared" si="3"/>
        <v>1650</v>
      </c>
      <c r="N278" s="6">
        <v>0.4</v>
      </c>
    </row>
    <row r="279" spans="1:14" ht="15.75" customHeight="1" x14ac:dyDescent="0.45">
      <c r="A279" s="1" t="s">
        <v>122</v>
      </c>
      <c r="B279" s="1">
        <v>1189833</v>
      </c>
      <c r="C279" s="2">
        <v>44880</v>
      </c>
      <c r="D279" s="1" t="s">
        <v>22</v>
      </c>
      <c r="E279" s="1" t="s">
        <v>23</v>
      </c>
      <c r="F279" s="1" t="s">
        <v>25</v>
      </c>
      <c r="G279" s="1" t="s">
        <v>14</v>
      </c>
      <c r="H279" s="1">
        <v>53</v>
      </c>
      <c r="I279" s="1" t="s">
        <v>124</v>
      </c>
      <c r="J279" s="3">
        <v>0.55000000000000004</v>
      </c>
      <c r="K279" s="4">
        <v>8250</v>
      </c>
      <c r="L279" s="5">
        <f t="shared" si="2"/>
        <v>4537.5</v>
      </c>
      <c r="M279" s="5">
        <f t="shared" si="3"/>
        <v>1134.375</v>
      </c>
      <c r="N279" s="6">
        <v>0.25</v>
      </c>
    </row>
    <row r="280" spans="1:14" ht="15.75" customHeight="1" x14ac:dyDescent="0.45">
      <c r="A280" s="1" t="s">
        <v>122</v>
      </c>
      <c r="B280" s="1">
        <v>1189833</v>
      </c>
      <c r="C280" s="2">
        <v>44880</v>
      </c>
      <c r="D280" s="1" t="s">
        <v>22</v>
      </c>
      <c r="E280" s="1" t="s">
        <v>23</v>
      </c>
      <c r="F280" s="1" t="s">
        <v>25</v>
      </c>
      <c r="G280" s="1" t="s">
        <v>15</v>
      </c>
      <c r="H280" s="1">
        <v>41</v>
      </c>
      <c r="I280" s="1" t="s">
        <v>123</v>
      </c>
      <c r="J280" s="3">
        <v>0.5</v>
      </c>
      <c r="K280" s="4">
        <v>6750</v>
      </c>
      <c r="L280" s="5">
        <f t="shared" si="2"/>
        <v>3375</v>
      </c>
      <c r="M280" s="5">
        <f t="shared" si="3"/>
        <v>1350</v>
      </c>
      <c r="N280" s="6">
        <v>0.4</v>
      </c>
    </row>
    <row r="281" spans="1:14" ht="15.75" customHeight="1" x14ac:dyDescent="0.45">
      <c r="A281" s="1" t="s">
        <v>122</v>
      </c>
      <c r="B281" s="1">
        <v>1189833</v>
      </c>
      <c r="C281" s="2">
        <v>44880</v>
      </c>
      <c r="D281" s="1" t="s">
        <v>22</v>
      </c>
      <c r="E281" s="1" t="s">
        <v>23</v>
      </c>
      <c r="F281" s="1" t="s">
        <v>25</v>
      </c>
      <c r="G281" s="1" t="s">
        <v>16</v>
      </c>
      <c r="H281" s="1">
        <v>50</v>
      </c>
      <c r="I281" s="1" t="s">
        <v>124</v>
      </c>
      <c r="J281" s="3">
        <v>0.5</v>
      </c>
      <c r="K281" s="4">
        <v>6500</v>
      </c>
      <c r="L281" s="5">
        <f t="shared" si="2"/>
        <v>3250</v>
      </c>
      <c r="M281" s="5">
        <f t="shared" si="3"/>
        <v>1137.5</v>
      </c>
      <c r="N281" s="6">
        <v>0.35</v>
      </c>
    </row>
    <row r="282" spans="1:14" ht="15.75" customHeight="1" x14ac:dyDescent="0.45">
      <c r="A282" s="1" t="s">
        <v>122</v>
      </c>
      <c r="B282" s="1">
        <v>1189833</v>
      </c>
      <c r="C282" s="2">
        <v>44880</v>
      </c>
      <c r="D282" s="1" t="s">
        <v>22</v>
      </c>
      <c r="E282" s="1" t="s">
        <v>23</v>
      </c>
      <c r="F282" s="1" t="s">
        <v>25</v>
      </c>
      <c r="G282" s="1" t="s">
        <v>17</v>
      </c>
      <c r="H282" s="1">
        <v>34</v>
      </c>
      <c r="I282" s="1" t="s">
        <v>125</v>
      </c>
      <c r="J282" s="3">
        <v>0.6</v>
      </c>
      <c r="K282" s="4">
        <v>6000</v>
      </c>
      <c r="L282" s="5">
        <f t="shared" si="2"/>
        <v>3600</v>
      </c>
      <c r="M282" s="5">
        <f t="shared" si="3"/>
        <v>1980.0000000000002</v>
      </c>
      <c r="N282" s="6">
        <v>0.55000000000000004</v>
      </c>
    </row>
    <row r="283" spans="1:14" ht="15.75" customHeight="1" x14ac:dyDescent="0.45">
      <c r="A283" s="1" t="s">
        <v>122</v>
      </c>
      <c r="B283" s="1">
        <v>1189833</v>
      </c>
      <c r="C283" s="2">
        <v>44880</v>
      </c>
      <c r="D283" s="1" t="s">
        <v>22</v>
      </c>
      <c r="E283" s="1" t="s">
        <v>23</v>
      </c>
      <c r="F283" s="1" t="s">
        <v>25</v>
      </c>
      <c r="G283" s="1" t="s">
        <v>18</v>
      </c>
      <c r="H283" s="1">
        <v>45</v>
      </c>
      <c r="I283" s="1" t="s">
        <v>124</v>
      </c>
      <c r="J283" s="3">
        <v>0.65</v>
      </c>
      <c r="K283" s="4">
        <v>7000</v>
      </c>
      <c r="L283" s="5">
        <f t="shared" si="2"/>
        <v>4550</v>
      </c>
      <c r="M283" s="5">
        <f t="shared" si="3"/>
        <v>910</v>
      </c>
      <c r="N283" s="6">
        <v>0.2</v>
      </c>
    </row>
    <row r="284" spans="1:14" ht="15.75" customHeight="1" x14ac:dyDescent="0.45">
      <c r="A284" s="1" t="s">
        <v>122</v>
      </c>
      <c r="B284" s="1">
        <v>1189833</v>
      </c>
      <c r="C284" s="2">
        <v>44909</v>
      </c>
      <c r="D284" s="1" t="s">
        <v>22</v>
      </c>
      <c r="E284" s="1" t="s">
        <v>23</v>
      </c>
      <c r="F284" s="1" t="s">
        <v>25</v>
      </c>
      <c r="G284" s="1" t="s">
        <v>13</v>
      </c>
      <c r="H284" s="1">
        <v>32</v>
      </c>
      <c r="I284" s="1" t="s">
        <v>123</v>
      </c>
      <c r="J284" s="3">
        <v>0.5</v>
      </c>
      <c r="K284" s="4">
        <v>9000</v>
      </c>
      <c r="L284" s="5">
        <f t="shared" si="2"/>
        <v>4500</v>
      </c>
      <c r="M284" s="5">
        <f t="shared" si="3"/>
        <v>1800</v>
      </c>
      <c r="N284" s="6">
        <v>0.4</v>
      </c>
    </row>
    <row r="285" spans="1:14" ht="15.75" customHeight="1" x14ac:dyDescent="0.45">
      <c r="A285" s="1" t="s">
        <v>122</v>
      </c>
      <c r="B285" s="1">
        <v>1189833</v>
      </c>
      <c r="C285" s="2">
        <v>44909</v>
      </c>
      <c r="D285" s="1" t="s">
        <v>22</v>
      </c>
      <c r="E285" s="1" t="s">
        <v>23</v>
      </c>
      <c r="F285" s="1" t="s">
        <v>25</v>
      </c>
      <c r="G285" s="1" t="s">
        <v>14</v>
      </c>
      <c r="H285" s="1">
        <v>60</v>
      </c>
      <c r="I285" s="1" t="s">
        <v>124</v>
      </c>
      <c r="J285" s="3">
        <v>0.55000000000000004</v>
      </c>
      <c r="K285" s="4">
        <v>9000</v>
      </c>
      <c r="L285" s="5">
        <f t="shared" si="2"/>
        <v>4950</v>
      </c>
      <c r="M285" s="5">
        <f t="shared" si="3"/>
        <v>1237.5</v>
      </c>
      <c r="N285" s="6">
        <v>0.25</v>
      </c>
    </row>
    <row r="286" spans="1:14" ht="15.75" customHeight="1" x14ac:dyDescent="0.45">
      <c r="A286" s="1" t="s">
        <v>122</v>
      </c>
      <c r="B286" s="1">
        <v>1189833</v>
      </c>
      <c r="C286" s="2">
        <v>44909</v>
      </c>
      <c r="D286" s="1" t="s">
        <v>22</v>
      </c>
      <c r="E286" s="1" t="s">
        <v>23</v>
      </c>
      <c r="F286" s="1" t="s">
        <v>25</v>
      </c>
      <c r="G286" s="1" t="s">
        <v>15</v>
      </c>
      <c r="H286" s="1">
        <v>46</v>
      </c>
      <c r="I286" s="1" t="s">
        <v>125</v>
      </c>
      <c r="J286" s="3">
        <v>0.5</v>
      </c>
      <c r="K286" s="4">
        <v>7000</v>
      </c>
      <c r="L286" s="5">
        <f t="shared" si="2"/>
        <v>3500</v>
      </c>
      <c r="M286" s="5">
        <f t="shared" si="3"/>
        <v>1400</v>
      </c>
      <c r="N286" s="6">
        <v>0.4</v>
      </c>
    </row>
    <row r="287" spans="1:14" ht="15.75" customHeight="1" x14ac:dyDescent="0.45">
      <c r="A287" s="1" t="s">
        <v>122</v>
      </c>
      <c r="B287" s="1">
        <v>1189833</v>
      </c>
      <c r="C287" s="2">
        <v>44909</v>
      </c>
      <c r="D287" s="1" t="s">
        <v>22</v>
      </c>
      <c r="E287" s="1" t="s">
        <v>23</v>
      </c>
      <c r="F287" s="1" t="s">
        <v>25</v>
      </c>
      <c r="G287" s="1" t="s">
        <v>16</v>
      </c>
      <c r="H287" s="1">
        <v>32</v>
      </c>
      <c r="I287" s="1" t="s">
        <v>124</v>
      </c>
      <c r="J287" s="3">
        <v>0.5</v>
      </c>
      <c r="K287" s="4">
        <v>7000</v>
      </c>
      <c r="L287" s="5">
        <f t="shared" si="2"/>
        <v>3500</v>
      </c>
      <c r="M287" s="5">
        <f t="shared" si="3"/>
        <v>1225</v>
      </c>
      <c r="N287" s="6">
        <v>0.35</v>
      </c>
    </row>
    <row r="288" spans="1:14" ht="15.75" customHeight="1" x14ac:dyDescent="0.45">
      <c r="A288" s="1" t="s">
        <v>122</v>
      </c>
      <c r="B288" s="1">
        <v>1189833</v>
      </c>
      <c r="C288" s="2">
        <v>44909</v>
      </c>
      <c r="D288" s="1" t="s">
        <v>22</v>
      </c>
      <c r="E288" s="1" t="s">
        <v>23</v>
      </c>
      <c r="F288" s="1" t="s">
        <v>25</v>
      </c>
      <c r="G288" s="1" t="s">
        <v>17</v>
      </c>
      <c r="H288" s="1">
        <v>29</v>
      </c>
      <c r="I288" s="1" t="s">
        <v>124</v>
      </c>
      <c r="J288" s="3">
        <v>0.6</v>
      </c>
      <c r="K288" s="4">
        <v>6250</v>
      </c>
      <c r="L288" s="5">
        <f t="shared" si="2"/>
        <v>3750</v>
      </c>
      <c r="M288" s="5">
        <f t="shared" si="3"/>
        <v>2062.5</v>
      </c>
      <c r="N288" s="6">
        <v>0.55000000000000004</v>
      </c>
    </row>
    <row r="289" spans="1:14" ht="15.75" customHeight="1" x14ac:dyDescent="0.45">
      <c r="A289" s="1" t="s">
        <v>122</v>
      </c>
      <c r="B289" s="1">
        <v>1189833</v>
      </c>
      <c r="C289" s="2">
        <v>44909</v>
      </c>
      <c r="D289" s="1" t="s">
        <v>22</v>
      </c>
      <c r="E289" s="1" t="s">
        <v>23</v>
      </c>
      <c r="F289" s="1" t="s">
        <v>25</v>
      </c>
      <c r="G289" s="1" t="s">
        <v>18</v>
      </c>
      <c r="H289" s="1">
        <v>18</v>
      </c>
      <c r="I289" s="1" t="s">
        <v>124</v>
      </c>
      <c r="J289" s="3">
        <v>0.65</v>
      </c>
      <c r="K289" s="4">
        <v>7250</v>
      </c>
      <c r="L289" s="5">
        <f t="shared" si="2"/>
        <v>4712.5</v>
      </c>
      <c r="M289" s="5">
        <f t="shared" si="3"/>
        <v>942.5</v>
      </c>
      <c r="N289" s="6">
        <v>0.2</v>
      </c>
    </row>
    <row r="290" spans="1:14" ht="15.75" customHeight="1" x14ac:dyDescent="0.45">
      <c r="A290" s="1" t="s">
        <v>119</v>
      </c>
      <c r="B290" s="1">
        <v>1185732</v>
      </c>
      <c r="C290" s="2">
        <v>44576</v>
      </c>
      <c r="D290" s="1" t="s">
        <v>26</v>
      </c>
      <c r="E290" s="1" t="s">
        <v>27</v>
      </c>
      <c r="F290" s="1" t="s">
        <v>28</v>
      </c>
      <c r="G290" s="1" t="s">
        <v>13</v>
      </c>
      <c r="H290" s="1">
        <v>25</v>
      </c>
      <c r="I290" s="1" t="s">
        <v>124</v>
      </c>
      <c r="J290" s="3">
        <v>0.45</v>
      </c>
      <c r="K290" s="4">
        <v>4750</v>
      </c>
      <c r="L290" s="5">
        <f t="shared" si="2"/>
        <v>2137.5</v>
      </c>
      <c r="M290" s="5">
        <f t="shared" si="3"/>
        <v>855</v>
      </c>
      <c r="N290" s="6">
        <v>0.4</v>
      </c>
    </row>
    <row r="291" spans="1:14" ht="15.75" customHeight="1" x14ac:dyDescent="0.45">
      <c r="A291" s="1" t="s">
        <v>119</v>
      </c>
      <c r="B291" s="1">
        <v>1185732</v>
      </c>
      <c r="C291" s="2">
        <v>44576</v>
      </c>
      <c r="D291" s="1" t="s">
        <v>26</v>
      </c>
      <c r="E291" s="1" t="s">
        <v>27</v>
      </c>
      <c r="F291" s="1" t="s">
        <v>28</v>
      </c>
      <c r="G291" s="1" t="s">
        <v>14</v>
      </c>
      <c r="H291" s="1">
        <v>39</v>
      </c>
      <c r="I291" s="1" t="s">
        <v>123</v>
      </c>
      <c r="J291" s="3">
        <v>0.45</v>
      </c>
      <c r="K291" s="4">
        <v>2750</v>
      </c>
      <c r="L291" s="5">
        <f t="shared" si="2"/>
        <v>1237.5</v>
      </c>
      <c r="M291" s="5">
        <f t="shared" si="3"/>
        <v>433.125</v>
      </c>
      <c r="N291" s="6">
        <v>0.35</v>
      </c>
    </row>
    <row r="292" spans="1:14" ht="15.75" customHeight="1" x14ac:dyDescent="0.45">
      <c r="A292" s="1" t="s">
        <v>119</v>
      </c>
      <c r="B292" s="1">
        <v>1185732</v>
      </c>
      <c r="C292" s="2">
        <v>44576</v>
      </c>
      <c r="D292" s="1" t="s">
        <v>26</v>
      </c>
      <c r="E292" s="1" t="s">
        <v>27</v>
      </c>
      <c r="F292" s="1" t="s">
        <v>28</v>
      </c>
      <c r="G292" s="1" t="s">
        <v>15</v>
      </c>
      <c r="H292" s="1">
        <v>17</v>
      </c>
      <c r="I292" s="1" t="s">
        <v>124</v>
      </c>
      <c r="J292" s="3">
        <v>0.35000000000000003</v>
      </c>
      <c r="K292" s="4">
        <v>2750</v>
      </c>
      <c r="L292" s="5">
        <f t="shared" si="2"/>
        <v>962.50000000000011</v>
      </c>
      <c r="M292" s="5">
        <f t="shared" si="3"/>
        <v>336.875</v>
      </c>
      <c r="N292" s="6">
        <v>0.35</v>
      </c>
    </row>
    <row r="293" spans="1:14" ht="15.75" customHeight="1" x14ac:dyDescent="0.45">
      <c r="A293" s="1" t="s">
        <v>119</v>
      </c>
      <c r="B293" s="1">
        <v>1185732</v>
      </c>
      <c r="C293" s="2">
        <v>44576</v>
      </c>
      <c r="D293" s="1" t="s">
        <v>26</v>
      </c>
      <c r="E293" s="1" t="s">
        <v>27</v>
      </c>
      <c r="F293" s="1" t="s">
        <v>28</v>
      </c>
      <c r="G293" s="1" t="s">
        <v>16</v>
      </c>
      <c r="H293" s="1">
        <v>40</v>
      </c>
      <c r="I293" s="1" t="s">
        <v>125</v>
      </c>
      <c r="J293" s="3">
        <v>0.4</v>
      </c>
      <c r="K293" s="4">
        <v>1250</v>
      </c>
      <c r="L293" s="5">
        <f t="shared" si="2"/>
        <v>500</v>
      </c>
      <c r="M293" s="5">
        <f t="shared" si="3"/>
        <v>200</v>
      </c>
      <c r="N293" s="6">
        <v>0.4</v>
      </c>
    </row>
    <row r="294" spans="1:14" ht="15.75" customHeight="1" x14ac:dyDescent="0.45">
      <c r="A294" s="1" t="s">
        <v>119</v>
      </c>
      <c r="B294" s="1">
        <v>1185732</v>
      </c>
      <c r="C294" s="2">
        <v>44576</v>
      </c>
      <c r="D294" s="1" t="s">
        <v>26</v>
      </c>
      <c r="E294" s="1" t="s">
        <v>27</v>
      </c>
      <c r="F294" s="1" t="s">
        <v>28</v>
      </c>
      <c r="G294" s="1" t="s">
        <v>17</v>
      </c>
      <c r="H294" s="1">
        <v>18</v>
      </c>
      <c r="I294" s="1" t="s">
        <v>125</v>
      </c>
      <c r="J294" s="3">
        <v>0.54999999999999993</v>
      </c>
      <c r="K294" s="4">
        <v>1750</v>
      </c>
      <c r="L294" s="5">
        <f t="shared" si="2"/>
        <v>962.49999999999989</v>
      </c>
      <c r="M294" s="5">
        <f t="shared" si="3"/>
        <v>336.87499999999994</v>
      </c>
      <c r="N294" s="6">
        <v>0.35</v>
      </c>
    </row>
    <row r="295" spans="1:14" ht="15.75" customHeight="1" x14ac:dyDescent="0.45">
      <c r="A295" s="1" t="s">
        <v>119</v>
      </c>
      <c r="B295" s="1">
        <v>1185732</v>
      </c>
      <c r="C295" s="2">
        <v>44576</v>
      </c>
      <c r="D295" s="1" t="s">
        <v>26</v>
      </c>
      <c r="E295" s="1" t="s">
        <v>27</v>
      </c>
      <c r="F295" s="1" t="s">
        <v>28</v>
      </c>
      <c r="G295" s="1" t="s">
        <v>18</v>
      </c>
      <c r="H295" s="1">
        <v>35</v>
      </c>
      <c r="I295" s="1" t="s">
        <v>123</v>
      </c>
      <c r="J295" s="3">
        <v>0.45</v>
      </c>
      <c r="K295" s="4">
        <v>2750</v>
      </c>
      <c r="L295" s="5">
        <f t="shared" si="2"/>
        <v>1237.5</v>
      </c>
      <c r="M295" s="5">
        <f t="shared" si="3"/>
        <v>618.75</v>
      </c>
      <c r="N295" s="6">
        <v>0.5</v>
      </c>
    </row>
    <row r="296" spans="1:14" ht="15.75" customHeight="1" x14ac:dyDescent="0.45">
      <c r="A296" s="1" t="s">
        <v>119</v>
      </c>
      <c r="B296" s="1">
        <v>1185732</v>
      </c>
      <c r="C296" s="2">
        <v>44607</v>
      </c>
      <c r="D296" s="1" t="s">
        <v>26</v>
      </c>
      <c r="E296" s="1" t="s">
        <v>27</v>
      </c>
      <c r="F296" s="1" t="s">
        <v>28</v>
      </c>
      <c r="G296" s="1" t="s">
        <v>13</v>
      </c>
      <c r="H296" s="1">
        <v>37</v>
      </c>
      <c r="I296" s="1" t="s">
        <v>124</v>
      </c>
      <c r="J296" s="3">
        <v>0.45</v>
      </c>
      <c r="K296" s="4">
        <v>5250</v>
      </c>
      <c r="L296" s="5">
        <f t="shared" si="2"/>
        <v>2362.5</v>
      </c>
      <c r="M296" s="5">
        <f t="shared" si="3"/>
        <v>945</v>
      </c>
      <c r="N296" s="6">
        <v>0.4</v>
      </c>
    </row>
    <row r="297" spans="1:14" ht="15.75" customHeight="1" x14ac:dyDescent="0.45">
      <c r="A297" s="1" t="s">
        <v>119</v>
      </c>
      <c r="B297" s="1">
        <v>1185732</v>
      </c>
      <c r="C297" s="2">
        <v>44607</v>
      </c>
      <c r="D297" s="1" t="s">
        <v>26</v>
      </c>
      <c r="E297" s="1" t="s">
        <v>27</v>
      </c>
      <c r="F297" s="1" t="s">
        <v>28</v>
      </c>
      <c r="G297" s="1" t="s">
        <v>14</v>
      </c>
      <c r="H297" s="1">
        <v>19</v>
      </c>
      <c r="I297" s="1" t="s">
        <v>126</v>
      </c>
      <c r="J297" s="3">
        <v>0.45</v>
      </c>
      <c r="K297" s="4">
        <v>1750</v>
      </c>
      <c r="L297" s="5">
        <f t="shared" si="2"/>
        <v>787.5</v>
      </c>
      <c r="M297" s="5">
        <f t="shared" si="3"/>
        <v>275.625</v>
      </c>
      <c r="N297" s="6">
        <v>0.35</v>
      </c>
    </row>
    <row r="298" spans="1:14" ht="15.75" customHeight="1" x14ac:dyDescent="0.45">
      <c r="A298" s="1" t="s">
        <v>119</v>
      </c>
      <c r="B298" s="1">
        <v>1185732</v>
      </c>
      <c r="C298" s="2">
        <v>44607</v>
      </c>
      <c r="D298" s="1" t="s">
        <v>26</v>
      </c>
      <c r="E298" s="1" t="s">
        <v>27</v>
      </c>
      <c r="F298" s="1" t="s">
        <v>28</v>
      </c>
      <c r="G298" s="1" t="s">
        <v>15</v>
      </c>
      <c r="H298" s="1">
        <v>25</v>
      </c>
      <c r="I298" s="1" t="s">
        <v>123</v>
      </c>
      <c r="J298" s="3">
        <v>0.35000000000000003</v>
      </c>
      <c r="K298" s="4">
        <v>2250</v>
      </c>
      <c r="L298" s="5">
        <f t="shared" si="2"/>
        <v>787.50000000000011</v>
      </c>
      <c r="M298" s="5">
        <f t="shared" si="3"/>
        <v>275.625</v>
      </c>
      <c r="N298" s="6">
        <v>0.35</v>
      </c>
    </row>
    <row r="299" spans="1:14" ht="15.75" customHeight="1" x14ac:dyDescent="0.45">
      <c r="A299" s="1" t="s">
        <v>119</v>
      </c>
      <c r="B299" s="1">
        <v>1185732</v>
      </c>
      <c r="C299" s="2">
        <v>44607</v>
      </c>
      <c r="D299" s="1" t="s">
        <v>26</v>
      </c>
      <c r="E299" s="1" t="s">
        <v>27</v>
      </c>
      <c r="F299" s="1" t="s">
        <v>28</v>
      </c>
      <c r="G299" s="1" t="s">
        <v>16</v>
      </c>
      <c r="H299" s="1">
        <v>16</v>
      </c>
      <c r="I299" s="1" t="s">
        <v>123</v>
      </c>
      <c r="J299" s="3">
        <v>0.4</v>
      </c>
      <c r="K299" s="4">
        <v>1000</v>
      </c>
      <c r="L299" s="5">
        <f t="shared" si="2"/>
        <v>400</v>
      </c>
      <c r="M299" s="5">
        <f t="shared" si="3"/>
        <v>160</v>
      </c>
      <c r="N299" s="6">
        <v>0.4</v>
      </c>
    </row>
    <row r="300" spans="1:14" ht="15.75" customHeight="1" x14ac:dyDescent="0.45">
      <c r="A300" s="1" t="s">
        <v>119</v>
      </c>
      <c r="B300" s="1">
        <v>1185732</v>
      </c>
      <c r="C300" s="2">
        <v>44607</v>
      </c>
      <c r="D300" s="1" t="s">
        <v>26</v>
      </c>
      <c r="E300" s="1" t="s">
        <v>27</v>
      </c>
      <c r="F300" s="1" t="s">
        <v>28</v>
      </c>
      <c r="G300" s="1" t="s">
        <v>17</v>
      </c>
      <c r="H300" s="1">
        <v>60</v>
      </c>
      <c r="I300" s="1" t="s">
        <v>126</v>
      </c>
      <c r="J300" s="3">
        <v>0.54999999999999993</v>
      </c>
      <c r="K300" s="4">
        <v>1750</v>
      </c>
      <c r="L300" s="5">
        <f t="shared" si="2"/>
        <v>962.49999999999989</v>
      </c>
      <c r="M300" s="5">
        <f t="shared" si="3"/>
        <v>336.87499999999994</v>
      </c>
      <c r="N300" s="6">
        <v>0.35</v>
      </c>
    </row>
    <row r="301" spans="1:14" ht="15.75" customHeight="1" x14ac:dyDescent="0.45">
      <c r="A301" s="1" t="s">
        <v>119</v>
      </c>
      <c r="B301" s="1">
        <v>1185732</v>
      </c>
      <c r="C301" s="2">
        <v>44607</v>
      </c>
      <c r="D301" s="1" t="s">
        <v>26</v>
      </c>
      <c r="E301" s="1" t="s">
        <v>27</v>
      </c>
      <c r="F301" s="1" t="s">
        <v>28</v>
      </c>
      <c r="G301" s="1" t="s">
        <v>18</v>
      </c>
      <c r="H301" s="1">
        <v>23</v>
      </c>
      <c r="I301" s="1" t="s">
        <v>123</v>
      </c>
      <c r="J301" s="3">
        <v>0.45</v>
      </c>
      <c r="K301" s="4">
        <v>2750</v>
      </c>
      <c r="L301" s="5">
        <f t="shared" si="2"/>
        <v>1237.5</v>
      </c>
      <c r="M301" s="5">
        <f t="shared" si="3"/>
        <v>618.75</v>
      </c>
      <c r="N301" s="6">
        <v>0.5</v>
      </c>
    </row>
    <row r="302" spans="1:14" ht="15.75" customHeight="1" x14ac:dyDescent="0.45">
      <c r="A302" s="1" t="s">
        <v>119</v>
      </c>
      <c r="B302" s="1">
        <v>1185732</v>
      </c>
      <c r="C302" s="2">
        <v>44634</v>
      </c>
      <c r="D302" s="1" t="s">
        <v>26</v>
      </c>
      <c r="E302" s="1" t="s">
        <v>27</v>
      </c>
      <c r="F302" s="1" t="s">
        <v>28</v>
      </c>
      <c r="G302" s="1" t="s">
        <v>13</v>
      </c>
      <c r="H302" s="1">
        <v>58</v>
      </c>
      <c r="I302" s="1" t="s">
        <v>123</v>
      </c>
      <c r="J302" s="3">
        <v>0.5</v>
      </c>
      <c r="K302" s="4">
        <v>4950</v>
      </c>
      <c r="L302" s="5">
        <f t="shared" si="2"/>
        <v>2475</v>
      </c>
      <c r="M302" s="5">
        <f t="shared" si="3"/>
        <v>990</v>
      </c>
      <c r="N302" s="6">
        <v>0.4</v>
      </c>
    </row>
    <row r="303" spans="1:14" ht="15.75" customHeight="1" x14ac:dyDescent="0.45">
      <c r="A303" s="1" t="s">
        <v>119</v>
      </c>
      <c r="B303" s="1">
        <v>1185732</v>
      </c>
      <c r="C303" s="2">
        <v>44634</v>
      </c>
      <c r="D303" s="1" t="s">
        <v>26</v>
      </c>
      <c r="E303" s="1" t="s">
        <v>27</v>
      </c>
      <c r="F303" s="1" t="s">
        <v>28</v>
      </c>
      <c r="G303" s="1" t="s">
        <v>14</v>
      </c>
      <c r="H303" s="1">
        <v>58</v>
      </c>
      <c r="I303" s="1" t="s">
        <v>126</v>
      </c>
      <c r="J303" s="3">
        <v>0.5</v>
      </c>
      <c r="K303" s="4">
        <v>2000</v>
      </c>
      <c r="L303" s="5">
        <f t="shared" si="2"/>
        <v>1000</v>
      </c>
      <c r="M303" s="5">
        <f t="shared" si="3"/>
        <v>350</v>
      </c>
      <c r="N303" s="6">
        <v>0.35</v>
      </c>
    </row>
    <row r="304" spans="1:14" ht="15.75" customHeight="1" x14ac:dyDescent="0.45">
      <c r="A304" s="1" t="s">
        <v>119</v>
      </c>
      <c r="B304" s="1">
        <v>1185732</v>
      </c>
      <c r="C304" s="2">
        <v>44634</v>
      </c>
      <c r="D304" s="1" t="s">
        <v>26</v>
      </c>
      <c r="E304" s="1" t="s">
        <v>27</v>
      </c>
      <c r="F304" s="1" t="s">
        <v>28</v>
      </c>
      <c r="G304" s="1" t="s">
        <v>15</v>
      </c>
      <c r="H304" s="1">
        <v>52</v>
      </c>
      <c r="I304" s="1" t="s">
        <v>123</v>
      </c>
      <c r="J304" s="3">
        <v>0.4</v>
      </c>
      <c r="K304" s="4">
        <v>2250</v>
      </c>
      <c r="L304" s="5">
        <f t="shared" si="2"/>
        <v>900</v>
      </c>
      <c r="M304" s="5">
        <f t="shared" si="3"/>
        <v>315</v>
      </c>
      <c r="N304" s="6">
        <v>0.35</v>
      </c>
    </row>
    <row r="305" spans="1:14" ht="15.75" customHeight="1" x14ac:dyDescent="0.45">
      <c r="A305" s="1" t="s">
        <v>119</v>
      </c>
      <c r="B305" s="1">
        <v>1185732</v>
      </c>
      <c r="C305" s="2">
        <v>44634</v>
      </c>
      <c r="D305" s="1" t="s">
        <v>26</v>
      </c>
      <c r="E305" s="1" t="s">
        <v>27</v>
      </c>
      <c r="F305" s="1" t="s">
        <v>28</v>
      </c>
      <c r="G305" s="1" t="s">
        <v>16</v>
      </c>
      <c r="H305" s="1">
        <v>56</v>
      </c>
      <c r="I305" s="1" t="s">
        <v>123</v>
      </c>
      <c r="J305" s="3">
        <v>0.45</v>
      </c>
      <c r="K305" s="4">
        <v>750</v>
      </c>
      <c r="L305" s="5">
        <f t="shared" si="2"/>
        <v>337.5</v>
      </c>
      <c r="M305" s="5">
        <f t="shared" si="3"/>
        <v>135</v>
      </c>
      <c r="N305" s="6">
        <v>0.4</v>
      </c>
    </row>
    <row r="306" spans="1:14" ht="15.75" customHeight="1" x14ac:dyDescent="0.45">
      <c r="A306" s="1" t="s">
        <v>119</v>
      </c>
      <c r="B306" s="1">
        <v>1185732</v>
      </c>
      <c r="C306" s="2">
        <v>44634</v>
      </c>
      <c r="D306" s="1" t="s">
        <v>26</v>
      </c>
      <c r="E306" s="1" t="s">
        <v>27</v>
      </c>
      <c r="F306" s="1" t="s">
        <v>28</v>
      </c>
      <c r="G306" s="1" t="s">
        <v>17</v>
      </c>
      <c r="H306" s="1">
        <v>44</v>
      </c>
      <c r="I306" s="1" t="s">
        <v>126</v>
      </c>
      <c r="J306" s="3">
        <v>0.6</v>
      </c>
      <c r="K306" s="4">
        <v>1250</v>
      </c>
      <c r="L306" s="5">
        <f t="shared" si="2"/>
        <v>750</v>
      </c>
      <c r="M306" s="5">
        <f t="shared" si="3"/>
        <v>262.5</v>
      </c>
      <c r="N306" s="6">
        <v>0.35</v>
      </c>
    </row>
    <row r="307" spans="1:14" ht="15.75" customHeight="1" x14ac:dyDescent="0.45">
      <c r="A307" s="1" t="s">
        <v>119</v>
      </c>
      <c r="B307" s="1">
        <v>1185732</v>
      </c>
      <c r="C307" s="2">
        <v>44634</v>
      </c>
      <c r="D307" s="1" t="s">
        <v>26</v>
      </c>
      <c r="E307" s="1" t="s">
        <v>27</v>
      </c>
      <c r="F307" s="1" t="s">
        <v>28</v>
      </c>
      <c r="G307" s="1" t="s">
        <v>18</v>
      </c>
      <c r="H307" s="1">
        <v>26</v>
      </c>
      <c r="I307" s="1" t="s">
        <v>125</v>
      </c>
      <c r="J307" s="3">
        <v>0.5</v>
      </c>
      <c r="K307" s="4">
        <v>2250</v>
      </c>
      <c r="L307" s="5">
        <f t="shared" si="2"/>
        <v>1125</v>
      </c>
      <c r="M307" s="5">
        <f t="shared" si="3"/>
        <v>562.5</v>
      </c>
      <c r="N307" s="6">
        <v>0.5</v>
      </c>
    </row>
    <row r="308" spans="1:14" ht="15.75" customHeight="1" x14ac:dyDescent="0.45">
      <c r="A308" s="1" t="s">
        <v>119</v>
      </c>
      <c r="B308" s="1">
        <v>1185732</v>
      </c>
      <c r="C308" s="2">
        <v>44666</v>
      </c>
      <c r="D308" s="1" t="s">
        <v>26</v>
      </c>
      <c r="E308" s="1" t="s">
        <v>27</v>
      </c>
      <c r="F308" s="1" t="s">
        <v>28</v>
      </c>
      <c r="G308" s="1" t="s">
        <v>13</v>
      </c>
      <c r="H308" s="1">
        <v>34</v>
      </c>
      <c r="I308" s="1" t="s">
        <v>124</v>
      </c>
      <c r="J308" s="3">
        <v>0.5</v>
      </c>
      <c r="K308" s="4">
        <v>4500</v>
      </c>
      <c r="L308" s="5">
        <f t="shared" si="2"/>
        <v>2250</v>
      </c>
      <c r="M308" s="5">
        <f t="shared" si="3"/>
        <v>900</v>
      </c>
      <c r="N308" s="6">
        <v>0.4</v>
      </c>
    </row>
    <row r="309" spans="1:14" ht="15.75" customHeight="1" x14ac:dyDescent="0.45">
      <c r="A309" s="1" t="s">
        <v>119</v>
      </c>
      <c r="B309" s="1">
        <v>1185732</v>
      </c>
      <c r="C309" s="2">
        <v>44666</v>
      </c>
      <c r="D309" s="1" t="s">
        <v>26</v>
      </c>
      <c r="E309" s="1" t="s">
        <v>27</v>
      </c>
      <c r="F309" s="1" t="s">
        <v>28</v>
      </c>
      <c r="G309" s="1" t="s">
        <v>14</v>
      </c>
      <c r="H309" s="1">
        <v>20</v>
      </c>
      <c r="I309" s="1" t="s">
        <v>123</v>
      </c>
      <c r="J309" s="3">
        <v>0.5</v>
      </c>
      <c r="K309" s="4">
        <v>1500</v>
      </c>
      <c r="L309" s="5">
        <f t="shared" si="2"/>
        <v>750</v>
      </c>
      <c r="M309" s="5">
        <f t="shared" si="3"/>
        <v>262.5</v>
      </c>
      <c r="N309" s="6">
        <v>0.35</v>
      </c>
    </row>
    <row r="310" spans="1:14" ht="15.75" customHeight="1" x14ac:dyDescent="0.45">
      <c r="A310" s="1" t="s">
        <v>119</v>
      </c>
      <c r="B310" s="1">
        <v>1185732</v>
      </c>
      <c r="C310" s="2">
        <v>44666</v>
      </c>
      <c r="D310" s="1" t="s">
        <v>26</v>
      </c>
      <c r="E310" s="1" t="s">
        <v>27</v>
      </c>
      <c r="F310" s="1" t="s">
        <v>28</v>
      </c>
      <c r="G310" s="1" t="s">
        <v>15</v>
      </c>
      <c r="H310" s="1">
        <v>22</v>
      </c>
      <c r="I310" s="1" t="s">
        <v>126</v>
      </c>
      <c r="J310" s="3">
        <v>0.4</v>
      </c>
      <c r="K310" s="4">
        <v>1500</v>
      </c>
      <c r="L310" s="5">
        <f t="shared" si="2"/>
        <v>600</v>
      </c>
      <c r="M310" s="5">
        <f t="shared" si="3"/>
        <v>210</v>
      </c>
      <c r="N310" s="6">
        <v>0.35</v>
      </c>
    </row>
    <row r="311" spans="1:14" ht="15.75" customHeight="1" x14ac:dyDescent="0.45">
      <c r="A311" s="1" t="s">
        <v>119</v>
      </c>
      <c r="B311" s="1">
        <v>1185732</v>
      </c>
      <c r="C311" s="2">
        <v>44666</v>
      </c>
      <c r="D311" s="1" t="s">
        <v>26</v>
      </c>
      <c r="E311" s="1" t="s">
        <v>27</v>
      </c>
      <c r="F311" s="1" t="s">
        <v>28</v>
      </c>
      <c r="G311" s="1" t="s">
        <v>16</v>
      </c>
      <c r="H311" s="1">
        <v>35</v>
      </c>
      <c r="I311" s="1" t="s">
        <v>124</v>
      </c>
      <c r="J311" s="3">
        <v>0.45</v>
      </c>
      <c r="K311" s="4">
        <v>750</v>
      </c>
      <c r="L311" s="5">
        <f t="shared" si="2"/>
        <v>337.5</v>
      </c>
      <c r="M311" s="5">
        <f t="shared" si="3"/>
        <v>135</v>
      </c>
      <c r="N311" s="6">
        <v>0.4</v>
      </c>
    </row>
    <row r="312" spans="1:14" ht="15.75" customHeight="1" x14ac:dyDescent="0.45">
      <c r="A312" s="1" t="s">
        <v>119</v>
      </c>
      <c r="B312" s="1">
        <v>1185732</v>
      </c>
      <c r="C312" s="2">
        <v>44666</v>
      </c>
      <c r="D312" s="1" t="s">
        <v>26</v>
      </c>
      <c r="E312" s="1" t="s">
        <v>27</v>
      </c>
      <c r="F312" s="1" t="s">
        <v>28</v>
      </c>
      <c r="G312" s="1" t="s">
        <v>17</v>
      </c>
      <c r="H312" s="1">
        <v>18</v>
      </c>
      <c r="I312" s="1" t="s">
        <v>124</v>
      </c>
      <c r="J312" s="3">
        <v>0.6</v>
      </c>
      <c r="K312" s="4">
        <v>1000</v>
      </c>
      <c r="L312" s="5">
        <f t="shared" si="2"/>
        <v>600</v>
      </c>
      <c r="M312" s="5">
        <f t="shared" si="3"/>
        <v>210</v>
      </c>
      <c r="N312" s="6">
        <v>0.35</v>
      </c>
    </row>
    <row r="313" spans="1:14" ht="15.75" customHeight="1" x14ac:dyDescent="0.45">
      <c r="A313" s="1" t="s">
        <v>119</v>
      </c>
      <c r="B313" s="1">
        <v>1185732</v>
      </c>
      <c r="C313" s="2">
        <v>44666</v>
      </c>
      <c r="D313" s="1" t="s">
        <v>26</v>
      </c>
      <c r="E313" s="1" t="s">
        <v>27</v>
      </c>
      <c r="F313" s="1" t="s">
        <v>28</v>
      </c>
      <c r="G313" s="1" t="s">
        <v>18</v>
      </c>
      <c r="H313" s="1">
        <v>54</v>
      </c>
      <c r="I313" s="1" t="s">
        <v>126</v>
      </c>
      <c r="J313" s="3">
        <v>0.5</v>
      </c>
      <c r="K313" s="4">
        <v>2250</v>
      </c>
      <c r="L313" s="5">
        <f t="shared" si="2"/>
        <v>1125</v>
      </c>
      <c r="M313" s="5">
        <f t="shared" si="3"/>
        <v>562.5</v>
      </c>
      <c r="N313" s="6">
        <v>0.5</v>
      </c>
    </row>
    <row r="314" spans="1:14" ht="15.75" customHeight="1" x14ac:dyDescent="0.45">
      <c r="A314" s="1" t="s">
        <v>119</v>
      </c>
      <c r="B314" s="1">
        <v>1185732</v>
      </c>
      <c r="C314" s="2">
        <v>44697</v>
      </c>
      <c r="D314" s="1" t="s">
        <v>26</v>
      </c>
      <c r="E314" s="1" t="s">
        <v>27</v>
      </c>
      <c r="F314" s="1" t="s">
        <v>28</v>
      </c>
      <c r="G314" s="1" t="s">
        <v>13</v>
      </c>
      <c r="H314" s="1">
        <v>45</v>
      </c>
      <c r="I314" s="1" t="s">
        <v>124</v>
      </c>
      <c r="J314" s="3">
        <v>0.6</v>
      </c>
      <c r="K314" s="4">
        <v>4950</v>
      </c>
      <c r="L314" s="5">
        <f t="shared" si="2"/>
        <v>2970</v>
      </c>
      <c r="M314" s="5">
        <f t="shared" si="3"/>
        <v>1188</v>
      </c>
      <c r="N314" s="6">
        <v>0.4</v>
      </c>
    </row>
    <row r="315" spans="1:14" ht="15.75" customHeight="1" x14ac:dyDescent="0.45">
      <c r="A315" s="1" t="s">
        <v>119</v>
      </c>
      <c r="B315" s="1">
        <v>1185732</v>
      </c>
      <c r="C315" s="2">
        <v>44697</v>
      </c>
      <c r="D315" s="1" t="s">
        <v>26</v>
      </c>
      <c r="E315" s="1" t="s">
        <v>27</v>
      </c>
      <c r="F315" s="1" t="s">
        <v>28</v>
      </c>
      <c r="G315" s="1" t="s">
        <v>14</v>
      </c>
      <c r="H315" s="1">
        <v>34</v>
      </c>
      <c r="I315" s="1" t="s">
        <v>126</v>
      </c>
      <c r="J315" s="3">
        <v>0.55000000000000004</v>
      </c>
      <c r="K315" s="4">
        <v>2000</v>
      </c>
      <c r="L315" s="5">
        <f t="shared" si="2"/>
        <v>1100</v>
      </c>
      <c r="M315" s="5">
        <f t="shared" si="3"/>
        <v>385</v>
      </c>
      <c r="N315" s="6">
        <v>0.35</v>
      </c>
    </row>
    <row r="316" spans="1:14" ht="15.75" customHeight="1" x14ac:dyDescent="0.45">
      <c r="A316" s="1" t="s">
        <v>119</v>
      </c>
      <c r="B316" s="1">
        <v>1185732</v>
      </c>
      <c r="C316" s="2">
        <v>44697</v>
      </c>
      <c r="D316" s="1" t="s">
        <v>26</v>
      </c>
      <c r="E316" s="1" t="s">
        <v>27</v>
      </c>
      <c r="F316" s="1" t="s">
        <v>28</v>
      </c>
      <c r="G316" s="1" t="s">
        <v>15</v>
      </c>
      <c r="H316" s="1">
        <v>22</v>
      </c>
      <c r="I316" s="1" t="s">
        <v>124</v>
      </c>
      <c r="J316" s="3">
        <v>0.5</v>
      </c>
      <c r="K316" s="4">
        <v>1750</v>
      </c>
      <c r="L316" s="5">
        <f t="shared" si="2"/>
        <v>875</v>
      </c>
      <c r="M316" s="5">
        <f t="shared" si="3"/>
        <v>306.25</v>
      </c>
      <c r="N316" s="6">
        <v>0.35</v>
      </c>
    </row>
    <row r="317" spans="1:14" ht="15.75" customHeight="1" x14ac:dyDescent="0.45">
      <c r="A317" s="1" t="s">
        <v>119</v>
      </c>
      <c r="B317" s="1">
        <v>1185732</v>
      </c>
      <c r="C317" s="2">
        <v>44697</v>
      </c>
      <c r="D317" s="1" t="s">
        <v>26</v>
      </c>
      <c r="E317" s="1" t="s">
        <v>27</v>
      </c>
      <c r="F317" s="1" t="s">
        <v>28</v>
      </c>
      <c r="G317" s="1" t="s">
        <v>16</v>
      </c>
      <c r="H317" s="1">
        <v>44</v>
      </c>
      <c r="I317" s="1" t="s">
        <v>126</v>
      </c>
      <c r="J317" s="3">
        <v>0.5</v>
      </c>
      <c r="K317" s="4">
        <v>1000</v>
      </c>
      <c r="L317" s="5">
        <f t="shared" si="2"/>
        <v>500</v>
      </c>
      <c r="M317" s="5">
        <f t="shared" si="3"/>
        <v>200</v>
      </c>
      <c r="N317" s="6">
        <v>0.4</v>
      </c>
    </row>
    <row r="318" spans="1:14" ht="15.75" customHeight="1" x14ac:dyDescent="0.45">
      <c r="A318" s="1" t="s">
        <v>119</v>
      </c>
      <c r="B318" s="1">
        <v>1185732</v>
      </c>
      <c r="C318" s="2">
        <v>44697</v>
      </c>
      <c r="D318" s="1" t="s">
        <v>26</v>
      </c>
      <c r="E318" s="1" t="s">
        <v>27</v>
      </c>
      <c r="F318" s="1" t="s">
        <v>28</v>
      </c>
      <c r="G318" s="1" t="s">
        <v>17</v>
      </c>
      <c r="H318" s="1">
        <v>20</v>
      </c>
      <c r="I318" s="1" t="s">
        <v>125</v>
      </c>
      <c r="J318" s="3">
        <v>0.6</v>
      </c>
      <c r="K318" s="4">
        <v>1250</v>
      </c>
      <c r="L318" s="5">
        <f t="shared" si="2"/>
        <v>750</v>
      </c>
      <c r="M318" s="5">
        <f t="shared" si="3"/>
        <v>262.5</v>
      </c>
      <c r="N318" s="6">
        <v>0.35</v>
      </c>
    </row>
    <row r="319" spans="1:14" ht="15.75" customHeight="1" x14ac:dyDescent="0.45">
      <c r="A319" s="1" t="s">
        <v>119</v>
      </c>
      <c r="B319" s="1">
        <v>1185732</v>
      </c>
      <c r="C319" s="2">
        <v>44697</v>
      </c>
      <c r="D319" s="1" t="s">
        <v>26</v>
      </c>
      <c r="E319" s="1" t="s">
        <v>27</v>
      </c>
      <c r="F319" s="1" t="s">
        <v>28</v>
      </c>
      <c r="G319" s="1" t="s">
        <v>18</v>
      </c>
      <c r="H319" s="1">
        <v>35</v>
      </c>
      <c r="I319" s="1" t="s">
        <v>126</v>
      </c>
      <c r="J319" s="3">
        <v>0.65</v>
      </c>
      <c r="K319" s="4">
        <v>2500</v>
      </c>
      <c r="L319" s="5">
        <f t="shared" si="2"/>
        <v>1625</v>
      </c>
      <c r="M319" s="5">
        <f t="shared" si="3"/>
        <v>812.5</v>
      </c>
      <c r="N319" s="6">
        <v>0.5</v>
      </c>
    </row>
    <row r="320" spans="1:14" ht="15.75" customHeight="1" x14ac:dyDescent="0.45">
      <c r="A320" s="1" t="s">
        <v>119</v>
      </c>
      <c r="B320" s="1">
        <v>1185732</v>
      </c>
      <c r="C320" s="2">
        <v>44727</v>
      </c>
      <c r="D320" s="1" t="s">
        <v>26</v>
      </c>
      <c r="E320" s="1" t="s">
        <v>27</v>
      </c>
      <c r="F320" s="1" t="s">
        <v>28</v>
      </c>
      <c r="G320" s="1" t="s">
        <v>13</v>
      </c>
      <c r="H320" s="1">
        <v>26</v>
      </c>
      <c r="I320" s="1" t="s">
        <v>126</v>
      </c>
      <c r="J320" s="3">
        <v>0.5</v>
      </c>
      <c r="K320" s="4">
        <v>5000</v>
      </c>
      <c r="L320" s="5">
        <f t="shared" si="2"/>
        <v>2500</v>
      </c>
      <c r="M320" s="5">
        <f t="shared" si="3"/>
        <v>1000</v>
      </c>
      <c r="N320" s="6">
        <v>0.4</v>
      </c>
    </row>
    <row r="321" spans="1:14" ht="15.75" customHeight="1" x14ac:dyDescent="0.45">
      <c r="A321" s="1" t="s">
        <v>119</v>
      </c>
      <c r="B321" s="1">
        <v>1185732</v>
      </c>
      <c r="C321" s="2">
        <v>44727</v>
      </c>
      <c r="D321" s="1" t="s">
        <v>26</v>
      </c>
      <c r="E321" s="1" t="s">
        <v>27</v>
      </c>
      <c r="F321" s="1" t="s">
        <v>28</v>
      </c>
      <c r="G321" s="1" t="s">
        <v>14</v>
      </c>
      <c r="H321" s="1">
        <v>23</v>
      </c>
      <c r="I321" s="1" t="s">
        <v>125</v>
      </c>
      <c r="J321" s="3">
        <v>0.45000000000000007</v>
      </c>
      <c r="K321" s="4">
        <v>2500</v>
      </c>
      <c r="L321" s="5">
        <f t="shared" si="2"/>
        <v>1125.0000000000002</v>
      </c>
      <c r="M321" s="5">
        <f t="shared" si="3"/>
        <v>393.75000000000006</v>
      </c>
      <c r="N321" s="6">
        <v>0.35</v>
      </c>
    </row>
    <row r="322" spans="1:14" ht="15.75" customHeight="1" x14ac:dyDescent="0.45">
      <c r="A322" s="1" t="s">
        <v>119</v>
      </c>
      <c r="B322" s="1">
        <v>1185732</v>
      </c>
      <c r="C322" s="2">
        <v>44727</v>
      </c>
      <c r="D322" s="1" t="s">
        <v>26</v>
      </c>
      <c r="E322" s="1" t="s">
        <v>27</v>
      </c>
      <c r="F322" s="1" t="s">
        <v>28</v>
      </c>
      <c r="G322" s="1" t="s">
        <v>15</v>
      </c>
      <c r="H322" s="1">
        <v>29</v>
      </c>
      <c r="I322" s="1" t="s">
        <v>123</v>
      </c>
      <c r="J322" s="3">
        <v>0.4</v>
      </c>
      <c r="K322" s="4">
        <v>2000</v>
      </c>
      <c r="L322" s="5">
        <f t="shared" si="2"/>
        <v>800</v>
      </c>
      <c r="M322" s="5">
        <f t="shared" si="3"/>
        <v>280</v>
      </c>
      <c r="N322" s="6">
        <v>0.35</v>
      </c>
    </row>
    <row r="323" spans="1:14" ht="15.75" customHeight="1" x14ac:dyDescent="0.45">
      <c r="A323" s="1" t="s">
        <v>119</v>
      </c>
      <c r="B323" s="1">
        <v>1185732</v>
      </c>
      <c r="C323" s="2">
        <v>44727</v>
      </c>
      <c r="D323" s="1" t="s">
        <v>26</v>
      </c>
      <c r="E323" s="1" t="s">
        <v>27</v>
      </c>
      <c r="F323" s="1" t="s">
        <v>28</v>
      </c>
      <c r="G323" s="1" t="s">
        <v>16</v>
      </c>
      <c r="H323" s="1">
        <v>50</v>
      </c>
      <c r="I323" s="1" t="s">
        <v>125</v>
      </c>
      <c r="J323" s="3">
        <v>0.4</v>
      </c>
      <c r="K323" s="4">
        <v>1750</v>
      </c>
      <c r="L323" s="5">
        <f t="shared" si="2"/>
        <v>700</v>
      </c>
      <c r="M323" s="5">
        <f t="shared" si="3"/>
        <v>280</v>
      </c>
      <c r="N323" s="6">
        <v>0.4</v>
      </c>
    </row>
    <row r="324" spans="1:14" ht="15.75" customHeight="1" x14ac:dyDescent="0.45">
      <c r="A324" s="1" t="s">
        <v>119</v>
      </c>
      <c r="B324" s="1">
        <v>1185732</v>
      </c>
      <c r="C324" s="2">
        <v>44727</v>
      </c>
      <c r="D324" s="1" t="s">
        <v>26</v>
      </c>
      <c r="E324" s="1" t="s">
        <v>27</v>
      </c>
      <c r="F324" s="1" t="s">
        <v>28</v>
      </c>
      <c r="G324" s="1" t="s">
        <v>17</v>
      </c>
      <c r="H324" s="1">
        <v>43</v>
      </c>
      <c r="I324" s="1" t="s">
        <v>124</v>
      </c>
      <c r="J324" s="3">
        <v>0.5</v>
      </c>
      <c r="K324" s="4">
        <v>1750</v>
      </c>
      <c r="L324" s="5">
        <f t="shared" si="2"/>
        <v>875</v>
      </c>
      <c r="M324" s="5">
        <f t="shared" si="3"/>
        <v>306.25</v>
      </c>
      <c r="N324" s="6">
        <v>0.35</v>
      </c>
    </row>
    <row r="325" spans="1:14" ht="15.75" customHeight="1" x14ac:dyDescent="0.45">
      <c r="A325" s="1" t="s">
        <v>119</v>
      </c>
      <c r="B325" s="1">
        <v>1185732</v>
      </c>
      <c r="C325" s="2">
        <v>44727</v>
      </c>
      <c r="D325" s="1" t="s">
        <v>26</v>
      </c>
      <c r="E325" s="1" t="s">
        <v>27</v>
      </c>
      <c r="F325" s="1" t="s">
        <v>28</v>
      </c>
      <c r="G325" s="1" t="s">
        <v>18</v>
      </c>
      <c r="H325" s="1">
        <v>44</v>
      </c>
      <c r="I325" s="1" t="s">
        <v>126</v>
      </c>
      <c r="J325" s="3">
        <v>0.55000000000000004</v>
      </c>
      <c r="K325" s="4">
        <v>3500</v>
      </c>
      <c r="L325" s="5">
        <f t="shared" si="2"/>
        <v>1925.0000000000002</v>
      </c>
      <c r="M325" s="5">
        <f t="shared" si="3"/>
        <v>962.50000000000011</v>
      </c>
      <c r="N325" s="6">
        <v>0.5</v>
      </c>
    </row>
    <row r="326" spans="1:14" ht="15.75" customHeight="1" x14ac:dyDescent="0.45">
      <c r="A326" s="1" t="s">
        <v>119</v>
      </c>
      <c r="B326" s="1">
        <v>1185732</v>
      </c>
      <c r="C326" s="2">
        <v>44756</v>
      </c>
      <c r="D326" s="1" t="s">
        <v>26</v>
      </c>
      <c r="E326" s="1" t="s">
        <v>27</v>
      </c>
      <c r="F326" s="1" t="s">
        <v>28</v>
      </c>
      <c r="G326" s="1" t="s">
        <v>13</v>
      </c>
      <c r="H326" s="1">
        <v>35</v>
      </c>
      <c r="I326" s="1" t="s">
        <v>123</v>
      </c>
      <c r="J326" s="3">
        <v>0.5</v>
      </c>
      <c r="K326" s="4">
        <v>5750</v>
      </c>
      <c r="L326" s="5">
        <f t="shared" si="2"/>
        <v>2875</v>
      </c>
      <c r="M326" s="5">
        <f t="shared" si="3"/>
        <v>1150</v>
      </c>
      <c r="N326" s="6">
        <v>0.4</v>
      </c>
    </row>
    <row r="327" spans="1:14" ht="15.75" customHeight="1" x14ac:dyDescent="0.45">
      <c r="A327" s="1" t="s">
        <v>119</v>
      </c>
      <c r="B327" s="1">
        <v>1185732</v>
      </c>
      <c r="C327" s="2">
        <v>44756</v>
      </c>
      <c r="D327" s="1" t="s">
        <v>26</v>
      </c>
      <c r="E327" s="1" t="s">
        <v>27</v>
      </c>
      <c r="F327" s="1" t="s">
        <v>28</v>
      </c>
      <c r="G327" s="1" t="s">
        <v>14</v>
      </c>
      <c r="H327" s="1">
        <v>57</v>
      </c>
      <c r="I327" s="1" t="s">
        <v>124</v>
      </c>
      <c r="J327" s="3">
        <v>0.45000000000000007</v>
      </c>
      <c r="K327" s="4">
        <v>3250</v>
      </c>
      <c r="L327" s="5">
        <f t="shared" si="2"/>
        <v>1462.5000000000002</v>
      </c>
      <c r="M327" s="5">
        <f t="shared" si="3"/>
        <v>511.87500000000006</v>
      </c>
      <c r="N327" s="6">
        <v>0.35</v>
      </c>
    </row>
    <row r="328" spans="1:14" ht="15.75" customHeight="1" x14ac:dyDescent="0.45">
      <c r="A328" s="1" t="s">
        <v>119</v>
      </c>
      <c r="B328" s="1">
        <v>1185732</v>
      </c>
      <c r="C328" s="2">
        <v>44756</v>
      </c>
      <c r="D328" s="1" t="s">
        <v>26</v>
      </c>
      <c r="E328" s="1" t="s">
        <v>27</v>
      </c>
      <c r="F328" s="1" t="s">
        <v>28</v>
      </c>
      <c r="G328" s="1" t="s">
        <v>15</v>
      </c>
      <c r="H328" s="1">
        <v>59</v>
      </c>
      <c r="I328" s="1" t="s">
        <v>124</v>
      </c>
      <c r="J328" s="3">
        <v>0.4</v>
      </c>
      <c r="K328" s="4">
        <v>2500</v>
      </c>
      <c r="L328" s="5">
        <f t="shared" si="2"/>
        <v>1000</v>
      </c>
      <c r="M328" s="5">
        <f t="shared" si="3"/>
        <v>350</v>
      </c>
      <c r="N328" s="6">
        <v>0.35</v>
      </c>
    </row>
    <row r="329" spans="1:14" ht="15.75" customHeight="1" x14ac:dyDescent="0.45">
      <c r="A329" s="1" t="s">
        <v>119</v>
      </c>
      <c r="B329" s="1">
        <v>1185732</v>
      </c>
      <c r="C329" s="2">
        <v>44756</v>
      </c>
      <c r="D329" s="1" t="s">
        <v>26</v>
      </c>
      <c r="E329" s="1" t="s">
        <v>27</v>
      </c>
      <c r="F329" s="1" t="s">
        <v>28</v>
      </c>
      <c r="G329" s="1" t="s">
        <v>16</v>
      </c>
      <c r="H329" s="1">
        <v>15</v>
      </c>
      <c r="I329" s="1" t="s">
        <v>124</v>
      </c>
      <c r="J329" s="3">
        <v>0.4</v>
      </c>
      <c r="K329" s="4">
        <v>2000</v>
      </c>
      <c r="L329" s="5">
        <f t="shared" si="2"/>
        <v>800</v>
      </c>
      <c r="M329" s="5">
        <f t="shared" si="3"/>
        <v>320</v>
      </c>
      <c r="N329" s="6">
        <v>0.4</v>
      </c>
    </row>
    <row r="330" spans="1:14" ht="15.75" customHeight="1" x14ac:dyDescent="0.45">
      <c r="A330" s="1" t="s">
        <v>119</v>
      </c>
      <c r="B330" s="1">
        <v>1185732</v>
      </c>
      <c r="C330" s="2">
        <v>44756</v>
      </c>
      <c r="D330" s="1" t="s">
        <v>26</v>
      </c>
      <c r="E330" s="1" t="s">
        <v>27</v>
      </c>
      <c r="F330" s="1" t="s">
        <v>28</v>
      </c>
      <c r="G330" s="1" t="s">
        <v>17</v>
      </c>
      <c r="H330" s="1">
        <v>51</v>
      </c>
      <c r="I330" s="1" t="s">
        <v>126</v>
      </c>
      <c r="J330" s="3">
        <v>0.5</v>
      </c>
      <c r="K330" s="4">
        <v>2250</v>
      </c>
      <c r="L330" s="5">
        <f t="shared" si="2"/>
        <v>1125</v>
      </c>
      <c r="M330" s="5">
        <f t="shared" si="3"/>
        <v>393.75</v>
      </c>
      <c r="N330" s="6">
        <v>0.35</v>
      </c>
    </row>
    <row r="331" spans="1:14" ht="15.75" customHeight="1" x14ac:dyDescent="0.45">
      <c r="A331" s="1" t="s">
        <v>119</v>
      </c>
      <c r="B331" s="1">
        <v>1185732</v>
      </c>
      <c r="C331" s="2">
        <v>44756</v>
      </c>
      <c r="D331" s="1" t="s">
        <v>26</v>
      </c>
      <c r="E331" s="1" t="s">
        <v>27</v>
      </c>
      <c r="F331" s="1" t="s">
        <v>28</v>
      </c>
      <c r="G331" s="1" t="s">
        <v>18</v>
      </c>
      <c r="H331" s="1">
        <v>56</v>
      </c>
      <c r="I331" s="1" t="s">
        <v>123</v>
      </c>
      <c r="J331" s="3">
        <v>0.55000000000000004</v>
      </c>
      <c r="K331" s="4">
        <v>4000</v>
      </c>
      <c r="L331" s="5">
        <f t="shared" si="2"/>
        <v>2200</v>
      </c>
      <c r="M331" s="5">
        <f t="shared" si="3"/>
        <v>1100</v>
      </c>
      <c r="N331" s="6">
        <v>0.5</v>
      </c>
    </row>
    <row r="332" spans="1:14" ht="15.75" customHeight="1" x14ac:dyDescent="0.45">
      <c r="A332" s="1" t="s">
        <v>119</v>
      </c>
      <c r="B332" s="1">
        <v>1185732</v>
      </c>
      <c r="C332" s="2">
        <v>44788</v>
      </c>
      <c r="D332" s="1" t="s">
        <v>26</v>
      </c>
      <c r="E332" s="1" t="s">
        <v>27</v>
      </c>
      <c r="F332" s="1" t="s">
        <v>28</v>
      </c>
      <c r="G332" s="1" t="s">
        <v>13</v>
      </c>
      <c r="H332" s="1">
        <v>55</v>
      </c>
      <c r="I332" s="1" t="s">
        <v>125</v>
      </c>
      <c r="J332" s="3">
        <v>0.5</v>
      </c>
      <c r="K332" s="4">
        <v>5500</v>
      </c>
      <c r="L332" s="5">
        <f t="shared" si="2"/>
        <v>2750</v>
      </c>
      <c r="M332" s="5">
        <f t="shared" si="3"/>
        <v>1100</v>
      </c>
      <c r="N332" s="6">
        <v>0.4</v>
      </c>
    </row>
    <row r="333" spans="1:14" ht="15.75" customHeight="1" x14ac:dyDescent="0.45">
      <c r="A333" s="1" t="s">
        <v>119</v>
      </c>
      <c r="B333" s="1">
        <v>1185732</v>
      </c>
      <c r="C333" s="2">
        <v>44788</v>
      </c>
      <c r="D333" s="1" t="s">
        <v>26</v>
      </c>
      <c r="E333" s="1" t="s">
        <v>27</v>
      </c>
      <c r="F333" s="1" t="s">
        <v>28</v>
      </c>
      <c r="G333" s="1" t="s">
        <v>14</v>
      </c>
      <c r="H333" s="1">
        <v>38</v>
      </c>
      <c r="I333" s="1" t="s">
        <v>123</v>
      </c>
      <c r="J333" s="3">
        <v>0.45000000000000007</v>
      </c>
      <c r="K333" s="4">
        <v>3250</v>
      </c>
      <c r="L333" s="5">
        <f t="shared" si="2"/>
        <v>1462.5000000000002</v>
      </c>
      <c r="M333" s="5">
        <f t="shared" si="3"/>
        <v>511.87500000000006</v>
      </c>
      <c r="N333" s="6">
        <v>0.35</v>
      </c>
    </row>
    <row r="334" spans="1:14" ht="15.75" customHeight="1" x14ac:dyDescent="0.45">
      <c r="A334" s="1" t="s">
        <v>119</v>
      </c>
      <c r="B334" s="1">
        <v>1185732</v>
      </c>
      <c r="C334" s="2">
        <v>44788</v>
      </c>
      <c r="D334" s="1" t="s">
        <v>26</v>
      </c>
      <c r="E334" s="1" t="s">
        <v>27</v>
      </c>
      <c r="F334" s="1" t="s">
        <v>28</v>
      </c>
      <c r="G334" s="1" t="s">
        <v>15</v>
      </c>
      <c r="H334" s="1">
        <v>22</v>
      </c>
      <c r="I334" s="1" t="s">
        <v>125</v>
      </c>
      <c r="J334" s="3">
        <v>0.4</v>
      </c>
      <c r="K334" s="4">
        <v>2500</v>
      </c>
      <c r="L334" s="5">
        <f t="shared" si="2"/>
        <v>1000</v>
      </c>
      <c r="M334" s="5">
        <f t="shared" si="3"/>
        <v>350</v>
      </c>
      <c r="N334" s="6">
        <v>0.35</v>
      </c>
    </row>
    <row r="335" spans="1:14" ht="15.75" customHeight="1" x14ac:dyDescent="0.45">
      <c r="A335" s="1" t="s">
        <v>119</v>
      </c>
      <c r="B335" s="1">
        <v>1185732</v>
      </c>
      <c r="C335" s="2">
        <v>44788</v>
      </c>
      <c r="D335" s="1" t="s">
        <v>26</v>
      </c>
      <c r="E335" s="1" t="s">
        <v>27</v>
      </c>
      <c r="F335" s="1" t="s">
        <v>28</v>
      </c>
      <c r="G335" s="1" t="s">
        <v>16</v>
      </c>
      <c r="H335" s="1">
        <v>49</v>
      </c>
      <c r="I335" s="1" t="s">
        <v>123</v>
      </c>
      <c r="J335" s="3">
        <v>0.4</v>
      </c>
      <c r="K335" s="4">
        <v>2250</v>
      </c>
      <c r="L335" s="5">
        <f t="shared" si="2"/>
        <v>900</v>
      </c>
      <c r="M335" s="5">
        <f t="shared" si="3"/>
        <v>360</v>
      </c>
      <c r="N335" s="6">
        <v>0.4</v>
      </c>
    </row>
    <row r="336" spans="1:14" ht="15.75" customHeight="1" x14ac:dyDescent="0.45">
      <c r="A336" s="1" t="s">
        <v>119</v>
      </c>
      <c r="B336" s="1">
        <v>1185732</v>
      </c>
      <c r="C336" s="2">
        <v>44788</v>
      </c>
      <c r="D336" s="1" t="s">
        <v>26</v>
      </c>
      <c r="E336" s="1" t="s">
        <v>27</v>
      </c>
      <c r="F336" s="1" t="s">
        <v>28</v>
      </c>
      <c r="G336" s="1" t="s">
        <v>17</v>
      </c>
      <c r="H336" s="1">
        <v>51</v>
      </c>
      <c r="I336" s="1" t="s">
        <v>126</v>
      </c>
      <c r="J336" s="3">
        <v>0.5</v>
      </c>
      <c r="K336" s="4">
        <v>2000</v>
      </c>
      <c r="L336" s="5">
        <f t="shared" si="2"/>
        <v>1000</v>
      </c>
      <c r="M336" s="5">
        <f t="shared" si="3"/>
        <v>350</v>
      </c>
      <c r="N336" s="6">
        <v>0.35</v>
      </c>
    </row>
    <row r="337" spans="1:14" ht="15.75" customHeight="1" x14ac:dyDescent="0.45">
      <c r="A337" s="1" t="s">
        <v>119</v>
      </c>
      <c r="B337" s="1">
        <v>1185732</v>
      </c>
      <c r="C337" s="2">
        <v>44788</v>
      </c>
      <c r="D337" s="1" t="s">
        <v>26</v>
      </c>
      <c r="E337" s="1" t="s">
        <v>27</v>
      </c>
      <c r="F337" s="1" t="s">
        <v>28</v>
      </c>
      <c r="G337" s="1" t="s">
        <v>18</v>
      </c>
      <c r="H337" s="1">
        <v>31</v>
      </c>
      <c r="I337" s="1" t="s">
        <v>125</v>
      </c>
      <c r="J337" s="3">
        <v>0.55000000000000004</v>
      </c>
      <c r="K337" s="4">
        <v>3750</v>
      </c>
      <c r="L337" s="5">
        <f t="shared" si="2"/>
        <v>2062.5</v>
      </c>
      <c r="M337" s="5">
        <f t="shared" si="3"/>
        <v>1031.25</v>
      </c>
      <c r="N337" s="6">
        <v>0.5</v>
      </c>
    </row>
    <row r="338" spans="1:14" ht="15.75" customHeight="1" x14ac:dyDescent="0.45">
      <c r="A338" s="1" t="s">
        <v>119</v>
      </c>
      <c r="B338" s="1">
        <v>1185732</v>
      </c>
      <c r="C338" s="2">
        <v>44820</v>
      </c>
      <c r="D338" s="1" t="s">
        <v>26</v>
      </c>
      <c r="E338" s="1" t="s">
        <v>27</v>
      </c>
      <c r="F338" s="1" t="s">
        <v>28</v>
      </c>
      <c r="G338" s="1" t="s">
        <v>13</v>
      </c>
      <c r="H338" s="1">
        <v>53</v>
      </c>
      <c r="I338" s="1" t="s">
        <v>125</v>
      </c>
      <c r="J338" s="3">
        <v>0.5</v>
      </c>
      <c r="K338" s="4">
        <v>5000</v>
      </c>
      <c r="L338" s="5">
        <f t="shared" si="2"/>
        <v>2500</v>
      </c>
      <c r="M338" s="5">
        <f t="shared" si="3"/>
        <v>1000</v>
      </c>
      <c r="N338" s="6">
        <v>0.4</v>
      </c>
    </row>
    <row r="339" spans="1:14" ht="15.75" customHeight="1" x14ac:dyDescent="0.45">
      <c r="A339" s="1" t="s">
        <v>119</v>
      </c>
      <c r="B339" s="1">
        <v>1185732</v>
      </c>
      <c r="C339" s="2">
        <v>44820</v>
      </c>
      <c r="D339" s="1" t="s">
        <v>26</v>
      </c>
      <c r="E339" s="1" t="s">
        <v>27</v>
      </c>
      <c r="F339" s="1" t="s">
        <v>28</v>
      </c>
      <c r="G339" s="1" t="s">
        <v>14</v>
      </c>
      <c r="H339" s="1">
        <v>19</v>
      </c>
      <c r="I339" s="1" t="s">
        <v>126</v>
      </c>
      <c r="J339" s="3">
        <v>0.45000000000000007</v>
      </c>
      <c r="K339" s="4">
        <v>3000</v>
      </c>
      <c r="L339" s="5">
        <f t="shared" si="2"/>
        <v>1350.0000000000002</v>
      </c>
      <c r="M339" s="5">
        <f t="shared" si="3"/>
        <v>472.50000000000006</v>
      </c>
      <c r="N339" s="6">
        <v>0.35</v>
      </c>
    </row>
    <row r="340" spans="1:14" ht="15.75" customHeight="1" x14ac:dyDescent="0.45">
      <c r="A340" s="1" t="s">
        <v>119</v>
      </c>
      <c r="B340" s="1">
        <v>1185732</v>
      </c>
      <c r="C340" s="2">
        <v>44820</v>
      </c>
      <c r="D340" s="1" t="s">
        <v>26</v>
      </c>
      <c r="E340" s="1" t="s">
        <v>27</v>
      </c>
      <c r="F340" s="1" t="s">
        <v>28</v>
      </c>
      <c r="G340" s="1" t="s">
        <v>15</v>
      </c>
      <c r="H340" s="1">
        <v>15</v>
      </c>
      <c r="I340" s="1" t="s">
        <v>123</v>
      </c>
      <c r="J340" s="3">
        <v>0.4</v>
      </c>
      <c r="K340" s="4">
        <v>2000</v>
      </c>
      <c r="L340" s="5">
        <f t="shared" si="2"/>
        <v>800</v>
      </c>
      <c r="M340" s="5">
        <f t="shared" si="3"/>
        <v>280</v>
      </c>
      <c r="N340" s="6">
        <v>0.35</v>
      </c>
    </row>
    <row r="341" spans="1:14" ht="15.75" customHeight="1" x14ac:dyDescent="0.45">
      <c r="A341" s="1" t="s">
        <v>119</v>
      </c>
      <c r="B341" s="1">
        <v>1185732</v>
      </c>
      <c r="C341" s="2">
        <v>44820</v>
      </c>
      <c r="D341" s="1" t="s">
        <v>26</v>
      </c>
      <c r="E341" s="1" t="s">
        <v>27</v>
      </c>
      <c r="F341" s="1" t="s">
        <v>28</v>
      </c>
      <c r="G341" s="1" t="s">
        <v>16</v>
      </c>
      <c r="H341" s="1">
        <v>45</v>
      </c>
      <c r="I341" s="1" t="s">
        <v>123</v>
      </c>
      <c r="J341" s="3">
        <v>0.4</v>
      </c>
      <c r="K341" s="4">
        <v>1750</v>
      </c>
      <c r="L341" s="5">
        <f t="shared" si="2"/>
        <v>700</v>
      </c>
      <c r="M341" s="5">
        <f t="shared" si="3"/>
        <v>280</v>
      </c>
      <c r="N341" s="6">
        <v>0.4</v>
      </c>
    </row>
    <row r="342" spans="1:14" ht="15.75" customHeight="1" x14ac:dyDescent="0.45">
      <c r="A342" s="1" t="s">
        <v>119</v>
      </c>
      <c r="B342" s="1">
        <v>1185732</v>
      </c>
      <c r="C342" s="2">
        <v>44820</v>
      </c>
      <c r="D342" s="1" t="s">
        <v>26</v>
      </c>
      <c r="E342" s="1" t="s">
        <v>27</v>
      </c>
      <c r="F342" s="1" t="s">
        <v>28</v>
      </c>
      <c r="G342" s="1" t="s">
        <v>17</v>
      </c>
      <c r="H342" s="1">
        <v>37</v>
      </c>
      <c r="I342" s="1" t="s">
        <v>125</v>
      </c>
      <c r="J342" s="3">
        <v>0.5</v>
      </c>
      <c r="K342" s="4">
        <v>1750</v>
      </c>
      <c r="L342" s="5">
        <f t="shared" si="2"/>
        <v>875</v>
      </c>
      <c r="M342" s="5">
        <f t="shared" si="3"/>
        <v>306.25</v>
      </c>
      <c r="N342" s="6">
        <v>0.35</v>
      </c>
    </row>
    <row r="343" spans="1:14" ht="15.75" customHeight="1" x14ac:dyDescent="0.45">
      <c r="A343" s="1" t="s">
        <v>119</v>
      </c>
      <c r="B343" s="1">
        <v>1185732</v>
      </c>
      <c r="C343" s="2">
        <v>44820</v>
      </c>
      <c r="D343" s="1" t="s">
        <v>26</v>
      </c>
      <c r="E343" s="1" t="s">
        <v>27</v>
      </c>
      <c r="F343" s="1" t="s">
        <v>28</v>
      </c>
      <c r="G343" s="1" t="s">
        <v>18</v>
      </c>
      <c r="H343" s="1">
        <v>60</v>
      </c>
      <c r="I343" s="1" t="s">
        <v>123</v>
      </c>
      <c r="J343" s="3">
        <v>0.55000000000000004</v>
      </c>
      <c r="K343" s="4">
        <v>2500</v>
      </c>
      <c r="L343" s="5">
        <f t="shared" si="2"/>
        <v>1375</v>
      </c>
      <c r="M343" s="5">
        <f t="shared" si="3"/>
        <v>687.5</v>
      </c>
      <c r="N343" s="6">
        <v>0.5</v>
      </c>
    </row>
    <row r="344" spans="1:14" ht="15.75" customHeight="1" x14ac:dyDescent="0.45">
      <c r="A344" s="1" t="s">
        <v>119</v>
      </c>
      <c r="B344" s="1">
        <v>1185732</v>
      </c>
      <c r="C344" s="2">
        <v>44849</v>
      </c>
      <c r="D344" s="1" t="s">
        <v>26</v>
      </c>
      <c r="E344" s="1" t="s">
        <v>27</v>
      </c>
      <c r="F344" s="1" t="s">
        <v>28</v>
      </c>
      <c r="G344" s="1" t="s">
        <v>13</v>
      </c>
      <c r="H344" s="1">
        <v>60</v>
      </c>
      <c r="I344" s="1" t="s">
        <v>126</v>
      </c>
      <c r="J344" s="3">
        <v>0.6</v>
      </c>
      <c r="K344" s="4">
        <v>4250</v>
      </c>
      <c r="L344" s="5">
        <f t="shared" si="2"/>
        <v>2550</v>
      </c>
      <c r="M344" s="5">
        <f t="shared" si="3"/>
        <v>1020</v>
      </c>
      <c r="N344" s="6">
        <v>0.4</v>
      </c>
    </row>
    <row r="345" spans="1:14" ht="15.75" customHeight="1" x14ac:dyDescent="0.45">
      <c r="A345" s="1" t="s">
        <v>119</v>
      </c>
      <c r="B345" s="1">
        <v>1185732</v>
      </c>
      <c r="C345" s="2">
        <v>44849</v>
      </c>
      <c r="D345" s="1" t="s">
        <v>26</v>
      </c>
      <c r="E345" s="1" t="s">
        <v>27</v>
      </c>
      <c r="F345" s="1" t="s">
        <v>28</v>
      </c>
      <c r="G345" s="1" t="s">
        <v>14</v>
      </c>
      <c r="H345" s="1">
        <v>33</v>
      </c>
      <c r="I345" s="1" t="s">
        <v>125</v>
      </c>
      <c r="J345" s="3">
        <v>0.5</v>
      </c>
      <c r="K345" s="4">
        <v>2500</v>
      </c>
      <c r="L345" s="5">
        <f t="shared" si="2"/>
        <v>1250</v>
      </c>
      <c r="M345" s="5">
        <f t="shared" si="3"/>
        <v>437.5</v>
      </c>
      <c r="N345" s="6">
        <v>0.35</v>
      </c>
    </row>
    <row r="346" spans="1:14" ht="15.75" customHeight="1" x14ac:dyDescent="0.45">
      <c r="A346" s="1" t="s">
        <v>119</v>
      </c>
      <c r="B346" s="1">
        <v>1185732</v>
      </c>
      <c r="C346" s="2">
        <v>44849</v>
      </c>
      <c r="D346" s="1" t="s">
        <v>26</v>
      </c>
      <c r="E346" s="1" t="s">
        <v>27</v>
      </c>
      <c r="F346" s="1" t="s">
        <v>28</v>
      </c>
      <c r="G346" s="1" t="s">
        <v>15</v>
      </c>
      <c r="H346" s="1">
        <v>39</v>
      </c>
      <c r="I346" s="1" t="s">
        <v>124</v>
      </c>
      <c r="J346" s="3">
        <v>0.5</v>
      </c>
      <c r="K346" s="4">
        <v>1500</v>
      </c>
      <c r="L346" s="5">
        <f t="shared" si="2"/>
        <v>750</v>
      </c>
      <c r="M346" s="5">
        <f t="shared" si="3"/>
        <v>262.5</v>
      </c>
      <c r="N346" s="6">
        <v>0.35</v>
      </c>
    </row>
    <row r="347" spans="1:14" ht="15.75" customHeight="1" x14ac:dyDescent="0.45">
      <c r="A347" s="1" t="s">
        <v>119</v>
      </c>
      <c r="B347" s="1">
        <v>1185732</v>
      </c>
      <c r="C347" s="2">
        <v>44849</v>
      </c>
      <c r="D347" s="1" t="s">
        <v>26</v>
      </c>
      <c r="E347" s="1" t="s">
        <v>27</v>
      </c>
      <c r="F347" s="1" t="s">
        <v>28</v>
      </c>
      <c r="G347" s="1" t="s">
        <v>16</v>
      </c>
      <c r="H347" s="1">
        <v>24</v>
      </c>
      <c r="I347" s="1" t="s">
        <v>125</v>
      </c>
      <c r="J347" s="3">
        <v>0.5</v>
      </c>
      <c r="K347" s="4">
        <v>1250</v>
      </c>
      <c r="L347" s="5">
        <f t="shared" si="2"/>
        <v>625</v>
      </c>
      <c r="M347" s="5">
        <f t="shared" si="3"/>
        <v>250</v>
      </c>
      <c r="N347" s="6">
        <v>0.4</v>
      </c>
    </row>
    <row r="348" spans="1:14" ht="15.75" customHeight="1" x14ac:dyDescent="0.45">
      <c r="A348" s="1" t="s">
        <v>119</v>
      </c>
      <c r="B348" s="1">
        <v>1185732</v>
      </c>
      <c r="C348" s="2">
        <v>44849</v>
      </c>
      <c r="D348" s="1" t="s">
        <v>26</v>
      </c>
      <c r="E348" s="1" t="s">
        <v>27</v>
      </c>
      <c r="F348" s="1" t="s">
        <v>28</v>
      </c>
      <c r="G348" s="1" t="s">
        <v>17</v>
      </c>
      <c r="H348" s="1">
        <v>36</v>
      </c>
      <c r="I348" s="1" t="s">
        <v>125</v>
      </c>
      <c r="J348" s="3">
        <v>0.6</v>
      </c>
      <c r="K348" s="4">
        <v>1250</v>
      </c>
      <c r="L348" s="5">
        <f t="shared" si="2"/>
        <v>750</v>
      </c>
      <c r="M348" s="5">
        <f t="shared" si="3"/>
        <v>262.5</v>
      </c>
      <c r="N348" s="6">
        <v>0.35</v>
      </c>
    </row>
    <row r="349" spans="1:14" ht="15.75" customHeight="1" x14ac:dyDescent="0.45">
      <c r="A349" s="1" t="s">
        <v>119</v>
      </c>
      <c r="B349" s="1">
        <v>1185732</v>
      </c>
      <c r="C349" s="2">
        <v>44849</v>
      </c>
      <c r="D349" s="1" t="s">
        <v>26</v>
      </c>
      <c r="E349" s="1" t="s">
        <v>27</v>
      </c>
      <c r="F349" s="1" t="s">
        <v>28</v>
      </c>
      <c r="G349" s="1" t="s">
        <v>18</v>
      </c>
      <c r="H349" s="1">
        <v>53</v>
      </c>
      <c r="I349" s="1" t="s">
        <v>125</v>
      </c>
      <c r="J349" s="3">
        <v>0.64999999999999991</v>
      </c>
      <c r="K349" s="4">
        <v>2500</v>
      </c>
      <c r="L349" s="5">
        <f t="shared" si="2"/>
        <v>1624.9999999999998</v>
      </c>
      <c r="M349" s="5">
        <f t="shared" si="3"/>
        <v>812.49999999999989</v>
      </c>
      <c r="N349" s="6">
        <v>0.5</v>
      </c>
    </row>
    <row r="350" spans="1:14" ht="15.75" customHeight="1" x14ac:dyDescent="0.45">
      <c r="A350" s="1" t="s">
        <v>119</v>
      </c>
      <c r="B350" s="1">
        <v>1185732</v>
      </c>
      <c r="C350" s="2">
        <v>44880</v>
      </c>
      <c r="D350" s="1" t="s">
        <v>26</v>
      </c>
      <c r="E350" s="1" t="s">
        <v>27</v>
      </c>
      <c r="F350" s="1" t="s">
        <v>28</v>
      </c>
      <c r="G350" s="1" t="s">
        <v>13</v>
      </c>
      <c r="H350" s="1">
        <v>53</v>
      </c>
      <c r="I350" s="1" t="s">
        <v>126</v>
      </c>
      <c r="J350" s="3">
        <v>0.6</v>
      </c>
      <c r="K350" s="4">
        <v>4000</v>
      </c>
      <c r="L350" s="5">
        <f t="shared" si="2"/>
        <v>2400</v>
      </c>
      <c r="M350" s="5">
        <f t="shared" si="3"/>
        <v>960</v>
      </c>
      <c r="N350" s="6">
        <v>0.4</v>
      </c>
    </row>
    <row r="351" spans="1:14" ht="15.75" customHeight="1" x14ac:dyDescent="0.45">
      <c r="A351" s="1" t="s">
        <v>119</v>
      </c>
      <c r="B351" s="1">
        <v>1185732</v>
      </c>
      <c r="C351" s="2">
        <v>44880</v>
      </c>
      <c r="D351" s="1" t="s">
        <v>26</v>
      </c>
      <c r="E351" s="1" t="s">
        <v>27</v>
      </c>
      <c r="F351" s="1" t="s">
        <v>28</v>
      </c>
      <c r="G351" s="1" t="s">
        <v>14</v>
      </c>
      <c r="H351" s="1">
        <v>35</v>
      </c>
      <c r="I351" s="1" t="s">
        <v>125</v>
      </c>
      <c r="J351" s="3">
        <v>0.5</v>
      </c>
      <c r="K351" s="4">
        <v>2500</v>
      </c>
      <c r="L351" s="5">
        <f t="shared" si="2"/>
        <v>1250</v>
      </c>
      <c r="M351" s="5">
        <f t="shared" si="3"/>
        <v>437.5</v>
      </c>
      <c r="N351" s="6">
        <v>0.35</v>
      </c>
    </row>
    <row r="352" spans="1:14" ht="15.75" customHeight="1" x14ac:dyDescent="0.45">
      <c r="A352" s="1" t="s">
        <v>119</v>
      </c>
      <c r="B352" s="1">
        <v>1185732</v>
      </c>
      <c r="C352" s="2">
        <v>44880</v>
      </c>
      <c r="D352" s="1" t="s">
        <v>26</v>
      </c>
      <c r="E352" s="1" t="s">
        <v>27</v>
      </c>
      <c r="F352" s="1" t="s">
        <v>28</v>
      </c>
      <c r="G352" s="1" t="s">
        <v>15</v>
      </c>
      <c r="H352" s="1">
        <v>48</v>
      </c>
      <c r="I352" s="1" t="s">
        <v>123</v>
      </c>
      <c r="J352" s="3">
        <v>0.5</v>
      </c>
      <c r="K352" s="4">
        <v>1950</v>
      </c>
      <c r="L352" s="5">
        <f t="shared" si="2"/>
        <v>975</v>
      </c>
      <c r="M352" s="5">
        <f t="shared" si="3"/>
        <v>341.25</v>
      </c>
      <c r="N352" s="6">
        <v>0.35</v>
      </c>
    </row>
    <row r="353" spans="1:14" ht="15.75" customHeight="1" x14ac:dyDescent="0.45">
      <c r="A353" s="1" t="s">
        <v>119</v>
      </c>
      <c r="B353" s="1">
        <v>1185732</v>
      </c>
      <c r="C353" s="2">
        <v>44880</v>
      </c>
      <c r="D353" s="1" t="s">
        <v>26</v>
      </c>
      <c r="E353" s="1" t="s">
        <v>27</v>
      </c>
      <c r="F353" s="1" t="s">
        <v>28</v>
      </c>
      <c r="G353" s="1" t="s">
        <v>16</v>
      </c>
      <c r="H353" s="1">
        <v>15</v>
      </c>
      <c r="I353" s="1" t="s">
        <v>123</v>
      </c>
      <c r="J353" s="3">
        <v>0.5</v>
      </c>
      <c r="K353" s="4">
        <v>1750</v>
      </c>
      <c r="L353" s="5">
        <f t="shared" si="2"/>
        <v>875</v>
      </c>
      <c r="M353" s="5">
        <f t="shared" si="3"/>
        <v>350</v>
      </c>
      <c r="N353" s="6">
        <v>0.4</v>
      </c>
    </row>
    <row r="354" spans="1:14" ht="15.75" customHeight="1" x14ac:dyDescent="0.45">
      <c r="A354" s="1" t="s">
        <v>119</v>
      </c>
      <c r="B354" s="1">
        <v>1185732</v>
      </c>
      <c r="C354" s="2">
        <v>44880</v>
      </c>
      <c r="D354" s="1" t="s">
        <v>26</v>
      </c>
      <c r="E354" s="1" t="s">
        <v>27</v>
      </c>
      <c r="F354" s="1" t="s">
        <v>28</v>
      </c>
      <c r="G354" s="1" t="s">
        <v>17</v>
      </c>
      <c r="H354" s="1">
        <v>41</v>
      </c>
      <c r="I354" s="1" t="s">
        <v>125</v>
      </c>
      <c r="J354" s="3">
        <v>0.6</v>
      </c>
      <c r="K354" s="4">
        <v>1500</v>
      </c>
      <c r="L354" s="5">
        <f t="shared" si="2"/>
        <v>900</v>
      </c>
      <c r="M354" s="5">
        <f t="shared" si="3"/>
        <v>315</v>
      </c>
      <c r="N354" s="6">
        <v>0.35</v>
      </c>
    </row>
    <row r="355" spans="1:14" ht="15.75" customHeight="1" x14ac:dyDescent="0.45">
      <c r="A355" s="1" t="s">
        <v>119</v>
      </c>
      <c r="B355" s="1">
        <v>1185732</v>
      </c>
      <c r="C355" s="2">
        <v>44880</v>
      </c>
      <c r="D355" s="1" t="s">
        <v>26</v>
      </c>
      <c r="E355" s="1" t="s">
        <v>27</v>
      </c>
      <c r="F355" s="1" t="s">
        <v>28</v>
      </c>
      <c r="G355" s="1" t="s">
        <v>18</v>
      </c>
      <c r="H355" s="1">
        <v>30</v>
      </c>
      <c r="I355" s="1" t="s">
        <v>125</v>
      </c>
      <c r="J355" s="3">
        <v>0.64999999999999991</v>
      </c>
      <c r="K355" s="4">
        <v>2500</v>
      </c>
      <c r="L355" s="5">
        <f t="shared" si="2"/>
        <v>1624.9999999999998</v>
      </c>
      <c r="M355" s="5">
        <f t="shared" si="3"/>
        <v>812.49999999999989</v>
      </c>
      <c r="N355" s="6">
        <v>0.5</v>
      </c>
    </row>
    <row r="356" spans="1:14" ht="15.75" customHeight="1" x14ac:dyDescent="0.45">
      <c r="A356" s="1" t="s">
        <v>119</v>
      </c>
      <c r="B356" s="1">
        <v>1185732</v>
      </c>
      <c r="C356" s="2">
        <v>44909</v>
      </c>
      <c r="D356" s="1" t="s">
        <v>26</v>
      </c>
      <c r="E356" s="1" t="s">
        <v>27</v>
      </c>
      <c r="F356" s="1" t="s">
        <v>28</v>
      </c>
      <c r="G356" s="1" t="s">
        <v>13</v>
      </c>
      <c r="H356" s="1">
        <v>18</v>
      </c>
      <c r="I356" s="1" t="s">
        <v>126</v>
      </c>
      <c r="J356" s="3">
        <v>0.6</v>
      </c>
      <c r="K356" s="4">
        <v>5000</v>
      </c>
      <c r="L356" s="5">
        <f t="shared" si="2"/>
        <v>3000</v>
      </c>
      <c r="M356" s="5">
        <f t="shared" si="3"/>
        <v>1200</v>
      </c>
      <c r="N356" s="6">
        <v>0.4</v>
      </c>
    </row>
    <row r="357" spans="1:14" ht="15.75" customHeight="1" x14ac:dyDescent="0.45">
      <c r="A357" s="1" t="s">
        <v>119</v>
      </c>
      <c r="B357" s="1">
        <v>1185732</v>
      </c>
      <c r="C357" s="2">
        <v>44909</v>
      </c>
      <c r="D357" s="1" t="s">
        <v>26</v>
      </c>
      <c r="E357" s="1" t="s">
        <v>27</v>
      </c>
      <c r="F357" s="1" t="s">
        <v>28</v>
      </c>
      <c r="G357" s="1" t="s">
        <v>14</v>
      </c>
      <c r="H357" s="1">
        <v>38</v>
      </c>
      <c r="I357" s="1" t="s">
        <v>126</v>
      </c>
      <c r="J357" s="3">
        <v>0.5</v>
      </c>
      <c r="K357" s="4">
        <v>3000</v>
      </c>
      <c r="L357" s="5">
        <f t="shared" si="2"/>
        <v>1500</v>
      </c>
      <c r="M357" s="5">
        <f t="shared" si="3"/>
        <v>525</v>
      </c>
      <c r="N357" s="6">
        <v>0.35</v>
      </c>
    </row>
    <row r="358" spans="1:14" ht="15.75" customHeight="1" x14ac:dyDescent="0.45">
      <c r="A358" s="1" t="s">
        <v>119</v>
      </c>
      <c r="B358" s="1">
        <v>1185732</v>
      </c>
      <c r="C358" s="2">
        <v>44909</v>
      </c>
      <c r="D358" s="1" t="s">
        <v>26</v>
      </c>
      <c r="E358" s="1" t="s">
        <v>27</v>
      </c>
      <c r="F358" s="1" t="s">
        <v>28</v>
      </c>
      <c r="G358" s="1" t="s">
        <v>15</v>
      </c>
      <c r="H358" s="1">
        <v>21</v>
      </c>
      <c r="I358" s="1" t="s">
        <v>125</v>
      </c>
      <c r="J358" s="3">
        <v>0.5</v>
      </c>
      <c r="K358" s="4">
        <v>2500</v>
      </c>
      <c r="L358" s="5">
        <f t="shared" si="2"/>
        <v>1250</v>
      </c>
      <c r="M358" s="5">
        <f t="shared" si="3"/>
        <v>437.5</v>
      </c>
      <c r="N358" s="6">
        <v>0.35</v>
      </c>
    </row>
    <row r="359" spans="1:14" ht="15.75" customHeight="1" x14ac:dyDescent="0.45">
      <c r="A359" s="1" t="s">
        <v>119</v>
      </c>
      <c r="B359" s="1">
        <v>1185732</v>
      </c>
      <c r="C359" s="2">
        <v>44909</v>
      </c>
      <c r="D359" s="1" t="s">
        <v>26</v>
      </c>
      <c r="E359" s="1" t="s">
        <v>27</v>
      </c>
      <c r="F359" s="1" t="s">
        <v>28</v>
      </c>
      <c r="G359" s="1" t="s">
        <v>16</v>
      </c>
      <c r="H359" s="1">
        <v>60</v>
      </c>
      <c r="I359" s="1" t="s">
        <v>125</v>
      </c>
      <c r="J359" s="3">
        <v>0.5</v>
      </c>
      <c r="K359" s="4">
        <v>2000</v>
      </c>
      <c r="L359" s="5">
        <f t="shared" si="2"/>
        <v>1000</v>
      </c>
      <c r="M359" s="5">
        <f t="shared" si="3"/>
        <v>400</v>
      </c>
      <c r="N359" s="6">
        <v>0.4</v>
      </c>
    </row>
    <row r="360" spans="1:14" ht="15.75" customHeight="1" x14ac:dyDescent="0.45">
      <c r="A360" s="1" t="s">
        <v>119</v>
      </c>
      <c r="B360" s="1">
        <v>1185732</v>
      </c>
      <c r="C360" s="2">
        <v>44909</v>
      </c>
      <c r="D360" s="1" t="s">
        <v>26</v>
      </c>
      <c r="E360" s="1" t="s">
        <v>27</v>
      </c>
      <c r="F360" s="1" t="s">
        <v>28</v>
      </c>
      <c r="G360" s="1" t="s">
        <v>17</v>
      </c>
      <c r="H360" s="1">
        <v>35</v>
      </c>
      <c r="I360" s="1" t="s">
        <v>124</v>
      </c>
      <c r="J360" s="3">
        <v>0.6</v>
      </c>
      <c r="K360" s="4">
        <v>2000</v>
      </c>
      <c r="L360" s="5">
        <f t="shared" si="2"/>
        <v>1200</v>
      </c>
      <c r="M360" s="5">
        <f t="shared" si="3"/>
        <v>420</v>
      </c>
      <c r="N360" s="6">
        <v>0.35</v>
      </c>
    </row>
    <row r="361" spans="1:14" ht="15.75" customHeight="1" x14ac:dyDescent="0.45">
      <c r="A361" s="1" t="s">
        <v>119</v>
      </c>
      <c r="B361" s="1">
        <v>1185732</v>
      </c>
      <c r="C361" s="2">
        <v>44909</v>
      </c>
      <c r="D361" s="1" t="s">
        <v>26</v>
      </c>
      <c r="E361" s="1" t="s">
        <v>27</v>
      </c>
      <c r="F361" s="1" t="s">
        <v>28</v>
      </c>
      <c r="G361" s="1" t="s">
        <v>18</v>
      </c>
      <c r="H361" s="1">
        <v>17</v>
      </c>
      <c r="I361" s="1" t="s">
        <v>123</v>
      </c>
      <c r="J361" s="3">
        <v>0.64999999999999991</v>
      </c>
      <c r="K361" s="4">
        <v>3000</v>
      </c>
      <c r="L361" s="5">
        <f t="shared" si="2"/>
        <v>1949.9999999999998</v>
      </c>
      <c r="M361" s="5">
        <f t="shared" si="3"/>
        <v>974.99999999999989</v>
      </c>
      <c r="N361" s="6">
        <v>0.5</v>
      </c>
    </row>
    <row r="362" spans="1:14" ht="15.75" customHeight="1" x14ac:dyDescent="0.45">
      <c r="A362" s="1" t="s">
        <v>120</v>
      </c>
      <c r="B362" s="1">
        <v>1197831</v>
      </c>
      <c r="C362" s="2">
        <v>44563</v>
      </c>
      <c r="D362" s="1" t="s">
        <v>19</v>
      </c>
      <c r="E362" s="1" t="s">
        <v>20</v>
      </c>
      <c r="F362" s="1" t="s">
        <v>29</v>
      </c>
      <c r="G362" s="1" t="s">
        <v>13</v>
      </c>
      <c r="H362" s="1">
        <v>43</v>
      </c>
      <c r="I362" s="1" t="s">
        <v>125</v>
      </c>
      <c r="J362" s="3">
        <v>0.2</v>
      </c>
      <c r="K362" s="4">
        <v>7250</v>
      </c>
      <c r="L362" s="5">
        <f t="shared" si="2"/>
        <v>1450</v>
      </c>
      <c r="M362" s="5">
        <f t="shared" si="3"/>
        <v>435</v>
      </c>
      <c r="N362" s="6">
        <v>0.3</v>
      </c>
    </row>
    <row r="363" spans="1:14" ht="15.75" customHeight="1" x14ac:dyDescent="0.45">
      <c r="A363" s="1" t="s">
        <v>120</v>
      </c>
      <c r="B363" s="1">
        <v>1197831</v>
      </c>
      <c r="C363" s="2">
        <v>44563</v>
      </c>
      <c r="D363" s="1" t="s">
        <v>19</v>
      </c>
      <c r="E363" s="1" t="s">
        <v>20</v>
      </c>
      <c r="F363" s="1" t="s">
        <v>29</v>
      </c>
      <c r="G363" s="1" t="s">
        <v>14</v>
      </c>
      <c r="H363" s="1">
        <v>40</v>
      </c>
      <c r="I363" s="1" t="s">
        <v>126</v>
      </c>
      <c r="J363" s="3">
        <v>0.3</v>
      </c>
      <c r="K363" s="4">
        <v>7250</v>
      </c>
      <c r="L363" s="5">
        <f t="shared" si="2"/>
        <v>2175</v>
      </c>
      <c r="M363" s="5">
        <f t="shared" si="3"/>
        <v>652.5</v>
      </c>
      <c r="N363" s="6">
        <v>0.3</v>
      </c>
    </row>
    <row r="364" spans="1:14" ht="15.75" customHeight="1" x14ac:dyDescent="0.45">
      <c r="A364" s="1" t="s">
        <v>120</v>
      </c>
      <c r="B364" s="1">
        <v>1197831</v>
      </c>
      <c r="C364" s="2">
        <v>44563</v>
      </c>
      <c r="D364" s="1" t="s">
        <v>19</v>
      </c>
      <c r="E364" s="1" t="s">
        <v>20</v>
      </c>
      <c r="F364" s="1" t="s">
        <v>29</v>
      </c>
      <c r="G364" s="1" t="s">
        <v>15</v>
      </c>
      <c r="H364" s="1">
        <v>39</v>
      </c>
      <c r="I364" s="1" t="s">
        <v>125</v>
      </c>
      <c r="J364" s="3">
        <v>0.3</v>
      </c>
      <c r="K364" s="4">
        <v>5250</v>
      </c>
      <c r="L364" s="5">
        <f t="shared" si="2"/>
        <v>1575</v>
      </c>
      <c r="M364" s="5">
        <f t="shared" si="3"/>
        <v>472.5</v>
      </c>
      <c r="N364" s="6">
        <v>0.3</v>
      </c>
    </row>
    <row r="365" spans="1:14" ht="15.75" customHeight="1" x14ac:dyDescent="0.45">
      <c r="A365" s="1" t="s">
        <v>120</v>
      </c>
      <c r="B365" s="1">
        <v>1197831</v>
      </c>
      <c r="C365" s="2">
        <v>44563</v>
      </c>
      <c r="D365" s="1" t="s">
        <v>19</v>
      </c>
      <c r="E365" s="1" t="s">
        <v>20</v>
      </c>
      <c r="F365" s="1" t="s">
        <v>29</v>
      </c>
      <c r="G365" s="1" t="s">
        <v>16</v>
      </c>
      <c r="H365" s="1">
        <v>46</v>
      </c>
      <c r="I365" s="1" t="s">
        <v>125</v>
      </c>
      <c r="J365" s="3">
        <v>0.35</v>
      </c>
      <c r="K365" s="4">
        <v>5250</v>
      </c>
      <c r="L365" s="5">
        <f t="shared" si="2"/>
        <v>1837.4999999999998</v>
      </c>
      <c r="M365" s="5">
        <f t="shared" si="3"/>
        <v>735</v>
      </c>
      <c r="N365" s="6">
        <v>0.4</v>
      </c>
    </row>
    <row r="366" spans="1:14" ht="15.75" customHeight="1" x14ac:dyDescent="0.45">
      <c r="A366" s="1" t="s">
        <v>120</v>
      </c>
      <c r="B366" s="1">
        <v>1197831</v>
      </c>
      <c r="C366" s="2">
        <v>44563</v>
      </c>
      <c r="D366" s="1" t="s">
        <v>19</v>
      </c>
      <c r="E366" s="1" t="s">
        <v>20</v>
      </c>
      <c r="F366" s="1" t="s">
        <v>29</v>
      </c>
      <c r="G366" s="1" t="s">
        <v>17</v>
      </c>
      <c r="H366" s="1">
        <v>21</v>
      </c>
      <c r="I366" s="1" t="s">
        <v>123</v>
      </c>
      <c r="J366" s="3">
        <v>0.4</v>
      </c>
      <c r="K366" s="4">
        <v>3750</v>
      </c>
      <c r="L366" s="5">
        <f t="shared" si="2"/>
        <v>1500</v>
      </c>
      <c r="M366" s="5">
        <f t="shared" si="3"/>
        <v>375</v>
      </c>
      <c r="N366" s="6">
        <v>0.25</v>
      </c>
    </row>
    <row r="367" spans="1:14" ht="15.75" customHeight="1" x14ac:dyDescent="0.45">
      <c r="A367" s="1" t="s">
        <v>120</v>
      </c>
      <c r="B367" s="1">
        <v>1197831</v>
      </c>
      <c r="C367" s="2">
        <v>44563</v>
      </c>
      <c r="D367" s="1" t="s">
        <v>19</v>
      </c>
      <c r="E367" s="1" t="s">
        <v>20</v>
      </c>
      <c r="F367" s="1" t="s">
        <v>29</v>
      </c>
      <c r="G367" s="1" t="s">
        <v>18</v>
      </c>
      <c r="H367" s="1">
        <v>59</v>
      </c>
      <c r="I367" s="1" t="s">
        <v>124</v>
      </c>
      <c r="J367" s="3">
        <v>0.35</v>
      </c>
      <c r="K367" s="4">
        <v>5250</v>
      </c>
      <c r="L367" s="5">
        <f t="shared" si="2"/>
        <v>1837.4999999999998</v>
      </c>
      <c r="M367" s="5">
        <f t="shared" si="3"/>
        <v>826.87499999999989</v>
      </c>
      <c r="N367" s="6">
        <v>0.45</v>
      </c>
    </row>
    <row r="368" spans="1:14" ht="15.75" customHeight="1" x14ac:dyDescent="0.45">
      <c r="A368" s="1" t="s">
        <v>120</v>
      </c>
      <c r="B368" s="1">
        <v>1197831</v>
      </c>
      <c r="C368" s="2">
        <v>44593</v>
      </c>
      <c r="D368" s="1" t="s">
        <v>19</v>
      </c>
      <c r="E368" s="1" t="s">
        <v>20</v>
      </c>
      <c r="F368" s="1" t="s">
        <v>29</v>
      </c>
      <c r="G368" s="1" t="s">
        <v>13</v>
      </c>
      <c r="H368" s="1">
        <v>35</v>
      </c>
      <c r="I368" s="1" t="s">
        <v>124</v>
      </c>
      <c r="J368" s="3">
        <v>0.25</v>
      </c>
      <c r="K368" s="4">
        <v>6750</v>
      </c>
      <c r="L368" s="5">
        <f t="shared" si="2"/>
        <v>1687.5</v>
      </c>
      <c r="M368" s="5">
        <f t="shared" si="3"/>
        <v>506.25</v>
      </c>
      <c r="N368" s="6">
        <v>0.3</v>
      </c>
    </row>
    <row r="369" spans="1:14" ht="15.75" customHeight="1" x14ac:dyDescent="0.45">
      <c r="A369" s="1" t="s">
        <v>120</v>
      </c>
      <c r="B369" s="1">
        <v>1197831</v>
      </c>
      <c r="C369" s="2">
        <v>44593</v>
      </c>
      <c r="D369" s="1" t="s">
        <v>19</v>
      </c>
      <c r="E369" s="1" t="s">
        <v>20</v>
      </c>
      <c r="F369" s="1" t="s">
        <v>29</v>
      </c>
      <c r="G369" s="1" t="s">
        <v>14</v>
      </c>
      <c r="H369" s="1">
        <v>18</v>
      </c>
      <c r="I369" s="1" t="s">
        <v>124</v>
      </c>
      <c r="J369" s="3">
        <v>0.35</v>
      </c>
      <c r="K369" s="4">
        <v>6500</v>
      </c>
      <c r="L369" s="5">
        <f t="shared" si="2"/>
        <v>2275</v>
      </c>
      <c r="M369" s="5">
        <f t="shared" si="3"/>
        <v>682.5</v>
      </c>
      <c r="N369" s="6">
        <v>0.3</v>
      </c>
    </row>
    <row r="370" spans="1:14" ht="15.75" customHeight="1" x14ac:dyDescent="0.45">
      <c r="A370" s="1" t="s">
        <v>120</v>
      </c>
      <c r="B370" s="1">
        <v>1197831</v>
      </c>
      <c r="C370" s="2">
        <v>44593</v>
      </c>
      <c r="D370" s="1" t="s">
        <v>19</v>
      </c>
      <c r="E370" s="1" t="s">
        <v>20</v>
      </c>
      <c r="F370" s="1" t="s">
        <v>29</v>
      </c>
      <c r="G370" s="1" t="s">
        <v>15</v>
      </c>
      <c r="H370" s="1">
        <v>22</v>
      </c>
      <c r="I370" s="1" t="s">
        <v>126</v>
      </c>
      <c r="J370" s="3">
        <v>0.35</v>
      </c>
      <c r="K370" s="4">
        <v>4750</v>
      </c>
      <c r="L370" s="5">
        <f t="shared" si="2"/>
        <v>1662.5</v>
      </c>
      <c r="M370" s="5">
        <f t="shared" si="3"/>
        <v>498.75</v>
      </c>
      <c r="N370" s="6">
        <v>0.3</v>
      </c>
    </row>
    <row r="371" spans="1:14" ht="15.75" customHeight="1" x14ac:dyDescent="0.45">
      <c r="A371" s="1" t="s">
        <v>120</v>
      </c>
      <c r="B371" s="1">
        <v>1197831</v>
      </c>
      <c r="C371" s="2">
        <v>44593</v>
      </c>
      <c r="D371" s="1" t="s">
        <v>19</v>
      </c>
      <c r="E371" s="1" t="s">
        <v>20</v>
      </c>
      <c r="F371" s="1" t="s">
        <v>29</v>
      </c>
      <c r="G371" s="1" t="s">
        <v>16</v>
      </c>
      <c r="H371" s="1">
        <v>38</v>
      </c>
      <c r="I371" s="1" t="s">
        <v>123</v>
      </c>
      <c r="J371" s="3">
        <v>0.35</v>
      </c>
      <c r="K371" s="4">
        <v>4250</v>
      </c>
      <c r="L371" s="5">
        <f t="shared" si="2"/>
        <v>1487.5</v>
      </c>
      <c r="M371" s="5">
        <f t="shared" si="3"/>
        <v>595</v>
      </c>
      <c r="N371" s="6">
        <v>0.4</v>
      </c>
    </row>
    <row r="372" spans="1:14" ht="15.75" customHeight="1" x14ac:dyDescent="0.45">
      <c r="A372" s="1" t="s">
        <v>120</v>
      </c>
      <c r="B372" s="1">
        <v>1197831</v>
      </c>
      <c r="C372" s="2">
        <v>44593</v>
      </c>
      <c r="D372" s="1" t="s">
        <v>19</v>
      </c>
      <c r="E372" s="1" t="s">
        <v>20</v>
      </c>
      <c r="F372" s="1" t="s">
        <v>29</v>
      </c>
      <c r="G372" s="1" t="s">
        <v>17</v>
      </c>
      <c r="H372" s="1">
        <v>15</v>
      </c>
      <c r="I372" s="1" t="s">
        <v>126</v>
      </c>
      <c r="J372" s="3">
        <v>0.4</v>
      </c>
      <c r="K372" s="4">
        <v>3000</v>
      </c>
      <c r="L372" s="5">
        <f t="shared" si="2"/>
        <v>1200</v>
      </c>
      <c r="M372" s="5">
        <f t="shared" si="3"/>
        <v>300</v>
      </c>
      <c r="N372" s="6">
        <v>0.25</v>
      </c>
    </row>
    <row r="373" spans="1:14" ht="15.75" customHeight="1" x14ac:dyDescent="0.45">
      <c r="A373" s="1" t="s">
        <v>120</v>
      </c>
      <c r="B373" s="1">
        <v>1197831</v>
      </c>
      <c r="C373" s="2">
        <v>44593</v>
      </c>
      <c r="D373" s="1" t="s">
        <v>19</v>
      </c>
      <c r="E373" s="1" t="s">
        <v>20</v>
      </c>
      <c r="F373" s="1" t="s">
        <v>29</v>
      </c>
      <c r="G373" s="1" t="s">
        <v>18</v>
      </c>
      <c r="H373" s="1">
        <v>27</v>
      </c>
      <c r="I373" s="1" t="s">
        <v>124</v>
      </c>
      <c r="J373" s="3">
        <v>0.35</v>
      </c>
      <c r="K373" s="4">
        <v>5000</v>
      </c>
      <c r="L373" s="5">
        <f t="shared" si="2"/>
        <v>1750</v>
      </c>
      <c r="M373" s="5">
        <f t="shared" si="3"/>
        <v>787.5</v>
      </c>
      <c r="N373" s="6">
        <v>0.45</v>
      </c>
    </row>
    <row r="374" spans="1:14" ht="15.75" customHeight="1" x14ac:dyDescent="0.45">
      <c r="A374" s="1" t="s">
        <v>120</v>
      </c>
      <c r="B374" s="1">
        <v>1197831</v>
      </c>
      <c r="C374" s="2">
        <v>44623</v>
      </c>
      <c r="D374" s="1" t="s">
        <v>19</v>
      </c>
      <c r="E374" s="1" t="s">
        <v>20</v>
      </c>
      <c r="F374" s="1" t="s">
        <v>29</v>
      </c>
      <c r="G374" s="1" t="s">
        <v>13</v>
      </c>
      <c r="H374" s="1">
        <v>48</v>
      </c>
      <c r="I374" s="1" t="s">
        <v>126</v>
      </c>
      <c r="J374" s="3">
        <v>0.3</v>
      </c>
      <c r="K374" s="4">
        <v>6750</v>
      </c>
      <c r="L374" s="5">
        <f t="shared" si="2"/>
        <v>2025</v>
      </c>
      <c r="M374" s="5">
        <f t="shared" si="3"/>
        <v>708.75</v>
      </c>
      <c r="N374" s="6">
        <v>0.35</v>
      </c>
    </row>
    <row r="375" spans="1:14" ht="15.75" customHeight="1" x14ac:dyDescent="0.45">
      <c r="A375" s="1" t="s">
        <v>120</v>
      </c>
      <c r="B375" s="1">
        <v>1197831</v>
      </c>
      <c r="C375" s="2">
        <v>44623</v>
      </c>
      <c r="D375" s="1" t="s">
        <v>19</v>
      </c>
      <c r="E375" s="1" t="s">
        <v>20</v>
      </c>
      <c r="F375" s="1" t="s">
        <v>29</v>
      </c>
      <c r="G375" s="1" t="s">
        <v>14</v>
      </c>
      <c r="H375" s="1">
        <v>33</v>
      </c>
      <c r="I375" s="1" t="s">
        <v>124</v>
      </c>
      <c r="J375" s="3">
        <v>0.4</v>
      </c>
      <c r="K375" s="4">
        <v>6750</v>
      </c>
      <c r="L375" s="5">
        <f t="shared" si="2"/>
        <v>2700</v>
      </c>
      <c r="M375" s="5">
        <f t="shared" si="3"/>
        <v>944.99999999999989</v>
      </c>
      <c r="N375" s="6">
        <v>0.35</v>
      </c>
    </row>
    <row r="376" spans="1:14" ht="15.75" customHeight="1" x14ac:dyDescent="0.45">
      <c r="A376" s="1" t="s">
        <v>120</v>
      </c>
      <c r="B376" s="1">
        <v>1197831</v>
      </c>
      <c r="C376" s="2">
        <v>44623</v>
      </c>
      <c r="D376" s="1" t="s">
        <v>19</v>
      </c>
      <c r="E376" s="1" t="s">
        <v>20</v>
      </c>
      <c r="F376" s="1" t="s">
        <v>29</v>
      </c>
      <c r="G376" s="1" t="s">
        <v>15</v>
      </c>
      <c r="H376" s="1">
        <v>24</v>
      </c>
      <c r="I376" s="1" t="s">
        <v>124</v>
      </c>
      <c r="J376" s="3">
        <v>0.3</v>
      </c>
      <c r="K376" s="4">
        <v>5000</v>
      </c>
      <c r="L376" s="5">
        <f t="shared" si="2"/>
        <v>1500</v>
      </c>
      <c r="M376" s="5">
        <f t="shared" si="3"/>
        <v>525</v>
      </c>
      <c r="N376" s="6">
        <v>0.35</v>
      </c>
    </row>
    <row r="377" spans="1:14" ht="15.75" customHeight="1" x14ac:dyDescent="0.45">
      <c r="A377" s="1" t="s">
        <v>120</v>
      </c>
      <c r="B377" s="1">
        <v>1197831</v>
      </c>
      <c r="C377" s="2">
        <v>44623</v>
      </c>
      <c r="D377" s="1" t="s">
        <v>19</v>
      </c>
      <c r="E377" s="1" t="s">
        <v>20</v>
      </c>
      <c r="F377" s="1" t="s">
        <v>29</v>
      </c>
      <c r="G377" s="1" t="s">
        <v>16</v>
      </c>
      <c r="H377" s="1">
        <v>30</v>
      </c>
      <c r="I377" s="1" t="s">
        <v>125</v>
      </c>
      <c r="J377" s="3">
        <v>0.35000000000000003</v>
      </c>
      <c r="K377" s="4">
        <v>4000</v>
      </c>
      <c r="L377" s="5">
        <f t="shared" si="2"/>
        <v>1400.0000000000002</v>
      </c>
      <c r="M377" s="5">
        <f t="shared" si="3"/>
        <v>630.00000000000011</v>
      </c>
      <c r="N377" s="6">
        <v>0.45</v>
      </c>
    </row>
    <row r="378" spans="1:14" ht="15.75" customHeight="1" x14ac:dyDescent="0.45">
      <c r="A378" s="1" t="s">
        <v>120</v>
      </c>
      <c r="B378" s="1">
        <v>1197831</v>
      </c>
      <c r="C378" s="2">
        <v>44623</v>
      </c>
      <c r="D378" s="1" t="s">
        <v>19</v>
      </c>
      <c r="E378" s="1" t="s">
        <v>20</v>
      </c>
      <c r="F378" s="1" t="s">
        <v>29</v>
      </c>
      <c r="G378" s="1" t="s">
        <v>17</v>
      </c>
      <c r="H378" s="1">
        <v>42</v>
      </c>
      <c r="I378" s="1" t="s">
        <v>126</v>
      </c>
      <c r="J378" s="3">
        <v>0.4</v>
      </c>
      <c r="K378" s="4">
        <v>3000</v>
      </c>
      <c r="L378" s="5">
        <f t="shared" si="2"/>
        <v>1200</v>
      </c>
      <c r="M378" s="5">
        <f t="shared" si="3"/>
        <v>360</v>
      </c>
      <c r="N378" s="6">
        <v>0.3</v>
      </c>
    </row>
    <row r="379" spans="1:14" ht="15.75" customHeight="1" x14ac:dyDescent="0.45">
      <c r="A379" s="1" t="s">
        <v>120</v>
      </c>
      <c r="B379" s="1">
        <v>1197831</v>
      </c>
      <c r="C379" s="2">
        <v>44623</v>
      </c>
      <c r="D379" s="1" t="s">
        <v>19</v>
      </c>
      <c r="E379" s="1" t="s">
        <v>20</v>
      </c>
      <c r="F379" s="1" t="s">
        <v>29</v>
      </c>
      <c r="G379" s="1" t="s">
        <v>18</v>
      </c>
      <c r="H379" s="1">
        <v>22</v>
      </c>
      <c r="I379" s="1" t="s">
        <v>126</v>
      </c>
      <c r="J379" s="3">
        <v>0.35000000000000003</v>
      </c>
      <c r="K379" s="4">
        <v>4500</v>
      </c>
      <c r="L379" s="5">
        <f t="shared" si="2"/>
        <v>1575.0000000000002</v>
      </c>
      <c r="M379" s="5">
        <f t="shared" si="3"/>
        <v>787.50000000000011</v>
      </c>
      <c r="N379" s="6">
        <v>0.5</v>
      </c>
    </row>
    <row r="380" spans="1:14" ht="15.75" customHeight="1" x14ac:dyDescent="0.45">
      <c r="A380" s="1" t="s">
        <v>120</v>
      </c>
      <c r="B380" s="1">
        <v>1197831</v>
      </c>
      <c r="C380" s="2">
        <v>44653</v>
      </c>
      <c r="D380" s="1" t="s">
        <v>19</v>
      </c>
      <c r="E380" s="1" t="s">
        <v>20</v>
      </c>
      <c r="F380" s="1" t="s">
        <v>29</v>
      </c>
      <c r="G380" s="1" t="s">
        <v>13</v>
      </c>
      <c r="H380" s="1">
        <v>59</v>
      </c>
      <c r="I380" s="1" t="s">
        <v>126</v>
      </c>
      <c r="J380" s="3">
        <v>0.19999999999999998</v>
      </c>
      <c r="K380" s="4">
        <v>7000</v>
      </c>
      <c r="L380" s="5">
        <f t="shared" si="2"/>
        <v>1399.9999999999998</v>
      </c>
      <c r="M380" s="5">
        <f t="shared" si="3"/>
        <v>489.99999999999989</v>
      </c>
      <c r="N380" s="6">
        <v>0.35</v>
      </c>
    </row>
    <row r="381" spans="1:14" ht="15.75" customHeight="1" x14ac:dyDescent="0.45">
      <c r="A381" s="1" t="s">
        <v>120</v>
      </c>
      <c r="B381" s="1">
        <v>1197831</v>
      </c>
      <c r="C381" s="2">
        <v>44653</v>
      </c>
      <c r="D381" s="1" t="s">
        <v>19</v>
      </c>
      <c r="E381" s="1" t="s">
        <v>20</v>
      </c>
      <c r="F381" s="1" t="s">
        <v>29</v>
      </c>
      <c r="G381" s="1" t="s">
        <v>14</v>
      </c>
      <c r="H381" s="1">
        <v>47</v>
      </c>
      <c r="I381" s="1" t="s">
        <v>126</v>
      </c>
      <c r="J381" s="3">
        <v>0.30000000000000004</v>
      </c>
      <c r="K381" s="4">
        <v>7000</v>
      </c>
      <c r="L381" s="5">
        <f t="shared" si="2"/>
        <v>2100.0000000000005</v>
      </c>
      <c r="M381" s="5">
        <f t="shared" si="3"/>
        <v>735.00000000000011</v>
      </c>
      <c r="N381" s="6">
        <v>0.35</v>
      </c>
    </row>
    <row r="382" spans="1:14" ht="15.75" customHeight="1" x14ac:dyDescent="0.45">
      <c r="A382" s="1" t="s">
        <v>120</v>
      </c>
      <c r="B382" s="1">
        <v>1197831</v>
      </c>
      <c r="C382" s="2">
        <v>44653</v>
      </c>
      <c r="D382" s="1" t="s">
        <v>19</v>
      </c>
      <c r="E382" s="1" t="s">
        <v>20</v>
      </c>
      <c r="F382" s="1" t="s">
        <v>29</v>
      </c>
      <c r="G382" s="1" t="s">
        <v>15</v>
      </c>
      <c r="H382" s="1">
        <v>60</v>
      </c>
      <c r="I382" s="1" t="s">
        <v>125</v>
      </c>
      <c r="J382" s="3">
        <v>0.24999999999999997</v>
      </c>
      <c r="K382" s="4">
        <v>5250</v>
      </c>
      <c r="L382" s="5">
        <f t="shared" si="2"/>
        <v>1312.4999999999998</v>
      </c>
      <c r="M382" s="5">
        <f t="shared" si="3"/>
        <v>459.37499999999989</v>
      </c>
      <c r="N382" s="6">
        <v>0.35</v>
      </c>
    </row>
    <row r="383" spans="1:14" ht="15.75" customHeight="1" x14ac:dyDescent="0.45">
      <c r="A383" s="1" t="s">
        <v>120</v>
      </c>
      <c r="B383" s="1">
        <v>1197831</v>
      </c>
      <c r="C383" s="2">
        <v>44653</v>
      </c>
      <c r="D383" s="1" t="s">
        <v>19</v>
      </c>
      <c r="E383" s="1" t="s">
        <v>20</v>
      </c>
      <c r="F383" s="1" t="s">
        <v>29</v>
      </c>
      <c r="G383" s="1" t="s">
        <v>16</v>
      </c>
      <c r="H383" s="1">
        <v>24</v>
      </c>
      <c r="I383" s="1" t="s">
        <v>126</v>
      </c>
      <c r="J383" s="3">
        <v>0.30000000000000004</v>
      </c>
      <c r="K383" s="4">
        <v>4250</v>
      </c>
      <c r="L383" s="5">
        <f t="shared" si="2"/>
        <v>1275.0000000000002</v>
      </c>
      <c r="M383" s="5">
        <f t="shared" si="3"/>
        <v>573.75000000000011</v>
      </c>
      <c r="N383" s="6">
        <v>0.45</v>
      </c>
    </row>
    <row r="384" spans="1:14" ht="15.75" customHeight="1" x14ac:dyDescent="0.45">
      <c r="A384" s="1" t="s">
        <v>120</v>
      </c>
      <c r="B384" s="1">
        <v>1197831</v>
      </c>
      <c r="C384" s="2">
        <v>44653</v>
      </c>
      <c r="D384" s="1" t="s">
        <v>19</v>
      </c>
      <c r="E384" s="1" t="s">
        <v>20</v>
      </c>
      <c r="F384" s="1" t="s">
        <v>29</v>
      </c>
      <c r="G384" s="1" t="s">
        <v>17</v>
      </c>
      <c r="H384" s="1">
        <v>30</v>
      </c>
      <c r="I384" s="1" t="s">
        <v>123</v>
      </c>
      <c r="J384" s="3">
        <v>0.35</v>
      </c>
      <c r="K384" s="4">
        <v>3250</v>
      </c>
      <c r="L384" s="5">
        <f t="shared" si="2"/>
        <v>1137.5</v>
      </c>
      <c r="M384" s="5">
        <f t="shared" si="3"/>
        <v>341.25</v>
      </c>
      <c r="N384" s="6">
        <v>0.3</v>
      </c>
    </row>
    <row r="385" spans="1:14" ht="15.75" customHeight="1" x14ac:dyDescent="0.45">
      <c r="A385" s="1" t="s">
        <v>120</v>
      </c>
      <c r="B385" s="1">
        <v>1197831</v>
      </c>
      <c r="C385" s="2">
        <v>44653</v>
      </c>
      <c r="D385" s="1" t="s">
        <v>19</v>
      </c>
      <c r="E385" s="1" t="s">
        <v>20</v>
      </c>
      <c r="F385" s="1" t="s">
        <v>29</v>
      </c>
      <c r="G385" s="1" t="s">
        <v>18</v>
      </c>
      <c r="H385" s="1">
        <v>47</v>
      </c>
      <c r="I385" s="1" t="s">
        <v>123</v>
      </c>
      <c r="J385" s="3">
        <v>0.30000000000000004</v>
      </c>
      <c r="K385" s="4">
        <v>6000</v>
      </c>
      <c r="L385" s="5">
        <f t="shared" si="2"/>
        <v>1800.0000000000002</v>
      </c>
      <c r="M385" s="5">
        <f t="shared" si="3"/>
        <v>900.00000000000011</v>
      </c>
      <c r="N385" s="6">
        <v>0.5</v>
      </c>
    </row>
    <row r="386" spans="1:14" ht="15.75" customHeight="1" x14ac:dyDescent="0.45">
      <c r="A386" s="1" t="s">
        <v>120</v>
      </c>
      <c r="B386" s="1">
        <v>1197831</v>
      </c>
      <c r="C386" s="2">
        <v>44683</v>
      </c>
      <c r="D386" s="1" t="s">
        <v>19</v>
      </c>
      <c r="E386" s="1" t="s">
        <v>20</v>
      </c>
      <c r="F386" s="1" t="s">
        <v>29</v>
      </c>
      <c r="G386" s="1" t="s">
        <v>13</v>
      </c>
      <c r="H386" s="1">
        <v>37</v>
      </c>
      <c r="I386" s="1" t="s">
        <v>124</v>
      </c>
      <c r="J386" s="3">
        <v>0.19999999999999998</v>
      </c>
      <c r="K386" s="4">
        <v>7500</v>
      </c>
      <c r="L386" s="5">
        <f t="shared" si="2"/>
        <v>1499.9999999999998</v>
      </c>
      <c r="M386" s="5">
        <f t="shared" si="3"/>
        <v>524.99999999999989</v>
      </c>
      <c r="N386" s="6">
        <v>0.35</v>
      </c>
    </row>
    <row r="387" spans="1:14" ht="15.75" customHeight="1" x14ac:dyDescent="0.45">
      <c r="A387" s="1" t="s">
        <v>120</v>
      </c>
      <c r="B387" s="1">
        <v>1197831</v>
      </c>
      <c r="C387" s="2">
        <v>44683</v>
      </c>
      <c r="D387" s="1" t="s">
        <v>19</v>
      </c>
      <c r="E387" s="1" t="s">
        <v>20</v>
      </c>
      <c r="F387" s="1" t="s">
        <v>29</v>
      </c>
      <c r="G387" s="1" t="s">
        <v>14</v>
      </c>
      <c r="H387" s="1">
        <v>42</v>
      </c>
      <c r="I387" s="1" t="s">
        <v>126</v>
      </c>
      <c r="J387" s="3">
        <v>0.30000000000000004</v>
      </c>
      <c r="K387" s="4">
        <v>7750</v>
      </c>
      <c r="L387" s="5">
        <f t="shared" si="2"/>
        <v>2325.0000000000005</v>
      </c>
      <c r="M387" s="5">
        <f t="shared" si="3"/>
        <v>813.75000000000011</v>
      </c>
      <c r="N387" s="6">
        <v>0.35</v>
      </c>
    </row>
    <row r="388" spans="1:14" ht="15.75" customHeight="1" x14ac:dyDescent="0.45">
      <c r="A388" s="1" t="s">
        <v>120</v>
      </c>
      <c r="B388" s="1">
        <v>1197831</v>
      </c>
      <c r="C388" s="2">
        <v>44683</v>
      </c>
      <c r="D388" s="1" t="s">
        <v>19</v>
      </c>
      <c r="E388" s="1" t="s">
        <v>20</v>
      </c>
      <c r="F388" s="1" t="s">
        <v>29</v>
      </c>
      <c r="G388" s="1" t="s">
        <v>15</v>
      </c>
      <c r="H388" s="1">
        <v>59</v>
      </c>
      <c r="I388" s="1" t="s">
        <v>124</v>
      </c>
      <c r="J388" s="3">
        <v>0.24999999999999997</v>
      </c>
      <c r="K388" s="4">
        <v>6250</v>
      </c>
      <c r="L388" s="5">
        <f t="shared" si="2"/>
        <v>1562.4999999999998</v>
      </c>
      <c r="M388" s="5">
        <f t="shared" si="3"/>
        <v>546.87499999999989</v>
      </c>
      <c r="N388" s="6">
        <v>0.35</v>
      </c>
    </row>
    <row r="389" spans="1:14" ht="15.75" customHeight="1" x14ac:dyDescent="0.45">
      <c r="A389" s="1" t="s">
        <v>120</v>
      </c>
      <c r="B389" s="1">
        <v>1197831</v>
      </c>
      <c r="C389" s="2">
        <v>44683</v>
      </c>
      <c r="D389" s="1" t="s">
        <v>19</v>
      </c>
      <c r="E389" s="1" t="s">
        <v>20</v>
      </c>
      <c r="F389" s="1" t="s">
        <v>29</v>
      </c>
      <c r="G389" s="1" t="s">
        <v>16</v>
      </c>
      <c r="H389" s="1">
        <v>30</v>
      </c>
      <c r="I389" s="1" t="s">
        <v>126</v>
      </c>
      <c r="J389" s="3">
        <v>0.35000000000000003</v>
      </c>
      <c r="K389" s="4">
        <v>5500</v>
      </c>
      <c r="L389" s="5">
        <f t="shared" si="2"/>
        <v>1925.0000000000002</v>
      </c>
      <c r="M389" s="5">
        <f t="shared" si="3"/>
        <v>866.25000000000011</v>
      </c>
      <c r="N389" s="6">
        <v>0.45</v>
      </c>
    </row>
    <row r="390" spans="1:14" ht="15.75" customHeight="1" x14ac:dyDescent="0.45">
      <c r="A390" s="1" t="s">
        <v>120</v>
      </c>
      <c r="B390" s="1">
        <v>1197831</v>
      </c>
      <c r="C390" s="2">
        <v>44683</v>
      </c>
      <c r="D390" s="1" t="s">
        <v>19</v>
      </c>
      <c r="E390" s="1" t="s">
        <v>20</v>
      </c>
      <c r="F390" s="1" t="s">
        <v>29</v>
      </c>
      <c r="G390" s="1" t="s">
        <v>17</v>
      </c>
      <c r="H390" s="1">
        <v>31</v>
      </c>
      <c r="I390" s="1" t="s">
        <v>124</v>
      </c>
      <c r="J390" s="3">
        <v>0.5</v>
      </c>
      <c r="K390" s="4">
        <v>4500</v>
      </c>
      <c r="L390" s="5">
        <f t="shared" si="2"/>
        <v>2250</v>
      </c>
      <c r="M390" s="5">
        <f t="shared" si="3"/>
        <v>675</v>
      </c>
      <c r="N390" s="6">
        <v>0.3</v>
      </c>
    </row>
    <row r="391" spans="1:14" ht="15.75" customHeight="1" x14ac:dyDescent="0.45">
      <c r="A391" s="1" t="s">
        <v>120</v>
      </c>
      <c r="B391" s="1">
        <v>1197831</v>
      </c>
      <c r="C391" s="2">
        <v>44683</v>
      </c>
      <c r="D391" s="1" t="s">
        <v>19</v>
      </c>
      <c r="E391" s="1" t="s">
        <v>20</v>
      </c>
      <c r="F391" s="1" t="s">
        <v>29</v>
      </c>
      <c r="G391" s="1" t="s">
        <v>18</v>
      </c>
      <c r="H391" s="1">
        <v>59</v>
      </c>
      <c r="I391" s="1" t="s">
        <v>125</v>
      </c>
      <c r="J391" s="3">
        <v>0.45</v>
      </c>
      <c r="K391" s="4">
        <v>8000</v>
      </c>
      <c r="L391" s="5">
        <f t="shared" si="2"/>
        <v>3600</v>
      </c>
      <c r="M391" s="5">
        <f t="shared" si="3"/>
        <v>1800</v>
      </c>
      <c r="N391" s="6">
        <v>0.5</v>
      </c>
    </row>
    <row r="392" spans="1:14" ht="15.75" customHeight="1" x14ac:dyDescent="0.45">
      <c r="A392" s="1" t="s">
        <v>120</v>
      </c>
      <c r="B392" s="1">
        <v>1197831</v>
      </c>
      <c r="C392" s="2">
        <v>44713</v>
      </c>
      <c r="D392" s="1" t="s">
        <v>19</v>
      </c>
      <c r="E392" s="1" t="s">
        <v>20</v>
      </c>
      <c r="F392" s="1" t="s">
        <v>29</v>
      </c>
      <c r="G392" s="1" t="s">
        <v>13</v>
      </c>
      <c r="H392" s="1">
        <v>54</v>
      </c>
      <c r="I392" s="1" t="s">
        <v>125</v>
      </c>
      <c r="J392" s="3">
        <v>0.45</v>
      </c>
      <c r="K392" s="4">
        <v>8000</v>
      </c>
      <c r="L392" s="5">
        <f t="shared" si="2"/>
        <v>3600</v>
      </c>
      <c r="M392" s="5">
        <f t="shared" si="3"/>
        <v>1260</v>
      </c>
      <c r="N392" s="6">
        <v>0.35</v>
      </c>
    </row>
    <row r="393" spans="1:14" ht="15.75" customHeight="1" x14ac:dyDescent="0.45">
      <c r="A393" s="1" t="s">
        <v>120</v>
      </c>
      <c r="B393" s="1">
        <v>1197831</v>
      </c>
      <c r="C393" s="2">
        <v>44713</v>
      </c>
      <c r="D393" s="1" t="s">
        <v>19</v>
      </c>
      <c r="E393" s="1" t="s">
        <v>20</v>
      </c>
      <c r="F393" s="1" t="s">
        <v>29</v>
      </c>
      <c r="G393" s="1" t="s">
        <v>14</v>
      </c>
      <c r="H393" s="1">
        <v>21</v>
      </c>
      <c r="I393" s="1" t="s">
        <v>126</v>
      </c>
      <c r="J393" s="3">
        <v>0.5</v>
      </c>
      <c r="K393" s="4">
        <v>8000</v>
      </c>
      <c r="L393" s="5">
        <f t="shared" si="2"/>
        <v>4000</v>
      </c>
      <c r="M393" s="5">
        <f t="shared" si="3"/>
        <v>1400</v>
      </c>
      <c r="N393" s="6">
        <v>0.35</v>
      </c>
    </row>
    <row r="394" spans="1:14" ht="15.75" customHeight="1" x14ac:dyDescent="0.45">
      <c r="A394" s="1" t="s">
        <v>120</v>
      </c>
      <c r="B394" s="1">
        <v>1197831</v>
      </c>
      <c r="C394" s="2">
        <v>44713</v>
      </c>
      <c r="D394" s="1" t="s">
        <v>19</v>
      </c>
      <c r="E394" s="1" t="s">
        <v>20</v>
      </c>
      <c r="F394" s="1" t="s">
        <v>29</v>
      </c>
      <c r="G394" s="1" t="s">
        <v>15</v>
      </c>
      <c r="H394" s="1">
        <v>44</v>
      </c>
      <c r="I394" s="1" t="s">
        <v>125</v>
      </c>
      <c r="J394" s="3">
        <v>0.45</v>
      </c>
      <c r="K394" s="4">
        <v>6500</v>
      </c>
      <c r="L394" s="5">
        <f t="shared" si="2"/>
        <v>2925</v>
      </c>
      <c r="M394" s="5">
        <f t="shared" si="3"/>
        <v>1023.7499999999999</v>
      </c>
      <c r="N394" s="6">
        <v>0.35</v>
      </c>
    </row>
    <row r="395" spans="1:14" ht="15.75" customHeight="1" x14ac:dyDescent="0.45">
      <c r="A395" s="1" t="s">
        <v>120</v>
      </c>
      <c r="B395" s="1">
        <v>1197831</v>
      </c>
      <c r="C395" s="2">
        <v>44713</v>
      </c>
      <c r="D395" s="1" t="s">
        <v>19</v>
      </c>
      <c r="E395" s="1" t="s">
        <v>20</v>
      </c>
      <c r="F395" s="1" t="s">
        <v>29</v>
      </c>
      <c r="G395" s="1" t="s">
        <v>16</v>
      </c>
      <c r="H395" s="1">
        <v>30</v>
      </c>
      <c r="I395" s="1" t="s">
        <v>126</v>
      </c>
      <c r="J395" s="3">
        <v>0.45</v>
      </c>
      <c r="K395" s="4">
        <v>6000</v>
      </c>
      <c r="L395" s="5">
        <f t="shared" si="2"/>
        <v>2700</v>
      </c>
      <c r="M395" s="5">
        <f t="shared" si="3"/>
        <v>1215</v>
      </c>
      <c r="N395" s="6">
        <v>0.45</v>
      </c>
    </row>
    <row r="396" spans="1:14" ht="15.75" customHeight="1" x14ac:dyDescent="0.45">
      <c r="A396" s="1" t="s">
        <v>120</v>
      </c>
      <c r="B396" s="1">
        <v>1197831</v>
      </c>
      <c r="C396" s="2">
        <v>44713</v>
      </c>
      <c r="D396" s="1" t="s">
        <v>19</v>
      </c>
      <c r="E396" s="1" t="s">
        <v>20</v>
      </c>
      <c r="F396" s="1" t="s">
        <v>29</v>
      </c>
      <c r="G396" s="1" t="s">
        <v>17</v>
      </c>
      <c r="H396" s="1">
        <v>30</v>
      </c>
      <c r="I396" s="1" t="s">
        <v>124</v>
      </c>
      <c r="J396" s="3">
        <v>0.5</v>
      </c>
      <c r="K396" s="4">
        <v>5000</v>
      </c>
      <c r="L396" s="5">
        <f t="shared" si="2"/>
        <v>2500</v>
      </c>
      <c r="M396" s="5">
        <f t="shared" si="3"/>
        <v>750</v>
      </c>
      <c r="N396" s="6">
        <v>0.3</v>
      </c>
    </row>
    <row r="397" spans="1:14" ht="15.75" customHeight="1" x14ac:dyDescent="0.45">
      <c r="A397" s="1" t="s">
        <v>120</v>
      </c>
      <c r="B397" s="1">
        <v>1197831</v>
      </c>
      <c r="C397" s="2">
        <v>44713</v>
      </c>
      <c r="D397" s="1" t="s">
        <v>19</v>
      </c>
      <c r="E397" s="1" t="s">
        <v>20</v>
      </c>
      <c r="F397" s="1" t="s">
        <v>29</v>
      </c>
      <c r="G397" s="1" t="s">
        <v>18</v>
      </c>
      <c r="H397" s="1">
        <v>52</v>
      </c>
      <c r="I397" s="1" t="s">
        <v>126</v>
      </c>
      <c r="J397" s="3">
        <v>0.55000000000000004</v>
      </c>
      <c r="K397" s="4">
        <v>8750</v>
      </c>
      <c r="L397" s="5">
        <f t="shared" si="2"/>
        <v>4812.5</v>
      </c>
      <c r="M397" s="5">
        <f t="shared" si="3"/>
        <v>2406.25</v>
      </c>
      <c r="N397" s="6">
        <v>0.5</v>
      </c>
    </row>
    <row r="398" spans="1:14" ht="15.75" customHeight="1" x14ac:dyDescent="0.45">
      <c r="A398" s="1" t="s">
        <v>120</v>
      </c>
      <c r="B398" s="1">
        <v>1197831</v>
      </c>
      <c r="C398" s="2">
        <v>44745</v>
      </c>
      <c r="D398" s="1" t="s">
        <v>19</v>
      </c>
      <c r="E398" s="1" t="s">
        <v>20</v>
      </c>
      <c r="F398" s="1" t="s">
        <v>29</v>
      </c>
      <c r="G398" s="1" t="s">
        <v>13</v>
      </c>
      <c r="H398" s="1">
        <v>46</v>
      </c>
      <c r="I398" s="1" t="s">
        <v>124</v>
      </c>
      <c r="J398" s="3">
        <v>0.45</v>
      </c>
      <c r="K398" s="4">
        <v>8250</v>
      </c>
      <c r="L398" s="5">
        <f t="shared" si="2"/>
        <v>3712.5</v>
      </c>
      <c r="M398" s="5">
        <f t="shared" si="3"/>
        <v>1484.9999999999998</v>
      </c>
      <c r="N398" s="6">
        <v>0.39999999999999997</v>
      </c>
    </row>
    <row r="399" spans="1:14" ht="15.75" customHeight="1" x14ac:dyDescent="0.45">
      <c r="A399" s="1" t="s">
        <v>120</v>
      </c>
      <c r="B399" s="1">
        <v>1197831</v>
      </c>
      <c r="C399" s="2">
        <v>44745</v>
      </c>
      <c r="D399" s="1" t="s">
        <v>19</v>
      </c>
      <c r="E399" s="1" t="s">
        <v>20</v>
      </c>
      <c r="F399" s="1" t="s">
        <v>29</v>
      </c>
      <c r="G399" s="1" t="s">
        <v>14</v>
      </c>
      <c r="H399" s="1">
        <v>24</v>
      </c>
      <c r="I399" s="1" t="s">
        <v>124</v>
      </c>
      <c r="J399" s="3">
        <v>0.5</v>
      </c>
      <c r="K399" s="4">
        <v>8250</v>
      </c>
      <c r="L399" s="5">
        <f t="shared" si="2"/>
        <v>4125</v>
      </c>
      <c r="M399" s="5">
        <f t="shared" si="3"/>
        <v>1649.9999999999998</v>
      </c>
      <c r="N399" s="6">
        <v>0.39999999999999997</v>
      </c>
    </row>
    <row r="400" spans="1:14" ht="15.75" customHeight="1" x14ac:dyDescent="0.45">
      <c r="A400" s="1" t="s">
        <v>120</v>
      </c>
      <c r="B400" s="1">
        <v>1197831</v>
      </c>
      <c r="C400" s="2">
        <v>44745</v>
      </c>
      <c r="D400" s="1" t="s">
        <v>19</v>
      </c>
      <c r="E400" s="1" t="s">
        <v>20</v>
      </c>
      <c r="F400" s="1" t="s">
        <v>29</v>
      </c>
      <c r="G400" s="1" t="s">
        <v>15</v>
      </c>
      <c r="H400" s="1">
        <v>22</v>
      </c>
      <c r="I400" s="1" t="s">
        <v>126</v>
      </c>
      <c r="J400" s="3">
        <v>0.45</v>
      </c>
      <c r="K400" s="4">
        <v>9750</v>
      </c>
      <c r="L400" s="5">
        <f t="shared" si="2"/>
        <v>4387.5</v>
      </c>
      <c r="M400" s="5">
        <f t="shared" si="3"/>
        <v>1754.9999999999998</v>
      </c>
      <c r="N400" s="6">
        <v>0.39999999999999997</v>
      </c>
    </row>
    <row r="401" spans="1:14" ht="15.75" customHeight="1" x14ac:dyDescent="0.45">
      <c r="A401" s="1" t="s">
        <v>120</v>
      </c>
      <c r="B401" s="1">
        <v>1197831</v>
      </c>
      <c r="C401" s="2">
        <v>44745</v>
      </c>
      <c r="D401" s="1" t="s">
        <v>19</v>
      </c>
      <c r="E401" s="1" t="s">
        <v>20</v>
      </c>
      <c r="F401" s="1" t="s">
        <v>29</v>
      </c>
      <c r="G401" s="1" t="s">
        <v>16</v>
      </c>
      <c r="H401" s="1">
        <v>58</v>
      </c>
      <c r="I401" s="1" t="s">
        <v>123</v>
      </c>
      <c r="J401" s="3">
        <v>0.45</v>
      </c>
      <c r="K401" s="4">
        <v>5750</v>
      </c>
      <c r="L401" s="5">
        <f t="shared" si="2"/>
        <v>2587.5</v>
      </c>
      <c r="M401" s="5">
        <f t="shared" si="3"/>
        <v>1293.75</v>
      </c>
      <c r="N401" s="6">
        <v>0.5</v>
      </c>
    </row>
    <row r="402" spans="1:14" ht="15.75" customHeight="1" x14ac:dyDescent="0.45">
      <c r="A402" s="1" t="s">
        <v>120</v>
      </c>
      <c r="B402" s="1">
        <v>1197831</v>
      </c>
      <c r="C402" s="2">
        <v>44745</v>
      </c>
      <c r="D402" s="1" t="s">
        <v>19</v>
      </c>
      <c r="E402" s="1" t="s">
        <v>20</v>
      </c>
      <c r="F402" s="1" t="s">
        <v>29</v>
      </c>
      <c r="G402" s="1" t="s">
        <v>17</v>
      </c>
      <c r="H402" s="1">
        <v>15</v>
      </c>
      <c r="I402" s="1" t="s">
        <v>125</v>
      </c>
      <c r="J402" s="3">
        <v>0.5</v>
      </c>
      <c r="K402" s="4">
        <v>5750</v>
      </c>
      <c r="L402" s="5">
        <f t="shared" si="2"/>
        <v>2875</v>
      </c>
      <c r="M402" s="5">
        <f t="shared" si="3"/>
        <v>1006.2499999999999</v>
      </c>
      <c r="N402" s="6">
        <v>0.35</v>
      </c>
    </row>
    <row r="403" spans="1:14" ht="15.75" customHeight="1" x14ac:dyDescent="0.45">
      <c r="A403" s="1" t="s">
        <v>120</v>
      </c>
      <c r="B403" s="1">
        <v>1197831</v>
      </c>
      <c r="C403" s="2">
        <v>44745</v>
      </c>
      <c r="D403" s="1" t="s">
        <v>19</v>
      </c>
      <c r="E403" s="1" t="s">
        <v>20</v>
      </c>
      <c r="F403" s="1" t="s">
        <v>29</v>
      </c>
      <c r="G403" s="1" t="s">
        <v>18</v>
      </c>
      <c r="H403" s="1">
        <v>23</v>
      </c>
      <c r="I403" s="1" t="s">
        <v>125</v>
      </c>
      <c r="J403" s="3">
        <v>0.6</v>
      </c>
      <c r="K403" s="4">
        <v>8500</v>
      </c>
      <c r="L403" s="5">
        <f t="shared" si="2"/>
        <v>5100</v>
      </c>
      <c r="M403" s="5">
        <f t="shared" si="3"/>
        <v>2805</v>
      </c>
      <c r="N403" s="6">
        <v>0.55000000000000004</v>
      </c>
    </row>
    <row r="404" spans="1:14" ht="15.75" customHeight="1" x14ac:dyDescent="0.45">
      <c r="A404" s="1" t="s">
        <v>120</v>
      </c>
      <c r="B404" s="1">
        <v>1197831</v>
      </c>
      <c r="C404" s="2">
        <v>44778</v>
      </c>
      <c r="D404" s="1" t="s">
        <v>19</v>
      </c>
      <c r="E404" s="1" t="s">
        <v>20</v>
      </c>
      <c r="F404" s="1" t="s">
        <v>29</v>
      </c>
      <c r="G404" s="1" t="s">
        <v>13</v>
      </c>
      <c r="H404" s="1">
        <v>36</v>
      </c>
      <c r="I404" s="1" t="s">
        <v>123</v>
      </c>
      <c r="J404" s="3">
        <v>0.5</v>
      </c>
      <c r="K404" s="4">
        <v>8000</v>
      </c>
      <c r="L404" s="5">
        <f t="shared" si="2"/>
        <v>4000</v>
      </c>
      <c r="M404" s="5">
        <f t="shared" si="3"/>
        <v>1599.9999999999998</v>
      </c>
      <c r="N404" s="6">
        <v>0.39999999999999997</v>
      </c>
    </row>
    <row r="405" spans="1:14" ht="15.75" customHeight="1" x14ac:dyDescent="0.45">
      <c r="A405" s="1" t="s">
        <v>120</v>
      </c>
      <c r="B405" s="1">
        <v>1197831</v>
      </c>
      <c r="C405" s="2">
        <v>44778</v>
      </c>
      <c r="D405" s="1" t="s">
        <v>19</v>
      </c>
      <c r="E405" s="1" t="s">
        <v>20</v>
      </c>
      <c r="F405" s="1" t="s">
        <v>29</v>
      </c>
      <c r="G405" s="1" t="s">
        <v>14</v>
      </c>
      <c r="H405" s="1">
        <v>45</v>
      </c>
      <c r="I405" s="1" t="s">
        <v>125</v>
      </c>
      <c r="J405" s="3">
        <v>0.55000000000000004</v>
      </c>
      <c r="K405" s="4">
        <v>8000</v>
      </c>
      <c r="L405" s="5">
        <f t="shared" si="2"/>
        <v>4400</v>
      </c>
      <c r="M405" s="5">
        <f t="shared" si="3"/>
        <v>1759.9999999999998</v>
      </c>
      <c r="N405" s="6">
        <v>0.39999999999999997</v>
      </c>
    </row>
    <row r="406" spans="1:14" ht="15.75" customHeight="1" x14ac:dyDescent="0.45">
      <c r="A406" s="1" t="s">
        <v>120</v>
      </c>
      <c r="B406" s="1">
        <v>1197831</v>
      </c>
      <c r="C406" s="2">
        <v>44778</v>
      </c>
      <c r="D406" s="1" t="s">
        <v>19</v>
      </c>
      <c r="E406" s="1" t="s">
        <v>20</v>
      </c>
      <c r="F406" s="1" t="s">
        <v>29</v>
      </c>
      <c r="G406" s="1" t="s">
        <v>15</v>
      </c>
      <c r="H406" s="1">
        <v>48</v>
      </c>
      <c r="I406" s="1" t="s">
        <v>126</v>
      </c>
      <c r="J406" s="3">
        <v>0.5</v>
      </c>
      <c r="K406" s="4">
        <v>9750</v>
      </c>
      <c r="L406" s="5">
        <f t="shared" si="2"/>
        <v>4875</v>
      </c>
      <c r="M406" s="5">
        <f t="shared" si="3"/>
        <v>1949.9999999999998</v>
      </c>
      <c r="N406" s="6">
        <v>0.39999999999999997</v>
      </c>
    </row>
    <row r="407" spans="1:14" ht="15.75" customHeight="1" x14ac:dyDescent="0.45">
      <c r="A407" s="1" t="s">
        <v>120</v>
      </c>
      <c r="B407" s="1">
        <v>1197831</v>
      </c>
      <c r="C407" s="2">
        <v>44778</v>
      </c>
      <c r="D407" s="1" t="s">
        <v>19</v>
      </c>
      <c r="E407" s="1" t="s">
        <v>20</v>
      </c>
      <c r="F407" s="1" t="s">
        <v>29</v>
      </c>
      <c r="G407" s="1" t="s">
        <v>16</v>
      </c>
      <c r="H407" s="1">
        <v>52</v>
      </c>
      <c r="I407" s="1" t="s">
        <v>125</v>
      </c>
      <c r="J407" s="3">
        <v>0.5</v>
      </c>
      <c r="K407" s="4">
        <v>5250</v>
      </c>
      <c r="L407" s="5">
        <f t="shared" si="2"/>
        <v>2625</v>
      </c>
      <c r="M407" s="5">
        <f t="shared" si="3"/>
        <v>1312.5</v>
      </c>
      <c r="N407" s="6">
        <v>0.5</v>
      </c>
    </row>
    <row r="408" spans="1:14" ht="15.75" customHeight="1" x14ac:dyDescent="0.45">
      <c r="A408" s="1" t="s">
        <v>120</v>
      </c>
      <c r="B408" s="1">
        <v>1197831</v>
      </c>
      <c r="C408" s="2">
        <v>44778</v>
      </c>
      <c r="D408" s="1" t="s">
        <v>19</v>
      </c>
      <c r="E408" s="1" t="s">
        <v>20</v>
      </c>
      <c r="F408" s="1" t="s">
        <v>29</v>
      </c>
      <c r="G408" s="1" t="s">
        <v>17</v>
      </c>
      <c r="H408" s="1">
        <v>53</v>
      </c>
      <c r="I408" s="1" t="s">
        <v>123</v>
      </c>
      <c r="J408" s="3">
        <v>0.55000000000000004</v>
      </c>
      <c r="K408" s="4">
        <v>5250</v>
      </c>
      <c r="L408" s="5">
        <f t="shared" si="2"/>
        <v>2887.5000000000005</v>
      </c>
      <c r="M408" s="5">
        <f t="shared" si="3"/>
        <v>1010.6250000000001</v>
      </c>
      <c r="N408" s="6">
        <v>0.35</v>
      </c>
    </row>
    <row r="409" spans="1:14" ht="15.75" customHeight="1" x14ac:dyDescent="0.45">
      <c r="A409" s="1" t="s">
        <v>120</v>
      </c>
      <c r="B409" s="1">
        <v>1197831</v>
      </c>
      <c r="C409" s="2">
        <v>44778</v>
      </c>
      <c r="D409" s="1" t="s">
        <v>19</v>
      </c>
      <c r="E409" s="1" t="s">
        <v>20</v>
      </c>
      <c r="F409" s="1" t="s">
        <v>29</v>
      </c>
      <c r="G409" s="1" t="s">
        <v>18</v>
      </c>
      <c r="H409" s="1">
        <v>18</v>
      </c>
      <c r="I409" s="1" t="s">
        <v>126</v>
      </c>
      <c r="J409" s="3">
        <v>0.6</v>
      </c>
      <c r="K409" s="4">
        <v>7750</v>
      </c>
      <c r="L409" s="5">
        <f t="shared" si="2"/>
        <v>4650</v>
      </c>
      <c r="M409" s="5">
        <f t="shared" si="3"/>
        <v>2557.5</v>
      </c>
      <c r="N409" s="6">
        <v>0.55000000000000004</v>
      </c>
    </row>
    <row r="410" spans="1:14" ht="15.75" customHeight="1" x14ac:dyDescent="0.45">
      <c r="A410" s="1" t="s">
        <v>120</v>
      </c>
      <c r="B410" s="1">
        <v>1197831</v>
      </c>
      <c r="C410" s="2">
        <v>44806</v>
      </c>
      <c r="D410" s="1" t="s">
        <v>19</v>
      </c>
      <c r="E410" s="1" t="s">
        <v>20</v>
      </c>
      <c r="F410" s="1" t="s">
        <v>29</v>
      </c>
      <c r="G410" s="1" t="s">
        <v>13</v>
      </c>
      <c r="H410" s="1">
        <v>18</v>
      </c>
      <c r="I410" s="1" t="s">
        <v>123</v>
      </c>
      <c r="J410" s="3">
        <v>0.55000000000000004</v>
      </c>
      <c r="K410" s="4">
        <v>7250</v>
      </c>
      <c r="L410" s="5">
        <f t="shared" si="2"/>
        <v>3987.5000000000005</v>
      </c>
      <c r="M410" s="5">
        <f t="shared" si="3"/>
        <v>1595</v>
      </c>
      <c r="N410" s="6">
        <v>0.39999999999999997</v>
      </c>
    </row>
    <row r="411" spans="1:14" ht="15.75" customHeight="1" x14ac:dyDescent="0.45">
      <c r="A411" s="1" t="s">
        <v>120</v>
      </c>
      <c r="B411" s="1">
        <v>1197831</v>
      </c>
      <c r="C411" s="2">
        <v>44806</v>
      </c>
      <c r="D411" s="1" t="s">
        <v>19</v>
      </c>
      <c r="E411" s="1" t="s">
        <v>20</v>
      </c>
      <c r="F411" s="1" t="s">
        <v>29</v>
      </c>
      <c r="G411" s="1" t="s">
        <v>14</v>
      </c>
      <c r="H411" s="1">
        <v>47</v>
      </c>
      <c r="I411" s="1" t="s">
        <v>124</v>
      </c>
      <c r="J411" s="3">
        <v>0.55000000000000004</v>
      </c>
      <c r="K411" s="4">
        <v>6750</v>
      </c>
      <c r="L411" s="5">
        <f t="shared" si="2"/>
        <v>3712.5000000000005</v>
      </c>
      <c r="M411" s="5">
        <f t="shared" si="3"/>
        <v>1485</v>
      </c>
      <c r="N411" s="6">
        <v>0.39999999999999997</v>
      </c>
    </row>
    <row r="412" spans="1:14" ht="15.75" customHeight="1" x14ac:dyDescent="0.45">
      <c r="A412" s="1" t="s">
        <v>120</v>
      </c>
      <c r="B412" s="1">
        <v>1197831</v>
      </c>
      <c r="C412" s="2">
        <v>44806</v>
      </c>
      <c r="D412" s="1" t="s">
        <v>19</v>
      </c>
      <c r="E412" s="1" t="s">
        <v>20</v>
      </c>
      <c r="F412" s="1" t="s">
        <v>29</v>
      </c>
      <c r="G412" s="1" t="s">
        <v>15</v>
      </c>
      <c r="H412" s="1">
        <v>27</v>
      </c>
      <c r="I412" s="1" t="s">
        <v>125</v>
      </c>
      <c r="J412" s="3">
        <v>0.6</v>
      </c>
      <c r="K412" s="4">
        <v>7250</v>
      </c>
      <c r="L412" s="5">
        <f t="shared" si="2"/>
        <v>4350</v>
      </c>
      <c r="M412" s="5">
        <f t="shared" si="3"/>
        <v>1739.9999999999998</v>
      </c>
      <c r="N412" s="6">
        <v>0.39999999999999997</v>
      </c>
    </row>
    <row r="413" spans="1:14" ht="15.75" customHeight="1" x14ac:dyDescent="0.45">
      <c r="A413" s="1" t="s">
        <v>120</v>
      </c>
      <c r="B413" s="1">
        <v>1197831</v>
      </c>
      <c r="C413" s="2">
        <v>44806</v>
      </c>
      <c r="D413" s="1" t="s">
        <v>19</v>
      </c>
      <c r="E413" s="1" t="s">
        <v>20</v>
      </c>
      <c r="F413" s="1" t="s">
        <v>29</v>
      </c>
      <c r="G413" s="1" t="s">
        <v>16</v>
      </c>
      <c r="H413" s="1">
        <v>26</v>
      </c>
      <c r="I413" s="1" t="s">
        <v>123</v>
      </c>
      <c r="J413" s="3">
        <v>0.6</v>
      </c>
      <c r="K413" s="4">
        <v>4500</v>
      </c>
      <c r="L413" s="5">
        <f t="shared" si="2"/>
        <v>2700</v>
      </c>
      <c r="M413" s="5">
        <f t="shared" si="3"/>
        <v>1350</v>
      </c>
      <c r="N413" s="6">
        <v>0.5</v>
      </c>
    </row>
    <row r="414" spans="1:14" ht="15.75" customHeight="1" x14ac:dyDescent="0.45">
      <c r="A414" s="1" t="s">
        <v>120</v>
      </c>
      <c r="B414" s="1">
        <v>1197831</v>
      </c>
      <c r="C414" s="2">
        <v>44806</v>
      </c>
      <c r="D414" s="1" t="s">
        <v>19</v>
      </c>
      <c r="E414" s="1" t="s">
        <v>20</v>
      </c>
      <c r="F414" s="1" t="s">
        <v>29</v>
      </c>
      <c r="G414" s="1" t="s">
        <v>17</v>
      </c>
      <c r="H414" s="1">
        <v>20</v>
      </c>
      <c r="I414" s="1" t="s">
        <v>126</v>
      </c>
      <c r="J414" s="3">
        <v>0.55000000000000004</v>
      </c>
      <c r="K414" s="4">
        <v>4500</v>
      </c>
      <c r="L414" s="5">
        <f t="shared" si="2"/>
        <v>2475</v>
      </c>
      <c r="M414" s="5">
        <f t="shared" si="3"/>
        <v>866.25</v>
      </c>
      <c r="N414" s="6">
        <v>0.35</v>
      </c>
    </row>
    <row r="415" spans="1:14" ht="15.75" customHeight="1" x14ac:dyDescent="0.45">
      <c r="A415" s="1" t="s">
        <v>120</v>
      </c>
      <c r="B415" s="1">
        <v>1197831</v>
      </c>
      <c r="C415" s="2">
        <v>44806</v>
      </c>
      <c r="D415" s="1" t="s">
        <v>19</v>
      </c>
      <c r="E415" s="1" t="s">
        <v>20</v>
      </c>
      <c r="F415" s="1" t="s">
        <v>29</v>
      </c>
      <c r="G415" s="1" t="s">
        <v>18</v>
      </c>
      <c r="H415" s="1">
        <v>53</v>
      </c>
      <c r="I415" s="1" t="s">
        <v>124</v>
      </c>
      <c r="J415" s="3">
        <v>0.5</v>
      </c>
      <c r="K415" s="4">
        <v>6750</v>
      </c>
      <c r="L415" s="5">
        <f t="shared" si="2"/>
        <v>3375</v>
      </c>
      <c r="M415" s="5">
        <f t="shared" si="3"/>
        <v>1856.2500000000002</v>
      </c>
      <c r="N415" s="6">
        <v>0.55000000000000004</v>
      </c>
    </row>
    <row r="416" spans="1:14" ht="15.75" customHeight="1" x14ac:dyDescent="0.45">
      <c r="A416" s="1" t="s">
        <v>120</v>
      </c>
      <c r="B416" s="1">
        <v>1197831</v>
      </c>
      <c r="C416" s="2">
        <v>44835</v>
      </c>
      <c r="D416" s="1" t="s">
        <v>19</v>
      </c>
      <c r="E416" s="1" t="s">
        <v>20</v>
      </c>
      <c r="F416" s="1" t="s">
        <v>29</v>
      </c>
      <c r="G416" s="1" t="s">
        <v>13</v>
      </c>
      <c r="H416" s="1">
        <v>22</v>
      </c>
      <c r="I416" s="1" t="s">
        <v>126</v>
      </c>
      <c r="J416" s="3">
        <v>0.4</v>
      </c>
      <c r="K416" s="4">
        <v>6250</v>
      </c>
      <c r="L416" s="5">
        <f t="shared" si="2"/>
        <v>2500</v>
      </c>
      <c r="M416" s="5">
        <f t="shared" si="3"/>
        <v>999.99999999999989</v>
      </c>
      <c r="N416" s="6">
        <v>0.39999999999999997</v>
      </c>
    </row>
    <row r="417" spans="1:14" ht="15.75" customHeight="1" x14ac:dyDescent="0.45">
      <c r="A417" s="1" t="s">
        <v>120</v>
      </c>
      <c r="B417" s="1">
        <v>1197831</v>
      </c>
      <c r="C417" s="2">
        <v>44835</v>
      </c>
      <c r="D417" s="1" t="s">
        <v>19</v>
      </c>
      <c r="E417" s="1" t="s">
        <v>20</v>
      </c>
      <c r="F417" s="1" t="s">
        <v>29</v>
      </c>
      <c r="G417" s="1" t="s">
        <v>14</v>
      </c>
      <c r="H417" s="1">
        <v>17</v>
      </c>
      <c r="I417" s="1" t="s">
        <v>126</v>
      </c>
      <c r="J417" s="3">
        <v>0.4</v>
      </c>
      <c r="K417" s="4">
        <v>6250</v>
      </c>
      <c r="L417" s="5">
        <f t="shared" si="2"/>
        <v>2500</v>
      </c>
      <c r="M417" s="5">
        <f t="shared" si="3"/>
        <v>999.99999999999989</v>
      </c>
      <c r="N417" s="6">
        <v>0.39999999999999997</v>
      </c>
    </row>
    <row r="418" spans="1:14" ht="15.75" customHeight="1" x14ac:dyDescent="0.45">
      <c r="A418" s="1" t="s">
        <v>120</v>
      </c>
      <c r="B418" s="1">
        <v>1197831</v>
      </c>
      <c r="C418" s="2">
        <v>44835</v>
      </c>
      <c r="D418" s="1" t="s">
        <v>19</v>
      </c>
      <c r="E418" s="1" t="s">
        <v>20</v>
      </c>
      <c r="F418" s="1" t="s">
        <v>29</v>
      </c>
      <c r="G418" s="1" t="s">
        <v>15</v>
      </c>
      <c r="H418" s="1">
        <v>48</v>
      </c>
      <c r="I418" s="1" t="s">
        <v>125</v>
      </c>
      <c r="J418" s="3">
        <v>0.45</v>
      </c>
      <c r="K418" s="4">
        <v>5750</v>
      </c>
      <c r="L418" s="5">
        <f t="shared" si="2"/>
        <v>2587.5</v>
      </c>
      <c r="M418" s="5">
        <f t="shared" si="3"/>
        <v>1035</v>
      </c>
      <c r="N418" s="6">
        <v>0.39999999999999997</v>
      </c>
    </row>
    <row r="419" spans="1:14" ht="15.75" customHeight="1" x14ac:dyDescent="0.45">
      <c r="A419" s="1" t="s">
        <v>120</v>
      </c>
      <c r="B419" s="1">
        <v>1197831</v>
      </c>
      <c r="C419" s="2">
        <v>44835</v>
      </c>
      <c r="D419" s="1" t="s">
        <v>19</v>
      </c>
      <c r="E419" s="1" t="s">
        <v>20</v>
      </c>
      <c r="F419" s="1" t="s">
        <v>29</v>
      </c>
      <c r="G419" s="1" t="s">
        <v>16</v>
      </c>
      <c r="H419" s="1">
        <v>57</v>
      </c>
      <c r="I419" s="1" t="s">
        <v>124</v>
      </c>
      <c r="J419" s="3">
        <v>0.45</v>
      </c>
      <c r="K419" s="4">
        <v>4250</v>
      </c>
      <c r="L419" s="5">
        <f t="shared" si="2"/>
        <v>1912.5</v>
      </c>
      <c r="M419" s="5">
        <f t="shared" si="3"/>
        <v>956.25</v>
      </c>
      <c r="N419" s="6">
        <v>0.5</v>
      </c>
    </row>
    <row r="420" spans="1:14" ht="15.75" customHeight="1" x14ac:dyDescent="0.45">
      <c r="A420" s="1" t="s">
        <v>120</v>
      </c>
      <c r="B420" s="1">
        <v>1197831</v>
      </c>
      <c r="C420" s="2">
        <v>44835</v>
      </c>
      <c r="D420" s="1" t="s">
        <v>19</v>
      </c>
      <c r="E420" s="1" t="s">
        <v>20</v>
      </c>
      <c r="F420" s="1" t="s">
        <v>29</v>
      </c>
      <c r="G420" s="1" t="s">
        <v>17</v>
      </c>
      <c r="H420" s="1">
        <v>38</v>
      </c>
      <c r="I420" s="1" t="s">
        <v>123</v>
      </c>
      <c r="J420" s="3">
        <v>0.4</v>
      </c>
      <c r="K420" s="4">
        <v>4000</v>
      </c>
      <c r="L420" s="5">
        <f t="shared" si="2"/>
        <v>1600</v>
      </c>
      <c r="M420" s="5">
        <f t="shared" si="3"/>
        <v>560</v>
      </c>
      <c r="N420" s="6">
        <v>0.35</v>
      </c>
    </row>
    <row r="421" spans="1:14" ht="15.75" customHeight="1" x14ac:dyDescent="0.45">
      <c r="A421" s="1" t="s">
        <v>120</v>
      </c>
      <c r="B421" s="1">
        <v>1197831</v>
      </c>
      <c r="C421" s="2">
        <v>44835</v>
      </c>
      <c r="D421" s="1" t="s">
        <v>19</v>
      </c>
      <c r="E421" s="1" t="s">
        <v>20</v>
      </c>
      <c r="F421" s="1" t="s">
        <v>29</v>
      </c>
      <c r="G421" s="1" t="s">
        <v>18</v>
      </c>
      <c r="H421" s="1">
        <v>28</v>
      </c>
      <c r="I421" s="1" t="s">
        <v>124</v>
      </c>
      <c r="J421" s="3">
        <v>0.5</v>
      </c>
      <c r="K421" s="4">
        <v>5750</v>
      </c>
      <c r="L421" s="5">
        <f t="shared" si="2"/>
        <v>2875</v>
      </c>
      <c r="M421" s="5">
        <f t="shared" si="3"/>
        <v>1581.2500000000002</v>
      </c>
      <c r="N421" s="6">
        <v>0.55000000000000004</v>
      </c>
    </row>
    <row r="422" spans="1:14" ht="15.75" customHeight="1" x14ac:dyDescent="0.45">
      <c r="A422" s="1" t="s">
        <v>120</v>
      </c>
      <c r="B422" s="1">
        <v>1197831</v>
      </c>
      <c r="C422" s="2">
        <v>44867</v>
      </c>
      <c r="D422" s="1" t="s">
        <v>19</v>
      </c>
      <c r="E422" s="1" t="s">
        <v>20</v>
      </c>
      <c r="F422" s="1" t="s">
        <v>29</v>
      </c>
      <c r="G422" s="1" t="s">
        <v>13</v>
      </c>
      <c r="H422" s="1">
        <v>50</v>
      </c>
      <c r="I422" s="1" t="s">
        <v>123</v>
      </c>
      <c r="J422" s="3">
        <v>0.4</v>
      </c>
      <c r="K422" s="4">
        <v>7250</v>
      </c>
      <c r="L422" s="5">
        <f t="shared" si="2"/>
        <v>2900</v>
      </c>
      <c r="M422" s="5">
        <f t="shared" si="3"/>
        <v>1160</v>
      </c>
      <c r="N422" s="6">
        <v>0.39999999999999997</v>
      </c>
    </row>
    <row r="423" spans="1:14" ht="15.75" customHeight="1" x14ac:dyDescent="0.45">
      <c r="A423" s="1" t="s">
        <v>120</v>
      </c>
      <c r="B423" s="1">
        <v>1197831</v>
      </c>
      <c r="C423" s="2">
        <v>44867</v>
      </c>
      <c r="D423" s="1" t="s">
        <v>19</v>
      </c>
      <c r="E423" s="1" t="s">
        <v>20</v>
      </c>
      <c r="F423" s="1" t="s">
        <v>29</v>
      </c>
      <c r="G423" s="1" t="s">
        <v>14</v>
      </c>
      <c r="H423" s="1">
        <v>27</v>
      </c>
      <c r="I423" s="1" t="s">
        <v>124</v>
      </c>
      <c r="J423" s="3">
        <v>0.4</v>
      </c>
      <c r="K423" s="4">
        <v>7250</v>
      </c>
      <c r="L423" s="5">
        <f t="shared" si="2"/>
        <v>2900</v>
      </c>
      <c r="M423" s="5">
        <f t="shared" si="3"/>
        <v>1160</v>
      </c>
      <c r="N423" s="6">
        <v>0.39999999999999997</v>
      </c>
    </row>
    <row r="424" spans="1:14" ht="15.75" customHeight="1" x14ac:dyDescent="0.45">
      <c r="A424" s="1" t="s">
        <v>120</v>
      </c>
      <c r="B424" s="1">
        <v>1197831</v>
      </c>
      <c r="C424" s="2">
        <v>44867</v>
      </c>
      <c r="D424" s="1" t="s">
        <v>19</v>
      </c>
      <c r="E424" s="1" t="s">
        <v>20</v>
      </c>
      <c r="F424" s="1" t="s">
        <v>29</v>
      </c>
      <c r="G424" s="1" t="s">
        <v>15</v>
      </c>
      <c r="H424" s="1">
        <v>19</v>
      </c>
      <c r="I424" s="1" t="s">
        <v>124</v>
      </c>
      <c r="J424" s="3">
        <v>0.65</v>
      </c>
      <c r="K424" s="4">
        <v>6500</v>
      </c>
      <c r="L424" s="5">
        <f t="shared" si="2"/>
        <v>4225</v>
      </c>
      <c r="M424" s="5">
        <f t="shared" si="3"/>
        <v>1689.9999999999998</v>
      </c>
      <c r="N424" s="6">
        <v>0.39999999999999997</v>
      </c>
    </row>
    <row r="425" spans="1:14" ht="15.75" customHeight="1" x14ac:dyDescent="0.45">
      <c r="A425" s="1" t="s">
        <v>120</v>
      </c>
      <c r="B425" s="1">
        <v>1197831</v>
      </c>
      <c r="C425" s="2">
        <v>44867</v>
      </c>
      <c r="D425" s="1" t="s">
        <v>19</v>
      </c>
      <c r="E425" s="1" t="s">
        <v>20</v>
      </c>
      <c r="F425" s="1" t="s">
        <v>29</v>
      </c>
      <c r="G425" s="1" t="s">
        <v>16</v>
      </c>
      <c r="H425" s="1">
        <v>16</v>
      </c>
      <c r="I425" s="1" t="s">
        <v>123</v>
      </c>
      <c r="J425" s="3">
        <v>0.65</v>
      </c>
      <c r="K425" s="4">
        <v>5000</v>
      </c>
      <c r="L425" s="5">
        <f t="shared" si="2"/>
        <v>3250</v>
      </c>
      <c r="M425" s="5">
        <f t="shared" si="3"/>
        <v>1625</v>
      </c>
      <c r="N425" s="6">
        <v>0.5</v>
      </c>
    </row>
    <row r="426" spans="1:14" ht="15.75" customHeight="1" x14ac:dyDescent="0.45">
      <c r="A426" s="1" t="s">
        <v>120</v>
      </c>
      <c r="B426" s="1">
        <v>1197831</v>
      </c>
      <c r="C426" s="2">
        <v>44867</v>
      </c>
      <c r="D426" s="1" t="s">
        <v>19</v>
      </c>
      <c r="E426" s="1" t="s">
        <v>20</v>
      </c>
      <c r="F426" s="1" t="s">
        <v>29</v>
      </c>
      <c r="G426" s="1" t="s">
        <v>17</v>
      </c>
      <c r="H426" s="1">
        <v>28</v>
      </c>
      <c r="I426" s="1" t="s">
        <v>125</v>
      </c>
      <c r="J426" s="3">
        <v>0.6</v>
      </c>
      <c r="K426" s="4">
        <v>4750</v>
      </c>
      <c r="L426" s="5">
        <f t="shared" si="2"/>
        <v>2850</v>
      </c>
      <c r="M426" s="5">
        <f t="shared" si="3"/>
        <v>997.49999999999989</v>
      </c>
      <c r="N426" s="6">
        <v>0.35</v>
      </c>
    </row>
    <row r="427" spans="1:14" ht="15.75" customHeight="1" x14ac:dyDescent="0.45">
      <c r="A427" s="1" t="s">
        <v>120</v>
      </c>
      <c r="B427" s="1">
        <v>1197831</v>
      </c>
      <c r="C427" s="2">
        <v>44867</v>
      </c>
      <c r="D427" s="1" t="s">
        <v>19</v>
      </c>
      <c r="E427" s="1" t="s">
        <v>20</v>
      </c>
      <c r="F427" s="1" t="s">
        <v>29</v>
      </c>
      <c r="G427" s="1" t="s">
        <v>18</v>
      </c>
      <c r="H427" s="1">
        <v>33</v>
      </c>
      <c r="I427" s="1" t="s">
        <v>123</v>
      </c>
      <c r="J427" s="3">
        <v>0.70000000000000007</v>
      </c>
      <c r="K427" s="4">
        <v>6750</v>
      </c>
      <c r="L427" s="5">
        <f t="shared" si="2"/>
        <v>4725</v>
      </c>
      <c r="M427" s="5">
        <f t="shared" si="3"/>
        <v>2598.75</v>
      </c>
      <c r="N427" s="6">
        <v>0.55000000000000004</v>
      </c>
    </row>
    <row r="428" spans="1:14" ht="15.75" customHeight="1" x14ac:dyDescent="0.45">
      <c r="A428" s="1" t="s">
        <v>120</v>
      </c>
      <c r="B428" s="1">
        <v>1197831</v>
      </c>
      <c r="C428" s="2">
        <v>44896</v>
      </c>
      <c r="D428" s="1" t="s">
        <v>19</v>
      </c>
      <c r="E428" s="1" t="s">
        <v>20</v>
      </c>
      <c r="F428" s="1" t="s">
        <v>29</v>
      </c>
      <c r="G428" s="1" t="s">
        <v>13</v>
      </c>
      <c r="H428" s="1">
        <v>23</v>
      </c>
      <c r="I428" s="1" t="s">
        <v>123</v>
      </c>
      <c r="J428" s="3">
        <v>0.6</v>
      </c>
      <c r="K428" s="4">
        <v>8250</v>
      </c>
      <c r="L428" s="5">
        <f t="shared" si="2"/>
        <v>4950</v>
      </c>
      <c r="M428" s="5">
        <f t="shared" si="3"/>
        <v>1979.9999999999998</v>
      </c>
      <c r="N428" s="6">
        <v>0.39999999999999997</v>
      </c>
    </row>
    <row r="429" spans="1:14" ht="15.75" customHeight="1" x14ac:dyDescent="0.45">
      <c r="A429" s="1" t="s">
        <v>120</v>
      </c>
      <c r="B429" s="1">
        <v>1197831</v>
      </c>
      <c r="C429" s="2">
        <v>44896</v>
      </c>
      <c r="D429" s="1" t="s">
        <v>19</v>
      </c>
      <c r="E429" s="1" t="s">
        <v>20</v>
      </c>
      <c r="F429" s="1" t="s">
        <v>29</v>
      </c>
      <c r="G429" s="1" t="s">
        <v>14</v>
      </c>
      <c r="H429" s="1">
        <v>35</v>
      </c>
      <c r="I429" s="1" t="s">
        <v>126</v>
      </c>
      <c r="J429" s="3">
        <v>0.6</v>
      </c>
      <c r="K429" s="4">
        <v>8250</v>
      </c>
      <c r="L429" s="5">
        <f t="shared" si="2"/>
        <v>4950</v>
      </c>
      <c r="M429" s="5">
        <f t="shared" si="3"/>
        <v>1979.9999999999998</v>
      </c>
      <c r="N429" s="6">
        <v>0.39999999999999997</v>
      </c>
    </row>
    <row r="430" spans="1:14" ht="15.75" customHeight="1" x14ac:dyDescent="0.45">
      <c r="A430" s="1" t="s">
        <v>120</v>
      </c>
      <c r="B430" s="1">
        <v>1197831</v>
      </c>
      <c r="C430" s="2">
        <v>44896</v>
      </c>
      <c r="D430" s="1" t="s">
        <v>19</v>
      </c>
      <c r="E430" s="1" t="s">
        <v>20</v>
      </c>
      <c r="F430" s="1" t="s">
        <v>29</v>
      </c>
      <c r="G430" s="1" t="s">
        <v>15</v>
      </c>
      <c r="H430" s="1">
        <v>36</v>
      </c>
      <c r="I430" s="1" t="s">
        <v>123</v>
      </c>
      <c r="J430" s="3">
        <v>0.65</v>
      </c>
      <c r="K430" s="4">
        <v>7250</v>
      </c>
      <c r="L430" s="5">
        <f t="shared" si="2"/>
        <v>4712.5</v>
      </c>
      <c r="M430" s="5">
        <f t="shared" si="3"/>
        <v>1884.9999999999998</v>
      </c>
      <c r="N430" s="6">
        <v>0.39999999999999997</v>
      </c>
    </row>
    <row r="431" spans="1:14" ht="15.75" customHeight="1" x14ac:dyDescent="0.45">
      <c r="A431" s="1" t="s">
        <v>120</v>
      </c>
      <c r="B431" s="1">
        <v>1197831</v>
      </c>
      <c r="C431" s="2">
        <v>44896</v>
      </c>
      <c r="D431" s="1" t="s">
        <v>19</v>
      </c>
      <c r="E431" s="1" t="s">
        <v>20</v>
      </c>
      <c r="F431" s="1" t="s">
        <v>29</v>
      </c>
      <c r="G431" s="1" t="s">
        <v>16</v>
      </c>
      <c r="H431" s="1">
        <v>39</v>
      </c>
      <c r="I431" s="1" t="s">
        <v>126</v>
      </c>
      <c r="J431" s="3">
        <v>0.65</v>
      </c>
      <c r="K431" s="4">
        <v>5750</v>
      </c>
      <c r="L431" s="5">
        <f t="shared" si="2"/>
        <v>3737.5</v>
      </c>
      <c r="M431" s="5">
        <f t="shared" si="3"/>
        <v>1868.75</v>
      </c>
      <c r="N431" s="6">
        <v>0.5</v>
      </c>
    </row>
    <row r="432" spans="1:14" ht="15.75" customHeight="1" x14ac:dyDescent="0.45">
      <c r="A432" s="1" t="s">
        <v>120</v>
      </c>
      <c r="B432" s="1">
        <v>1197831</v>
      </c>
      <c r="C432" s="2">
        <v>44896</v>
      </c>
      <c r="D432" s="1" t="s">
        <v>19</v>
      </c>
      <c r="E432" s="1" t="s">
        <v>20</v>
      </c>
      <c r="F432" s="1" t="s">
        <v>29</v>
      </c>
      <c r="G432" s="1" t="s">
        <v>17</v>
      </c>
      <c r="H432" s="1">
        <v>44</v>
      </c>
      <c r="I432" s="1" t="s">
        <v>124</v>
      </c>
      <c r="J432" s="3">
        <v>0.6</v>
      </c>
      <c r="K432" s="4">
        <v>5250</v>
      </c>
      <c r="L432" s="5">
        <f t="shared" si="2"/>
        <v>3150</v>
      </c>
      <c r="M432" s="5">
        <f t="shared" si="3"/>
        <v>1102.5</v>
      </c>
      <c r="N432" s="6">
        <v>0.35</v>
      </c>
    </row>
    <row r="433" spans="1:14" ht="15.75" customHeight="1" x14ac:dyDescent="0.45">
      <c r="A433" s="1" t="s">
        <v>120</v>
      </c>
      <c r="B433" s="1">
        <v>1197831</v>
      </c>
      <c r="C433" s="2">
        <v>44896</v>
      </c>
      <c r="D433" s="1" t="s">
        <v>19</v>
      </c>
      <c r="E433" s="1" t="s">
        <v>20</v>
      </c>
      <c r="F433" s="1" t="s">
        <v>29</v>
      </c>
      <c r="G433" s="1" t="s">
        <v>18</v>
      </c>
      <c r="H433" s="1">
        <v>45</v>
      </c>
      <c r="I433" s="1" t="s">
        <v>124</v>
      </c>
      <c r="J433" s="3">
        <v>0.70000000000000007</v>
      </c>
      <c r="K433" s="4">
        <v>7750</v>
      </c>
      <c r="L433" s="5">
        <f t="shared" si="2"/>
        <v>5425.0000000000009</v>
      </c>
      <c r="M433" s="5">
        <f t="shared" si="3"/>
        <v>2983.7500000000009</v>
      </c>
      <c r="N433" s="6">
        <v>0.55000000000000004</v>
      </c>
    </row>
    <row r="434" spans="1:14" ht="15.75" customHeight="1" x14ac:dyDescent="0.45">
      <c r="A434" s="1" t="s">
        <v>119</v>
      </c>
      <c r="B434" s="1">
        <v>1185732</v>
      </c>
      <c r="C434" s="2">
        <v>44568</v>
      </c>
      <c r="D434" s="1" t="s">
        <v>11</v>
      </c>
      <c r="E434" s="1" t="s">
        <v>30</v>
      </c>
      <c r="F434" s="1" t="s">
        <v>31</v>
      </c>
      <c r="G434" s="1" t="s">
        <v>13</v>
      </c>
      <c r="H434" s="1">
        <v>41</v>
      </c>
      <c r="I434" s="1" t="s">
        <v>124</v>
      </c>
      <c r="J434" s="3">
        <v>0.45</v>
      </c>
      <c r="K434" s="4">
        <v>4250</v>
      </c>
      <c r="L434" s="5">
        <f t="shared" si="2"/>
        <v>1912.5</v>
      </c>
      <c r="M434" s="5">
        <f t="shared" si="3"/>
        <v>1051.875</v>
      </c>
      <c r="N434" s="6">
        <v>0.55000000000000004</v>
      </c>
    </row>
    <row r="435" spans="1:14" ht="15.75" customHeight="1" x14ac:dyDescent="0.45">
      <c r="A435" s="1" t="s">
        <v>119</v>
      </c>
      <c r="B435" s="1">
        <v>1185732</v>
      </c>
      <c r="C435" s="2">
        <v>44568</v>
      </c>
      <c r="D435" s="1" t="s">
        <v>11</v>
      </c>
      <c r="E435" s="1" t="s">
        <v>30</v>
      </c>
      <c r="F435" s="1" t="s">
        <v>31</v>
      </c>
      <c r="G435" s="1" t="s">
        <v>14</v>
      </c>
      <c r="H435" s="1">
        <v>47</v>
      </c>
      <c r="I435" s="1" t="s">
        <v>126</v>
      </c>
      <c r="J435" s="3">
        <v>0.45</v>
      </c>
      <c r="K435" s="4">
        <v>2250</v>
      </c>
      <c r="L435" s="5">
        <f t="shared" si="2"/>
        <v>1012.5</v>
      </c>
      <c r="M435" s="5">
        <f t="shared" si="3"/>
        <v>354.375</v>
      </c>
      <c r="N435" s="6">
        <v>0.35</v>
      </c>
    </row>
    <row r="436" spans="1:14" ht="15.75" customHeight="1" x14ac:dyDescent="0.45">
      <c r="A436" s="1" t="s">
        <v>119</v>
      </c>
      <c r="B436" s="1">
        <v>1185732</v>
      </c>
      <c r="C436" s="2">
        <v>44568</v>
      </c>
      <c r="D436" s="1" t="s">
        <v>11</v>
      </c>
      <c r="E436" s="1" t="s">
        <v>30</v>
      </c>
      <c r="F436" s="1" t="s">
        <v>31</v>
      </c>
      <c r="G436" s="1" t="s">
        <v>15</v>
      </c>
      <c r="H436" s="1">
        <v>41</v>
      </c>
      <c r="I436" s="1" t="s">
        <v>125</v>
      </c>
      <c r="J436" s="3">
        <v>0.35000000000000003</v>
      </c>
      <c r="K436" s="4">
        <v>2250</v>
      </c>
      <c r="L436" s="5">
        <f t="shared" si="2"/>
        <v>787.50000000000011</v>
      </c>
      <c r="M436" s="5">
        <f t="shared" si="3"/>
        <v>315</v>
      </c>
      <c r="N436" s="6">
        <v>0.39999999999999997</v>
      </c>
    </row>
    <row r="437" spans="1:14" ht="15.75" customHeight="1" x14ac:dyDescent="0.45">
      <c r="A437" s="1" t="s">
        <v>119</v>
      </c>
      <c r="B437" s="1">
        <v>1185732</v>
      </c>
      <c r="C437" s="2">
        <v>44568</v>
      </c>
      <c r="D437" s="1" t="s">
        <v>11</v>
      </c>
      <c r="E437" s="1" t="s">
        <v>30</v>
      </c>
      <c r="F437" s="1" t="s">
        <v>31</v>
      </c>
      <c r="G437" s="1" t="s">
        <v>16</v>
      </c>
      <c r="H437" s="1">
        <v>39</v>
      </c>
      <c r="I437" s="1" t="s">
        <v>123</v>
      </c>
      <c r="J437" s="3">
        <v>0.4</v>
      </c>
      <c r="K437" s="4">
        <v>750</v>
      </c>
      <c r="L437" s="5">
        <f t="shared" si="2"/>
        <v>300</v>
      </c>
      <c r="M437" s="5">
        <f t="shared" si="3"/>
        <v>119.99999999999999</v>
      </c>
      <c r="N437" s="6">
        <v>0.39999999999999997</v>
      </c>
    </row>
    <row r="438" spans="1:14" ht="15.75" customHeight="1" x14ac:dyDescent="0.45">
      <c r="A438" s="1" t="s">
        <v>119</v>
      </c>
      <c r="B438" s="1">
        <v>1185732</v>
      </c>
      <c r="C438" s="2">
        <v>44568</v>
      </c>
      <c r="D438" s="1" t="s">
        <v>11</v>
      </c>
      <c r="E438" s="1" t="s">
        <v>30</v>
      </c>
      <c r="F438" s="1" t="s">
        <v>31</v>
      </c>
      <c r="G438" s="1" t="s">
        <v>17</v>
      </c>
      <c r="H438" s="1">
        <v>21</v>
      </c>
      <c r="I438" s="1" t="s">
        <v>126</v>
      </c>
      <c r="J438" s="3">
        <v>0.54999999999999993</v>
      </c>
      <c r="K438" s="4">
        <v>1250</v>
      </c>
      <c r="L438" s="5">
        <f t="shared" si="2"/>
        <v>687.49999999999989</v>
      </c>
      <c r="M438" s="5">
        <f t="shared" si="3"/>
        <v>240.62499999999994</v>
      </c>
      <c r="N438" s="6">
        <v>0.35</v>
      </c>
    </row>
    <row r="439" spans="1:14" ht="15.75" customHeight="1" x14ac:dyDescent="0.45">
      <c r="A439" s="1" t="s">
        <v>119</v>
      </c>
      <c r="B439" s="1">
        <v>1185732</v>
      </c>
      <c r="C439" s="2">
        <v>44568</v>
      </c>
      <c r="D439" s="1" t="s">
        <v>11</v>
      </c>
      <c r="E439" s="1" t="s">
        <v>30</v>
      </c>
      <c r="F439" s="1" t="s">
        <v>31</v>
      </c>
      <c r="G439" s="1" t="s">
        <v>18</v>
      </c>
      <c r="H439" s="1">
        <v>42</v>
      </c>
      <c r="I439" s="1" t="s">
        <v>125</v>
      </c>
      <c r="J439" s="3">
        <v>0.45</v>
      </c>
      <c r="K439" s="4">
        <v>2250</v>
      </c>
      <c r="L439" s="5">
        <f t="shared" si="2"/>
        <v>1012.5</v>
      </c>
      <c r="M439" s="5">
        <f t="shared" si="3"/>
        <v>303.75</v>
      </c>
      <c r="N439" s="6">
        <v>0.3</v>
      </c>
    </row>
    <row r="440" spans="1:14" ht="15.75" customHeight="1" x14ac:dyDescent="0.45">
      <c r="A440" s="1" t="s">
        <v>119</v>
      </c>
      <c r="B440" s="1">
        <v>1185732</v>
      </c>
      <c r="C440" s="2">
        <v>44597</v>
      </c>
      <c r="D440" s="1" t="s">
        <v>11</v>
      </c>
      <c r="E440" s="1" t="s">
        <v>30</v>
      </c>
      <c r="F440" s="1" t="s">
        <v>31</v>
      </c>
      <c r="G440" s="1" t="s">
        <v>13</v>
      </c>
      <c r="H440" s="1">
        <v>38</v>
      </c>
      <c r="I440" s="1" t="s">
        <v>123</v>
      </c>
      <c r="J440" s="3">
        <v>0.45</v>
      </c>
      <c r="K440" s="4">
        <v>4750</v>
      </c>
      <c r="L440" s="5">
        <f t="shared" si="2"/>
        <v>2137.5</v>
      </c>
      <c r="M440" s="5">
        <f t="shared" si="3"/>
        <v>1175.625</v>
      </c>
      <c r="N440" s="6">
        <v>0.55000000000000004</v>
      </c>
    </row>
    <row r="441" spans="1:14" ht="15.75" customHeight="1" x14ac:dyDescent="0.45">
      <c r="A441" s="1" t="s">
        <v>119</v>
      </c>
      <c r="B441" s="1">
        <v>1185732</v>
      </c>
      <c r="C441" s="2">
        <v>44597</v>
      </c>
      <c r="D441" s="1" t="s">
        <v>11</v>
      </c>
      <c r="E441" s="1" t="s">
        <v>30</v>
      </c>
      <c r="F441" s="1" t="s">
        <v>31</v>
      </c>
      <c r="G441" s="1" t="s">
        <v>14</v>
      </c>
      <c r="H441" s="1">
        <v>52</v>
      </c>
      <c r="I441" s="1" t="s">
        <v>125</v>
      </c>
      <c r="J441" s="3">
        <v>0.45</v>
      </c>
      <c r="K441" s="4">
        <v>1250</v>
      </c>
      <c r="L441" s="5">
        <f t="shared" si="2"/>
        <v>562.5</v>
      </c>
      <c r="M441" s="5">
        <f t="shared" si="3"/>
        <v>196.875</v>
      </c>
      <c r="N441" s="6">
        <v>0.35</v>
      </c>
    </row>
    <row r="442" spans="1:14" ht="15.75" customHeight="1" x14ac:dyDescent="0.45">
      <c r="A442" s="1" t="s">
        <v>119</v>
      </c>
      <c r="B442" s="1">
        <v>1185732</v>
      </c>
      <c r="C442" s="2">
        <v>44597</v>
      </c>
      <c r="D442" s="1" t="s">
        <v>11</v>
      </c>
      <c r="E442" s="1" t="s">
        <v>30</v>
      </c>
      <c r="F442" s="1" t="s">
        <v>31</v>
      </c>
      <c r="G442" s="1" t="s">
        <v>15</v>
      </c>
      <c r="H442" s="1">
        <v>41</v>
      </c>
      <c r="I442" s="1" t="s">
        <v>124</v>
      </c>
      <c r="J442" s="3">
        <v>0.35000000000000003</v>
      </c>
      <c r="K442" s="4">
        <v>1750</v>
      </c>
      <c r="L442" s="5">
        <f t="shared" si="2"/>
        <v>612.50000000000011</v>
      </c>
      <c r="M442" s="5">
        <f t="shared" si="3"/>
        <v>245.00000000000003</v>
      </c>
      <c r="N442" s="6">
        <v>0.39999999999999997</v>
      </c>
    </row>
    <row r="443" spans="1:14" ht="15.75" customHeight="1" x14ac:dyDescent="0.45">
      <c r="A443" s="1" t="s">
        <v>119</v>
      </c>
      <c r="B443" s="1">
        <v>1185732</v>
      </c>
      <c r="C443" s="2">
        <v>44597</v>
      </c>
      <c r="D443" s="1" t="s">
        <v>11</v>
      </c>
      <c r="E443" s="1" t="s">
        <v>30</v>
      </c>
      <c r="F443" s="1" t="s">
        <v>31</v>
      </c>
      <c r="G443" s="1" t="s">
        <v>16</v>
      </c>
      <c r="H443" s="1">
        <v>44</v>
      </c>
      <c r="I443" s="1" t="s">
        <v>123</v>
      </c>
      <c r="J443" s="3">
        <v>0.4</v>
      </c>
      <c r="K443" s="4">
        <v>500</v>
      </c>
      <c r="L443" s="5">
        <f t="shared" si="2"/>
        <v>200</v>
      </c>
      <c r="M443" s="5">
        <f t="shared" si="3"/>
        <v>80</v>
      </c>
      <c r="N443" s="6">
        <v>0.39999999999999997</v>
      </c>
    </row>
    <row r="444" spans="1:14" ht="15.75" customHeight="1" x14ac:dyDescent="0.45">
      <c r="A444" s="1" t="s">
        <v>119</v>
      </c>
      <c r="B444" s="1">
        <v>1185732</v>
      </c>
      <c r="C444" s="2">
        <v>44597</v>
      </c>
      <c r="D444" s="1" t="s">
        <v>11</v>
      </c>
      <c r="E444" s="1" t="s">
        <v>30</v>
      </c>
      <c r="F444" s="1" t="s">
        <v>31</v>
      </c>
      <c r="G444" s="1" t="s">
        <v>17</v>
      </c>
      <c r="H444" s="1">
        <v>32</v>
      </c>
      <c r="I444" s="1" t="s">
        <v>125</v>
      </c>
      <c r="J444" s="3">
        <v>0.54999999999999993</v>
      </c>
      <c r="K444" s="4">
        <v>1250</v>
      </c>
      <c r="L444" s="5">
        <f t="shared" si="2"/>
        <v>687.49999999999989</v>
      </c>
      <c r="M444" s="5">
        <f t="shared" si="3"/>
        <v>240.62499999999994</v>
      </c>
      <c r="N444" s="6">
        <v>0.35</v>
      </c>
    </row>
    <row r="445" spans="1:14" ht="15.75" customHeight="1" x14ac:dyDescent="0.45">
      <c r="A445" s="1" t="s">
        <v>119</v>
      </c>
      <c r="B445" s="1">
        <v>1185732</v>
      </c>
      <c r="C445" s="2">
        <v>44597</v>
      </c>
      <c r="D445" s="1" t="s">
        <v>11</v>
      </c>
      <c r="E445" s="1" t="s">
        <v>30</v>
      </c>
      <c r="F445" s="1" t="s">
        <v>31</v>
      </c>
      <c r="G445" s="1" t="s">
        <v>18</v>
      </c>
      <c r="H445" s="1">
        <v>20</v>
      </c>
      <c r="I445" s="1" t="s">
        <v>125</v>
      </c>
      <c r="J445" s="3">
        <v>0.45</v>
      </c>
      <c r="K445" s="4">
        <v>2250</v>
      </c>
      <c r="L445" s="5">
        <f t="shared" si="2"/>
        <v>1012.5</v>
      </c>
      <c r="M445" s="5">
        <f t="shared" si="3"/>
        <v>303.75</v>
      </c>
      <c r="N445" s="6">
        <v>0.3</v>
      </c>
    </row>
    <row r="446" spans="1:14" ht="15.75" customHeight="1" x14ac:dyDescent="0.45">
      <c r="A446" s="1" t="s">
        <v>119</v>
      </c>
      <c r="B446" s="1">
        <v>1185732</v>
      </c>
      <c r="C446" s="2">
        <v>44623</v>
      </c>
      <c r="D446" s="1" t="s">
        <v>11</v>
      </c>
      <c r="E446" s="1" t="s">
        <v>30</v>
      </c>
      <c r="F446" s="1" t="s">
        <v>31</v>
      </c>
      <c r="G446" s="1" t="s">
        <v>13</v>
      </c>
      <c r="H446" s="1">
        <v>44</v>
      </c>
      <c r="I446" s="1" t="s">
        <v>123</v>
      </c>
      <c r="J446" s="3">
        <v>0.5</v>
      </c>
      <c r="K446" s="4">
        <v>4450</v>
      </c>
      <c r="L446" s="5">
        <f t="shared" si="2"/>
        <v>2225</v>
      </c>
      <c r="M446" s="5">
        <f t="shared" si="3"/>
        <v>1223.75</v>
      </c>
      <c r="N446" s="6">
        <v>0.55000000000000004</v>
      </c>
    </row>
    <row r="447" spans="1:14" ht="15.75" customHeight="1" x14ac:dyDescent="0.45">
      <c r="A447" s="1" t="s">
        <v>119</v>
      </c>
      <c r="B447" s="1">
        <v>1185732</v>
      </c>
      <c r="C447" s="2">
        <v>44623</v>
      </c>
      <c r="D447" s="1" t="s">
        <v>11</v>
      </c>
      <c r="E447" s="1" t="s">
        <v>30</v>
      </c>
      <c r="F447" s="1" t="s">
        <v>31</v>
      </c>
      <c r="G447" s="1" t="s">
        <v>14</v>
      </c>
      <c r="H447" s="1">
        <v>15</v>
      </c>
      <c r="I447" s="1" t="s">
        <v>124</v>
      </c>
      <c r="J447" s="3">
        <v>0.5</v>
      </c>
      <c r="K447" s="4">
        <v>1500</v>
      </c>
      <c r="L447" s="5">
        <f t="shared" si="2"/>
        <v>750</v>
      </c>
      <c r="M447" s="5">
        <f t="shared" si="3"/>
        <v>262.5</v>
      </c>
      <c r="N447" s="6">
        <v>0.35</v>
      </c>
    </row>
    <row r="448" spans="1:14" ht="15.75" customHeight="1" x14ac:dyDescent="0.45">
      <c r="A448" s="1" t="s">
        <v>119</v>
      </c>
      <c r="B448" s="1">
        <v>1185732</v>
      </c>
      <c r="C448" s="2">
        <v>44623</v>
      </c>
      <c r="D448" s="1" t="s">
        <v>11</v>
      </c>
      <c r="E448" s="1" t="s">
        <v>30</v>
      </c>
      <c r="F448" s="1" t="s">
        <v>31</v>
      </c>
      <c r="G448" s="1" t="s">
        <v>15</v>
      </c>
      <c r="H448" s="1">
        <v>43</v>
      </c>
      <c r="I448" s="1" t="s">
        <v>124</v>
      </c>
      <c r="J448" s="3">
        <v>0.4</v>
      </c>
      <c r="K448" s="4">
        <v>1750</v>
      </c>
      <c r="L448" s="5">
        <f t="shared" si="2"/>
        <v>700</v>
      </c>
      <c r="M448" s="5">
        <f t="shared" si="3"/>
        <v>280</v>
      </c>
      <c r="N448" s="6">
        <v>0.39999999999999997</v>
      </c>
    </row>
    <row r="449" spans="1:14" ht="15.75" customHeight="1" x14ac:dyDescent="0.45">
      <c r="A449" s="1" t="s">
        <v>119</v>
      </c>
      <c r="B449" s="1">
        <v>1185732</v>
      </c>
      <c r="C449" s="2">
        <v>44623</v>
      </c>
      <c r="D449" s="1" t="s">
        <v>11</v>
      </c>
      <c r="E449" s="1" t="s">
        <v>30</v>
      </c>
      <c r="F449" s="1" t="s">
        <v>31</v>
      </c>
      <c r="G449" s="1" t="s">
        <v>16</v>
      </c>
      <c r="H449" s="1">
        <v>53</v>
      </c>
      <c r="I449" s="1" t="s">
        <v>124</v>
      </c>
      <c r="J449" s="3">
        <v>0.45</v>
      </c>
      <c r="K449" s="4">
        <v>250</v>
      </c>
      <c r="L449" s="5">
        <f t="shared" si="2"/>
        <v>112.5</v>
      </c>
      <c r="M449" s="5">
        <f t="shared" si="3"/>
        <v>44.999999999999993</v>
      </c>
      <c r="N449" s="6">
        <v>0.39999999999999997</v>
      </c>
    </row>
    <row r="450" spans="1:14" ht="15.75" customHeight="1" x14ac:dyDescent="0.45">
      <c r="A450" s="1" t="s">
        <v>119</v>
      </c>
      <c r="B450" s="1">
        <v>1185732</v>
      </c>
      <c r="C450" s="2">
        <v>44623</v>
      </c>
      <c r="D450" s="1" t="s">
        <v>11</v>
      </c>
      <c r="E450" s="1" t="s">
        <v>30</v>
      </c>
      <c r="F450" s="1" t="s">
        <v>31</v>
      </c>
      <c r="G450" s="1" t="s">
        <v>17</v>
      </c>
      <c r="H450" s="1">
        <v>25</v>
      </c>
      <c r="I450" s="1" t="s">
        <v>124</v>
      </c>
      <c r="J450" s="3">
        <v>0.6</v>
      </c>
      <c r="K450" s="4">
        <v>750</v>
      </c>
      <c r="L450" s="5">
        <f t="shared" si="2"/>
        <v>450</v>
      </c>
      <c r="M450" s="5">
        <f t="shared" si="3"/>
        <v>135</v>
      </c>
      <c r="N450" s="6">
        <v>0.3</v>
      </c>
    </row>
    <row r="451" spans="1:14" ht="15.75" customHeight="1" x14ac:dyDescent="0.45">
      <c r="A451" s="1" t="s">
        <v>119</v>
      </c>
      <c r="B451" s="1">
        <v>1185732</v>
      </c>
      <c r="C451" s="2">
        <v>44623</v>
      </c>
      <c r="D451" s="1" t="s">
        <v>11</v>
      </c>
      <c r="E451" s="1" t="s">
        <v>30</v>
      </c>
      <c r="F451" s="1" t="s">
        <v>31</v>
      </c>
      <c r="G451" s="1" t="s">
        <v>18</v>
      </c>
      <c r="H451" s="1">
        <v>51</v>
      </c>
      <c r="I451" s="1" t="s">
        <v>123</v>
      </c>
      <c r="J451" s="3">
        <v>0.5</v>
      </c>
      <c r="K451" s="4">
        <v>1750</v>
      </c>
      <c r="L451" s="5">
        <f t="shared" si="2"/>
        <v>875</v>
      </c>
      <c r="M451" s="5">
        <f t="shared" si="3"/>
        <v>218.75</v>
      </c>
      <c r="N451" s="6">
        <v>0.25</v>
      </c>
    </row>
    <row r="452" spans="1:14" ht="15.75" customHeight="1" x14ac:dyDescent="0.45">
      <c r="A452" s="1" t="s">
        <v>119</v>
      </c>
      <c r="B452" s="1">
        <v>1185732</v>
      </c>
      <c r="C452" s="2">
        <v>44655</v>
      </c>
      <c r="D452" s="1" t="s">
        <v>11</v>
      </c>
      <c r="E452" s="1" t="s">
        <v>30</v>
      </c>
      <c r="F452" s="1" t="s">
        <v>31</v>
      </c>
      <c r="G452" s="1" t="s">
        <v>13</v>
      </c>
      <c r="H452" s="1">
        <v>60</v>
      </c>
      <c r="I452" s="1" t="s">
        <v>123</v>
      </c>
      <c r="J452" s="3">
        <v>0.5</v>
      </c>
      <c r="K452" s="4">
        <v>4500</v>
      </c>
      <c r="L452" s="5">
        <f t="shared" si="2"/>
        <v>2250</v>
      </c>
      <c r="M452" s="5">
        <f t="shared" si="3"/>
        <v>1125</v>
      </c>
      <c r="N452" s="6">
        <v>0.5</v>
      </c>
    </row>
    <row r="453" spans="1:14" ht="15.75" customHeight="1" x14ac:dyDescent="0.45">
      <c r="A453" s="1" t="s">
        <v>119</v>
      </c>
      <c r="B453" s="1">
        <v>1185732</v>
      </c>
      <c r="C453" s="2">
        <v>44655</v>
      </c>
      <c r="D453" s="1" t="s">
        <v>11</v>
      </c>
      <c r="E453" s="1" t="s">
        <v>30</v>
      </c>
      <c r="F453" s="1" t="s">
        <v>31</v>
      </c>
      <c r="G453" s="1" t="s">
        <v>14</v>
      </c>
      <c r="H453" s="1">
        <v>58</v>
      </c>
      <c r="I453" s="1" t="s">
        <v>126</v>
      </c>
      <c r="J453" s="3">
        <v>0.5</v>
      </c>
      <c r="K453" s="4">
        <v>1500</v>
      </c>
      <c r="L453" s="5">
        <f t="shared" si="2"/>
        <v>750</v>
      </c>
      <c r="M453" s="5">
        <f t="shared" si="3"/>
        <v>225</v>
      </c>
      <c r="N453" s="6">
        <v>0.3</v>
      </c>
    </row>
    <row r="454" spans="1:14" ht="15.75" customHeight="1" x14ac:dyDescent="0.45">
      <c r="A454" s="1" t="s">
        <v>119</v>
      </c>
      <c r="B454" s="1">
        <v>1185732</v>
      </c>
      <c r="C454" s="2">
        <v>44655</v>
      </c>
      <c r="D454" s="1" t="s">
        <v>11</v>
      </c>
      <c r="E454" s="1" t="s">
        <v>30</v>
      </c>
      <c r="F454" s="1" t="s">
        <v>31</v>
      </c>
      <c r="G454" s="1" t="s">
        <v>15</v>
      </c>
      <c r="H454" s="1">
        <v>31</v>
      </c>
      <c r="I454" s="1" t="s">
        <v>124</v>
      </c>
      <c r="J454" s="3">
        <v>0.4</v>
      </c>
      <c r="K454" s="4">
        <v>1500</v>
      </c>
      <c r="L454" s="5">
        <f t="shared" si="2"/>
        <v>600</v>
      </c>
      <c r="M454" s="5">
        <f t="shared" si="3"/>
        <v>210</v>
      </c>
      <c r="N454" s="6">
        <v>0.35</v>
      </c>
    </row>
    <row r="455" spans="1:14" ht="15.75" customHeight="1" x14ac:dyDescent="0.45">
      <c r="A455" s="1" t="s">
        <v>119</v>
      </c>
      <c r="B455" s="1">
        <v>1185732</v>
      </c>
      <c r="C455" s="2">
        <v>44655</v>
      </c>
      <c r="D455" s="1" t="s">
        <v>11</v>
      </c>
      <c r="E455" s="1" t="s">
        <v>30</v>
      </c>
      <c r="F455" s="1" t="s">
        <v>31</v>
      </c>
      <c r="G455" s="1" t="s">
        <v>16</v>
      </c>
      <c r="H455" s="1">
        <v>18</v>
      </c>
      <c r="I455" s="1" t="s">
        <v>123</v>
      </c>
      <c r="J455" s="3">
        <v>0.45</v>
      </c>
      <c r="K455" s="4">
        <v>750</v>
      </c>
      <c r="L455" s="5">
        <f t="shared" si="2"/>
        <v>337.5</v>
      </c>
      <c r="M455" s="5">
        <f t="shared" si="3"/>
        <v>118.12499999999999</v>
      </c>
      <c r="N455" s="6">
        <v>0.35</v>
      </c>
    </row>
    <row r="456" spans="1:14" ht="15.75" customHeight="1" x14ac:dyDescent="0.45">
      <c r="A456" s="1" t="s">
        <v>119</v>
      </c>
      <c r="B456" s="1">
        <v>1185732</v>
      </c>
      <c r="C456" s="2">
        <v>44655</v>
      </c>
      <c r="D456" s="1" t="s">
        <v>11</v>
      </c>
      <c r="E456" s="1" t="s">
        <v>30</v>
      </c>
      <c r="F456" s="1" t="s">
        <v>31</v>
      </c>
      <c r="G456" s="1" t="s">
        <v>17</v>
      </c>
      <c r="H456" s="1">
        <v>16</v>
      </c>
      <c r="I456" s="1" t="s">
        <v>126</v>
      </c>
      <c r="J456" s="3">
        <v>0.6</v>
      </c>
      <c r="K456" s="4">
        <v>750</v>
      </c>
      <c r="L456" s="5">
        <f t="shared" si="2"/>
        <v>450</v>
      </c>
      <c r="M456" s="5">
        <f t="shared" si="3"/>
        <v>135</v>
      </c>
      <c r="N456" s="6">
        <v>0.3</v>
      </c>
    </row>
    <row r="457" spans="1:14" ht="15.75" customHeight="1" x14ac:dyDescent="0.45">
      <c r="A457" s="1" t="s">
        <v>119</v>
      </c>
      <c r="B457" s="1">
        <v>1185732</v>
      </c>
      <c r="C457" s="2">
        <v>44655</v>
      </c>
      <c r="D457" s="1" t="s">
        <v>11</v>
      </c>
      <c r="E457" s="1" t="s">
        <v>30</v>
      </c>
      <c r="F457" s="1" t="s">
        <v>31</v>
      </c>
      <c r="G457" s="1" t="s">
        <v>18</v>
      </c>
      <c r="H457" s="1">
        <v>38</v>
      </c>
      <c r="I457" s="1" t="s">
        <v>124</v>
      </c>
      <c r="J457" s="3">
        <v>0.5</v>
      </c>
      <c r="K457" s="4">
        <v>2000</v>
      </c>
      <c r="L457" s="5">
        <f t="shared" si="2"/>
        <v>1000</v>
      </c>
      <c r="M457" s="5">
        <f t="shared" si="3"/>
        <v>250</v>
      </c>
      <c r="N457" s="6">
        <v>0.25</v>
      </c>
    </row>
    <row r="458" spans="1:14" ht="15.75" customHeight="1" x14ac:dyDescent="0.45">
      <c r="A458" s="1" t="s">
        <v>119</v>
      </c>
      <c r="B458" s="1">
        <v>1185732</v>
      </c>
      <c r="C458" s="2">
        <v>44684</v>
      </c>
      <c r="D458" s="1" t="s">
        <v>11</v>
      </c>
      <c r="E458" s="1" t="s">
        <v>30</v>
      </c>
      <c r="F458" s="1" t="s">
        <v>31</v>
      </c>
      <c r="G458" s="1" t="s">
        <v>13</v>
      </c>
      <c r="H458" s="1">
        <v>40</v>
      </c>
      <c r="I458" s="1" t="s">
        <v>125</v>
      </c>
      <c r="J458" s="3">
        <v>0.6</v>
      </c>
      <c r="K458" s="4">
        <v>4700</v>
      </c>
      <c r="L458" s="5">
        <f t="shared" si="2"/>
        <v>2820</v>
      </c>
      <c r="M458" s="5">
        <f t="shared" si="3"/>
        <v>1410</v>
      </c>
      <c r="N458" s="6">
        <v>0.5</v>
      </c>
    </row>
    <row r="459" spans="1:14" ht="15.75" customHeight="1" x14ac:dyDescent="0.45">
      <c r="A459" s="1" t="s">
        <v>119</v>
      </c>
      <c r="B459" s="1">
        <v>1185732</v>
      </c>
      <c r="C459" s="2">
        <v>44684</v>
      </c>
      <c r="D459" s="1" t="s">
        <v>11</v>
      </c>
      <c r="E459" s="1" t="s">
        <v>30</v>
      </c>
      <c r="F459" s="1" t="s">
        <v>31</v>
      </c>
      <c r="G459" s="1" t="s">
        <v>14</v>
      </c>
      <c r="H459" s="1">
        <v>48</v>
      </c>
      <c r="I459" s="1" t="s">
        <v>125</v>
      </c>
      <c r="J459" s="3">
        <v>0.60000000000000009</v>
      </c>
      <c r="K459" s="4">
        <v>1750</v>
      </c>
      <c r="L459" s="5">
        <f t="shared" si="2"/>
        <v>1050.0000000000002</v>
      </c>
      <c r="M459" s="5">
        <f t="shared" si="3"/>
        <v>315.00000000000006</v>
      </c>
      <c r="N459" s="6">
        <v>0.3</v>
      </c>
    </row>
    <row r="460" spans="1:14" ht="15.75" customHeight="1" x14ac:dyDescent="0.45">
      <c r="A460" s="1" t="s">
        <v>119</v>
      </c>
      <c r="B460" s="1">
        <v>1185732</v>
      </c>
      <c r="C460" s="2">
        <v>44684</v>
      </c>
      <c r="D460" s="1" t="s">
        <v>11</v>
      </c>
      <c r="E460" s="1" t="s">
        <v>30</v>
      </c>
      <c r="F460" s="1" t="s">
        <v>31</v>
      </c>
      <c r="G460" s="1" t="s">
        <v>15</v>
      </c>
      <c r="H460" s="1">
        <v>37</v>
      </c>
      <c r="I460" s="1" t="s">
        <v>123</v>
      </c>
      <c r="J460" s="3">
        <v>0.55000000000000004</v>
      </c>
      <c r="K460" s="4">
        <v>1500</v>
      </c>
      <c r="L460" s="5">
        <f t="shared" si="2"/>
        <v>825.00000000000011</v>
      </c>
      <c r="M460" s="5">
        <f t="shared" si="3"/>
        <v>288.75</v>
      </c>
      <c r="N460" s="6">
        <v>0.35</v>
      </c>
    </row>
    <row r="461" spans="1:14" ht="15.75" customHeight="1" x14ac:dyDescent="0.45">
      <c r="A461" s="1" t="s">
        <v>119</v>
      </c>
      <c r="B461" s="1">
        <v>1185732</v>
      </c>
      <c r="C461" s="2">
        <v>44684</v>
      </c>
      <c r="D461" s="1" t="s">
        <v>11</v>
      </c>
      <c r="E461" s="1" t="s">
        <v>30</v>
      </c>
      <c r="F461" s="1" t="s">
        <v>31</v>
      </c>
      <c r="G461" s="1" t="s">
        <v>16</v>
      </c>
      <c r="H461" s="1">
        <v>35</v>
      </c>
      <c r="I461" s="1" t="s">
        <v>125</v>
      </c>
      <c r="J461" s="3">
        <v>0.55000000000000004</v>
      </c>
      <c r="K461" s="4">
        <v>1000</v>
      </c>
      <c r="L461" s="5">
        <f t="shared" si="2"/>
        <v>550</v>
      </c>
      <c r="M461" s="5">
        <f t="shared" si="3"/>
        <v>192.5</v>
      </c>
      <c r="N461" s="6">
        <v>0.35</v>
      </c>
    </row>
    <row r="462" spans="1:14" ht="15.75" customHeight="1" x14ac:dyDescent="0.45">
      <c r="A462" s="1" t="s">
        <v>119</v>
      </c>
      <c r="B462" s="1">
        <v>1185732</v>
      </c>
      <c r="C462" s="2">
        <v>44684</v>
      </c>
      <c r="D462" s="1" t="s">
        <v>11</v>
      </c>
      <c r="E462" s="1" t="s">
        <v>30</v>
      </c>
      <c r="F462" s="1" t="s">
        <v>31</v>
      </c>
      <c r="G462" s="1" t="s">
        <v>17</v>
      </c>
      <c r="H462" s="1">
        <v>29</v>
      </c>
      <c r="I462" s="1" t="s">
        <v>123</v>
      </c>
      <c r="J462" s="3">
        <v>0.65</v>
      </c>
      <c r="K462" s="4">
        <v>1250</v>
      </c>
      <c r="L462" s="5">
        <f t="shared" si="2"/>
        <v>812.5</v>
      </c>
      <c r="M462" s="5">
        <f t="shared" si="3"/>
        <v>243.75</v>
      </c>
      <c r="N462" s="6">
        <v>0.3</v>
      </c>
    </row>
    <row r="463" spans="1:14" ht="15.75" customHeight="1" x14ac:dyDescent="0.45">
      <c r="A463" s="1" t="s">
        <v>119</v>
      </c>
      <c r="B463" s="1">
        <v>1185732</v>
      </c>
      <c r="C463" s="2">
        <v>44684</v>
      </c>
      <c r="D463" s="1" t="s">
        <v>11</v>
      </c>
      <c r="E463" s="1" t="s">
        <v>30</v>
      </c>
      <c r="F463" s="1" t="s">
        <v>31</v>
      </c>
      <c r="G463" s="1" t="s">
        <v>18</v>
      </c>
      <c r="H463" s="1">
        <v>27</v>
      </c>
      <c r="I463" s="1" t="s">
        <v>124</v>
      </c>
      <c r="J463" s="3">
        <v>0.70000000000000007</v>
      </c>
      <c r="K463" s="4">
        <v>2500</v>
      </c>
      <c r="L463" s="5">
        <f t="shared" si="2"/>
        <v>1750.0000000000002</v>
      </c>
      <c r="M463" s="5">
        <f t="shared" si="3"/>
        <v>525</v>
      </c>
      <c r="N463" s="6">
        <v>0.3</v>
      </c>
    </row>
    <row r="464" spans="1:14" ht="15.75" customHeight="1" x14ac:dyDescent="0.45">
      <c r="A464" s="1" t="s">
        <v>119</v>
      </c>
      <c r="B464" s="1">
        <v>1185732</v>
      </c>
      <c r="C464" s="2">
        <v>44717</v>
      </c>
      <c r="D464" s="1" t="s">
        <v>11</v>
      </c>
      <c r="E464" s="1" t="s">
        <v>30</v>
      </c>
      <c r="F464" s="1" t="s">
        <v>31</v>
      </c>
      <c r="G464" s="1" t="s">
        <v>13</v>
      </c>
      <c r="H464" s="1">
        <v>21</v>
      </c>
      <c r="I464" s="1" t="s">
        <v>124</v>
      </c>
      <c r="J464" s="3">
        <v>0.65</v>
      </c>
      <c r="K464" s="4">
        <v>5000</v>
      </c>
      <c r="L464" s="5">
        <f t="shared" si="2"/>
        <v>3250</v>
      </c>
      <c r="M464" s="5">
        <f t="shared" si="3"/>
        <v>1787.5000000000002</v>
      </c>
      <c r="N464" s="6">
        <v>0.55000000000000004</v>
      </c>
    </row>
    <row r="465" spans="1:14" ht="15.75" customHeight="1" x14ac:dyDescent="0.45">
      <c r="A465" s="1" t="s">
        <v>119</v>
      </c>
      <c r="B465" s="1">
        <v>1185732</v>
      </c>
      <c r="C465" s="2">
        <v>44717</v>
      </c>
      <c r="D465" s="1" t="s">
        <v>11</v>
      </c>
      <c r="E465" s="1" t="s">
        <v>30</v>
      </c>
      <c r="F465" s="1" t="s">
        <v>31</v>
      </c>
      <c r="G465" s="1" t="s">
        <v>14</v>
      </c>
      <c r="H465" s="1">
        <v>60</v>
      </c>
      <c r="I465" s="1" t="s">
        <v>126</v>
      </c>
      <c r="J465" s="3">
        <v>0.60000000000000009</v>
      </c>
      <c r="K465" s="4">
        <v>2500</v>
      </c>
      <c r="L465" s="5">
        <f t="shared" si="2"/>
        <v>1500.0000000000002</v>
      </c>
      <c r="M465" s="5">
        <f t="shared" si="3"/>
        <v>525</v>
      </c>
      <c r="N465" s="6">
        <v>0.35</v>
      </c>
    </row>
    <row r="466" spans="1:14" ht="15.75" customHeight="1" x14ac:dyDescent="0.45">
      <c r="A466" s="1" t="s">
        <v>119</v>
      </c>
      <c r="B466" s="1">
        <v>1185732</v>
      </c>
      <c r="C466" s="2">
        <v>44717</v>
      </c>
      <c r="D466" s="1" t="s">
        <v>11</v>
      </c>
      <c r="E466" s="1" t="s">
        <v>30</v>
      </c>
      <c r="F466" s="1" t="s">
        <v>31</v>
      </c>
      <c r="G466" s="1" t="s">
        <v>15</v>
      </c>
      <c r="H466" s="1">
        <v>38</v>
      </c>
      <c r="I466" s="1" t="s">
        <v>126</v>
      </c>
      <c r="J466" s="3">
        <v>0.55000000000000004</v>
      </c>
      <c r="K466" s="4">
        <v>1750</v>
      </c>
      <c r="L466" s="5">
        <f t="shared" si="2"/>
        <v>962.50000000000011</v>
      </c>
      <c r="M466" s="5">
        <f t="shared" si="3"/>
        <v>385</v>
      </c>
      <c r="N466" s="6">
        <v>0.39999999999999997</v>
      </c>
    </row>
    <row r="467" spans="1:14" ht="15.75" customHeight="1" x14ac:dyDescent="0.45">
      <c r="A467" s="1" t="s">
        <v>119</v>
      </c>
      <c r="B467" s="1">
        <v>1185732</v>
      </c>
      <c r="C467" s="2">
        <v>44717</v>
      </c>
      <c r="D467" s="1" t="s">
        <v>11</v>
      </c>
      <c r="E467" s="1" t="s">
        <v>30</v>
      </c>
      <c r="F467" s="1" t="s">
        <v>31</v>
      </c>
      <c r="G467" s="1" t="s">
        <v>16</v>
      </c>
      <c r="H467" s="1">
        <v>17</v>
      </c>
      <c r="I467" s="1" t="s">
        <v>126</v>
      </c>
      <c r="J467" s="3">
        <v>0.55000000000000004</v>
      </c>
      <c r="K467" s="4">
        <v>1500</v>
      </c>
      <c r="L467" s="5">
        <f t="shared" si="2"/>
        <v>825.00000000000011</v>
      </c>
      <c r="M467" s="5">
        <f t="shared" si="3"/>
        <v>330</v>
      </c>
      <c r="N467" s="6">
        <v>0.39999999999999997</v>
      </c>
    </row>
    <row r="468" spans="1:14" ht="15.75" customHeight="1" x14ac:dyDescent="0.45">
      <c r="A468" s="1" t="s">
        <v>119</v>
      </c>
      <c r="B468" s="1">
        <v>1185732</v>
      </c>
      <c r="C468" s="2">
        <v>44717</v>
      </c>
      <c r="D468" s="1" t="s">
        <v>11</v>
      </c>
      <c r="E468" s="1" t="s">
        <v>30</v>
      </c>
      <c r="F468" s="1" t="s">
        <v>31</v>
      </c>
      <c r="G468" s="1" t="s">
        <v>17</v>
      </c>
      <c r="H468" s="1">
        <v>36</v>
      </c>
      <c r="I468" s="1" t="s">
        <v>125</v>
      </c>
      <c r="J468" s="3">
        <v>0.65</v>
      </c>
      <c r="K468" s="4">
        <v>1500</v>
      </c>
      <c r="L468" s="5">
        <f t="shared" si="2"/>
        <v>975</v>
      </c>
      <c r="M468" s="5">
        <f t="shared" si="3"/>
        <v>341.25</v>
      </c>
      <c r="N468" s="6">
        <v>0.35</v>
      </c>
    </row>
    <row r="469" spans="1:14" ht="15.75" customHeight="1" x14ac:dyDescent="0.45">
      <c r="A469" s="1" t="s">
        <v>119</v>
      </c>
      <c r="B469" s="1">
        <v>1185732</v>
      </c>
      <c r="C469" s="2">
        <v>44717</v>
      </c>
      <c r="D469" s="1" t="s">
        <v>11</v>
      </c>
      <c r="E469" s="1" t="s">
        <v>30</v>
      </c>
      <c r="F469" s="1" t="s">
        <v>31</v>
      </c>
      <c r="G469" s="1" t="s">
        <v>18</v>
      </c>
      <c r="H469" s="1">
        <v>23</v>
      </c>
      <c r="I469" s="1" t="s">
        <v>125</v>
      </c>
      <c r="J469" s="3">
        <v>0.70000000000000007</v>
      </c>
      <c r="K469" s="4">
        <v>3000</v>
      </c>
      <c r="L469" s="5">
        <f t="shared" si="2"/>
        <v>2100</v>
      </c>
      <c r="M469" s="5">
        <f t="shared" si="3"/>
        <v>630</v>
      </c>
      <c r="N469" s="6">
        <v>0.3</v>
      </c>
    </row>
    <row r="470" spans="1:14" ht="15.75" customHeight="1" x14ac:dyDescent="0.45">
      <c r="A470" s="1" t="s">
        <v>119</v>
      </c>
      <c r="B470" s="1">
        <v>1185732</v>
      </c>
      <c r="C470" s="2">
        <v>44745</v>
      </c>
      <c r="D470" s="1" t="s">
        <v>11</v>
      </c>
      <c r="E470" s="1" t="s">
        <v>30</v>
      </c>
      <c r="F470" s="1" t="s">
        <v>31</v>
      </c>
      <c r="G470" s="1" t="s">
        <v>13</v>
      </c>
      <c r="H470" s="1">
        <v>17</v>
      </c>
      <c r="I470" s="1" t="s">
        <v>123</v>
      </c>
      <c r="J470" s="3">
        <v>0.65</v>
      </c>
      <c r="K470" s="4">
        <v>5000</v>
      </c>
      <c r="L470" s="5">
        <f t="shared" si="2"/>
        <v>3250</v>
      </c>
      <c r="M470" s="5">
        <f t="shared" si="3"/>
        <v>1787.5000000000002</v>
      </c>
      <c r="N470" s="6">
        <v>0.55000000000000004</v>
      </c>
    </row>
    <row r="471" spans="1:14" ht="15.75" customHeight="1" x14ac:dyDescent="0.45">
      <c r="A471" s="1" t="s">
        <v>119</v>
      </c>
      <c r="B471" s="1">
        <v>1185732</v>
      </c>
      <c r="C471" s="2">
        <v>44745</v>
      </c>
      <c r="D471" s="1" t="s">
        <v>11</v>
      </c>
      <c r="E471" s="1" t="s">
        <v>30</v>
      </c>
      <c r="F471" s="1" t="s">
        <v>31</v>
      </c>
      <c r="G471" s="1" t="s">
        <v>14</v>
      </c>
      <c r="H471" s="1">
        <v>46</v>
      </c>
      <c r="I471" s="1" t="s">
        <v>124</v>
      </c>
      <c r="J471" s="3">
        <v>0.60000000000000009</v>
      </c>
      <c r="K471" s="4">
        <v>3000</v>
      </c>
      <c r="L471" s="5">
        <f t="shared" si="2"/>
        <v>1800.0000000000002</v>
      </c>
      <c r="M471" s="5">
        <f t="shared" si="3"/>
        <v>630</v>
      </c>
      <c r="N471" s="6">
        <v>0.35</v>
      </c>
    </row>
    <row r="472" spans="1:14" ht="15.75" customHeight="1" x14ac:dyDescent="0.45">
      <c r="A472" s="1" t="s">
        <v>119</v>
      </c>
      <c r="B472" s="1">
        <v>1185732</v>
      </c>
      <c r="C472" s="2">
        <v>44745</v>
      </c>
      <c r="D472" s="1" t="s">
        <v>11</v>
      </c>
      <c r="E472" s="1" t="s">
        <v>30</v>
      </c>
      <c r="F472" s="1" t="s">
        <v>31</v>
      </c>
      <c r="G472" s="1" t="s">
        <v>15</v>
      </c>
      <c r="H472" s="1">
        <v>19</v>
      </c>
      <c r="I472" s="1" t="s">
        <v>124</v>
      </c>
      <c r="J472" s="3">
        <v>0.55000000000000004</v>
      </c>
      <c r="K472" s="4">
        <v>2250</v>
      </c>
      <c r="L472" s="5">
        <f t="shared" si="2"/>
        <v>1237.5</v>
      </c>
      <c r="M472" s="5">
        <f t="shared" si="3"/>
        <v>494.99999999999994</v>
      </c>
      <c r="N472" s="6">
        <v>0.39999999999999997</v>
      </c>
    </row>
    <row r="473" spans="1:14" ht="15.75" customHeight="1" x14ac:dyDescent="0.45">
      <c r="A473" s="1" t="s">
        <v>119</v>
      </c>
      <c r="B473" s="1">
        <v>1185732</v>
      </c>
      <c r="C473" s="2">
        <v>44745</v>
      </c>
      <c r="D473" s="1" t="s">
        <v>11</v>
      </c>
      <c r="E473" s="1" t="s">
        <v>30</v>
      </c>
      <c r="F473" s="1" t="s">
        <v>31</v>
      </c>
      <c r="G473" s="1" t="s">
        <v>16</v>
      </c>
      <c r="H473" s="1">
        <v>26</v>
      </c>
      <c r="I473" s="1" t="s">
        <v>125</v>
      </c>
      <c r="J473" s="3">
        <v>0.55000000000000004</v>
      </c>
      <c r="K473" s="4">
        <v>1750</v>
      </c>
      <c r="L473" s="5">
        <f t="shared" si="2"/>
        <v>962.50000000000011</v>
      </c>
      <c r="M473" s="5">
        <f t="shared" si="3"/>
        <v>385</v>
      </c>
      <c r="N473" s="6">
        <v>0.39999999999999997</v>
      </c>
    </row>
    <row r="474" spans="1:14" ht="15.75" customHeight="1" x14ac:dyDescent="0.45">
      <c r="A474" s="1" t="s">
        <v>119</v>
      </c>
      <c r="B474" s="1">
        <v>1185732</v>
      </c>
      <c r="C474" s="2">
        <v>44745</v>
      </c>
      <c r="D474" s="1" t="s">
        <v>11</v>
      </c>
      <c r="E474" s="1" t="s">
        <v>30</v>
      </c>
      <c r="F474" s="1" t="s">
        <v>31</v>
      </c>
      <c r="G474" s="1" t="s">
        <v>17</v>
      </c>
      <c r="H474" s="1">
        <v>25</v>
      </c>
      <c r="I474" s="1" t="s">
        <v>126</v>
      </c>
      <c r="J474" s="3">
        <v>0.65</v>
      </c>
      <c r="K474" s="4">
        <v>2000</v>
      </c>
      <c r="L474" s="5">
        <f t="shared" si="2"/>
        <v>1300</v>
      </c>
      <c r="M474" s="5">
        <f t="shared" si="3"/>
        <v>454.99999999999994</v>
      </c>
      <c r="N474" s="6">
        <v>0.35</v>
      </c>
    </row>
    <row r="475" spans="1:14" ht="15.75" customHeight="1" x14ac:dyDescent="0.45">
      <c r="A475" s="1" t="s">
        <v>119</v>
      </c>
      <c r="B475" s="1">
        <v>1185732</v>
      </c>
      <c r="C475" s="2">
        <v>44745</v>
      </c>
      <c r="D475" s="1" t="s">
        <v>11</v>
      </c>
      <c r="E475" s="1" t="s">
        <v>30</v>
      </c>
      <c r="F475" s="1" t="s">
        <v>31</v>
      </c>
      <c r="G475" s="1" t="s">
        <v>18</v>
      </c>
      <c r="H475" s="1">
        <v>46</v>
      </c>
      <c r="I475" s="1" t="s">
        <v>123</v>
      </c>
      <c r="J475" s="3">
        <v>0.70000000000000007</v>
      </c>
      <c r="K475" s="4">
        <v>3750</v>
      </c>
      <c r="L475" s="5">
        <f t="shared" si="2"/>
        <v>2625.0000000000005</v>
      </c>
      <c r="M475" s="5">
        <f t="shared" si="3"/>
        <v>787.50000000000011</v>
      </c>
      <c r="N475" s="6">
        <v>0.3</v>
      </c>
    </row>
    <row r="476" spans="1:14" ht="15.75" customHeight="1" x14ac:dyDescent="0.45">
      <c r="A476" s="1" t="s">
        <v>119</v>
      </c>
      <c r="B476" s="1">
        <v>1185732</v>
      </c>
      <c r="C476" s="2">
        <v>44777</v>
      </c>
      <c r="D476" s="1" t="s">
        <v>11</v>
      </c>
      <c r="E476" s="1" t="s">
        <v>30</v>
      </c>
      <c r="F476" s="1" t="s">
        <v>31</v>
      </c>
      <c r="G476" s="1" t="s">
        <v>13</v>
      </c>
      <c r="H476" s="1">
        <v>26</v>
      </c>
      <c r="I476" s="1" t="s">
        <v>125</v>
      </c>
      <c r="J476" s="3">
        <v>0.65</v>
      </c>
      <c r="K476" s="4">
        <v>5250</v>
      </c>
      <c r="L476" s="5">
        <f t="shared" si="2"/>
        <v>3412.5</v>
      </c>
      <c r="M476" s="5">
        <f t="shared" si="3"/>
        <v>1876.8750000000002</v>
      </c>
      <c r="N476" s="6">
        <v>0.55000000000000004</v>
      </c>
    </row>
    <row r="477" spans="1:14" ht="15.75" customHeight="1" x14ac:dyDescent="0.45">
      <c r="A477" s="1" t="s">
        <v>119</v>
      </c>
      <c r="B477" s="1">
        <v>1185732</v>
      </c>
      <c r="C477" s="2">
        <v>44777</v>
      </c>
      <c r="D477" s="1" t="s">
        <v>11</v>
      </c>
      <c r="E477" s="1" t="s">
        <v>30</v>
      </c>
      <c r="F477" s="1" t="s">
        <v>31</v>
      </c>
      <c r="G477" s="1" t="s">
        <v>14</v>
      </c>
      <c r="H477" s="1">
        <v>37</v>
      </c>
      <c r="I477" s="1" t="s">
        <v>123</v>
      </c>
      <c r="J477" s="3">
        <v>0.60000000000000009</v>
      </c>
      <c r="K477" s="4">
        <v>3000</v>
      </c>
      <c r="L477" s="5">
        <f t="shared" si="2"/>
        <v>1800.0000000000002</v>
      </c>
      <c r="M477" s="5">
        <f t="shared" si="3"/>
        <v>630</v>
      </c>
      <c r="N477" s="6">
        <v>0.35</v>
      </c>
    </row>
    <row r="478" spans="1:14" ht="15.75" customHeight="1" x14ac:dyDescent="0.45">
      <c r="A478" s="1" t="s">
        <v>119</v>
      </c>
      <c r="B478" s="1">
        <v>1185732</v>
      </c>
      <c r="C478" s="2">
        <v>44777</v>
      </c>
      <c r="D478" s="1" t="s">
        <v>11</v>
      </c>
      <c r="E478" s="1" t="s">
        <v>30</v>
      </c>
      <c r="F478" s="1" t="s">
        <v>31</v>
      </c>
      <c r="G478" s="1" t="s">
        <v>15</v>
      </c>
      <c r="H478" s="1">
        <v>16</v>
      </c>
      <c r="I478" s="1" t="s">
        <v>124</v>
      </c>
      <c r="J478" s="3">
        <v>0.55000000000000004</v>
      </c>
      <c r="K478" s="4">
        <v>2250</v>
      </c>
      <c r="L478" s="5">
        <f t="shared" si="2"/>
        <v>1237.5</v>
      </c>
      <c r="M478" s="5">
        <f t="shared" si="3"/>
        <v>494.99999999999994</v>
      </c>
      <c r="N478" s="6">
        <v>0.39999999999999997</v>
      </c>
    </row>
    <row r="479" spans="1:14" ht="15.75" customHeight="1" x14ac:dyDescent="0.45">
      <c r="A479" s="1" t="s">
        <v>119</v>
      </c>
      <c r="B479" s="1">
        <v>1185732</v>
      </c>
      <c r="C479" s="2">
        <v>44777</v>
      </c>
      <c r="D479" s="1" t="s">
        <v>11</v>
      </c>
      <c r="E479" s="1" t="s">
        <v>30</v>
      </c>
      <c r="F479" s="1" t="s">
        <v>31</v>
      </c>
      <c r="G479" s="1" t="s">
        <v>16</v>
      </c>
      <c r="H479" s="1">
        <v>18</v>
      </c>
      <c r="I479" s="1" t="s">
        <v>126</v>
      </c>
      <c r="J479" s="3">
        <v>0.55000000000000004</v>
      </c>
      <c r="K479" s="4">
        <v>2000</v>
      </c>
      <c r="L479" s="5">
        <f t="shared" si="2"/>
        <v>1100</v>
      </c>
      <c r="M479" s="5">
        <f t="shared" si="3"/>
        <v>439.99999999999994</v>
      </c>
      <c r="N479" s="6">
        <v>0.39999999999999997</v>
      </c>
    </row>
    <row r="480" spans="1:14" ht="15.75" customHeight="1" x14ac:dyDescent="0.45">
      <c r="A480" s="1" t="s">
        <v>119</v>
      </c>
      <c r="B480" s="1">
        <v>1185732</v>
      </c>
      <c r="C480" s="2">
        <v>44777</v>
      </c>
      <c r="D480" s="1" t="s">
        <v>11</v>
      </c>
      <c r="E480" s="1" t="s">
        <v>30</v>
      </c>
      <c r="F480" s="1" t="s">
        <v>31</v>
      </c>
      <c r="G480" s="1" t="s">
        <v>17</v>
      </c>
      <c r="H480" s="1">
        <v>16</v>
      </c>
      <c r="I480" s="1" t="s">
        <v>123</v>
      </c>
      <c r="J480" s="3">
        <v>0.65</v>
      </c>
      <c r="K480" s="4">
        <v>1750</v>
      </c>
      <c r="L480" s="5">
        <f t="shared" si="2"/>
        <v>1137.5</v>
      </c>
      <c r="M480" s="5">
        <f t="shared" si="3"/>
        <v>398.125</v>
      </c>
      <c r="N480" s="6">
        <v>0.35</v>
      </c>
    </row>
    <row r="481" spans="1:14" ht="15.75" customHeight="1" x14ac:dyDescent="0.45">
      <c r="A481" s="1" t="s">
        <v>119</v>
      </c>
      <c r="B481" s="1">
        <v>1185732</v>
      </c>
      <c r="C481" s="2">
        <v>44777</v>
      </c>
      <c r="D481" s="1" t="s">
        <v>11</v>
      </c>
      <c r="E481" s="1" t="s">
        <v>30</v>
      </c>
      <c r="F481" s="1" t="s">
        <v>31</v>
      </c>
      <c r="G481" s="1" t="s">
        <v>18</v>
      </c>
      <c r="H481" s="1">
        <v>37</v>
      </c>
      <c r="I481" s="1" t="s">
        <v>126</v>
      </c>
      <c r="J481" s="3">
        <v>0.70000000000000007</v>
      </c>
      <c r="K481" s="4">
        <v>3500</v>
      </c>
      <c r="L481" s="5">
        <f t="shared" si="2"/>
        <v>2450.0000000000005</v>
      </c>
      <c r="M481" s="5">
        <f t="shared" si="3"/>
        <v>735.00000000000011</v>
      </c>
      <c r="N481" s="6">
        <v>0.3</v>
      </c>
    </row>
    <row r="482" spans="1:14" ht="15.75" customHeight="1" x14ac:dyDescent="0.45">
      <c r="A482" s="1" t="s">
        <v>119</v>
      </c>
      <c r="B482" s="1">
        <v>1185732</v>
      </c>
      <c r="C482" s="2">
        <v>44807</v>
      </c>
      <c r="D482" s="1" t="s">
        <v>11</v>
      </c>
      <c r="E482" s="1" t="s">
        <v>30</v>
      </c>
      <c r="F482" s="1" t="s">
        <v>31</v>
      </c>
      <c r="G482" s="1" t="s">
        <v>13</v>
      </c>
      <c r="H482" s="1">
        <v>16</v>
      </c>
      <c r="I482" s="1" t="s">
        <v>125</v>
      </c>
      <c r="J482" s="3">
        <v>0.65</v>
      </c>
      <c r="K482" s="4">
        <v>4750</v>
      </c>
      <c r="L482" s="5">
        <f t="shared" si="2"/>
        <v>3087.5</v>
      </c>
      <c r="M482" s="5">
        <f t="shared" si="3"/>
        <v>1543.75</v>
      </c>
      <c r="N482" s="6">
        <v>0.5</v>
      </c>
    </row>
    <row r="483" spans="1:14" ht="15.75" customHeight="1" x14ac:dyDescent="0.45">
      <c r="A483" s="1" t="s">
        <v>119</v>
      </c>
      <c r="B483" s="1">
        <v>1185732</v>
      </c>
      <c r="C483" s="2">
        <v>44807</v>
      </c>
      <c r="D483" s="1" t="s">
        <v>11</v>
      </c>
      <c r="E483" s="1" t="s">
        <v>30</v>
      </c>
      <c r="F483" s="1" t="s">
        <v>31</v>
      </c>
      <c r="G483" s="1" t="s">
        <v>14</v>
      </c>
      <c r="H483" s="1">
        <v>40</v>
      </c>
      <c r="I483" s="1" t="s">
        <v>126</v>
      </c>
      <c r="J483" s="3">
        <v>0.5</v>
      </c>
      <c r="K483" s="4">
        <v>2750</v>
      </c>
      <c r="L483" s="5">
        <f t="shared" si="2"/>
        <v>1375</v>
      </c>
      <c r="M483" s="5">
        <f t="shared" si="3"/>
        <v>412.5</v>
      </c>
      <c r="N483" s="6">
        <v>0.3</v>
      </c>
    </row>
    <row r="484" spans="1:14" ht="15.75" customHeight="1" x14ac:dyDescent="0.45">
      <c r="A484" s="1" t="s">
        <v>119</v>
      </c>
      <c r="B484" s="1">
        <v>1185732</v>
      </c>
      <c r="C484" s="2">
        <v>44807</v>
      </c>
      <c r="D484" s="1" t="s">
        <v>11</v>
      </c>
      <c r="E484" s="1" t="s">
        <v>30</v>
      </c>
      <c r="F484" s="1" t="s">
        <v>31</v>
      </c>
      <c r="G484" s="1" t="s">
        <v>15</v>
      </c>
      <c r="H484" s="1">
        <v>18</v>
      </c>
      <c r="I484" s="1" t="s">
        <v>125</v>
      </c>
      <c r="J484" s="3">
        <v>0.45</v>
      </c>
      <c r="K484" s="4">
        <v>2000</v>
      </c>
      <c r="L484" s="5">
        <f t="shared" si="2"/>
        <v>900</v>
      </c>
      <c r="M484" s="5">
        <f t="shared" si="3"/>
        <v>315</v>
      </c>
      <c r="N484" s="6">
        <v>0.35</v>
      </c>
    </row>
    <row r="485" spans="1:14" ht="15.75" customHeight="1" x14ac:dyDescent="0.45">
      <c r="A485" s="1" t="s">
        <v>119</v>
      </c>
      <c r="B485" s="1">
        <v>1185732</v>
      </c>
      <c r="C485" s="2">
        <v>44807</v>
      </c>
      <c r="D485" s="1" t="s">
        <v>11</v>
      </c>
      <c r="E485" s="1" t="s">
        <v>30</v>
      </c>
      <c r="F485" s="1" t="s">
        <v>31</v>
      </c>
      <c r="G485" s="1" t="s">
        <v>16</v>
      </c>
      <c r="H485" s="1">
        <v>58</v>
      </c>
      <c r="I485" s="1" t="s">
        <v>126</v>
      </c>
      <c r="J485" s="3">
        <v>0.45</v>
      </c>
      <c r="K485" s="4">
        <v>1750</v>
      </c>
      <c r="L485" s="5">
        <f t="shared" si="2"/>
        <v>787.5</v>
      </c>
      <c r="M485" s="5">
        <f t="shared" si="3"/>
        <v>275.625</v>
      </c>
      <c r="N485" s="6">
        <v>0.35</v>
      </c>
    </row>
    <row r="486" spans="1:14" ht="15.75" customHeight="1" x14ac:dyDescent="0.45">
      <c r="A486" s="1" t="s">
        <v>119</v>
      </c>
      <c r="B486" s="1">
        <v>1185732</v>
      </c>
      <c r="C486" s="2">
        <v>44807</v>
      </c>
      <c r="D486" s="1" t="s">
        <v>11</v>
      </c>
      <c r="E486" s="1" t="s">
        <v>30</v>
      </c>
      <c r="F486" s="1" t="s">
        <v>31</v>
      </c>
      <c r="G486" s="1" t="s">
        <v>17</v>
      </c>
      <c r="H486" s="1">
        <v>15</v>
      </c>
      <c r="I486" s="1" t="s">
        <v>123</v>
      </c>
      <c r="J486" s="3">
        <v>0.54999999999999993</v>
      </c>
      <c r="K486" s="4">
        <v>1250</v>
      </c>
      <c r="L486" s="5">
        <f t="shared" si="2"/>
        <v>687.49999999999989</v>
      </c>
      <c r="M486" s="5">
        <f t="shared" si="3"/>
        <v>206.24999999999997</v>
      </c>
      <c r="N486" s="6">
        <v>0.3</v>
      </c>
    </row>
    <row r="487" spans="1:14" ht="15.75" customHeight="1" x14ac:dyDescent="0.45">
      <c r="A487" s="1" t="s">
        <v>119</v>
      </c>
      <c r="B487" s="1">
        <v>1185732</v>
      </c>
      <c r="C487" s="2">
        <v>44807</v>
      </c>
      <c r="D487" s="1" t="s">
        <v>11</v>
      </c>
      <c r="E487" s="1" t="s">
        <v>30</v>
      </c>
      <c r="F487" s="1" t="s">
        <v>31</v>
      </c>
      <c r="G487" s="1" t="s">
        <v>18</v>
      </c>
      <c r="H487" s="1">
        <v>45</v>
      </c>
      <c r="I487" s="1" t="s">
        <v>125</v>
      </c>
      <c r="J487" s="3">
        <v>0.6</v>
      </c>
      <c r="K487" s="4">
        <v>2250</v>
      </c>
      <c r="L487" s="5">
        <f t="shared" si="2"/>
        <v>1350</v>
      </c>
      <c r="M487" s="5">
        <f t="shared" si="3"/>
        <v>337.5</v>
      </c>
      <c r="N487" s="6">
        <v>0.25</v>
      </c>
    </row>
    <row r="488" spans="1:14" ht="15.75" customHeight="1" x14ac:dyDescent="0.45">
      <c r="A488" s="1" t="s">
        <v>119</v>
      </c>
      <c r="B488" s="1">
        <v>1185732</v>
      </c>
      <c r="C488" s="2">
        <v>44839</v>
      </c>
      <c r="D488" s="1" t="s">
        <v>11</v>
      </c>
      <c r="E488" s="1" t="s">
        <v>30</v>
      </c>
      <c r="F488" s="1" t="s">
        <v>31</v>
      </c>
      <c r="G488" s="1" t="s">
        <v>13</v>
      </c>
      <c r="H488" s="1">
        <v>15</v>
      </c>
      <c r="I488" s="1" t="s">
        <v>123</v>
      </c>
      <c r="J488" s="3">
        <v>0.6</v>
      </c>
      <c r="K488" s="4">
        <v>4000</v>
      </c>
      <c r="L488" s="5">
        <f t="shared" si="2"/>
        <v>2400</v>
      </c>
      <c r="M488" s="5">
        <f t="shared" si="3"/>
        <v>1200</v>
      </c>
      <c r="N488" s="6">
        <v>0.5</v>
      </c>
    </row>
    <row r="489" spans="1:14" ht="15.75" customHeight="1" x14ac:dyDescent="0.45">
      <c r="A489" s="1" t="s">
        <v>119</v>
      </c>
      <c r="B489" s="1">
        <v>1185732</v>
      </c>
      <c r="C489" s="2">
        <v>44839</v>
      </c>
      <c r="D489" s="1" t="s">
        <v>11</v>
      </c>
      <c r="E489" s="1" t="s">
        <v>30</v>
      </c>
      <c r="F489" s="1" t="s">
        <v>31</v>
      </c>
      <c r="G489" s="1" t="s">
        <v>14</v>
      </c>
      <c r="H489" s="1">
        <v>55</v>
      </c>
      <c r="I489" s="1" t="s">
        <v>124</v>
      </c>
      <c r="J489" s="3">
        <v>0.5</v>
      </c>
      <c r="K489" s="4">
        <v>2250</v>
      </c>
      <c r="L489" s="5">
        <f t="shared" si="2"/>
        <v>1125</v>
      </c>
      <c r="M489" s="5">
        <f t="shared" si="3"/>
        <v>337.5</v>
      </c>
      <c r="N489" s="6">
        <v>0.3</v>
      </c>
    </row>
    <row r="490" spans="1:14" ht="15.75" customHeight="1" x14ac:dyDescent="0.45">
      <c r="A490" s="1" t="s">
        <v>119</v>
      </c>
      <c r="B490" s="1">
        <v>1185732</v>
      </c>
      <c r="C490" s="2">
        <v>44839</v>
      </c>
      <c r="D490" s="1" t="s">
        <v>11</v>
      </c>
      <c r="E490" s="1" t="s">
        <v>30</v>
      </c>
      <c r="F490" s="1" t="s">
        <v>31</v>
      </c>
      <c r="G490" s="1" t="s">
        <v>15</v>
      </c>
      <c r="H490" s="1">
        <v>26</v>
      </c>
      <c r="I490" s="1" t="s">
        <v>124</v>
      </c>
      <c r="J490" s="3">
        <v>0.5</v>
      </c>
      <c r="K490" s="4">
        <v>1250</v>
      </c>
      <c r="L490" s="5">
        <f t="shared" si="2"/>
        <v>625</v>
      </c>
      <c r="M490" s="5">
        <f t="shared" si="3"/>
        <v>218.75</v>
      </c>
      <c r="N490" s="6">
        <v>0.35</v>
      </c>
    </row>
    <row r="491" spans="1:14" ht="15.75" customHeight="1" x14ac:dyDescent="0.45">
      <c r="A491" s="1" t="s">
        <v>119</v>
      </c>
      <c r="B491" s="1">
        <v>1185732</v>
      </c>
      <c r="C491" s="2">
        <v>44839</v>
      </c>
      <c r="D491" s="1" t="s">
        <v>11</v>
      </c>
      <c r="E491" s="1" t="s">
        <v>30</v>
      </c>
      <c r="F491" s="1" t="s">
        <v>31</v>
      </c>
      <c r="G491" s="1" t="s">
        <v>16</v>
      </c>
      <c r="H491" s="1">
        <v>43</v>
      </c>
      <c r="I491" s="1" t="s">
        <v>123</v>
      </c>
      <c r="J491" s="3">
        <v>0.5</v>
      </c>
      <c r="K491" s="4">
        <v>1000</v>
      </c>
      <c r="L491" s="5">
        <f t="shared" si="2"/>
        <v>500</v>
      </c>
      <c r="M491" s="5">
        <f t="shared" si="3"/>
        <v>175</v>
      </c>
      <c r="N491" s="6">
        <v>0.35</v>
      </c>
    </row>
    <row r="492" spans="1:14" ht="15.75" customHeight="1" x14ac:dyDescent="0.45">
      <c r="A492" s="1" t="s">
        <v>119</v>
      </c>
      <c r="B492" s="1">
        <v>1185732</v>
      </c>
      <c r="C492" s="2">
        <v>44839</v>
      </c>
      <c r="D492" s="1" t="s">
        <v>11</v>
      </c>
      <c r="E492" s="1" t="s">
        <v>30</v>
      </c>
      <c r="F492" s="1" t="s">
        <v>31</v>
      </c>
      <c r="G492" s="1" t="s">
        <v>17</v>
      </c>
      <c r="H492" s="1">
        <v>35</v>
      </c>
      <c r="I492" s="1" t="s">
        <v>125</v>
      </c>
      <c r="J492" s="3">
        <v>0.6</v>
      </c>
      <c r="K492" s="4">
        <v>1000</v>
      </c>
      <c r="L492" s="5">
        <f t="shared" si="2"/>
        <v>600</v>
      </c>
      <c r="M492" s="5">
        <f t="shared" si="3"/>
        <v>180</v>
      </c>
      <c r="N492" s="6">
        <v>0.3</v>
      </c>
    </row>
    <row r="493" spans="1:14" ht="15.75" customHeight="1" x14ac:dyDescent="0.45">
      <c r="A493" s="1" t="s">
        <v>119</v>
      </c>
      <c r="B493" s="1">
        <v>1185732</v>
      </c>
      <c r="C493" s="2">
        <v>44839</v>
      </c>
      <c r="D493" s="1" t="s">
        <v>11</v>
      </c>
      <c r="E493" s="1" t="s">
        <v>30</v>
      </c>
      <c r="F493" s="1" t="s">
        <v>31</v>
      </c>
      <c r="G493" s="1" t="s">
        <v>18</v>
      </c>
      <c r="H493" s="1">
        <v>52</v>
      </c>
      <c r="I493" s="1" t="s">
        <v>125</v>
      </c>
      <c r="J493" s="3">
        <v>0.64999999999999991</v>
      </c>
      <c r="K493" s="4">
        <v>2250</v>
      </c>
      <c r="L493" s="5">
        <f t="shared" si="2"/>
        <v>1462.4999999999998</v>
      </c>
      <c r="M493" s="5">
        <f t="shared" si="3"/>
        <v>365.62499999999994</v>
      </c>
      <c r="N493" s="6">
        <v>0.25</v>
      </c>
    </row>
    <row r="494" spans="1:14" ht="15.75" customHeight="1" x14ac:dyDescent="0.45">
      <c r="A494" s="1" t="s">
        <v>119</v>
      </c>
      <c r="B494" s="1">
        <v>1185732</v>
      </c>
      <c r="C494" s="2">
        <v>44869</v>
      </c>
      <c r="D494" s="1" t="s">
        <v>11</v>
      </c>
      <c r="E494" s="1" t="s">
        <v>30</v>
      </c>
      <c r="F494" s="1" t="s">
        <v>31</v>
      </c>
      <c r="G494" s="1" t="s">
        <v>13</v>
      </c>
      <c r="H494" s="1">
        <v>33</v>
      </c>
      <c r="I494" s="1" t="s">
        <v>126</v>
      </c>
      <c r="J494" s="3">
        <v>0.70000000000000007</v>
      </c>
      <c r="K494" s="4">
        <v>3750</v>
      </c>
      <c r="L494" s="5">
        <f t="shared" si="2"/>
        <v>2625.0000000000005</v>
      </c>
      <c r="M494" s="5">
        <f t="shared" si="3"/>
        <v>1443.7500000000005</v>
      </c>
      <c r="N494" s="6">
        <v>0.55000000000000004</v>
      </c>
    </row>
    <row r="495" spans="1:14" ht="15.75" customHeight="1" x14ac:dyDescent="0.45">
      <c r="A495" s="1" t="s">
        <v>119</v>
      </c>
      <c r="B495" s="1">
        <v>1185732</v>
      </c>
      <c r="C495" s="2">
        <v>44869</v>
      </c>
      <c r="D495" s="1" t="s">
        <v>11</v>
      </c>
      <c r="E495" s="1" t="s">
        <v>30</v>
      </c>
      <c r="F495" s="1" t="s">
        <v>31</v>
      </c>
      <c r="G495" s="1" t="s">
        <v>14</v>
      </c>
      <c r="H495" s="1">
        <v>36</v>
      </c>
      <c r="I495" s="1" t="s">
        <v>124</v>
      </c>
      <c r="J495" s="3">
        <v>0.60000000000000009</v>
      </c>
      <c r="K495" s="4">
        <v>2000</v>
      </c>
      <c r="L495" s="5">
        <f t="shared" si="2"/>
        <v>1200.0000000000002</v>
      </c>
      <c r="M495" s="5">
        <f t="shared" si="3"/>
        <v>420.00000000000006</v>
      </c>
      <c r="N495" s="6">
        <v>0.35</v>
      </c>
    </row>
    <row r="496" spans="1:14" ht="15.75" customHeight="1" x14ac:dyDescent="0.45">
      <c r="A496" s="1" t="s">
        <v>119</v>
      </c>
      <c r="B496" s="1">
        <v>1185732</v>
      </c>
      <c r="C496" s="2">
        <v>44869</v>
      </c>
      <c r="D496" s="1" t="s">
        <v>11</v>
      </c>
      <c r="E496" s="1" t="s">
        <v>30</v>
      </c>
      <c r="F496" s="1" t="s">
        <v>31</v>
      </c>
      <c r="G496" s="1" t="s">
        <v>15</v>
      </c>
      <c r="H496" s="1">
        <v>23</v>
      </c>
      <c r="I496" s="1" t="s">
        <v>124</v>
      </c>
      <c r="J496" s="3">
        <v>0.60000000000000009</v>
      </c>
      <c r="K496" s="4">
        <v>1950</v>
      </c>
      <c r="L496" s="5">
        <f t="shared" si="2"/>
        <v>1170.0000000000002</v>
      </c>
      <c r="M496" s="5">
        <f t="shared" si="3"/>
        <v>468.00000000000006</v>
      </c>
      <c r="N496" s="6">
        <v>0.39999999999999997</v>
      </c>
    </row>
    <row r="497" spans="1:14" ht="15.75" customHeight="1" x14ac:dyDescent="0.45">
      <c r="A497" s="1" t="s">
        <v>119</v>
      </c>
      <c r="B497" s="1">
        <v>1185732</v>
      </c>
      <c r="C497" s="2">
        <v>44869</v>
      </c>
      <c r="D497" s="1" t="s">
        <v>11</v>
      </c>
      <c r="E497" s="1" t="s">
        <v>30</v>
      </c>
      <c r="F497" s="1" t="s">
        <v>31</v>
      </c>
      <c r="G497" s="1" t="s">
        <v>16</v>
      </c>
      <c r="H497" s="1">
        <v>36</v>
      </c>
      <c r="I497" s="1" t="s">
        <v>123</v>
      </c>
      <c r="J497" s="3">
        <v>0.60000000000000009</v>
      </c>
      <c r="K497" s="4">
        <v>1750</v>
      </c>
      <c r="L497" s="5">
        <f t="shared" si="2"/>
        <v>1050.0000000000002</v>
      </c>
      <c r="M497" s="5">
        <f t="shared" si="3"/>
        <v>420.00000000000006</v>
      </c>
      <c r="N497" s="6">
        <v>0.39999999999999997</v>
      </c>
    </row>
    <row r="498" spans="1:14" ht="15.75" customHeight="1" x14ac:dyDescent="0.45">
      <c r="A498" s="1" t="s">
        <v>119</v>
      </c>
      <c r="B498" s="1">
        <v>1185732</v>
      </c>
      <c r="C498" s="2">
        <v>44869</v>
      </c>
      <c r="D498" s="1" t="s">
        <v>11</v>
      </c>
      <c r="E498" s="1" t="s">
        <v>30</v>
      </c>
      <c r="F498" s="1" t="s">
        <v>31</v>
      </c>
      <c r="G498" s="1" t="s">
        <v>17</v>
      </c>
      <c r="H498" s="1">
        <v>57</v>
      </c>
      <c r="I498" s="1" t="s">
        <v>124</v>
      </c>
      <c r="J498" s="3">
        <v>0.70000000000000007</v>
      </c>
      <c r="K498" s="4">
        <v>1500</v>
      </c>
      <c r="L498" s="5">
        <f t="shared" si="2"/>
        <v>1050</v>
      </c>
      <c r="M498" s="5">
        <f t="shared" si="3"/>
        <v>367.5</v>
      </c>
      <c r="N498" s="6">
        <v>0.35</v>
      </c>
    </row>
    <row r="499" spans="1:14" ht="15.75" customHeight="1" x14ac:dyDescent="0.45">
      <c r="A499" s="1" t="s">
        <v>119</v>
      </c>
      <c r="B499" s="1">
        <v>1185732</v>
      </c>
      <c r="C499" s="2">
        <v>44869</v>
      </c>
      <c r="D499" s="1" t="s">
        <v>11</v>
      </c>
      <c r="E499" s="1" t="s">
        <v>30</v>
      </c>
      <c r="F499" s="1" t="s">
        <v>31</v>
      </c>
      <c r="G499" s="1" t="s">
        <v>18</v>
      </c>
      <c r="H499" s="1">
        <v>35</v>
      </c>
      <c r="I499" s="1" t="s">
        <v>125</v>
      </c>
      <c r="J499" s="3">
        <v>0.75</v>
      </c>
      <c r="K499" s="4">
        <v>2500</v>
      </c>
      <c r="L499" s="5">
        <f t="shared" si="2"/>
        <v>1875</v>
      </c>
      <c r="M499" s="5">
        <f t="shared" si="3"/>
        <v>562.5</v>
      </c>
      <c r="N499" s="6">
        <v>0.3</v>
      </c>
    </row>
    <row r="500" spans="1:14" ht="15.75" customHeight="1" x14ac:dyDescent="0.45">
      <c r="A500" s="1" t="s">
        <v>119</v>
      </c>
      <c r="B500" s="1">
        <v>1185732</v>
      </c>
      <c r="C500" s="2">
        <v>44898</v>
      </c>
      <c r="D500" s="1" t="s">
        <v>11</v>
      </c>
      <c r="E500" s="1" t="s">
        <v>30</v>
      </c>
      <c r="F500" s="1" t="s">
        <v>31</v>
      </c>
      <c r="G500" s="1" t="s">
        <v>13</v>
      </c>
      <c r="H500" s="1">
        <v>30</v>
      </c>
      <c r="I500" s="1" t="s">
        <v>124</v>
      </c>
      <c r="J500" s="3">
        <v>0.70000000000000007</v>
      </c>
      <c r="K500" s="4">
        <v>4750</v>
      </c>
      <c r="L500" s="5">
        <f t="shared" si="2"/>
        <v>3325.0000000000005</v>
      </c>
      <c r="M500" s="5">
        <f t="shared" si="3"/>
        <v>1828.7500000000005</v>
      </c>
      <c r="N500" s="6">
        <v>0.55000000000000004</v>
      </c>
    </row>
    <row r="501" spans="1:14" ht="15.75" customHeight="1" x14ac:dyDescent="0.45">
      <c r="A501" s="1" t="s">
        <v>119</v>
      </c>
      <c r="B501" s="1">
        <v>1185732</v>
      </c>
      <c r="C501" s="2">
        <v>44898</v>
      </c>
      <c r="D501" s="1" t="s">
        <v>11</v>
      </c>
      <c r="E501" s="1" t="s">
        <v>30</v>
      </c>
      <c r="F501" s="1" t="s">
        <v>31</v>
      </c>
      <c r="G501" s="1" t="s">
        <v>14</v>
      </c>
      <c r="H501" s="1">
        <v>27</v>
      </c>
      <c r="I501" s="1" t="s">
        <v>126</v>
      </c>
      <c r="J501" s="3">
        <v>0.60000000000000009</v>
      </c>
      <c r="K501" s="4">
        <v>2750</v>
      </c>
      <c r="L501" s="5">
        <f t="shared" si="2"/>
        <v>1650.0000000000002</v>
      </c>
      <c r="M501" s="5">
        <f t="shared" si="3"/>
        <v>577.5</v>
      </c>
      <c r="N501" s="6">
        <v>0.35</v>
      </c>
    </row>
    <row r="502" spans="1:14" ht="15.75" customHeight="1" x14ac:dyDescent="0.45">
      <c r="A502" s="1" t="s">
        <v>119</v>
      </c>
      <c r="B502" s="1">
        <v>1185732</v>
      </c>
      <c r="C502" s="2">
        <v>44898</v>
      </c>
      <c r="D502" s="1" t="s">
        <v>11</v>
      </c>
      <c r="E502" s="1" t="s">
        <v>30</v>
      </c>
      <c r="F502" s="1" t="s">
        <v>31</v>
      </c>
      <c r="G502" s="1" t="s">
        <v>15</v>
      </c>
      <c r="H502" s="1">
        <v>21</v>
      </c>
      <c r="I502" s="1" t="s">
        <v>124</v>
      </c>
      <c r="J502" s="3">
        <v>0.60000000000000009</v>
      </c>
      <c r="K502" s="4">
        <v>2250</v>
      </c>
      <c r="L502" s="5">
        <f t="shared" si="2"/>
        <v>1350.0000000000002</v>
      </c>
      <c r="M502" s="5">
        <f t="shared" si="3"/>
        <v>540</v>
      </c>
      <c r="N502" s="6">
        <v>0.39999999999999997</v>
      </c>
    </row>
    <row r="503" spans="1:14" ht="15.75" customHeight="1" x14ac:dyDescent="0.45">
      <c r="A503" s="1" t="s">
        <v>119</v>
      </c>
      <c r="B503" s="1">
        <v>1185732</v>
      </c>
      <c r="C503" s="2">
        <v>44898</v>
      </c>
      <c r="D503" s="1" t="s">
        <v>11</v>
      </c>
      <c r="E503" s="1" t="s">
        <v>30</v>
      </c>
      <c r="F503" s="1" t="s">
        <v>31</v>
      </c>
      <c r="G503" s="1" t="s">
        <v>16</v>
      </c>
      <c r="H503" s="1">
        <v>40</v>
      </c>
      <c r="I503" s="1" t="s">
        <v>126</v>
      </c>
      <c r="J503" s="3">
        <v>0.60000000000000009</v>
      </c>
      <c r="K503" s="4">
        <v>1750</v>
      </c>
      <c r="L503" s="5">
        <f t="shared" si="2"/>
        <v>1050.0000000000002</v>
      </c>
      <c r="M503" s="5">
        <f t="shared" si="3"/>
        <v>420.00000000000006</v>
      </c>
      <c r="N503" s="6">
        <v>0.39999999999999997</v>
      </c>
    </row>
    <row r="504" spans="1:14" ht="15.75" customHeight="1" x14ac:dyDescent="0.45">
      <c r="A504" s="1" t="s">
        <v>119</v>
      </c>
      <c r="B504" s="1">
        <v>1185732</v>
      </c>
      <c r="C504" s="2">
        <v>44898</v>
      </c>
      <c r="D504" s="1" t="s">
        <v>11</v>
      </c>
      <c r="E504" s="1" t="s">
        <v>30</v>
      </c>
      <c r="F504" s="1" t="s">
        <v>31</v>
      </c>
      <c r="G504" s="1" t="s">
        <v>17</v>
      </c>
      <c r="H504" s="1">
        <v>42</v>
      </c>
      <c r="I504" s="1" t="s">
        <v>126</v>
      </c>
      <c r="J504" s="3">
        <v>0.70000000000000007</v>
      </c>
      <c r="K504" s="4">
        <v>1750</v>
      </c>
      <c r="L504" s="5">
        <f t="shared" si="2"/>
        <v>1225.0000000000002</v>
      </c>
      <c r="M504" s="5">
        <f t="shared" si="3"/>
        <v>428.75000000000006</v>
      </c>
      <c r="N504" s="6">
        <v>0.35</v>
      </c>
    </row>
    <row r="505" spans="1:14" ht="15.75" customHeight="1" x14ac:dyDescent="0.45">
      <c r="A505" s="1" t="s">
        <v>119</v>
      </c>
      <c r="B505" s="1">
        <v>1185732</v>
      </c>
      <c r="C505" s="2">
        <v>44898</v>
      </c>
      <c r="D505" s="1" t="s">
        <v>11</v>
      </c>
      <c r="E505" s="1" t="s">
        <v>30</v>
      </c>
      <c r="F505" s="1" t="s">
        <v>31</v>
      </c>
      <c r="G505" s="1" t="s">
        <v>18</v>
      </c>
      <c r="H505" s="1">
        <v>35</v>
      </c>
      <c r="I505" s="1" t="s">
        <v>123</v>
      </c>
      <c r="J505" s="3">
        <v>0.75</v>
      </c>
      <c r="K505" s="4">
        <v>2750</v>
      </c>
      <c r="L505" s="5">
        <f t="shared" si="2"/>
        <v>2062.5</v>
      </c>
      <c r="M505" s="5">
        <f t="shared" si="3"/>
        <v>618.75</v>
      </c>
      <c r="N505" s="6">
        <v>0.3</v>
      </c>
    </row>
    <row r="506" spans="1:14" ht="15.75" customHeight="1" x14ac:dyDescent="0.45">
      <c r="A506" s="1" t="s">
        <v>121</v>
      </c>
      <c r="B506" s="1">
        <v>1128299</v>
      </c>
      <c r="C506" s="2">
        <v>44576</v>
      </c>
      <c r="D506" s="1" t="s">
        <v>22</v>
      </c>
      <c r="E506" s="1" t="s">
        <v>32</v>
      </c>
      <c r="F506" s="1" t="s">
        <v>33</v>
      </c>
      <c r="G506" s="1" t="s">
        <v>13</v>
      </c>
      <c r="H506" s="1">
        <v>17</v>
      </c>
      <c r="I506" s="1" t="s">
        <v>125</v>
      </c>
      <c r="J506" s="3">
        <v>0.35</v>
      </c>
      <c r="K506" s="4">
        <v>4500</v>
      </c>
      <c r="L506" s="5">
        <f t="shared" si="2"/>
        <v>1575</v>
      </c>
      <c r="M506" s="5">
        <f t="shared" si="3"/>
        <v>630</v>
      </c>
      <c r="N506" s="6">
        <v>0.4</v>
      </c>
    </row>
    <row r="507" spans="1:14" ht="15.75" customHeight="1" x14ac:dyDescent="0.45">
      <c r="A507" s="1" t="s">
        <v>121</v>
      </c>
      <c r="B507" s="1">
        <v>1128299</v>
      </c>
      <c r="C507" s="2">
        <v>44576</v>
      </c>
      <c r="D507" s="1" t="s">
        <v>22</v>
      </c>
      <c r="E507" s="1" t="s">
        <v>32</v>
      </c>
      <c r="F507" s="1" t="s">
        <v>33</v>
      </c>
      <c r="G507" s="1" t="s">
        <v>14</v>
      </c>
      <c r="H507" s="1">
        <v>39</v>
      </c>
      <c r="I507" s="1" t="s">
        <v>125</v>
      </c>
      <c r="J507" s="3">
        <v>0.45</v>
      </c>
      <c r="K507" s="4">
        <v>4500</v>
      </c>
      <c r="L507" s="5">
        <f t="shared" si="2"/>
        <v>2025</v>
      </c>
      <c r="M507" s="5">
        <f t="shared" si="3"/>
        <v>506.25</v>
      </c>
      <c r="N507" s="6">
        <v>0.25</v>
      </c>
    </row>
    <row r="508" spans="1:14" ht="15.75" customHeight="1" x14ac:dyDescent="0.45">
      <c r="A508" s="1" t="s">
        <v>121</v>
      </c>
      <c r="B508" s="1">
        <v>1128299</v>
      </c>
      <c r="C508" s="2">
        <v>44576</v>
      </c>
      <c r="D508" s="1" t="s">
        <v>22</v>
      </c>
      <c r="E508" s="1" t="s">
        <v>32</v>
      </c>
      <c r="F508" s="1" t="s">
        <v>33</v>
      </c>
      <c r="G508" s="1" t="s">
        <v>15</v>
      </c>
      <c r="H508" s="1">
        <v>30</v>
      </c>
      <c r="I508" s="1" t="s">
        <v>123</v>
      </c>
      <c r="J508" s="3">
        <v>0.45</v>
      </c>
      <c r="K508" s="4">
        <v>4500</v>
      </c>
      <c r="L508" s="5">
        <f t="shared" si="2"/>
        <v>2025</v>
      </c>
      <c r="M508" s="5">
        <f t="shared" si="3"/>
        <v>810</v>
      </c>
      <c r="N508" s="6">
        <v>0.4</v>
      </c>
    </row>
    <row r="509" spans="1:14" ht="15.75" customHeight="1" x14ac:dyDescent="0.45">
      <c r="A509" s="1" t="s">
        <v>121</v>
      </c>
      <c r="B509" s="1">
        <v>1128299</v>
      </c>
      <c r="C509" s="2">
        <v>44576</v>
      </c>
      <c r="D509" s="1" t="s">
        <v>22</v>
      </c>
      <c r="E509" s="1" t="s">
        <v>32</v>
      </c>
      <c r="F509" s="1" t="s">
        <v>33</v>
      </c>
      <c r="G509" s="1" t="s">
        <v>16</v>
      </c>
      <c r="H509" s="1">
        <v>48</v>
      </c>
      <c r="I509" s="1" t="s">
        <v>123</v>
      </c>
      <c r="J509" s="3">
        <v>0.45</v>
      </c>
      <c r="K509" s="4">
        <v>3000</v>
      </c>
      <c r="L509" s="5">
        <f t="shared" si="2"/>
        <v>1350</v>
      </c>
      <c r="M509" s="5">
        <f t="shared" si="3"/>
        <v>472.49999999999994</v>
      </c>
      <c r="N509" s="6">
        <v>0.35</v>
      </c>
    </row>
    <row r="510" spans="1:14" ht="15.75" customHeight="1" x14ac:dyDescent="0.45">
      <c r="A510" s="1" t="s">
        <v>121</v>
      </c>
      <c r="B510" s="1">
        <v>1128299</v>
      </c>
      <c r="C510" s="2">
        <v>44576</v>
      </c>
      <c r="D510" s="1" t="s">
        <v>22</v>
      </c>
      <c r="E510" s="1" t="s">
        <v>32</v>
      </c>
      <c r="F510" s="1" t="s">
        <v>33</v>
      </c>
      <c r="G510" s="1" t="s">
        <v>17</v>
      </c>
      <c r="H510" s="1">
        <v>48</v>
      </c>
      <c r="I510" s="1" t="s">
        <v>126</v>
      </c>
      <c r="J510" s="3">
        <v>0.5</v>
      </c>
      <c r="K510" s="4">
        <v>2500</v>
      </c>
      <c r="L510" s="5">
        <f t="shared" si="2"/>
        <v>1250</v>
      </c>
      <c r="M510" s="5">
        <f t="shared" si="3"/>
        <v>687.5</v>
      </c>
      <c r="N510" s="6">
        <v>0.55000000000000004</v>
      </c>
    </row>
    <row r="511" spans="1:14" ht="15.75" customHeight="1" x14ac:dyDescent="0.45">
      <c r="A511" s="1" t="s">
        <v>121</v>
      </c>
      <c r="B511" s="1">
        <v>1128299</v>
      </c>
      <c r="C511" s="2">
        <v>44576</v>
      </c>
      <c r="D511" s="1" t="s">
        <v>22</v>
      </c>
      <c r="E511" s="1" t="s">
        <v>32</v>
      </c>
      <c r="F511" s="1" t="s">
        <v>33</v>
      </c>
      <c r="G511" s="1" t="s">
        <v>18</v>
      </c>
      <c r="H511" s="1">
        <v>56</v>
      </c>
      <c r="I511" s="1" t="s">
        <v>123</v>
      </c>
      <c r="J511" s="3">
        <v>0.45</v>
      </c>
      <c r="K511" s="4">
        <v>4750</v>
      </c>
      <c r="L511" s="5">
        <f t="shared" si="2"/>
        <v>2137.5</v>
      </c>
      <c r="M511" s="5">
        <f t="shared" si="3"/>
        <v>427.5</v>
      </c>
      <c r="N511" s="6">
        <v>0.2</v>
      </c>
    </row>
    <row r="512" spans="1:14" ht="15.75" customHeight="1" x14ac:dyDescent="0.45">
      <c r="A512" s="1" t="s">
        <v>121</v>
      </c>
      <c r="B512" s="1">
        <v>1128299</v>
      </c>
      <c r="C512" s="2">
        <v>44607</v>
      </c>
      <c r="D512" s="1" t="s">
        <v>22</v>
      </c>
      <c r="E512" s="1" t="s">
        <v>32</v>
      </c>
      <c r="F512" s="1" t="s">
        <v>33</v>
      </c>
      <c r="G512" s="1" t="s">
        <v>13</v>
      </c>
      <c r="H512" s="1">
        <v>20</v>
      </c>
      <c r="I512" s="1" t="s">
        <v>123</v>
      </c>
      <c r="J512" s="3">
        <v>0.35</v>
      </c>
      <c r="K512" s="4">
        <v>5250</v>
      </c>
      <c r="L512" s="5">
        <f t="shared" ref="L512:L766" si="4">J512*K512</f>
        <v>1837.4999999999998</v>
      </c>
      <c r="M512" s="5">
        <f t="shared" ref="M512:M766" si="5">L512*N512</f>
        <v>735</v>
      </c>
      <c r="N512" s="6">
        <v>0.4</v>
      </c>
    </row>
    <row r="513" spans="1:14" ht="15.75" customHeight="1" x14ac:dyDescent="0.45">
      <c r="A513" s="1" t="s">
        <v>121</v>
      </c>
      <c r="B513" s="1">
        <v>1128299</v>
      </c>
      <c r="C513" s="2">
        <v>44607</v>
      </c>
      <c r="D513" s="1" t="s">
        <v>22</v>
      </c>
      <c r="E513" s="1" t="s">
        <v>32</v>
      </c>
      <c r="F513" s="1" t="s">
        <v>33</v>
      </c>
      <c r="G513" s="1" t="s">
        <v>14</v>
      </c>
      <c r="H513" s="1">
        <v>25</v>
      </c>
      <c r="I513" s="1" t="s">
        <v>126</v>
      </c>
      <c r="J513" s="3">
        <v>0.45</v>
      </c>
      <c r="K513" s="4">
        <v>4250</v>
      </c>
      <c r="L513" s="5">
        <f t="shared" si="4"/>
        <v>1912.5</v>
      </c>
      <c r="M513" s="5">
        <f t="shared" si="5"/>
        <v>478.125</v>
      </c>
      <c r="N513" s="6">
        <v>0.25</v>
      </c>
    </row>
    <row r="514" spans="1:14" ht="15.75" customHeight="1" x14ac:dyDescent="0.45">
      <c r="A514" s="1" t="s">
        <v>121</v>
      </c>
      <c r="B514" s="1">
        <v>1128299</v>
      </c>
      <c r="C514" s="2">
        <v>44607</v>
      </c>
      <c r="D514" s="1" t="s">
        <v>22</v>
      </c>
      <c r="E514" s="1" t="s">
        <v>32</v>
      </c>
      <c r="F514" s="1" t="s">
        <v>33</v>
      </c>
      <c r="G514" s="1" t="s">
        <v>15</v>
      </c>
      <c r="H514" s="1">
        <v>20</v>
      </c>
      <c r="I514" s="1" t="s">
        <v>126</v>
      </c>
      <c r="J514" s="3">
        <v>0.45</v>
      </c>
      <c r="K514" s="4">
        <v>4250</v>
      </c>
      <c r="L514" s="5">
        <f t="shared" si="4"/>
        <v>1912.5</v>
      </c>
      <c r="M514" s="5">
        <f t="shared" si="5"/>
        <v>765</v>
      </c>
      <c r="N514" s="6">
        <v>0.4</v>
      </c>
    </row>
    <row r="515" spans="1:14" ht="15.75" customHeight="1" x14ac:dyDescent="0.45">
      <c r="A515" s="1" t="s">
        <v>121</v>
      </c>
      <c r="B515" s="1">
        <v>1128299</v>
      </c>
      <c r="C515" s="2">
        <v>44607</v>
      </c>
      <c r="D515" s="1" t="s">
        <v>22</v>
      </c>
      <c r="E515" s="1" t="s">
        <v>32</v>
      </c>
      <c r="F515" s="1" t="s">
        <v>33</v>
      </c>
      <c r="G515" s="1" t="s">
        <v>16</v>
      </c>
      <c r="H515" s="1">
        <v>55</v>
      </c>
      <c r="I515" s="1" t="s">
        <v>123</v>
      </c>
      <c r="J515" s="3">
        <v>0.45</v>
      </c>
      <c r="K515" s="4">
        <v>2750</v>
      </c>
      <c r="L515" s="5">
        <f t="shared" si="4"/>
        <v>1237.5</v>
      </c>
      <c r="M515" s="5">
        <f t="shared" si="5"/>
        <v>433.125</v>
      </c>
      <c r="N515" s="6">
        <v>0.35</v>
      </c>
    </row>
    <row r="516" spans="1:14" ht="15.75" customHeight="1" x14ac:dyDescent="0.45">
      <c r="A516" s="1" t="s">
        <v>121</v>
      </c>
      <c r="B516" s="1">
        <v>1128299</v>
      </c>
      <c r="C516" s="2">
        <v>44607</v>
      </c>
      <c r="D516" s="1" t="s">
        <v>22</v>
      </c>
      <c r="E516" s="1" t="s">
        <v>32</v>
      </c>
      <c r="F516" s="1" t="s">
        <v>33</v>
      </c>
      <c r="G516" s="1" t="s">
        <v>17</v>
      </c>
      <c r="H516" s="1">
        <v>40</v>
      </c>
      <c r="I516" s="1" t="s">
        <v>125</v>
      </c>
      <c r="J516" s="3">
        <v>0.5</v>
      </c>
      <c r="K516" s="4">
        <v>2000</v>
      </c>
      <c r="L516" s="5">
        <f t="shared" si="4"/>
        <v>1000</v>
      </c>
      <c r="M516" s="5">
        <f t="shared" si="5"/>
        <v>550</v>
      </c>
      <c r="N516" s="6">
        <v>0.55000000000000004</v>
      </c>
    </row>
    <row r="517" spans="1:14" ht="15.75" customHeight="1" x14ac:dyDescent="0.45">
      <c r="A517" s="1" t="s">
        <v>121</v>
      </c>
      <c r="B517" s="1">
        <v>1128299</v>
      </c>
      <c r="C517" s="2">
        <v>44607</v>
      </c>
      <c r="D517" s="1" t="s">
        <v>22</v>
      </c>
      <c r="E517" s="1" t="s">
        <v>32</v>
      </c>
      <c r="F517" s="1" t="s">
        <v>33</v>
      </c>
      <c r="G517" s="1" t="s">
        <v>18</v>
      </c>
      <c r="H517" s="1">
        <v>57</v>
      </c>
      <c r="I517" s="1" t="s">
        <v>126</v>
      </c>
      <c r="J517" s="3">
        <v>0.45</v>
      </c>
      <c r="K517" s="4">
        <v>4000</v>
      </c>
      <c r="L517" s="5">
        <f t="shared" si="4"/>
        <v>1800</v>
      </c>
      <c r="M517" s="5">
        <f t="shared" si="5"/>
        <v>360</v>
      </c>
      <c r="N517" s="6">
        <v>0.2</v>
      </c>
    </row>
    <row r="518" spans="1:14" ht="15.75" customHeight="1" x14ac:dyDescent="0.45">
      <c r="A518" s="1" t="s">
        <v>121</v>
      </c>
      <c r="B518" s="1">
        <v>1128299</v>
      </c>
      <c r="C518" s="2">
        <v>44634</v>
      </c>
      <c r="D518" s="1" t="s">
        <v>22</v>
      </c>
      <c r="E518" s="1" t="s">
        <v>32</v>
      </c>
      <c r="F518" s="1" t="s">
        <v>33</v>
      </c>
      <c r="G518" s="1" t="s">
        <v>13</v>
      </c>
      <c r="H518" s="1">
        <v>40</v>
      </c>
      <c r="I518" s="1" t="s">
        <v>124</v>
      </c>
      <c r="J518" s="3">
        <v>0.45</v>
      </c>
      <c r="K518" s="4">
        <v>5500</v>
      </c>
      <c r="L518" s="5">
        <f t="shared" si="4"/>
        <v>2475</v>
      </c>
      <c r="M518" s="5">
        <f t="shared" si="5"/>
        <v>990</v>
      </c>
      <c r="N518" s="6">
        <v>0.4</v>
      </c>
    </row>
    <row r="519" spans="1:14" ht="15.75" customHeight="1" x14ac:dyDescent="0.45">
      <c r="A519" s="1" t="s">
        <v>121</v>
      </c>
      <c r="B519" s="1">
        <v>1128299</v>
      </c>
      <c r="C519" s="2">
        <v>44634</v>
      </c>
      <c r="D519" s="1" t="s">
        <v>22</v>
      </c>
      <c r="E519" s="1" t="s">
        <v>32</v>
      </c>
      <c r="F519" s="1" t="s">
        <v>33</v>
      </c>
      <c r="G519" s="1" t="s">
        <v>14</v>
      </c>
      <c r="H519" s="1">
        <v>50</v>
      </c>
      <c r="I519" s="1" t="s">
        <v>124</v>
      </c>
      <c r="J519" s="3">
        <v>0.54999999999999993</v>
      </c>
      <c r="K519" s="4">
        <v>4000</v>
      </c>
      <c r="L519" s="5">
        <f t="shared" si="4"/>
        <v>2199.9999999999995</v>
      </c>
      <c r="M519" s="5">
        <f t="shared" si="5"/>
        <v>549.99999999999989</v>
      </c>
      <c r="N519" s="6">
        <v>0.25</v>
      </c>
    </row>
    <row r="520" spans="1:14" ht="15.75" customHeight="1" x14ac:dyDescent="0.45">
      <c r="A520" s="1" t="s">
        <v>121</v>
      </c>
      <c r="B520" s="1">
        <v>1128299</v>
      </c>
      <c r="C520" s="2">
        <v>44634</v>
      </c>
      <c r="D520" s="1" t="s">
        <v>22</v>
      </c>
      <c r="E520" s="1" t="s">
        <v>32</v>
      </c>
      <c r="F520" s="1" t="s">
        <v>33</v>
      </c>
      <c r="G520" s="1" t="s">
        <v>15</v>
      </c>
      <c r="H520" s="1">
        <v>22</v>
      </c>
      <c r="I520" s="1" t="s">
        <v>124</v>
      </c>
      <c r="J520" s="3">
        <v>0.54999999999999993</v>
      </c>
      <c r="K520" s="4">
        <v>4000</v>
      </c>
      <c r="L520" s="5">
        <f t="shared" si="4"/>
        <v>2199.9999999999995</v>
      </c>
      <c r="M520" s="5">
        <f t="shared" si="5"/>
        <v>879.99999999999989</v>
      </c>
      <c r="N520" s="6">
        <v>0.4</v>
      </c>
    </row>
    <row r="521" spans="1:14" ht="15.75" customHeight="1" x14ac:dyDescent="0.45">
      <c r="A521" s="1" t="s">
        <v>121</v>
      </c>
      <c r="B521" s="1">
        <v>1128299</v>
      </c>
      <c r="C521" s="2">
        <v>44634</v>
      </c>
      <c r="D521" s="1" t="s">
        <v>22</v>
      </c>
      <c r="E521" s="1" t="s">
        <v>32</v>
      </c>
      <c r="F521" s="1" t="s">
        <v>33</v>
      </c>
      <c r="G521" s="1" t="s">
        <v>16</v>
      </c>
      <c r="H521" s="1">
        <v>34</v>
      </c>
      <c r="I521" s="1" t="s">
        <v>125</v>
      </c>
      <c r="J521" s="3">
        <v>0.54999999999999993</v>
      </c>
      <c r="K521" s="4">
        <v>3000</v>
      </c>
      <c r="L521" s="5">
        <f t="shared" si="4"/>
        <v>1649.9999999999998</v>
      </c>
      <c r="M521" s="5">
        <f t="shared" si="5"/>
        <v>577.49999999999989</v>
      </c>
      <c r="N521" s="6">
        <v>0.35</v>
      </c>
    </row>
    <row r="522" spans="1:14" ht="15.75" customHeight="1" x14ac:dyDescent="0.45">
      <c r="A522" s="1" t="s">
        <v>121</v>
      </c>
      <c r="B522" s="1">
        <v>1128299</v>
      </c>
      <c r="C522" s="2">
        <v>44634</v>
      </c>
      <c r="D522" s="1" t="s">
        <v>22</v>
      </c>
      <c r="E522" s="1" t="s">
        <v>32</v>
      </c>
      <c r="F522" s="1" t="s">
        <v>33</v>
      </c>
      <c r="G522" s="1" t="s">
        <v>17</v>
      </c>
      <c r="H522" s="1">
        <v>44</v>
      </c>
      <c r="I522" s="1" t="s">
        <v>124</v>
      </c>
      <c r="J522" s="3">
        <v>0.6</v>
      </c>
      <c r="K522" s="4">
        <v>1750</v>
      </c>
      <c r="L522" s="5">
        <f t="shared" si="4"/>
        <v>1050</v>
      </c>
      <c r="M522" s="5">
        <f t="shared" si="5"/>
        <v>577.5</v>
      </c>
      <c r="N522" s="6">
        <v>0.55000000000000004</v>
      </c>
    </row>
    <row r="523" spans="1:14" ht="15.75" customHeight="1" x14ac:dyDescent="0.45">
      <c r="A523" s="1" t="s">
        <v>121</v>
      </c>
      <c r="B523" s="1">
        <v>1128299</v>
      </c>
      <c r="C523" s="2">
        <v>44634</v>
      </c>
      <c r="D523" s="1" t="s">
        <v>22</v>
      </c>
      <c r="E523" s="1" t="s">
        <v>32</v>
      </c>
      <c r="F523" s="1" t="s">
        <v>33</v>
      </c>
      <c r="G523" s="1" t="s">
        <v>18</v>
      </c>
      <c r="H523" s="1">
        <v>59</v>
      </c>
      <c r="I523" s="1" t="s">
        <v>125</v>
      </c>
      <c r="J523" s="3">
        <v>0.54999999999999993</v>
      </c>
      <c r="K523" s="4">
        <v>3750</v>
      </c>
      <c r="L523" s="5">
        <f t="shared" si="4"/>
        <v>2062.4999999999995</v>
      </c>
      <c r="M523" s="5">
        <f t="shared" si="5"/>
        <v>412.49999999999994</v>
      </c>
      <c r="N523" s="6">
        <v>0.2</v>
      </c>
    </row>
    <row r="524" spans="1:14" ht="15.75" customHeight="1" x14ac:dyDescent="0.45">
      <c r="A524" s="1" t="s">
        <v>121</v>
      </c>
      <c r="B524" s="1">
        <v>1128299</v>
      </c>
      <c r="C524" s="2">
        <v>44666</v>
      </c>
      <c r="D524" s="1" t="s">
        <v>22</v>
      </c>
      <c r="E524" s="1" t="s">
        <v>32</v>
      </c>
      <c r="F524" s="1" t="s">
        <v>33</v>
      </c>
      <c r="G524" s="1" t="s">
        <v>13</v>
      </c>
      <c r="H524" s="1">
        <v>27</v>
      </c>
      <c r="I524" s="1" t="s">
        <v>125</v>
      </c>
      <c r="J524" s="3">
        <v>0.6</v>
      </c>
      <c r="K524" s="4">
        <v>5500</v>
      </c>
      <c r="L524" s="5">
        <f t="shared" si="4"/>
        <v>3300</v>
      </c>
      <c r="M524" s="5">
        <f t="shared" si="5"/>
        <v>1320</v>
      </c>
      <c r="N524" s="6">
        <v>0.4</v>
      </c>
    </row>
    <row r="525" spans="1:14" ht="15.75" customHeight="1" x14ac:dyDescent="0.45">
      <c r="A525" s="1" t="s">
        <v>121</v>
      </c>
      <c r="B525" s="1">
        <v>1128299</v>
      </c>
      <c r="C525" s="2">
        <v>44666</v>
      </c>
      <c r="D525" s="1" t="s">
        <v>22</v>
      </c>
      <c r="E525" s="1" t="s">
        <v>32</v>
      </c>
      <c r="F525" s="1" t="s">
        <v>33</v>
      </c>
      <c r="G525" s="1" t="s">
        <v>14</v>
      </c>
      <c r="H525" s="1">
        <v>28</v>
      </c>
      <c r="I525" s="1" t="s">
        <v>125</v>
      </c>
      <c r="J525" s="3">
        <v>0.65</v>
      </c>
      <c r="K525" s="4">
        <v>3500</v>
      </c>
      <c r="L525" s="5">
        <f t="shared" si="4"/>
        <v>2275</v>
      </c>
      <c r="M525" s="5">
        <f t="shared" si="5"/>
        <v>568.75</v>
      </c>
      <c r="N525" s="6">
        <v>0.25</v>
      </c>
    </row>
    <row r="526" spans="1:14" ht="15.75" customHeight="1" x14ac:dyDescent="0.45">
      <c r="A526" s="1" t="s">
        <v>121</v>
      </c>
      <c r="B526" s="1">
        <v>1128299</v>
      </c>
      <c r="C526" s="2">
        <v>44666</v>
      </c>
      <c r="D526" s="1" t="s">
        <v>22</v>
      </c>
      <c r="E526" s="1" t="s">
        <v>32</v>
      </c>
      <c r="F526" s="1" t="s">
        <v>33</v>
      </c>
      <c r="G526" s="1" t="s">
        <v>15</v>
      </c>
      <c r="H526" s="1">
        <v>54</v>
      </c>
      <c r="I526" s="1" t="s">
        <v>125</v>
      </c>
      <c r="J526" s="3">
        <v>0.65</v>
      </c>
      <c r="K526" s="4">
        <v>4000</v>
      </c>
      <c r="L526" s="5">
        <f t="shared" si="4"/>
        <v>2600</v>
      </c>
      <c r="M526" s="5">
        <f t="shared" si="5"/>
        <v>1040</v>
      </c>
      <c r="N526" s="6">
        <v>0.4</v>
      </c>
    </row>
    <row r="527" spans="1:14" ht="15.75" customHeight="1" x14ac:dyDescent="0.45">
      <c r="A527" s="1" t="s">
        <v>121</v>
      </c>
      <c r="B527" s="1">
        <v>1128299</v>
      </c>
      <c r="C527" s="2">
        <v>44666</v>
      </c>
      <c r="D527" s="1" t="s">
        <v>22</v>
      </c>
      <c r="E527" s="1" t="s">
        <v>32</v>
      </c>
      <c r="F527" s="1" t="s">
        <v>33</v>
      </c>
      <c r="G527" s="1" t="s">
        <v>16</v>
      </c>
      <c r="H527" s="1">
        <v>15</v>
      </c>
      <c r="I527" s="1" t="s">
        <v>124</v>
      </c>
      <c r="J527" s="3">
        <v>0.6</v>
      </c>
      <c r="K527" s="4">
        <v>3000</v>
      </c>
      <c r="L527" s="5">
        <f t="shared" si="4"/>
        <v>1800</v>
      </c>
      <c r="M527" s="5">
        <f t="shared" si="5"/>
        <v>630</v>
      </c>
      <c r="N527" s="6">
        <v>0.35</v>
      </c>
    </row>
    <row r="528" spans="1:14" ht="15.75" customHeight="1" x14ac:dyDescent="0.45">
      <c r="A528" s="1" t="s">
        <v>121</v>
      </c>
      <c r="B528" s="1">
        <v>1128299</v>
      </c>
      <c r="C528" s="2">
        <v>44666</v>
      </c>
      <c r="D528" s="1" t="s">
        <v>22</v>
      </c>
      <c r="E528" s="1" t="s">
        <v>32</v>
      </c>
      <c r="F528" s="1" t="s">
        <v>33</v>
      </c>
      <c r="G528" s="1" t="s">
        <v>17</v>
      </c>
      <c r="H528" s="1">
        <v>17</v>
      </c>
      <c r="I528" s="1" t="s">
        <v>123</v>
      </c>
      <c r="J528" s="3">
        <v>0.65</v>
      </c>
      <c r="K528" s="4">
        <v>2000</v>
      </c>
      <c r="L528" s="5">
        <f t="shared" si="4"/>
        <v>1300</v>
      </c>
      <c r="M528" s="5">
        <f t="shared" si="5"/>
        <v>715.00000000000011</v>
      </c>
      <c r="N528" s="6">
        <v>0.55000000000000004</v>
      </c>
    </row>
    <row r="529" spans="1:14" ht="15.75" customHeight="1" x14ac:dyDescent="0.45">
      <c r="A529" s="1" t="s">
        <v>121</v>
      </c>
      <c r="B529" s="1">
        <v>1128299</v>
      </c>
      <c r="C529" s="2">
        <v>44666</v>
      </c>
      <c r="D529" s="1" t="s">
        <v>22</v>
      </c>
      <c r="E529" s="1" t="s">
        <v>32</v>
      </c>
      <c r="F529" s="1" t="s">
        <v>33</v>
      </c>
      <c r="G529" s="1" t="s">
        <v>18</v>
      </c>
      <c r="H529" s="1">
        <v>43</v>
      </c>
      <c r="I529" s="1" t="s">
        <v>124</v>
      </c>
      <c r="J529" s="3">
        <v>0.8</v>
      </c>
      <c r="K529" s="4">
        <v>3500</v>
      </c>
      <c r="L529" s="5">
        <f t="shared" si="4"/>
        <v>2800</v>
      </c>
      <c r="M529" s="5">
        <f t="shared" si="5"/>
        <v>560</v>
      </c>
      <c r="N529" s="6">
        <v>0.2</v>
      </c>
    </row>
    <row r="530" spans="1:14" ht="15.75" customHeight="1" x14ac:dyDescent="0.45">
      <c r="A530" s="1" t="s">
        <v>121</v>
      </c>
      <c r="B530" s="1">
        <v>1128299</v>
      </c>
      <c r="C530" s="2">
        <v>44697</v>
      </c>
      <c r="D530" s="1" t="s">
        <v>22</v>
      </c>
      <c r="E530" s="1" t="s">
        <v>32</v>
      </c>
      <c r="F530" s="1" t="s">
        <v>33</v>
      </c>
      <c r="G530" s="1" t="s">
        <v>13</v>
      </c>
      <c r="H530" s="1">
        <v>20</v>
      </c>
      <c r="I530" s="1" t="s">
        <v>126</v>
      </c>
      <c r="J530" s="3">
        <v>0.6</v>
      </c>
      <c r="K530" s="4">
        <v>5500</v>
      </c>
      <c r="L530" s="5">
        <f t="shared" si="4"/>
        <v>3300</v>
      </c>
      <c r="M530" s="5">
        <f t="shared" si="5"/>
        <v>1485</v>
      </c>
      <c r="N530" s="6">
        <v>0.45</v>
      </c>
    </row>
    <row r="531" spans="1:14" ht="15.75" customHeight="1" x14ac:dyDescent="0.45">
      <c r="A531" s="1" t="s">
        <v>121</v>
      </c>
      <c r="B531" s="1">
        <v>1128299</v>
      </c>
      <c r="C531" s="2">
        <v>44697</v>
      </c>
      <c r="D531" s="1" t="s">
        <v>22</v>
      </c>
      <c r="E531" s="1" t="s">
        <v>32</v>
      </c>
      <c r="F531" s="1" t="s">
        <v>33</v>
      </c>
      <c r="G531" s="1" t="s">
        <v>14</v>
      </c>
      <c r="H531" s="1">
        <v>41</v>
      </c>
      <c r="I531" s="1" t="s">
        <v>123</v>
      </c>
      <c r="J531" s="3">
        <v>0.65</v>
      </c>
      <c r="K531" s="4">
        <v>4000</v>
      </c>
      <c r="L531" s="5">
        <f t="shared" si="4"/>
        <v>2600</v>
      </c>
      <c r="M531" s="5">
        <f t="shared" si="5"/>
        <v>780</v>
      </c>
      <c r="N531" s="6">
        <v>0.3</v>
      </c>
    </row>
    <row r="532" spans="1:14" ht="15.75" customHeight="1" x14ac:dyDescent="0.45">
      <c r="A532" s="1" t="s">
        <v>121</v>
      </c>
      <c r="B532" s="1">
        <v>1128299</v>
      </c>
      <c r="C532" s="2">
        <v>44697</v>
      </c>
      <c r="D532" s="1" t="s">
        <v>22</v>
      </c>
      <c r="E532" s="1" t="s">
        <v>32</v>
      </c>
      <c r="F532" s="1" t="s">
        <v>33</v>
      </c>
      <c r="G532" s="1" t="s">
        <v>15</v>
      </c>
      <c r="H532" s="1">
        <v>55</v>
      </c>
      <c r="I532" s="1" t="s">
        <v>125</v>
      </c>
      <c r="J532" s="3">
        <v>0.65</v>
      </c>
      <c r="K532" s="4">
        <v>4000</v>
      </c>
      <c r="L532" s="5">
        <f t="shared" si="4"/>
        <v>2600</v>
      </c>
      <c r="M532" s="5">
        <f t="shared" si="5"/>
        <v>1170</v>
      </c>
      <c r="N532" s="6">
        <v>0.45</v>
      </c>
    </row>
    <row r="533" spans="1:14" ht="15.75" customHeight="1" x14ac:dyDescent="0.45">
      <c r="A533" s="1" t="s">
        <v>121</v>
      </c>
      <c r="B533" s="1">
        <v>1128299</v>
      </c>
      <c r="C533" s="2">
        <v>44697</v>
      </c>
      <c r="D533" s="1" t="s">
        <v>22</v>
      </c>
      <c r="E533" s="1" t="s">
        <v>32</v>
      </c>
      <c r="F533" s="1" t="s">
        <v>33</v>
      </c>
      <c r="G533" s="1" t="s">
        <v>16</v>
      </c>
      <c r="H533" s="1">
        <v>54</v>
      </c>
      <c r="I533" s="1" t="s">
        <v>124</v>
      </c>
      <c r="J533" s="3">
        <v>0.6</v>
      </c>
      <c r="K533" s="4">
        <v>3000</v>
      </c>
      <c r="L533" s="5">
        <f t="shared" si="4"/>
        <v>1800</v>
      </c>
      <c r="M533" s="5">
        <f t="shared" si="5"/>
        <v>719.99999999999989</v>
      </c>
      <c r="N533" s="6">
        <v>0.39999999999999997</v>
      </c>
    </row>
    <row r="534" spans="1:14" ht="15.75" customHeight="1" x14ac:dyDescent="0.45">
      <c r="A534" s="1" t="s">
        <v>121</v>
      </c>
      <c r="B534" s="1">
        <v>1128299</v>
      </c>
      <c r="C534" s="2">
        <v>44697</v>
      </c>
      <c r="D534" s="1" t="s">
        <v>22</v>
      </c>
      <c r="E534" s="1" t="s">
        <v>32</v>
      </c>
      <c r="F534" s="1" t="s">
        <v>33</v>
      </c>
      <c r="G534" s="1" t="s">
        <v>17</v>
      </c>
      <c r="H534" s="1">
        <v>59</v>
      </c>
      <c r="I534" s="1" t="s">
        <v>124</v>
      </c>
      <c r="J534" s="3">
        <v>0.65</v>
      </c>
      <c r="K534" s="4">
        <v>2000</v>
      </c>
      <c r="L534" s="5">
        <f t="shared" si="4"/>
        <v>1300</v>
      </c>
      <c r="M534" s="5">
        <f t="shared" si="5"/>
        <v>780.00000000000011</v>
      </c>
      <c r="N534" s="6">
        <v>0.60000000000000009</v>
      </c>
    </row>
    <row r="535" spans="1:14" ht="15.75" customHeight="1" x14ac:dyDescent="0.45">
      <c r="A535" s="1" t="s">
        <v>121</v>
      </c>
      <c r="B535" s="1">
        <v>1128299</v>
      </c>
      <c r="C535" s="2">
        <v>44697</v>
      </c>
      <c r="D535" s="1" t="s">
        <v>22</v>
      </c>
      <c r="E535" s="1" t="s">
        <v>32</v>
      </c>
      <c r="F535" s="1" t="s">
        <v>33</v>
      </c>
      <c r="G535" s="1" t="s">
        <v>18</v>
      </c>
      <c r="H535" s="1">
        <v>38</v>
      </c>
      <c r="I535" s="1" t="s">
        <v>125</v>
      </c>
      <c r="J535" s="3">
        <v>0.8</v>
      </c>
      <c r="K535" s="4">
        <v>4500</v>
      </c>
      <c r="L535" s="5">
        <f t="shared" si="4"/>
        <v>3600</v>
      </c>
      <c r="M535" s="5">
        <f t="shared" si="5"/>
        <v>900</v>
      </c>
      <c r="N535" s="6">
        <v>0.25</v>
      </c>
    </row>
    <row r="536" spans="1:14" ht="15.75" customHeight="1" x14ac:dyDescent="0.45">
      <c r="A536" s="1" t="s">
        <v>121</v>
      </c>
      <c r="B536" s="1">
        <v>1128299</v>
      </c>
      <c r="C536" s="2">
        <v>44727</v>
      </c>
      <c r="D536" s="1" t="s">
        <v>22</v>
      </c>
      <c r="E536" s="1" t="s">
        <v>32</v>
      </c>
      <c r="F536" s="1" t="s">
        <v>33</v>
      </c>
      <c r="G536" s="1" t="s">
        <v>13</v>
      </c>
      <c r="H536" s="1">
        <v>28</v>
      </c>
      <c r="I536" s="1" t="s">
        <v>123</v>
      </c>
      <c r="J536" s="3">
        <v>0.6</v>
      </c>
      <c r="K536" s="4">
        <v>7000</v>
      </c>
      <c r="L536" s="5">
        <f t="shared" si="4"/>
        <v>4200</v>
      </c>
      <c r="M536" s="5">
        <f t="shared" si="5"/>
        <v>1890</v>
      </c>
      <c r="N536" s="6">
        <v>0.45</v>
      </c>
    </row>
    <row r="537" spans="1:14" ht="15.75" customHeight="1" x14ac:dyDescent="0.45">
      <c r="A537" s="1" t="s">
        <v>121</v>
      </c>
      <c r="B537" s="1">
        <v>1128299</v>
      </c>
      <c r="C537" s="2">
        <v>44727</v>
      </c>
      <c r="D537" s="1" t="s">
        <v>22</v>
      </c>
      <c r="E537" s="1" t="s">
        <v>32</v>
      </c>
      <c r="F537" s="1" t="s">
        <v>33</v>
      </c>
      <c r="G537" s="1" t="s">
        <v>14</v>
      </c>
      <c r="H537" s="1">
        <v>52</v>
      </c>
      <c r="I537" s="1" t="s">
        <v>126</v>
      </c>
      <c r="J537" s="3">
        <v>0.65</v>
      </c>
      <c r="K537" s="4">
        <v>5500</v>
      </c>
      <c r="L537" s="5">
        <f t="shared" si="4"/>
        <v>3575</v>
      </c>
      <c r="M537" s="5">
        <f t="shared" si="5"/>
        <v>1072.5</v>
      </c>
      <c r="N537" s="6">
        <v>0.3</v>
      </c>
    </row>
    <row r="538" spans="1:14" ht="15.75" customHeight="1" x14ac:dyDescent="0.45">
      <c r="A538" s="1" t="s">
        <v>121</v>
      </c>
      <c r="B538" s="1">
        <v>1128299</v>
      </c>
      <c r="C538" s="2">
        <v>44727</v>
      </c>
      <c r="D538" s="1" t="s">
        <v>22</v>
      </c>
      <c r="E538" s="1" t="s">
        <v>32</v>
      </c>
      <c r="F538" s="1" t="s">
        <v>33</v>
      </c>
      <c r="G538" s="1" t="s">
        <v>15</v>
      </c>
      <c r="H538" s="1">
        <v>60</v>
      </c>
      <c r="I538" s="1" t="s">
        <v>124</v>
      </c>
      <c r="J538" s="3">
        <v>0.65</v>
      </c>
      <c r="K538" s="4">
        <v>5500</v>
      </c>
      <c r="L538" s="5">
        <f t="shared" si="4"/>
        <v>3575</v>
      </c>
      <c r="M538" s="5">
        <f t="shared" si="5"/>
        <v>1608.75</v>
      </c>
      <c r="N538" s="6">
        <v>0.45</v>
      </c>
    </row>
    <row r="539" spans="1:14" ht="15.75" customHeight="1" x14ac:dyDescent="0.45">
      <c r="A539" s="1" t="s">
        <v>121</v>
      </c>
      <c r="B539" s="1">
        <v>1128299</v>
      </c>
      <c r="C539" s="2">
        <v>44727</v>
      </c>
      <c r="D539" s="1" t="s">
        <v>22</v>
      </c>
      <c r="E539" s="1" t="s">
        <v>32</v>
      </c>
      <c r="F539" s="1" t="s">
        <v>33</v>
      </c>
      <c r="G539" s="1" t="s">
        <v>16</v>
      </c>
      <c r="H539" s="1">
        <v>51</v>
      </c>
      <c r="I539" s="1" t="s">
        <v>123</v>
      </c>
      <c r="J539" s="3">
        <v>0.6</v>
      </c>
      <c r="K539" s="4">
        <v>4250</v>
      </c>
      <c r="L539" s="5">
        <f t="shared" si="4"/>
        <v>2550</v>
      </c>
      <c r="M539" s="5">
        <f t="shared" si="5"/>
        <v>1019.9999999999999</v>
      </c>
      <c r="N539" s="6">
        <v>0.39999999999999997</v>
      </c>
    </row>
    <row r="540" spans="1:14" ht="15.75" customHeight="1" x14ac:dyDescent="0.45">
      <c r="A540" s="1" t="s">
        <v>121</v>
      </c>
      <c r="B540" s="1">
        <v>1128299</v>
      </c>
      <c r="C540" s="2">
        <v>44727</v>
      </c>
      <c r="D540" s="1" t="s">
        <v>22</v>
      </c>
      <c r="E540" s="1" t="s">
        <v>32</v>
      </c>
      <c r="F540" s="1" t="s">
        <v>33</v>
      </c>
      <c r="G540" s="1" t="s">
        <v>17</v>
      </c>
      <c r="H540" s="1">
        <v>60</v>
      </c>
      <c r="I540" s="1" t="s">
        <v>123</v>
      </c>
      <c r="J540" s="3">
        <v>0.65</v>
      </c>
      <c r="K540" s="4">
        <v>3000</v>
      </c>
      <c r="L540" s="5">
        <f t="shared" si="4"/>
        <v>1950</v>
      </c>
      <c r="M540" s="5">
        <f t="shared" si="5"/>
        <v>1170.0000000000002</v>
      </c>
      <c r="N540" s="6">
        <v>0.60000000000000009</v>
      </c>
    </row>
    <row r="541" spans="1:14" ht="15.75" customHeight="1" x14ac:dyDescent="0.45">
      <c r="A541" s="1" t="s">
        <v>121</v>
      </c>
      <c r="B541" s="1">
        <v>1128299</v>
      </c>
      <c r="C541" s="2">
        <v>44727</v>
      </c>
      <c r="D541" s="1" t="s">
        <v>22</v>
      </c>
      <c r="E541" s="1" t="s">
        <v>32</v>
      </c>
      <c r="F541" s="1" t="s">
        <v>33</v>
      </c>
      <c r="G541" s="1" t="s">
        <v>18</v>
      </c>
      <c r="H541" s="1">
        <v>54</v>
      </c>
      <c r="I541" s="1" t="s">
        <v>126</v>
      </c>
      <c r="J541" s="3">
        <v>0.8</v>
      </c>
      <c r="K541" s="4">
        <v>6000</v>
      </c>
      <c r="L541" s="5">
        <f t="shared" si="4"/>
        <v>4800</v>
      </c>
      <c r="M541" s="5">
        <f t="shared" si="5"/>
        <v>1200</v>
      </c>
      <c r="N541" s="6">
        <v>0.25</v>
      </c>
    </row>
    <row r="542" spans="1:14" ht="15.75" customHeight="1" x14ac:dyDescent="0.45">
      <c r="A542" s="1" t="s">
        <v>121</v>
      </c>
      <c r="B542" s="1">
        <v>1128299</v>
      </c>
      <c r="C542" s="2">
        <v>44756</v>
      </c>
      <c r="D542" s="1" t="s">
        <v>22</v>
      </c>
      <c r="E542" s="1" t="s">
        <v>32</v>
      </c>
      <c r="F542" s="1" t="s">
        <v>33</v>
      </c>
      <c r="G542" s="1" t="s">
        <v>13</v>
      </c>
      <c r="H542" s="1">
        <v>41</v>
      </c>
      <c r="I542" s="1" t="s">
        <v>125</v>
      </c>
      <c r="J542" s="3">
        <v>0.6</v>
      </c>
      <c r="K542" s="4">
        <v>7500</v>
      </c>
      <c r="L542" s="5">
        <f t="shared" si="4"/>
        <v>4500</v>
      </c>
      <c r="M542" s="5">
        <f t="shared" si="5"/>
        <v>1800</v>
      </c>
      <c r="N542" s="6">
        <v>0.4</v>
      </c>
    </row>
    <row r="543" spans="1:14" ht="15.75" customHeight="1" x14ac:dyDescent="0.45">
      <c r="A543" s="1" t="s">
        <v>121</v>
      </c>
      <c r="B543" s="1">
        <v>1128299</v>
      </c>
      <c r="C543" s="2">
        <v>44756</v>
      </c>
      <c r="D543" s="1" t="s">
        <v>22</v>
      </c>
      <c r="E543" s="1" t="s">
        <v>32</v>
      </c>
      <c r="F543" s="1" t="s">
        <v>33</v>
      </c>
      <c r="G543" s="1" t="s">
        <v>14</v>
      </c>
      <c r="H543" s="1">
        <v>30</v>
      </c>
      <c r="I543" s="1" t="s">
        <v>123</v>
      </c>
      <c r="J543" s="3">
        <v>0.65</v>
      </c>
      <c r="K543" s="4">
        <v>6000</v>
      </c>
      <c r="L543" s="5">
        <f t="shared" si="4"/>
        <v>3900</v>
      </c>
      <c r="M543" s="5">
        <f t="shared" si="5"/>
        <v>975</v>
      </c>
      <c r="N543" s="6">
        <v>0.25</v>
      </c>
    </row>
    <row r="544" spans="1:14" ht="15.75" customHeight="1" x14ac:dyDescent="0.45">
      <c r="A544" s="1" t="s">
        <v>121</v>
      </c>
      <c r="B544" s="1">
        <v>1128299</v>
      </c>
      <c r="C544" s="2">
        <v>44756</v>
      </c>
      <c r="D544" s="1" t="s">
        <v>22</v>
      </c>
      <c r="E544" s="1" t="s">
        <v>32</v>
      </c>
      <c r="F544" s="1" t="s">
        <v>33</v>
      </c>
      <c r="G544" s="1" t="s">
        <v>15</v>
      </c>
      <c r="H544" s="1">
        <v>17</v>
      </c>
      <c r="I544" s="1" t="s">
        <v>124</v>
      </c>
      <c r="J544" s="3">
        <v>0.65</v>
      </c>
      <c r="K544" s="4">
        <v>5500</v>
      </c>
      <c r="L544" s="5">
        <f t="shared" si="4"/>
        <v>3575</v>
      </c>
      <c r="M544" s="5">
        <f t="shared" si="5"/>
        <v>1430</v>
      </c>
      <c r="N544" s="6">
        <v>0.4</v>
      </c>
    </row>
    <row r="545" spans="1:14" ht="15.75" customHeight="1" x14ac:dyDescent="0.45">
      <c r="A545" s="1" t="s">
        <v>121</v>
      </c>
      <c r="B545" s="1">
        <v>1128299</v>
      </c>
      <c r="C545" s="2">
        <v>44756</v>
      </c>
      <c r="D545" s="1" t="s">
        <v>22</v>
      </c>
      <c r="E545" s="1" t="s">
        <v>32</v>
      </c>
      <c r="F545" s="1" t="s">
        <v>33</v>
      </c>
      <c r="G545" s="1" t="s">
        <v>16</v>
      </c>
      <c r="H545" s="1">
        <v>40</v>
      </c>
      <c r="I545" s="1" t="s">
        <v>123</v>
      </c>
      <c r="J545" s="3">
        <v>0.6</v>
      </c>
      <c r="K545" s="4">
        <v>4500</v>
      </c>
      <c r="L545" s="5">
        <f t="shared" si="4"/>
        <v>2700</v>
      </c>
      <c r="M545" s="5">
        <f t="shared" si="5"/>
        <v>944.99999999999989</v>
      </c>
      <c r="N545" s="6">
        <v>0.35</v>
      </c>
    </row>
    <row r="546" spans="1:14" ht="15.75" customHeight="1" x14ac:dyDescent="0.45">
      <c r="A546" s="1" t="s">
        <v>121</v>
      </c>
      <c r="B546" s="1">
        <v>1128299</v>
      </c>
      <c r="C546" s="2">
        <v>44756</v>
      </c>
      <c r="D546" s="1" t="s">
        <v>22</v>
      </c>
      <c r="E546" s="1" t="s">
        <v>32</v>
      </c>
      <c r="F546" s="1" t="s">
        <v>33</v>
      </c>
      <c r="G546" s="1" t="s">
        <v>17</v>
      </c>
      <c r="H546" s="1">
        <v>59</v>
      </c>
      <c r="I546" s="1" t="s">
        <v>126</v>
      </c>
      <c r="J546" s="3">
        <v>0.65</v>
      </c>
      <c r="K546" s="4">
        <v>5000</v>
      </c>
      <c r="L546" s="5">
        <f t="shared" si="4"/>
        <v>3250</v>
      </c>
      <c r="M546" s="5">
        <f t="shared" si="5"/>
        <v>1787.5000000000002</v>
      </c>
      <c r="N546" s="6">
        <v>0.55000000000000004</v>
      </c>
    </row>
    <row r="547" spans="1:14" ht="15.75" customHeight="1" x14ac:dyDescent="0.45">
      <c r="A547" s="1" t="s">
        <v>121</v>
      </c>
      <c r="B547" s="1">
        <v>1128299</v>
      </c>
      <c r="C547" s="2">
        <v>44756</v>
      </c>
      <c r="D547" s="1" t="s">
        <v>22</v>
      </c>
      <c r="E547" s="1" t="s">
        <v>32</v>
      </c>
      <c r="F547" s="1" t="s">
        <v>33</v>
      </c>
      <c r="G547" s="1" t="s">
        <v>18</v>
      </c>
      <c r="H547" s="1">
        <v>39</v>
      </c>
      <c r="I547" s="1" t="s">
        <v>123</v>
      </c>
      <c r="J547" s="3">
        <v>0.8</v>
      </c>
      <c r="K547" s="4">
        <v>5000</v>
      </c>
      <c r="L547" s="5">
        <f t="shared" si="4"/>
        <v>4000</v>
      </c>
      <c r="M547" s="5">
        <f t="shared" si="5"/>
        <v>800</v>
      </c>
      <c r="N547" s="6">
        <v>0.2</v>
      </c>
    </row>
    <row r="548" spans="1:14" ht="15.75" customHeight="1" x14ac:dyDescent="0.45">
      <c r="A548" s="1" t="s">
        <v>121</v>
      </c>
      <c r="B548" s="1">
        <v>1128299</v>
      </c>
      <c r="C548" s="2">
        <v>44788</v>
      </c>
      <c r="D548" s="1" t="s">
        <v>22</v>
      </c>
      <c r="E548" s="1" t="s">
        <v>32</v>
      </c>
      <c r="F548" s="1" t="s">
        <v>33</v>
      </c>
      <c r="G548" s="1" t="s">
        <v>13</v>
      </c>
      <c r="H548" s="1">
        <v>35</v>
      </c>
      <c r="I548" s="1" t="s">
        <v>125</v>
      </c>
      <c r="J548" s="3">
        <v>0.65</v>
      </c>
      <c r="K548" s="4">
        <v>7000</v>
      </c>
      <c r="L548" s="5">
        <f t="shared" si="4"/>
        <v>4550</v>
      </c>
      <c r="M548" s="5">
        <f t="shared" si="5"/>
        <v>1820</v>
      </c>
      <c r="N548" s="6">
        <v>0.4</v>
      </c>
    </row>
    <row r="549" spans="1:14" ht="15.75" customHeight="1" x14ac:dyDescent="0.45">
      <c r="A549" s="1" t="s">
        <v>121</v>
      </c>
      <c r="B549" s="1">
        <v>1128299</v>
      </c>
      <c r="C549" s="2">
        <v>44788</v>
      </c>
      <c r="D549" s="1" t="s">
        <v>22</v>
      </c>
      <c r="E549" s="1" t="s">
        <v>32</v>
      </c>
      <c r="F549" s="1" t="s">
        <v>33</v>
      </c>
      <c r="G549" s="1" t="s">
        <v>14</v>
      </c>
      <c r="H549" s="1">
        <v>60</v>
      </c>
      <c r="I549" s="1" t="s">
        <v>124</v>
      </c>
      <c r="J549" s="3">
        <v>0.70000000000000007</v>
      </c>
      <c r="K549" s="4">
        <v>6500</v>
      </c>
      <c r="L549" s="5">
        <f t="shared" si="4"/>
        <v>4550</v>
      </c>
      <c r="M549" s="5">
        <f t="shared" si="5"/>
        <v>1137.5</v>
      </c>
      <c r="N549" s="6">
        <v>0.25</v>
      </c>
    </row>
    <row r="550" spans="1:14" ht="15.75" customHeight="1" x14ac:dyDescent="0.45">
      <c r="A550" s="1" t="s">
        <v>121</v>
      </c>
      <c r="B550" s="1">
        <v>1128299</v>
      </c>
      <c r="C550" s="2">
        <v>44788</v>
      </c>
      <c r="D550" s="1" t="s">
        <v>22</v>
      </c>
      <c r="E550" s="1" t="s">
        <v>32</v>
      </c>
      <c r="F550" s="1" t="s">
        <v>33</v>
      </c>
      <c r="G550" s="1" t="s">
        <v>15</v>
      </c>
      <c r="H550" s="1">
        <v>48</v>
      </c>
      <c r="I550" s="1" t="s">
        <v>126</v>
      </c>
      <c r="J550" s="3">
        <v>0.65</v>
      </c>
      <c r="K550" s="4">
        <v>5250</v>
      </c>
      <c r="L550" s="5">
        <f t="shared" si="4"/>
        <v>3412.5</v>
      </c>
      <c r="M550" s="5">
        <f t="shared" si="5"/>
        <v>1365</v>
      </c>
      <c r="N550" s="6">
        <v>0.4</v>
      </c>
    </row>
    <row r="551" spans="1:14" ht="15.75" customHeight="1" x14ac:dyDescent="0.45">
      <c r="A551" s="1" t="s">
        <v>121</v>
      </c>
      <c r="B551" s="1">
        <v>1128299</v>
      </c>
      <c r="C551" s="2">
        <v>44788</v>
      </c>
      <c r="D551" s="1" t="s">
        <v>22</v>
      </c>
      <c r="E551" s="1" t="s">
        <v>32</v>
      </c>
      <c r="F551" s="1" t="s">
        <v>33</v>
      </c>
      <c r="G551" s="1" t="s">
        <v>16</v>
      </c>
      <c r="H551" s="1">
        <v>46</v>
      </c>
      <c r="I551" s="1" t="s">
        <v>124</v>
      </c>
      <c r="J551" s="3">
        <v>0.65</v>
      </c>
      <c r="K551" s="4">
        <v>4750</v>
      </c>
      <c r="L551" s="5">
        <f t="shared" si="4"/>
        <v>3087.5</v>
      </c>
      <c r="M551" s="5">
        <f t="shared" si="5"/>
        <v>1080.625</v>
      </c>
      <c r="N551" s="6">
        <v>0.35</v>
      </c>
    </row>
    <row r="552" spans="1:14" ht="15.75" customHeight="1" x14ac:dyDescent="0.45">
      <c r="A552" s="1" t="s">
        <v>121</v>
      </c>
      <c r="B552" s="1">
        <v>1128299</v>
      </c>
      <c r="C552" s="2">
        <v>44788</v>
      </c>
      <c r="D552" s="1" t="s">
        <v>22</v>
      </c>
      <c r="E552" s="1" t="s">
        <v>32</v>
      </c>
      <c r="F552" s="1" t="s">
        <v>33</v>
      </c>
      <c r="G552" s="1" t="s">
        <v>17</v>
      </c>
      <c r="H552" s="1">
        <v>24</v>
      </c>
      <c r="I552" s="1" t="s">
        <v>123</v>
      </c>
      <c r="J552" s="3">
        <v>0.75</v>
      </c>
      <c r="K552" s="4">
        <v>4750</v>
      </c>
      <c r="L552" s="5">
        <f t="shared" si="4"/>
        <v>3562.5</v>
      </c>
      <c r="M552" s="5">
        <f t="shared" si="5"/>
        <v>1959.3750000000002</v>
      </c>
      <c r="N552" s="6">
        <v>0.55000000000000004</v>
      </c>
    </row>
    <row r="553" spans="1:14" ht="15.75" customHeight="1" x14ac:dyDescent="0.45">
      <c r="A553" s="1" t="s">
        <v>121</v>
      </c>
      <c r="B553" s="1">
        <v>1128299</v>
      </c>
      <c r="C553" s="2">
        <v>44788</v>
      </c>
      <c r="D553" s="1" t="s">
        <v>22</v>
      </c>
      <c r="E553" s="1" t="s">
        <v>32</v>
      </c>
      <c r="F553" s="1" t="s">
        <v>33</v>
      </c>
      <c r="G553" s="1" t="s">
        <v>18</v>
      </c>
      <c r="H553" s="1">
        <v>34</v>
      </c>
      <c r="I553" s="1" t="s">
        <v>123</v>
      </c>
      <c r="J553" s="3">
        <v>0.8</v>
      </c>
      <c r="K553" s="4">
        <v>4000</v>
      </c>
      <c r="L553" s="5">
        <f t="shared" si="4"/>
        <v>3200</v>
      </c>
      <c r="M553" s="5">
        <f t="shared" si="5"/>
        <v>640</v>
      </c>
      <c r="N553" s="6">
        <v>0.2</v>
      </c>
    </row>
    <row r="554" spans="1:14" ht="15.75" customHeight="1" x14ac:dyDescent="0.45">
      <c r="A554" s="1" t="s">
        <v>121</v>
      </c>
      <c r="B554" s="1">
        <v>1128299</v>
      </c>
      <c r="C554" s="2">
        <v>44820</v>
      </c>
      <c r="D554" s="1" t="s">
        <v>22</v>
      </c>
      <c r="E554" s="1" t="s">
        <v>32</v>
      </c>
      <c r="F554" s="1" t="s">
        <v>33</v>
      </c>
      <c r="G554" s="1" t="s">
        <v>13</v>
      </c>
      <c r="H554" s="1">
        <v>20</v>
      </c>
      <c r="I554" s="1" t="s">
        <v>124</v>
      </c>
      <c r="J554" s="3">
        <v>0.60000000000000009</v>
      </c>
      <c r="K554" s="4">
        <v>6000</v>
      </c>
      <c r="L554" s="5">
        <f t="shared" si="4"/>
        <v>3600.0000000000005</v>
      </c>
      <c r="M554" s="5">
        <f t="shared" si="5"/>
        <v>1260.0000000000002</v>
      </c>
      <c r="N554" s="6">
        <v>0.35000000000000003</v>
      </c>
    </row>
    <row r="555" spans="1:14" ht="15.75" customHeight="1" x14ac:dyDescent="0.45">
      <c r="A555" s="1" t="s">
        <v>121</v>
      </c>
      <c r="B555" s="1">
        <v>1128299</v>
      </c>
      <c r="C555" s="2">
        <v>44820</v>
      </c>
      <c r="D555" s="1" t="s">
        <v>22</v>
      </c>
      <c r="E555" s="1" t="s">
        <v>32</v>
      </c>
      <c r="F555" s="1" t="s">
        <v>33</v>
      </c>
      <c r="G555" s="1" t="s">
        <v>14</v>
      </c>
      <c r="H555" s="1">
        <v>59</v>
      </c>
      <c r="I555" s="1" t="s">
        <v>124</v>
      </c>
      <c r="J555" s="3">
        <v>0.65000000000000013</v>
      </c>
      <c r="K555" s="4">
        <v>6000</v>
      </c>
      <c r="L555" s="5">
        <f t="shared" si="4"/>
        <v>3900.0000000000009</v>
      </c>
      <c r="M555" s="5">
        <f t="shared" si="5"/>
        <v>780.00000000000023</v>
      </c>
      <c r="N555" s="6">
        <v>0.2</v>
      </c>
    </row>
    <row r="556" spans="1:14" ht="15.75" customHeight="1" x14ac:dyDescent="0.45">
      <c r="A556" s="1" t="s">
        <v>121</v>
      </c>
      <c r="B556" s="1">
        <v>1128299</v>
      </c>
      <c r="C556" s="2">
        <v>44820</v>
      </c>
      <c r="D556" s="1" t="s">
        <v>22</v>
      </c>
      <c r="E556" s="1" t="s">
        <v>32</v>
      </c>
      <c r="F556" s="1" t="s">
        <v>33</v>
      </c>
      <c r="G556" s="1" t="s">
        <v>15</v>
      </c>
      <c r="H556" s="1">
        <v>32</v>
      </c>
      <c r="I556" s="1" t="s">
        <v>124</v>
      </c>
      <c r="J556" s="3">
        <v>0.60000000000000009</v>
      </c>
      <c r="K556" s="4">
        <v>4500</v>
      </c>
      <c r="L556" s="5">
        <f t="shared" si="4"/>
        <v>2700.0000000000005</v>
      </c>
      <c r="M556" s="5">
        <f t="shared" si="5"/>
        <v>945.00000000000023</v>
      </c>
      <c r="N556" s="6">
        <v>0.35000000000000003</v>
      </c>
    </row>
    <row r="557" spans="1:14" ht="15.75" customHeight="1" x14ac:dyDescent="0.45">
      <c r="A557" s="1" t="s">
        <v>121</v>
      </c>
      <c r="B557" s="1">
        <v>1128299</v>
      </c>
      <c r="C557" s="2">
        <v>44820</v>
      </c>
      <c r="D557" s="1" t="s">
        <v>22</v>
      </c>
      <c r="E557" s="1" t="s">
        <v>32</v>
      </c>
      <c r="F557" s="1" t="s">
        <v>33</v>
      </c>
      <c r="G557" s="1" t="s">
        <v>16</v>
      </c>
      <c r="H557" s="1">
        <v>47</v>
      </c>
      <c r="I557" s="1" t="s">
        <v>123</v>
      </c>
      <c r="J557" s="3">
        <v>0.60000000000000009</v>
      </c>
      <c r="K557" s="4">
        <v>4000</v>
      </c>
      <c r="L557" s="5">
        <f t="shared" si="4"/>
        <v>2400.0000000000005</v>
      </c>
      <c r="M557" s="5">
        <f t="shared" si="5"/>
        <v>720.00000000000011</v>
      </c>
      <c r="N557" s="6">
        <v>0.3</v>
      </c>
    </row>
    <row r="558" spans="1:14" ht="15.75" customHeight="1" x14ac:dyDescent="0.45">
      <c r="A558" s="1" t="s">
        <v>121</v>
      </c>
      <c r="B558" s="1">
        <v>1128299</v>
      </c>
      <c r="C558" s="2">
        <v>44820</v>
      </c>
      <c r="D558" s="1" t="s">
        <v>22</v>
      </c>
      <c r="E558" s="1" t="s">
        <v>32</v>
      </c>
      <c r="F558" s="1" t="s">
        <v>33</v>
      </c>
      <c r="G558" s="1" t="s">
        <v>17</v>
      </c>
      <c r="H558" s="1">
        <v>57</v>
      </c>
      <c r="I558" s="1" t="s">
        <v>125</v>
      </c>
      <c r="J558" s="3">
        <v>0.70000000000000007</v>
      </c>
      <c r="K558" s="4">
        <v>4000</v>
      </c>
      <c r="L558" s="5">
        <f t="shared" si="4"/>
        <v>2800.0000000000005</v>
      </c>
      <c r="M558" s="5">
        <f t="shared" si="5"/>
        <v>1400.0000000000005</v>
      </c>
      <c r="N558" s="6">
        <v>0.50000000000000011</v>
      </c>
    </row>
    <row r="559" spans="1:14" ht="15.75" customHeight="1" x14ac:dyDescent="0.45">
      <c r="A559" s="1" t="s">
        <v>121</v>
      </c>
      <c r="B559" s="1">
        <v>1128299</v>
      </c>
      <c r="C559" s="2">
        <v>44820</v>
      </c>
      <c r="D559" s="1" t="s">
        <v>22</v>
      </c>
      <c r="E559" s="1" t="s">
        <v>32</v>
      </c>
      <c r="F559" s="1" t="s">
        <v>33</v>
      </c>
      <c r="G559" s="1" t="s">
        <v>18</v>
      </c>
      <c r="H559" s="1">
        <v>39</v>
      </c>
      <c r="I559" s="1" t="s">
        <v>125</v>
      </c>
      <c r="J559" s="3">
        <v>0.75000000000000011</v>
      </c>
      <c r="K559" s="4">
        <v>4500</v>
      </c>
      <c r="L559" s="5">
        <f t="shared" si="4"/>
        <v>3375.0000000000005</v>
      </c>
      <c r="M559" s="5">
        <f t="shared" si="5"/>
        <v>506.25000000000017</v>
      </c>
      <c r="N559" s="6">
        <v>0.15000000000000002</v>
      </c>
    </row>
    <row r="560" spans="1:14" ht="15.75" customHeight="1" x14ac:dyDescent="0.45">
      <c r="A560" s="1" t="s">
        <v>121</v>
      </c>
      <c r="B560" s="1">
        <v>1128299</v>
      </c>
      <c r="C560" s="2">
        <v>44849</v>
      </c>
      <c r="D560" s="1" t="s">
        <v>22</v>
      </c>
      <c r="E560" s="1" t="s">
        <v>32</v>
      </c>
      <c r="F560" s="1" t="s">
        <v>33</v>
      </c>
      <c r="G560" s="1" t="s">
        <v>13</v>
      </c>
      <c r="H560" s="1">
        <v>47</v>
      </c>
      <c r="I560" s="1" t="s">
        <v>123</v>
      </c>
      <c r="J560" s="3">
        <v>0.60000000000000009</v>
      </c>
      <c r="K560" s="4">
        <v>5500</v>
      </c>
      <c r="L560" s="5">
        <f t="shared" si="4"/>
        <v>3300.0000000000005</v>
      </c>
      <c r="M560" s="5">
        <f t="shared" si="5"/>
        <v>1155.0000000000002</v>
      </c>
      <c r="N560" s="6">
        <v>0.35000000000000003</v>
      </c>
    </row>
    <row r="561" spans="1:14" ht="15.75" customHeight="1" x14ac:dyDescent="0.45">
      <c r="A561" s="1" t="s">
        <v>121</v>
      </c>
      <c r="B561" s="1">
        <v>1128299</v>
      </c>
      <c r="C561" s="2">
        <v>44849</v>
      </c>
      <c r="D561" s="1" t="s">
        <v>22</v>
      </c>
      <c r="E561" s="1" t="s">
        <v>32</v>
      </c>
      <c r="F561" s="1" t="s">
        <v>33</v>
      </c>
      <c r="G561" s="1" t="s">
        <v>14</v>
      </c>
      <c r="H561" s="1">
        <v>23</v>
      </c>
      <c r="I561" s="1" t="s">
        <v>126</v>
      </c>
      <c r="J561" s="3">
        <v>0.65000000000000013</v>
      </c>
      <c r="K561" s="4">
        <v>5500</v>
      </c>
      <c r="L561" s="5">
        <f t="shared" si="4"/>
        <v>3575.0000000000009</v>
      </c>
      <c r="M561" s="5">
        <f t="shared" si="5"/>
        <v>715.00000000000023</v>
      </c>
      <c r="N561" s="6">
        <v>0.2</v>
      </c>
    </row>
    <row r="562" spans="1:14" ht="15.75" customHeight="1" x14ac:dyDescent="0.45">
      <c r="A562" s="1" t="s">
        <v>121</v>
      </c>
      <c r="B562" s="1">
        <v>1128299</v>
      </c>
      <c r="C562" s="2">
        <v>44849</v>
      </c>
      <c r="D562" s="1" t="s">
        <v>22</v>
      </c>
      <c r="E562" s="1" t="s">
        <v>32</v>
      </c>
      <c r="F562" s="1" t="s">
        <v>33</v>
      </c>
      <c r="G562" s="1" t="s">
        <v>15</v>
      </c>
      <c r="H562" s="1">
        <v>17</v>
      </c>
      <c r="I562" s="1" t="s">
        <v>126</v>
      </c>
      <c r="J562" s="3">
        <v>0.60000000000000009</v>
      </c>
      <c r="K562" s="4">
        <v>3750</v>
      </c>
      <c r="L562" s="5">
        <f t="shared" si="4"/>
        <v>2250.0000000000005</v>
      </c>
      <c r="M562" s="5">
        <f t="shared" si="5"/>
        <v>787.50000000000023</v>
      </c>
      <c r="N562" s="6">
        <v>0.35000000000000003</v>
      </c>
    </row>
    <row r="563" spans="1:14" ht="15.75" customHeight="1" x14ac:dyDescent="0.45">
      <c r="A563" s="1" t="s">
        <v>121</v>
      </c>
      <c r="B563" s="1">
        <v>1128299</v>
      </c>
      <c r="C563" s="2">
        <v>44849</v>
      </c>
      <c r="D563" s="1" t="s">
        <v>22</v>
      </c>
      <c r="E563" s="1" t="s">
        <v>32</v>
      </c>
      <c r="F563" s="1" t="s">
        <v>33</v>
      </c>
      <c r="G563" s="1" t="s">
        <v>16</v>
      </c>
      <c r="H563" s="1">
        <v>48</v>
      </c>
      <c r="I563" s="1" t="s">
        <v>124</v>
      </c>
      <c r="J563" s="3">
        <v>0.60000000000000009</v>
      </c>
      <c r="K563" s="4">
        <v>3500</v>
      </c>
      <c r="L563" s="5">
        <f t="shared" si="4"/>
        <v>2100.0000000000005</v>
      </c>
      <c r="M563" s="5">
        <f t="shared" si="5"/>
        <v>630.00000000000011</v>
      </c>
      <c r="N563" s="6">
        <v>0.3</v>
      </c>
    </row>
    <row r="564" spans="1:14" ht="15.75" customHeight="1" x14ac:dyDescent="0.45">
      <c r="A564" s="1" t="s">
        <v>121</v>
      </c>
      <c r="B564" s="1">
        <v>1128299</v>
      </c>
      <c r="C564" s="2">
        <v>44849</v>
      </c>
      <c r="D564" s="1" t="s">
        <v>22</v>
      </c>
      <c r="E564" s="1" t="s">
        <v>32</v>
      </c>
      <c r="F564" s="1" t="s">
        <v>33</v>
      </c>
      <c r="G564" s="1" t="s">
        <v>17</v>
      </c>
      <c r="H564" s="1">
        <v>60</v>
      </c>
      <c r="I564" s="1" t="s">
        <v>126</v>
      </c>
      <c r="J564" s="3">
        <v>0.70000000000000007</v>
      </c>
      <c r="K564" s="4">
        <v>3250</v>
      </c>
      <c r="L564" s="5">
        <f t="shared" si="4"/>
        <v>2275</v>
      </c>
      <c r="M564" s="5">
        <f t="shared" si="5"/>
        <v>1137.5000000000002</v>
      </c>
      <c r="N564" s="6">
        <v>0.50000000000000011</v>
      </c>
    </row>
    <row r="565" spans="1:14" ht="15.75" customHeight="1" x14ac:dyDescent="0.45">
      <c r="A565" s="1" t="s">
        <v>121</v>
      </c>
      <c r="B565" s="1">
        <v>1128299</v>
      </c>
      <c r="C565" s="2">
        <v>44849</v>
      </c>
      <c r="D565" s="1" t="s">
        <v>22</v>
      </c>
      <c r="E565" s="1" t="s">
        <v>32</v>
      </c>
      <c r="F565" s="1" t="s">
        <v>33</v>
      </c>
      <c r="G565" s="1" t="s">
        <v>18</v>
      </c>
      <c r="H565" s="1">
        <v>36</v>
      </c>
      <c r="I565" s="1" t="s">
        <v>126</v>
      </c>
      <c r="J565" s="3">
        <v>0.75000000000000011</v>
      </c>
      <c r="K565" s="4">
        <v>3750</v>
      </c>
      <c r="L565" s="5">
        <f t="shared" si="4"/>
        <v>2812.5000000000005</v>
      </c>
      <c r="M565" s="5">
        <f t="shared" si="5"/>
        <v>421.87500000000011</v>
      </c>
      <c r="N565" s="6">
        <v>0.15000000000000002</v>
      </c>
    </row>
    <row r="566" spans="1:14" ht="15.75" customHeight="1" x14ac:dyDescent="0.45">
      <c r="A566" s="1" t="s">
        <v>121</v>
      </c>
      <c r="B566" s="1">
        <v>1128299</v>
      </c>
      <c r="C566" s="2">
        <v>44880</v>
      </c>
      <c r="D566" s="1" t="s">
        <v>22</v>
      </c>
      <c r="E566" s="1" t="s">
        <v>32</v>
      </c>
      <c r="F566" s="1" t="s">
        <v>33</v>
      </c>
      <c r="G566" s="1" t="s">
        <v>13</v>
      </c>
      <c r="H566" s="1">
        <v>27</v>
      </c>
      <c r="I566" s="1" t="s">
        <v>125</v>
      </c>
      <c r="J566" s="3">
        <v>0.60000000000000009</v>
      </c>
      <c r="K566" s="4">
        <v>5750</v>
      </c>
      <c r="L566" s="5">
        <f t="shared" si="4"/>
        <v>3450.0000000000005</v>
      </c>
      <c r="M566" s="5">
        <f t="shared" si="5"/>
        <v>1207.5000000000002</v>
      </c>
      <c r="N566" s="6">
        <v>0.35000000000000003</v>
      </c>
    </row>
    <row r="567" spans="1:14" ht="15.75" customHeight="1" x14ac:dyDescent="0.45">
      <c r="A567" s="1" t="s">
        <v>121</v>
      </c>
      <c r="B567" s="1">
        <v>1128299</v>
      </c>
      <c r="C567" s="2">
        <v>44880</v>
      </c>
      <c r="D567" s="1" t="s">
        <v>22</v>
      </c>
      <c r="E567" s="1" t="s">
        <v>32</v>
      </c>
      <c r="F567" s="1" t="s">
        <v>33</v>
      </c>
      <c r="G567" s="1" t="s">
        <v>14</v>
      </c>
      <c r="H567" s="1">
        <v>46</v>
      </c>
      <c r="I567" s="1" t="s">
        <v>123</v>
      </c>
      <c r="J567" s="3">
        <v>0.65000000000000013</v>
      </c>
      <c r="K567" s="4">
        <v>5750</v>
      </c>
      <c r="L567" s="5">
        <f t="shared" si="4"/>
        <v>3737.5000000000009</v>
      </c>
      <c r="M567" s="5">
        <f t="shared" si="5"/>
        <v>747.50000000000023</v>
      </c>
      <c r="N567" s="6">
        <v>0.2</v>
      </c>
    </row>
    <row r="568" spans="1:14" ht="15.75" customHeight="1" x14ac:dyDescent="0.45">
      <c r="A568" s="1" t="s">
        <v>121</v>
      </c>
      <c r="B568" s="1">
        <v>1128299</v>
      </c>
      <c r="C568" s="2">
        <v>44880</v>
      </c>
      <c r="D568" s="1" t="s">
        <v>22</v>
      </c>
      <c r="E568" s="1" t="s">
        <v>32</v>
      </c>
      <c r="F568" s="1" t="s">
        <v>33</v>
      </c>
      <c r="G568" s="1" t="s">
        <v>15</v>
      </c>
      <c r="H568" s="1">
        <v>34</v>
      </c>
      <c r="I568" s="1" t="s">
        <v>125</v>
      </c>
      <c r="J568" s="3">
        <v>0.60000000000000009</v>
      </c>
      <c r="K568" s="4">
        <v>4250</v>
      </c>
      <c r="L568" s="5">
        <f t="shared" si="4"/>
        <v>2550.0000000000005</v>
      </c>
      <c r="M568" s="5">
        <f t="shared" si="5"/>
        <v>892.50000000000023</v>
      </c>
      <c r="N568" s="6">
        <v>0.35000000000000003</v>
      </c>
    </row>
    <row r="569" spans="1:14" ht="15.75" customHeight="1" x14ac:dyDescent="0.45">
      <c r="A569" s="1" t="s">
        <v>121</v>
      </c>
      <c r="B569" s="1">
        <v>1128299</v>
      </c>
      <c r="C569" s="2">
        <v>44880</v>
      </c>
      <c r="D569" s="1" t="s">
        <v>22</v>
      </c>
      <c r="E569" s="1" t="s">
        <v>32</v>
      </c>
      <c r="F569" s="1" t="s">
        <v>33</v>
      </c>
      <c r="G569" s="1" t="s">
        <v>16</v>
      </c>
      <c r="H569" s="1">
        <v>21</v>
      </c>
      <c r="I569" s="1" t="s">
        <v>123</v>
      </c>
      <c r="J569" s="3">
        <v>0.60000000000000009</v>
      </c>
      <c r="K569" s="4">
        <v>4000</v>
      </c>
      <c r="L569" s="5">
        <f t="shared" si="4"/>
        <v>2400.0000000000005</v>
      </c>
      <c r="M569" s="5">
        <f t="shared" si="5"/>
        <v>720.00000000000011</v>
      </c>
      <c r="N569" s="6">
        <v>0.3</v>
      </c>
    </row>
    <row r="570" spans="1:14" ht="15.75" customHeight="1" x14ac:dyDescent="0.45">
      <c r="A570" s="1" t="s">
        <v>121</v>
      </c>
      <c r="B570" s="1">
        <v>1128299</v>
      </c>
      <c r="C570" s="2">
        <v>44880</v>
      </c>
      <c r="D570" s="1" t="s">
        <v>22</v>
      </c>
      <c r="E570" s="1" t="s">
        <v>32</v>
      </c>
      <c r="F570" s="1" t="s">
        <v>33</v>
      </c>
      <c r="G570" s="1" t="s">
        <v>17</v>
      </c>
      <c r="H570" s="1">
        <v>29</v>
      </c>
      <c r="I570" s="1" t="s">
        <v>124</v>
      </c>
      <c r="J570" s="3">
        <v>0.70000000000000007</v>
      </c>
      <c r="K570" s="4">
        <v>3500</v>
      </c>
      <c r="L570" s="5">
        <f t="shared" si="4"/>
        <v>2450.0000000000005</v>
      </c>
      <c r="M570" s="5">
        <f t="shared" si="5"/>
        <v>1225.0000000000005</v>
      </c>
      <c r="N570" s="6">
        <v>0.50000000000000011</v>
      </c>
    </row>
    <row r="571" spans="1:14" ht="15.75" customHeight="1" x14ac:dyDescent="0.45">
      <c r="A571" s="1" t="s">
        <v>121</v>
      </c>
      <c r="B571" s="1">
        <v>1128299</v>
      </c>
      <c r="C571" s="2">
        <v>44880</v>
      </c>
      <c r="D571" s="1" t="s">
        <v>22</v>
      </c>
      <c r="E571" s="1" t="s">
        <v>32</v>
      </c>
      <c r="F571" s="1" t="s">
        <v>33</v>
      </c>
      <c r="G571" s="1" t="s">
        <v>18</v>
      </c>
      <c r="H571" s="1">
        <v>22</v>
      </c>
      <c r="I571" s="1" t="s">
        <v>124</v>
      </c>
      <c r="J571" s="3">
        <v>0.75000000000000011</v>
      </c>
      <c r="K571" s="4">
        <v>4750</v>
      </c>
      <c r="L571" s="5">
        <f t="shared" si="4"/>
        <v>3562.5000000000005</v>
      </c>
      <c r="M571" s="5">
        <f t="shared" si="5"/>
        <v>534.37500000000011</v>
      </c>
      <c r="N571" s="6">
        <v>0.15000000000000002</v>
      </c>
    </row>
    <row r="572" spans="1:14" ht="15.75" customHeight="1" x14ac:dyDescent="0.45">
      <c r="A572" s="1" t="s">
        <v>121</v>
      </c>
      <c r="B572" s="1">
        <v>1128299</v>
      </c>
      <c r="C572" s="2">
        <v>44909</v>
      </c>
      <c r="D572" s="1" t="s">
        <v>22</v>
      </c>
      <c r="E572" s="1" t="s">
        <v>32</v>
      </c>
      <c r="F572" s="1" t="s">
        <v>33</v>
      </c>
      <c r="G572" s="1" t="s">
        <v>13</v>
      </c>
      <c r="H572" s="1">
        <v>30</v>
      </c>
      <c r="I572" s="1" t="s">
        <v>126</v>
      </c>
      <c r="J572" s="3">
        <v>0.60000000000000009</v>
      </c>
      <c r="K572" s="4">
        <v>6750</v>
      </c>
      <c r="L572" s="5">
        <f t="shared" si="4"/>
        <v>4050.0000000000005</v>
      </c>
      <c r="M572" s="5">
        <f t="shared" si="5"/>
        <v>1417.5000000000002</v>
      </c>
      <c r="N572" s="6">
        <v>0.35000000000000003</v>
      </c>
    </row>
    <row r="573" spans="1:14" ht="15.75" customHeight="1" x14ac:dyDescent="0.45">
      <c r="A573" s="1" t="s">
        <v>121</v>
      </c>
      <c r="B573" s="1">
        <v>1128299</v>
      </c>
      <c r="C573" s="2">
        <v>44909</v>
      </c>
      <c r="D573" s="1" t="s">
        <v>22</v>
      </c>
      <c r="E573" s="1" t="s">
        <v>32</v>
      </c>
      <c r="F573" s="1" t="s">
        <v>33</v>
      </c>
      <c r="G573" s="1" t="s">
        <v>14</v>
      </c>
      <c r="H573" s="1">
        <v>52</v>
      </c>
      <c r="I573" s="1" t="s">
        <v>124</v>
      </c>
      <c r="J573" s="3">
        <v>0.65000000000000013</v>
      </c>
      <c r="K573" s="4">
        <v>6750</v>
      </c>
      <c r="L573" s="5">
        <f t="shared" si="4"/>
        <v>4387.5000000000009</v>
      </c>
      <c r="M573" s="5">
        <f t="shared" si="5"/>
        <v>877.50000000000023</v>
      </c>
      <c r="N573" s="6">
        <v>0.2</v>
      </c>
    </row>
    <row r="574" spans="1:14" ht="15.75" customHeight="1" x14ac:dyDescent="0.45">
      <c r="A574" s="1" t="s">
        <v>121</v>
      </c>
      <c r="B574" s="1">
        <v>1128299</v>
      </c>
      <c r="C574" s="2">
        <v>44909</v>
      </c>
      <c r="D574" s="1" t="s">
        <v>22</v>
      </c>
      <c r="E574" s="1" t="s">
        <v>32</v>
      </c>
      <c r="F574" s="1" t="s">
        <v>33</v>
      </c>
      <c r="G574" s="1" t="s">
        <v>15</v>
      </c>
      <c r="H574" s="1">
        <v>47</v>
      </c>
      <c r="I574" s="1" t="s">
        <v>126</v>
      </c>
      <c r="J574" s="3">
        <v>0.60000000000000009</v>
      </c>
      <c r="K574" s="4">
        <v>4750</v>
      </c>
      <c r="L574" s="5">
        <f t="shared" si="4"/>
        <v>2850.0000000000005</v>
      </c>
      <c r="M574" s="5">
        <f t="shared" si="5"/>
        <v>997.50000000000023</v>
      </c>
      <c r="N574" s="6">
        <v>0.35000000000000003</v>
      </c>
    </row>
    <row r="575" spans="1:14" ht="15.75" customHeight="1" x14ac:dyDescent="0.45">
      <c r="A575" s="1" t="s">
        <v>121</v>
      </c>
      <c r="B575" s="1">
        <v>1128299</v>
      </c>
      <c r="C575" s="2">
        <v>44909</v>
      </c>
      <c r="D575" s="1" t="s">
        <v>22</v>
      </c>
      <c r="E575" s="1" t="s">
        <v>32</v>
      </c>
      <c r="F575" s="1" t="s">
        <v>33</v>
      </c>
      <c r="G575" s="1" t="s">
        <v>16</v>
      </c>
      <c r="H575" s="1">
        <v>47</v>
      </c>
      <c r="I575" s="1" t="s">
        <v>126</v>
      </c>
      <c r="J575" s="3">
        <v>0.60000000000000009</v>
      </c>
      <c r="K575" s="4">
        <v>4750</v>
      </c>
      <c r="L575" s="5">
        <f t="shared" si="4"/>
        <v>2850.0000000000005</v>
      </c>
      <c r="M575" s="5">
        <f t="shared" si="5"/>
        <v>855.00000000000011</v>
      </c>
      <c r="N575" s="6">
        <v>0.3</v>
      </c>
    </row>
    <row r="576" spans="1:14" ht="15.75" customHeight="1" x14ac:dyDescent="0.45">
      <c r="A576" s="1" t="s">
        <v>121</v>
      </c>
      <c r="B576" s="1">
        <v>1128299</v>
      </c>
      <c r="C576" s="2">
        <v>44909</v>
      </c>
      <c r="D576" s="1" t="s">
        <v>22</v>
      </c>
      <c r="E576" s="1" t="s">
        <v>32</v>
      </c>
      <c r="F576" s="1" t="s">
        <v>33</v>
      </c>
      <c r="G576" s="1" t="s">
        <v>17</v>
      </c>
      <c r="H576" s="1">
        <v>19</v>
      </c>
      <c r="I576" s="1" t="s">
        <v>124</v>
      </c>
      <c r="J576" s="3">
        <v>0.70000000000000007</v>
      </c>
      <c r="K576" s="4">
        <v>4000</v>
      </c>
      <c r="L576" s="5">
        <f t="shared" si="4"/>
        <v>2800.0000000000005</v>
      </c>
      <c r="M576" s="5">
        <f t="shared" si="5"/>
        <v>1400.0000000000005</v>
      </c>
      <c r="N576" s="6">
        <v>0.50000000000000011</v>
      </c>
    </row>
    <row r="577" spans="1:14" ht="15.75" customHeight="1" x14ac:dyDescent="0.45">
      <c r="A577" s="1" t="s">
        <v>121</v>
      </c>
      <c r="B577" s="1">
        <v>1128299</v>
      </c>
      <c r="C577" s="2">
        <v>44909</v>
      </c>
      <c r="D577" s="1" t="s">
        <v>22</v>
      </c>
      <c r="E577" s="1" t="s">
        <v>32</v>
      </c>
      <c r="F577" s="1" t="s">
        <v>33</v>
      </c>
      <c r="G577" s="1" t="s">
        <v>18</v>
      </c>
      <c r="H577" s="1">
        <v>35</v>
      </c>
      <c r="I577" s="1" t="s">
        <v>126</v>
      </c>
      <c r="J577" s="3">
        <v>0.75000000000000011</v>
      </c>
      <c r="K577" s="4">
        <v>5000</v>
      </c>
      <c r="L577" s="5">
        <f t="shared" si="4"/>
        <v>3750.0000000000005</v>
      </c>
      <c r="M577" s="5">
        <f t="shared" si="5"/>
        <v>562.50000000000011</v>
      </c>
      <c r="N577" s="6">
        <v>0.15000000000000002</v>
      </c>
    </row>
    <row r="578" spans="1:14" ht="15.75" customHeight="1" x14ac:dyDescent="0.45">
      <c r="A578" s="1" t="s">
        <v>121</v>
      </c>
      <c r="B578" s="1">
        <v>1128299</v>
      </c>
      <c r="C578" s="2">
        <v>44566</v>
      </c>
      <c r="D578" s="1" t="s">
        <v>22</v>
      </c>
      <c r="E578" s="1" t="s">
        <v>34</v>
      </c>
      <c r="F578" s="1" t="s">
        <v>35</v>
      </c>
      <c r="G578" s="1" t="s">
        <v>13</v>
      </c>
      <c r="H578" s="1">
        <v>36</v>
      </c>
      <c r="I578" s="1" t="s">
        <v>126</v>
      </c>
      <c r="J578" s="3">
        <v>0.3</v>
      </c>
      <c r="K578" s="4">
        <v>4250</v>
      </c>
      <c r="L578" s="5">
        <f t="shared" si="4"/>
        <v>1275</v>
      </c>
      <c r="M578" s="5">
        <f t="shared" si="5"/>
        <v>446.25000000000006</v>
      </c>
      <c r="N578" s="6">
        <v>0.35000000000000003</v>
      </c>
    </row>
    <row r="579" spans="1:14" ht="15.75" customHeight="1" x14ac:dyDescent="0.45">
      <c r="A579" s="1" t="s">
        <v>121</v>
      </c>
      <c r="B579" s="1">
        <v>1128299</v>
      </c>
      <c r="C579" s="2">
        <v>44566</v>
      </c>
      <c r="D579" s="1" t="s">
        <v>22</v>
      </c>
      <c r="E579" s="1" t="s">
        <v>34</v>
      </c>
      <c r="F579" s="1" t="s">
        <v>35</v>
      </c>
      <c r="G579" s="1" t="s">
        <v>14</v>
      </c>
      <c r="H579" s="1">
        <v>30</v>
      </c>
      <c r="I579" s="1" t="s">
        <v>124</v>
      </c>
      <c r="J579" s="3">
        <v>0.4</v>
      </c>
      <c r="K579" s="4">
        <v>4250</v>
      </c>
      <c r="L579" s="5">
        <f t="shared" si="4"/>
        <v>1700</v>
      </c>
      <c r="M579" s="5">
        <f t="shared" si="5"/>
        <v>340</v>
      </c>
      <c r="N579" s="6">
        <v>0.2</v>
      </c>
    </row>
    <row r="580" spans="1:14" ht="15.75" customHeight="1" x14ac:dyDescent="0.45">
      <c r="A580" s="1" t="s">
        <v>121</v>
      </c>
      <c r="B580" s="1">
        <v>1128299</v>
      </c>
      <c r="C580" s="2">
        <v>44566</v>
      </c>
      <c r="D580" s="1" t="s">
        <v>22</v>
      </c>
      <c r="E580" s="1" t="s">
        <v>34</v>
      </c>
      <c r="F580" s="1" t="s">
        <v>35</v>
      </c>
      <c r="G580" s="1" t="s">
        <v>15</v>
      </c>
      <c r="H580" s="1">
        <v>48</v>
      </c>
      <c r="I580" s="1" t="s">
        <v>125</v>
      </c>
      <c r="J580" s="3">
        <v>0.4</v>
      </c>
      <c r="K580" s="4">
        <v>4250</v>
      </c>
      <c r="L580" s="5">
        <f t="shared" si="4"/>
        <v>1700</v>
      </c>
      <c r="M580" s="5">
        <f t="shared" si="5"/>
        <v>595</v>
      </c>
      <c r="N580" s="6">
        <v>0.35000000000000003</v>
      </c>
    </row>
    <row r="581" spans="1:14" ht="15.75" customHeight="1" x14ac:dyDescent="0.45">
      <c r="A581" s="1" t="s">
        <v>121</v>
      </c>
      <c r="B581" s="1">
        <v>1128299</v>
      </c>
      <c r="C581" s="2">
        <v>44566</v>
      </c>
      <c r="D581" s="1" t="s">
        <v>22</v>
      </c>
      <c r="E581" s="1" t="s">
        <v>34</v>
      </c>
      <c r="F581" s="1" t="s">
        <v>35</v>
      </c>
      <c r="G581" s="1" t="s">
        <v>16</v>
      </c>
      <c r="H581" s="1">
        <v>59</v>
      </c>
      <c r="I581" s="1" t="s">
        <v>126</v>
      </c>
      <c r="J581" s="3">
        <v>0.4</v>
      </c>
      <c r="K581" s="4">
        <v>2750</v>
      </c>
      <c r="L581" s="5">
        <f t="shared" si="4"/>
        <v>1100</v>
      </c>
      <c r="M581" s="5">
        <f t="shared" si="5"/>
        <v>330</v>
      </c>
      <c r="N581" s="6">
        <v>0.3</v>
      </c>
    </row>
    <row r="582" spans="1:14" ht="15.75" customHeight="1" x14ac:dyDescent="0.45">
      <c r="A582" s="1" t="s">
        <v>121</v>
      </c>
      <c r="B582" s="1">
        <v>1128299</v>
      </c>
      <c r="C582" s="2">
        <v>44566</v>
      </c>
      <c r="D582" s="1" t="s">
        <v>22</v>
      </c>
      <c r="E582" s="1" t="s">
        <v>34</v>
      </c>
      <c r="F582" s="1" t="s">
        <v>35</v>
      </c>
      <c r="G582" s="1" t="s">
        <v>17</v>
      </c>
      <c r="H582" s="1">
        <v>57</v>
      </c>
      <c r="I582" s="1" t="s">
        <v>125</v>
      </c>
      <c r="J582" s="3">
        <v>0.45</v>
      </c>
      <c r="K582" s="4">
        <v>2250</v>
      </c>
      <c r="L582" s="5">
        <f t="shared" si="4"/>
        <v>1012.5</v>
      </c>
      <c r="M582" s="5">
        <f t="shared" si="5"/>
        <v>506.25</v>
      </c>
      <c r="N582" s="6">
        <v>0.5</v>
      </c>
    </row>
    <row r="583" spans="1:14" ht="15.75" customHeight="1" x14ac:dyDescent="0.45">
      <c r="A583" s="1" t="s">
        <v>121</v>
      </c>
      <c r="B583" s="1">
        <v>1128299</v>
      </c>
      <c r="C583" s="2">
        <v>44566</v>
      </c>
      <c r="D583" s="1" t="s">
        <v>22</v>
      </c>
      <c r="E583" s="1" t="s">
        <v>34</v>
      </c>
      <c r="F583" s="1" t="s">
        <v>35</v>
      </c>
      <c r="G583" s="1" t="s">
        <v>18</v>
      </c>
      <c r="H583" s="1">
        <v>42</v>
      </c>
      <c r="I583" s="1" t="s">
        <v>125</v>
      </c>
      <c r="J583" s="3">
        <v>0.4</v>
      </c>
      <c r="K583" s="4">
        <v>4750</v>
      </c>
      <c r="L583" s="5">
        <f t="shared" si="4"/>
        <v>1900</v>
      </c>
      <c r="M583" s="5">
        <f t="shared" si="5"/>
        <v>285.00000000000006</v>
      </c>
      <c r="N583" s="6">
        <v>0.15000000000000002</v>
      </c>
    </row>
    <row r="584" spans="1:14" ht="15.75" customHeight="1" x14ac:dyDescent="0.45">
      <c r="A584" s="1" t="s">
        <v>121</v>
      </c>
      <c r="B584" s="1">
        <v>1128299</v>
      </c>
      <c r="C584" s="2">
        <v>44597</v>
      </c>
      <c r="D584" s="1" t="s">
        <v>22</v>
      </c>
      <c r="E584" s="1" t="s">
        <v>34</v>
      </c>
      <c r="F584" s="1" t="s">
        <v>35</v>
      </c>
      <c r="G584" s="1" t="s">
        <v>13</v>
      </c>
      <c r="H584" s="1">
        <v>25</v>
      </c>
      <c r="I584" s="1" t="s">
        <v>124</v>
      </c>
      <c r="J584" s="3">
        <v>0.3</v>
      </c>
      <c r="K584" s="4">
        <v>5250</v>
      </c>
      <c r="L584" s="5">
        <f t="shared" si="4"/>
        <v>1575</v>
      </c>
      <c r="M584" s="5">
        <f t="shared" si="5"/>
        <v>551.25</v>
      </c>
      <c r="N584" s="6">
        <v>0.35000000000000003</v>
      </c>
    </row>
    <row r="585" spans="1:14" ht="15.75" customHeight="1" x14ac:dyDescent="0.45">
      <c r="A585" s="1" t="s">
        <v>121</v>
      </c>
      <c r="B585" s="1">
        <v>1128299</v>
      </c>
      <c r="C585" s="2">
        <v>44597</v>
      </c>
      <c r="D585" s="1" t="s">
        <v>22</v>
      </c>
      <c r="E585" s="1" t="s">
        <v>34</v>
      </c>
      <c r="F585" s="1" t="s">
        <v>35</v>
      </c>
      <c r="G585" s="1" t="s">
        <v>14</v>
      </c>
      <c r="H585" s="1">
        <v>58</v>
      </c>
      <c r="I585" s="1" t="s">
        <v>123</v>
      </c>
      <c r="J585" s="3">
        <v>0.4</v>
      </c>
      <c r="K585" s="4">
        <v>4250</v>
      </c>
      <c r="L585" s="5">
        <f t="shared" si="4"/>
        <v>1700</v>
      </c>
      <c r="M585" s="5">
        <f t="shared" si="5"/>
        <v>340</v>
      </c>
      <c r="N585" s="6">
        <v>0.2</v>
      </c>
    </row>
    <row r="586" spans="1:14" ht="15.75" customHeight="1" x14ac:dyDescent="0.45">
      <c r="A586" s="1" t="s">
        <v>121</v>
      </c>
      <c r="B586" s="1">
        <v>1128299</v>
      </c>
      <c r="C586" s="2">
        <v>44597</v>
      </c>
      <c r="D586" s="1" t="s">
        <v>22</v>
      </c>
      <c r="E586" s="1" t="s">
        <v>34</v>
      </c>
      <c r="F586" s="1" t="s">
        <v>35</v>
      </c>
      <c r="G586" s="1" t="s">
        <v>15</v>
      </c>
      <c r="H586" s="1">
        <v>54</v>
      </c>
      <c r="I586" s="1" t="s">
        <v>124</v>
      </c>
      <c r="J586" s="3">
        <v>0.4</v>
      </c>
      <c r="K586" s="4">
        <v>4250</v>
      </c>
      <c r="L586" s="5">
        <f t="shared" si="4"/>
        <v>1700</v>
      </c>
      <c r="M586" s="5">
        <f t="shared" si="5"/>
        <v>595</v>
      </c>
      <c r="N586" s="6">
        <v>0.35000000000000003</v>
      </c>
    </row>
    <row r="587" spans="1:14" ht="15.75" customHeight="1" x14ac:dyDescent="0.45">
      <c r="A587" s="1" t="s">
        <v>121</v>
      </c>
      <c r="B587" s="1">
        <v>1128299</v>
      </c>
      <c r="C587" s="2">
        <v>44597</v>
      </c>
      <c r="D587" s="1" t="s">
        <v>22</v>
      </c>
      <c r="E587" s="1" t="s">
        <v>34</v>
      </c>
      <c r="F587" s="1" t="s">
        <v>35</v>
      </c>
      <c r="G587" s="1" t="s">
        <v>16</v>
      </c>
      <c r="H587" s="1">
        <v>31</v>
      </c>
      <c r="I587" s="1" t="s">
        <v>124</v>
      </c>
      <c r="J587" s="3">
        <v>0.4</v>
      </c>
      <c r="K587" s="4">
        <v>2750</v>
      </c>
      <c r="L587" s="5">
        <f t="shared" si="4"/>
        <v>1100</v>
      </c>
      <c r="M587" s="5">
        <f t="shared" si="5"/>
        <v>330</v>
      </c>
      <c r="N587" s="6">
        <v>0.3</v>
      </c>
    </row>
    <row r="588" spans="1:14" ht="15.75" customHeight="1" x14ac:dyDescent="0.45">
      <c r="A588" s="1" t="s">
        <v>121</v>
      </c>
      <c r="B588" s="1">
        <v>1128299</v>
      </c>
      <c r="C588" s="2">
        <v>44597</v>
      </c>
      <c r="D588" s="1" t="s">
        <v>22</v>
      </c>
      <c r="E588" s="1" t="s">
        <v>34</v>
      </c>
      <c r="F588" s="1" t="s">
        <v>35</v>
      </c>
      <c r="G588" s="1" t="s">
        <v>17</v>
      </c>
      <c r="H588" s="1">
        <v>36</v>
      </c>
      <c r="I588" s="1" t="s">
        <v>125</v>
      </c>
      <c r="J588" s="3">
        <v>0.45</v>
      </c>
      <c r="K588" s="4">
        <v>2000</v>
      </c>
      <c r="L588" s="5">
        <f t="shared" si="4"/>
        <v>900</v>
      </c>
      <c r="M588" s="5">
        <f t="shared" si="5"/>
        <v>450</v>
      </c>
      <c r="N588" s="6">
        <v>0.5</v>
      </c>
    </row>
    <row r="589" spans="1:14" ht="15.75" customHeight="1" x14ac:dyDescent="0.45">
      <c r="A589" s="1" t="s">
        <v>121</v>
      </c>
      <c r="B589" s="1">
        <v>1128299</v>
      </c>
      <c r="C589" s="2">
        <v>44597</v>
      </c>
      <c r="D589" s="1" t="s">
        <v>22</v>
      </c>
      <c r="E589" s="1" t="s">
        <v>34</v>
      </c>
      <c r="F589" s="1" t="s">
        <v>35</v>
      </c>
      <c r="G589" s="1" t="s">
        <v>18</v>
      </c>
      <c r="H589" s="1">
        <v>38</v>
      </c>
      <c r="I589" s="1" t="s">
        <v>125</v>
      </c>
      <c r="J589" s="3">
        <v>0.4</v>
      </c>
      <c r="K589" s="4">
        <v>4000</v>
      </c>
      <c r="L589" s="5">
        <f t="shared" si="4"/>
        <v>1600</v>
      </c>
      <c r="M589" s="5">
        <f t="shared" si="5"/>
        <v>240.00000000000003</v>
      </c>
      <c r="N589" s="6">
        <v>0.15000000000000002</v>
      </c>
    </row>
    <row r="590" spans="1:14" ht="15.75" customHeight="1" x14ac:dyDescent="0.45">
      <c r="A590" s="1" t="s">
        <v>121</v>
      </c>
      <c r="B590" s="1">
        <v>1128299</v>
      </c>
      <c r="C590" s="2">
        <v>44624</v>
      </c>
      <c r="D590" s="1" t="s">
        <v>22</v>
      </c>
      <c r="E590" s="1" t="s">
        <v>34</v>
      </c>
      <c r="F590" s="1" t="s">
        <v>35</v>
      </c>
      <c r="G590" s="1" t="s">
        <v>13</v>
      </c>
      <c r="H590" s="1">
        <v>18</v>
      </c>
      <c r="I590" s="1" t="s">
        <v>126</v>
      </c>
      <c r="J590" s="3">
        <v>0.4</v>
      </c>
      <c r="K590" s="4">
        <v>5500</v>
      </c>
      <c r="L590" s="5">
        <f t="shared" si="4"/>
        <v>2200</v>
      </c>
      <c r="M590" s="5">
        <f t="shared" si="5"/>
        <v>770.00000000000011</v>
      </c>
      <c r="N590" s="6">
        <v>0.35000000000000003</v>
      </c>
    </row>
    <row r="591" spans="1:14" ht="15.75" customHeight="1" x14ac:dyDescent="0.45">
      <c r="A591" s="1" t="s">
        <v>121</v>
      </c>
      <c r="B591" s="1">
        <v>1128299</v>
      </c>
      <c r="C591" s="2">
        <v>44624</v>
      </c>
      <c r="D591" s="1" t="s">
        <v>22</v>
      </c>
      <c r="E591" s="1" t="s">
        <v>34</v>
      </c>
      <c r="F591" s="1" t="s">
        <v>35</v>
      </c>
      <c r="G591" s="1" t="s">
        <v>14</v>
      </c>
      <c r="H591" s="1">
        <v>22</v>
      </c>
      <c r="I591" s="1" t="s">
        <v>125</v>
      </c>
      <c r="J591" s="3">
        <v>0.49999999999999994</v>
      </c>
      <c r="K591" s="4">
        <v>4000</v>
      </c>
      <c r="L591" s="5">
        <f t="shared" si="4"/>
        <v>1999.9999999999998</v>
      </c>
      <c r="M591" s="5">
        <f t="shared" si="5"/>
        <v>400</v>
      </c>
      <c r="N591" s="6">
        <v>0.2</v>
      </c>
    </row>
    <row r="592" spans="1:14" ht="15.75" customHeight="1" x14ac:dyDescent="0.45">
      <c r="A592" s="1" t="s">
        <v>121</v>
      </c>
      <c r="B592" s="1">
        <v>1128299</v>
      </c>
      <c r="C592" s="2">
        <v>44624</v>
      </c>
      <c r="D592" s="1" t="s">
        <v>22</v>
      </c>
      <c r="E592" s="1" t="s">
        <v>34</v>
      </c>
      <c r="F592" s="1" t="s">
        <v>35</v>
      </c>
      <c r="G592" s="1" t="s">
        <v>15</v>
      </c>
      <c r="H592" s="1">
        <v>21</v>
      </c>
      <c r="I592" s="1" t="s">
        <v>123</v>
      </c>
      <c r="J592" s="3">
        <v>0.54999999999999993</v>
      </c>
      <c r="K592" s="4">
        <v>4000</v>
      </c>
      <c r="L592" s="5">
        <f t="shared" si="4"/>
        <v>2199.9999999999995</v>
      </c>
      <c r="M592" s="5">
        <f t="shared" si="5"/>
        <v>769.99999999999989</v>
      </c>
      <c r="N592" s="6">
        <v>0.35000000000000003</v>
      </c>
    </row>
    <row r="593" spans="1:14" ht="15.75" customHeight="1" x14ac:dyDescent="0.45">
      <c r="A593" s="1" t="s">
        <v>121</v>
      </c>
      <c r="B593" s="1">
        <v>1128299</v>
      </c>
      <c r="C593" s="2">
        <v>44624</v>
      </c>
      <c r="D593" s="1" t="s">
        <v>22</v>
      </c>
      <c r="E593" s="1" t="s">
        <v>34</v>
      </c>
      <c r="F593" s="1" t="s">
        <v>35</v>
      </c>
      <c r="G593" s="1" t="s">
        <v>16</v>
      </c>
      <c r="H593" s="1">
        <v>50</v>
      </c>
      <c r="I593" s="1" t="s">
        <v>126</v>
      </c>
      <c r="J593" s="3">
        <v>0.54999999999999993</v>
      </c>
      <c r="K593" s="4">
        <v>3000</v>
      </c>
      <c r="L593" s="5">
        <f t="shared" si="4"/>
        <v>1649.9999999999998</v>
      </c>
      <c r="M593" s="5">
        <f t="shared" si="5"/>
        <v>494.99999999999989</v>
      </c>
      <c r="N593" s="6">
        <v>0.3</v>
      </c>
    </row>
    <row r="594" spans="1:14" ht="15.75" customHeight="1" x14ac:dyDescent="0.45">
      <c r="A594" s="1" t="s">
        <v>121</v>
      </c>
      <c r="B594" s="1">
        <v>1128299</v>
      </c>
      <c r="C594" s="2">
        <v>44624</v>
      </c>
      <c r="D594" s="1" t="s">
        <v>22</v>
      </c>
      <c r="E594" s="1" t="s">
        <v>34</v>
      </c>
      <c r="F594" s="1" t="s">
        <v>35</v>
      </c>
      <c r="G594" s="1" t="s">
        <v>17</v>
      </c>
      <c r="H594" s="1">
        <v>35</v>
      </c>
      <c r="I594" s="1" t="s">
        <v>126</v>
      </c>
      <c r="J594" s="3">
        <v>0.6</v>
      </c>
      <c r="K594" s="4">
        <v>1500</v>
      </c>
      <c r="L594" s="5">
        <f t="shared" si="4"/>
        <v>900</v>
      </c>
      <c r="M594" s="5">
        <f t="shared" si="5"/>
        <v>450</v>
      </c>
      <c r="N594" s="6">
        <v>0.5</v>
      </c>
    </row>
    <row r="595" spans="1:14" ht="15.75" customHeight="1" x14ac:dyDescent="0.45">
      <c r="A595" s="1" t="s">
        <v>121</v>
      </c>
      <c r="B595" s="1">
        <v>1128299</v>
      </c>
      <c r="C595" s="2">
        <v>44624</v>
      </c>
      <c r="D595" s="1" t="s">
        <v>22</v>
      </c>
      <c r="E595" s="1" t="s">
        <v>34</v>
      </c>
      <c r="F595" s="1" t="s">
        <v>35</v>
      </c>
      <c r="G595" s="1" t="s">
        <v>18</v>
      </c>
      <c r="H595" s="1">
        <v>58</v>
      </c>
      <c r="I595" s="1" t="s">
        <v>124</v>
      </c>
      <c r="J595" s="3">
        <v>0.54999999999999993</v>
      </c>
      <c r="K595" s="4">
        <v>3500</v>
      </c>
      <c r="L595" s="5">
        <f t="shared" si="4"/>
        <v>1924.9999999999998</v>
      </c>
      <c r="M595" s="5">
        <f t="shared" si="5"/>
        <v>288.75</v>
      </c>
      <c r="N595" s="6">
        <v>0.15000000000000002</v>
      </c>
    </row>
    <row r="596" spans="1:14" ht="15.75" customHeight="1" x14ac:dyDescent="0.45">
      <c r="A596" s="1" t="s">
        <v>121</v>
      </c>
      <c r="B596" s="1">
        <v>1128299</v>
      </c>
      <c r="C596" s="2">
        <v>44656</v>
      </c>
      <c r="D596" s="1" t="s">
        <v>22</v>
      </c>
      <c r="E596" s="1" t="s">
        <v>34</v>
      </c>
      <c r="F596" s="1" t="s">
        <v>35</v>
      </c>
      <c r="G596" s="1" t="s">
        <v>13</v>
      </c>
      <c r="H596" s="1">
        <v>41</v>
      </c>
      <c r="I596" s="1" t="s">
        <v>124</v>
      </c>
      <c r="J596" s="3">
        <v>0.6</v>
      </c>
      <c r="K596" s="4">
        <v>5250</v>
      </c>
      <c r="L596" s="5">
        <f t="shared" si="4"/>
        <v>3150</v>
      </c>
      <c r="M596" s="5">
        <f t="shared" si="5"/>
        <v>1102.5</v>
      </c>
      <c r="N596" s="6">
        <v>0.35000000000000003</v>
      </c>
    </row>
    <row r="597" spans="1:14" ht="15.75" customHeight="1" x14ac:dyDescent="0.45">
      <c r="A597" s="1" t="s">
        <v>121</v>
      </c>
      <c r="B597" s="1">
        <v>1128299</v>
      </c>
      <c r="C597" s="2">
        <v>44656</v>
      </c>
      <c r="D597" s="1" t="s">
        <v>22</v>
      </c>
      <c r="E597" s="1" t="s">
        <v>34</v>
      </c>
      <c r="F597" s="1" t="s">
        <v>35</v>
      </c>
      <c r="G597" s="1" t="s">
        <v>14</v>
      </c>
      <c r="H597" s="1">
        <v>20</v>
      </c>
      <c r="I597" s="1" t="s">
        <v>124</v>
      </c>
      <c r="J597" s="3">
        <v>0.65</v>
      </c>
      <c r="K597" s="4">
        <v>3250</v>
      </c>
      <c r="L597" s="5">
        <f t="shared" si="4"/>
        <v>2112.5</v>
      </c>
      <c r="M597" s="5">
        <f t="shared" si="5"/>
        <v>422.5</v>
      </c>
      <c r="N597" s="6">
        <v>0.2</v>
      </c>
    </row>
    <row r="598" spans="1:14" ht="15.75" customHeight="1" x14ac:dyDescent="0.45">
      <c r="A598" s="1" t="s">
        <v>121</v>
      </c>
      <c r="B598" s="1">
        <v>1128299</v>
      </c>
      <c r="C598" s="2">
        <v>44656</v>
      </c>
      <c r="D598" s="1" t="s">
        <v>22</v>
      </c>
      <c r="E598" s="1" t="s">
        <v>34</v>
      </c>
      <c r="F598" s="1" t="s">
        <v>35</v>
      </c>
      <c r="G598" s="1" t="s">
        <v>15</v>
      </c>
      <c r="H598" s="1">
        <v>32</v>
      </c>
      <c r="I598" s="1" t="s">
        <v>125</v>
      </c>
      <c r="J598" s="3">
        <v>0.65</v>
      </c>
      <c r="K598" s="4">
        <v>3750</v>
      </c>
      <c r="L598" s="5">
        <f t="shared" si="4"/>
        <v>2437.5</v>
      </c>
      <c r="M598" s="5">
        <f t="shared" si="5"/>
        <v>853.12500000000011</v>
      </c>
      <c r="N598" s="6">
        <v>0.35000000000000003</v>
      </c>
    </row>
    <row r="599" spans="1:14" ht="15.75" customHeight="1" x14ac:dyDescent="0.45">
      <c r="A599" s="1" t="s">
        <v>121</v>
      </c>
      <c r="B599" s="1">
        <v>1128299</v>
      </c>
      <c r="C599" s="2">
        <v>44656</v>
      </c>
      <c r="D599" s="1" t="s">
        <v>22</v>
      </c>
      <c r="E599" s="1" t="s">
        <v>34</v>
      </c>
      <c r="F599" s="1" t="s">
        <v>35</v>
      </c>
      <c r="G599" s="1" t="s">
        <v>16</v>
      </c>
      <c r="H599" s="1">
        <v>55</v>
      </c>
      <c r="I599" s="1" t="s">
        <v>126</v>
      </c>
      <c r="J599" s="3">
        <v>0.6</v>
      </c>
      <c r="K599" s="4">
        <v>2750</v>
      </c>
      <c r="L599" s="5">
        <f t="shared" si="4"/>
        <v>1650</v>
      </c>
      <c r="M599" s="5">
        <f t="shared" si="5"/>
        <v>495</v>
      </c>
      <c r="N599" s="6">
        <v>0.3</v>
      </c>
    </row>
    <row r="600" spans="1:14" ht="15.75" customHeight="1" x14ac:dyDescent="0.45">
      <c r="A600" s="1" t="s">
        <v>121</v>
      </c>
      <c r="B600" s="1">
        <v>1128299</v>
      </c>
      <c r="C600" s="2">
        <v>44656</v>
      </c>
      <c r="D600" s="1" t="s">
        <v>22</v>
      </c>
      <c r="E600" s="1" t="s">
        <v>34</v>
      </c>
      <c r="F600" s="1" t="s">
        <v>35</v>
      </c>
      <c r="G600" s="1" t="s">
        <v>17</v>
      </c>
      <c r="H600" s="1">
        <v>51</v>
      </c>
      <c r="I600" s="1" t="s">
        <v>126</v>
      </c>
      <c r="J600" s="3">
        <v>0.65</v>
      </c>
      <c r="K600" s="4">
        <v>1750</v>
      </c>
      <c r="L600" s="5">
        <f t="shared" si="4"/>
        <v>1137.5</v>
      </c>
      <c r="M600" s="5">
        <f t="shared" si="5"/>
        <v>568.75</v>
      </c>
      <c r="N600" s="6">
        <v>0.5</v>
      </c>
    </row>
    <row r="601" spans="1:14" ht="15.75" customHeight="1" x14ac:dyDescent="0.45">
      <c r="A601" s="1" t="s">
        <v>121</v>
      </c>
      <c r="B601" s="1">
        <v>1128299</v>
      </c>
      <c r="C601" s="2">
        <v>44656</v>
      </c>
      <c r="D601" s="1" t="s">
        <v>22</v>
      </c>
      <c r="E601" s="1" t="s">
        <v>34</v>
      </c>
      <c r="F601" s="1" t="s">
        <v>35</v>
      </c>
      <c r="G601" s="1" t="s">
        <v>18</v>
      </c>
      <c r="H601" s="1">
        <v>53</v>
      </c>
      <c r="I601" s="1" t="s">
        <v>125</v>
      </c>
      <c r="J601" s="3">
        <v>0.8</v>
      </c>
      <c r="K601" s="4">
        <v>3250</v>
      </c>
      <c r="L601" s="5">
        <f t="shared" si="4"/>
        <v>2600</v>
      </c>
      <c r="M601" s="5">
        <f t="shared" si="5"/>
        <v>390.00000000000006</v>
      </c>
      <c r="N601" s="6">
        <v>0.15000000000000002</v>
      </c>
    </row>
    <row r="602" spans="1:14" ht="15.75" customHeight="1" x14ac:dyDescent="0.45">
      <c r="A602" s="1" t="s">
        <v>121</v>
      </c>
      <c r="B602" s="1">
        <v>1128299</v>
      </c>
      <c r="C602" s="2">
        <v>44687</v>
      </c>
      <c r="D602" s="1" t="s">
        <v>22</v>
      </c>
      <c r="E602" s="1" t="s">
        <v>34</v>
      </c>
      <c r="F602" s="1" t="s">
        <v>35</v>
      </c>
      <c r="G602" s="1" t="s">
        <v>13</v>
      </c>
      <c r="H602" s="1">
        <v>17</v>
      </c>
      <c r="I602" s="1" t="s">
        <v>123</v>
      </c>
      <c r="J602" s="3">
        <v>0.6</v>
      </c>
      <c r="K602" s="4">
        <v>5250</v>
      </c>
      <c r="L602" s="5">
        <f t="shared" si="4"/>
        <v>3150</v>
      </c>
      <c r="M602" s="5">
        <f t="shared" si="5"/>
        <v>1575</v>
      </c>
      <c r="N602" s="6">
        <v>0.5</v>
      </c>
    </row>
    <row r="603" spans="1:14" ht="15.75" customHeight="1" x14ac:dyDescent="0.45">
      <c r="A603" s="1" t="s">
        <v>121</v>
      </c>
      <c r="B603" s="1">
        <v>1128299</v>
      </c>
      <c r="C603" s="2">
        <v>44687</v>
      </c>
      <c r="D603" s="1" t="s">
        <v>22</v>
      </c>
      <c r="E603" s="1" t="s">
        <v>34</v>
      </c>
      <c r="F603" s="1" t="s">
        <v>35</v>
      </c>
      <c r="G603" s="1" t="s">
        <v>14</v>
      </c>
      <c r="H603" s="1">
        <v>20</v>
      </c>
      <c r="I603" s="1" t="s">
        <v>124</v>
      </c>
      <c r="J603" s="3">
        <v>0.65</v>
      </c>
      <c r="K603" s="4">
        <v>3750</v>
      </c>
      <c r="L603" s="5">
        <f t="shared" si="4"/>
        <v>2437.5</v>
      </c>
      <c r="M603" s="5">
        <f t="shared" si="5"/>
        <v>853.125</v>
      </c>
      <c r="N603" s="6">
        <v>0.35</v>
      </c>
    </row>
    <row r="604" spans="1:14" ht="15.75" customHeight="1" x14ac:dyDescent="0.45">
      <c r="A604" s="1" t="s">
        <v>121</v>
      </c>
      <c r="B604" s="1">
        <v>1128299</v>
      </c>
      <c r="C604" s="2">
        <v>44687</v>
      </c>
      <c r="D604" s="1" t="s">
        <v>22</v>
      </c>
      <c r="E604" s="1" t="s">
        <v>34</v>
      </c>
      <c r="F604" s="1" t="s">
        <v>35</v>
      </c>
      <c r="G604" s="1" t="s">
        <v>15</v>
      </c>
      <c r="H604" s="1">
        <v>45</v>
      </c>
      <c r="I604" s="1" t="s">
        <v>126</v>
      </c>
      <c r="J604" s="3">
        <v>0.65</v>
      </c>
      <c r="K604" s="4">
        <v>3750</v>
      </c>
      <c r="L604" s="5">
        <f t="shared" si="4"/>
        <v>2437.5</v>
      </c>
      <c r="M604" s="5">
        <f t="shared" si="5"/>
        <v>1218.75</v>
      </c>
      <c r="N604" s="6">
        <v>0.5</v>
      </c>
    </row>
    <row r="605" spans="1:14" ht="15.75" customHeight="1" x14ac:dyDescent="0.45">
      <c r="A605" s="1" t="s">
        <v>121</v>
      </c>
      <c r="B605" s="1">
        <v>1128299</v>
      </c>
      <c r="C605" s="2">
        <v>44687</v>
      </c>
      <c r="D605" s="1" t="s">
        <v>22</v>
      </c>
      <c r="E605" s="1" t="s">
        <v>34</v>
      </c>
      <c r="F605" s="1" t="s">
        <v>35</v>
      </c>
      <c r="G605" s="1" t="s">
        <v>16</v>
      </c>
      <c r="H605" s="1">
        <v>56</v>
      </c>
      <c r="I605" s="1" t="s">
        <v>124</v>
      </c>
      <c r="J605" s="3">
        <v>0.6</v>
      </c>
      <c r="K605" s="4">
        <v>2750</v>
      </c>
      <c r="L605" s="5">
        <f t="shared" si="4"/>
        <v>1650</v>
      </c>
      <c r="M605" s="5">
        <f t="shared" si="5"/>
        <v>742.49999999999989</v>
      </c>
      <c r="N605" s="6">
        <v>0.44999999999999996</v>
      </c>
    </row>
    <row r="606" spans="1:14" ht="15.75" customHeight="1" x14ac:dyDescent="0.45">
      <c r="A606" s="1" t="s">
        <v>121</v>
      </c>
      <c r="B606" s="1">
        <v>1128299</v>
      </c>
      <c r="C606" s="2">
        <v>44687</v>
      </c>
      <c r="D606" s="1" t="s">
        <v>22</v>
      </c>
      <c r="E606" s="1" t="s">
        <v>34</v>
      </c>
      <c r="F606" s="1" t="s">
        <v>35</v>
      </c>
      <c r="G606" s="1" t="s">
        <v>17</v>
      </c>
      <c r="H606" s="1">
        <v>47</v>
      </c>
      <c r="I606" s="1" t="s">
        <v>123</v>
      </c>
      <c r="J606" s="3">
        <v>0.65</v>
      </c>
      <c r="K606" s="4">
        <v>1750</v>
      </c>
      <c r="L606" s="5">
        <f t="shared" si="4"/>
        <v>1137.5</v>
      </c>
      <c r="M606" s="5">
        <f t="shared" si="5"/>
        <v>739.37500000000011</v>
      </c>
      <c r="N606" s="6">
        <v>0.65000000000000013</v>
      </c>
    </row>
    <row r="607" spans="1:14" ht="15.75" customHeight="1" x14ac:dyDescent="0.45">
      <c r="A607" s="1" t="s">
        <v>121</v>
      </c>
      <c r="B607" s="1">
        <v>1128299</v>
      </c>
      <c r="C607" s="2">
        <v>44687</v>
      </c>
      <c r="D607" s="1" t="s">
        <v>22</v>
      </c>
      <c r="E607" s="1" t="s">
        <v>34</v>
      </c>
      <c r="F607" s="1" t="s">
        <v>35</v>
      </c>
      <c r="G607" s="1" t="s">
        <v>18</v>
      </c>
      <c r="H607" s="1">
        <v>39</v>
      </c>
      <c r="I607" s="1" t="s">
        <v>126</v>
      </c>
      <c r="J607" s="3">
        <v>0.8</v>
      </c>
      <c r="K607" s="4">
        <v>4750</v>
      </c>
      <c r="L607" s="5">
        <f t="shared" si="4"/>
        <v>3800</v>
      </c>
      <c r="M607" s="5">
        <f t="shared" si="5"/>
        <v>1140</v>
      </c>
      <c r="N607" s="6">
        <v>0.3</v>
      </c>
    </row>
    <row r="608" spans="1:14" ht="15.75" customHeight="1" x14ac:dyDescent="0.45">
      <c r="A608" s="1" t="s">
        <v>121</v>
      </c>
      <c r="B608" s="1">
        <v>1128299</v>
      </c>
      <c r="C608" s="2">
        <v>44717</v>
      </c>
      <c r="D608" s="1" t="s">
        <v>22</v>
      </c>
      <c r="E608" s="1" t="s">
        <v>34</v>
      </c>
      <c r="F608" s="1" t="s">
        <v>35</v>
      </c>
      <c r="G608" s="1" t="s">
        <v>13</v>
      </c>
      <c r="H608" s="1">
        <v>39</v>
      </c>
      <c r="I608" s="1" t="s">
        <v>125</v>
      </c>
      <c r="J608" s="3">
        <v>0.6</v>
      </c>
      <c r="K608" s="4">
        <v>7250</v>
      </c>
      <c r="L608" s="5">
        <f t="shared" si="4"/>
        <v>4350</v>
      </c>
      <c r="M608" s="5">
        <f t="shared" si="5"/>
        <v>2175</v>
      </c>
      <c r="N608" s="6">
        <v>0.5</v>
      </c>
    </row>
    <row r="609" spans="1:14" ht="15.75" customHeight="1" x14ac:dyDescent="0.45">
      <c r="A609" s="1" t="s">
        <v>121</v>
      </c>
      <c r="B609" s="1">
        <v>1128299</v>
      </c>
      <c r="C609" s="2">
        <v>44717</v>
      </c>
      <c r="D609" s="1" t="s">
        <v>22</v>
      </c>
      <c r="E609" s="1" t="s">
        <v>34</v>
      </c>
      <c r="F609" s="1" t="s">
        <v>35</v>
      </c>
      <c r="G609" s="1" t="s">
        <v>14</v>
      </c>
      <c r="H609" s="1">
        <v>18</v>
      </c>
      <c r="I609" s="1" t="s">
        <v>124</v>
      </c>
      <c r="J609" s="3">
        <v>0.65</v>
      </c>
      <c r="K609" s="4">
        <v>5750</v>
      </c>
      <c r="L609" s="5">
        <f t="shared" si="4"/>
        <v>3737.5</v>
      </c>
      <c r="M609" s="5">
        <f t="shared" si="5"/>
        <v>1308.125</v>
      </c>
      <c r="N609" s="6">
        <v>0.35</v>
      </c>
    </row>
    <row r="610" spans="1:14" ht="15.75" customHeight="1" x14ac:dyDescent="0.45">
      <c r="A610" s="1" t="s">
        <v>121</v>
      </c>
      <c r="B610" s="1">
        <v>1128299</v>
      </c>
      <c r="C610" s="2">
        <v>44717</v>
      </c>
      <c r="D610" s="1" t="s">
        <v>22</v>
      </c>
      <c r="E610" s="1" t="s">
        <v>34</v>
      </c>
      <c r="F610" s="1" t="s">
        <v>35</v>
      </c>
      <c r="G610" s="1" t="s">
        <v>15</v>
      </c>
      <c r="H610" s="1">
        <v>45</v>
      </c>
      <c r="I610" s="1" t="s">
        <v>125</v>
      </c>
      <c r="J610" s="3">
        <v>0.65</v>
      </c>
      <c r="K610" s="4">
        <v>5750</v>
      </c>
      <c r="L610" s="5">
        <f t="shared" si="4"/>
        <v>3737.5</v>
      </c>
      <c r="M610" s="5">
        <f t="shared" si="5"/>
        <v>1868.75</v>
      </c>
      <c r="N610" s="6">
        <v>0.5</v>
      </c>
    </row>
    <row r="611" spans="1:14" ht="15.75" customHeight="1" x14ac:dyDescent="0.45">
      <c r="A611" s="1" t="s">
        <v>121</v>
      </c>
      <c r="B611" s="1">
        <v>1128299</v>
      </c>
      <c r="C611" s="2">
        <v>44717</v>
      </c>
      <c r="D611" s="1" t="s">
        <v>22</v>
      </c>
      <c r="E611" s="1" t="s">
        <v>34</v>
      </c>
      <c r="F611" s="1" t="s">
        <v>35</v>
      </c>
      <c r="G611" s="1" t="s">
        <v>16</v>
      </c>
      <c r="H611" s="1">
        <v>26</v>
      </c>
      <c r="I611" s="1" t="s">
        <v>126</v>
      </c>
      <c r="J611" s="3">
        <v>0.65</v>
      </c>
      <c r="K611" s="4">
        <v>4500</v>
      </c>
      <c r="L611" s="5">
        <f t="shared" si="4"/>
        <v>2925</v>
      </c>
      <c r="M611" s="5">
        <f t="shared" si="5"/>
        <v>1316.2499999999998</v>
      </c>
      <c r="N611" s="6">
        <v>0.44999999999999996</v>
      </c>
    </row>
    <row r="612" spans="1:14" ht="15.75" customHeight="1" x14ac:dyDescent="0.45">
      <c r="A612" s="1" t="s">
        <v>121</v>
      </c>
      <c r="B612" s="1">
        <v>1128299</v>
      </c>
      <c r="C612" s="2">
        <v>44717</v>
      </c>
      <c r="D612" s="1" t="s">
        <v>22</v>
      </c>
      <c r="E612" s="1" t="s">
        <v>34</v>
      </c>
      <c r="F612" s="1" t="s">
        <v>35</v>
      </c>
      <c r="G612" s="1" t="s">
        <v>17</v>
      </c>
      <c r="H612" s="1">
        <v>38</v>
      </c>
      <c r="I612" s="1" t="s">
        <v>123</v>
      </c>
      <c r="J612" s="3">
        <v>0.70000000000000007</v>
      </c>
      <c r="K612" s="4">
        <v>3250</v>
      </c>
      <c r="L612" s="5">
        <f t="shared" si="4"/>
        <v>2275</v>
      </c>
      <c r="M612" s="5">
        <f t="shared" si="5"/>
        <v>1478.7500000000002</v>
      </c>
      <c r="N612" s="6">
        <v>0.65000000000000013</v>
      </c>
    </row>
    <row r="613" spans="1:14" ht="15.75" customHeight="1" x14ac:dyDescent="0.45">
      <c r="A613" s="1" t="s">
        <v>121</v>
      </c>
      <c r="B613" s="1">
        <v>1128299</v>
      </c>
      <c r="C613" s="2">
        <v>44717</v>
      </c>
      <c r="D613" s="1" t="s">
        <v>22</v>
      </c>
      <c r="E613" s="1" t="s">
        <v>34</v>
      </c>
      <c r="F613" s="1" t="s">
        <v>35</v>
      </c>
      <c r="G613" s="1" t="s">
        <v>18</v>
      </c>
      <c r="H613" s="1">
        <v>47</v>
      </c>
      <c r="I613" s="1" t="s">
        <v>126</v>
      </c>
      <c r="J613" s="3">
        <v>0.85000000000000009</v>
      </c>
      <c r="K613" s="4">
        <v>6250</v>
      </c>
      <c r="L613" s="5">
        <f t="shared" si="4"/>
        <v>5312.5000000000009</v>
      </c>
      <c r="M613" s="5">
        <f t="shared" si="5"/>
        <v>1593.7500000000002</v>
      </c>
      <c r="N613" s="6">
        <v>0.3</v>
      </c>
    </row>
    <row r="614" spans="1:14" ht="15.75" customHeight="1" x14ac:dyDescent="0.45">
      <c r="A614" s="1" t="s">
        <v>121</v>
      </c>
      <c r="B614" s="1">
        <v>1128299</v>
      </c>
      <c r="C614" s="2">
        <v>44746</v>
      </c>
      <c r="D614" s="1" t="s">
        <v>22</v>
      </c>
      <c r="E614" s="1" t="s">
        <v>34</v>
      </c>
      <c r="F614" s="1" t="s">
        <v>35</v>
      </c>
      <c r="G614" s="1" t="s">
        <v>13</v>
      </c>
      <c r="H614" s="1">
        <v>38</v>
      </c>
      <c r="I614" s="1" t="s">
        <v>123</v>
      </c>
      <c r="J614" s="3">
        <v>0.65</v>
      </c>
      <c r="K614" s="4">
        <v>7750</v>
      </c>
      <c r="L614" s="5">
        <f t="shared" si="4"/>
        <v>5037.5</v>
      </c>
      <c r="M614" s="5">
        <f t="shared" si="5"/>
        <v>2266.875</v>
      </c>
      <c r="N614" s="6">
        <v>0.45</v>
      </c>
    </row>
    <row r="615" spans="1:14" ht="15.75" customHeight="1" x14ac:dyDescent="0.45">
      <c r="A615" s="1" t="s">
        <v>121</v>
      </c>
      <c r="B615" s="1">
        <v>1128299</v>
      </c>
      <c r="C615" s="2">
        <v>44746</v>
      </c>
      <c r="D615" s="1" t="s">
        <v>22</v>
      </c>
      <c r="E615" s="1" t="s">
        <v>34</v>
      </c>
      <c r="F615" s="1" t="s">
        <v>35</v>
      </c>
      <c r="G615" s="1" t="s">
        <v>14</v>
      </c>
      <c r="H615" s="1">
        <v>27</v>
      </c>
      <c r="I615" s="1" t="s">
        <v>123</v>
      </c>
      <c r="J615" s="3">
        <v>0.70000000000000007</v>
      </c>
      <c r="K615" s="4">
        <v>6250</v>
      </c>
      <c r="L615" s="5">
        <f t="shared" si="4"/>
        <v>4375</v>
      </c>
      <c r="M615" s="5">
        <f t="shared" si="5"/>
        <v>1312.5</v>
      </c>
      <c r="N615" s="6">
        <v>0.3</v>
      </c>
    </row>
    <row r="616" spans="1:14" ht="15.75" customHeight="1" x14ac:dyDescent="0.45">
      <c r="A616" s="1" t="s">
        <v>121</v>
      </c>
      <c r="B616" s="1">
        <v>1128299</v>
      </c>
      <c r="C616" s="2">
        <v>44746</v>
      </c>
      <c r="D616" s="1" t="s">
        <v>22</v>
      </c>
      <c r="E616" s="1" t="s">
        <v>34</v>
      </c>
      <c r="F616" s="1" t="s">
        <v>35</v>
      </c>
      <c r="G616" s="1" t="s">
        <v>15</v>
      </c>
      <c r="H616" s="1">
        <v>51</v>
      </c>
      <c r="I616" s="1" t="s">
        <v>123</v>
      </c>
      <c r="J616" s="3">
        <v>0.70000000000000007</v>
      </c>
      <c r="K616" s="4">
        <v>5750</v>
      </c>
      <c r="L616" s="5">
        <f t="shared" si="4"/>
        <v>4025.0000000000005</v>
      </c>
      <c r="M616" s="5">
        <f t="shared" si="5"/>
        <v>1811.2500000000002</v>
      </c>
      <c r="N616" s="6">
        <v>0.45</v>
      </c>
    </row>
    <row r="617" spans="1:14" ht="15.75" customHeight="1" x14ac:dyDescent="0.45">
      <c r="A617" s="1" t="s">
        <v>121</v>
      </c>
      <c r="B617" s="1">
        <v>1128299</v>
      </c>
      <c r="C617" s="2">
        <v>44746</v>
      </c>
      <c r="D617" s="1" t="s">
        <v>22</v>
      </c>
      <c r="E617" s="1" t="s">
        <v>34</v>
      </c>
      <c r="F617" s="1" t="s">
        <v>35</v>
      </c>
      <c r="G617" s="1" t="s">
        <v>16</v>
      </c>
      <c r="H617" s="1">
        <v>30</v>
      </c>
      <c r="I617" s="1" t="s">
        <v>124</v>
      </c>
      <c r="J617" s="3">
        <v>0.65</v>
      </c>
      <c r="K617" s="4">
        <v>4750</v>
      </c>
      <c r="L617" s="5">
        <f t="shared" si="4"/>
        <v>3087.5</v>
      </c>
      <c r="M617" s="5">
        <f t="shared" si="5"/>
        <v>1235</v>
      </c>
      <c r="N617" s="6">
        <v>0.39999999999999997</v>
      </c>
    </row>
    <row r="618" spans="1:14" ht="15.75" customHeight="1" x14ac:dyDescent="0.45">
      <c r="A618" s="1" t="s">
        <v>121</v>
      </c>
      <c r="B618" s="1">
        <v>1128299</v>
      </c>
      <c r="C618" s="2">
        <v>44746</v>
      </c>
      <c r="D618" s="1" t="s">
        <v>22</v>
      </c>
      <c r="E618" s="1" t="s">
        <v>34</v>
      </c>
      <c r="F618" s="1" t="s">
        <v>35</v>
      </c>
      <c r="G618" s="1" t="s">
        <v>17</v>
      </c>
      <c r="H618" s="1">
        <v>33</v>
      </c>
      <c r="I618" s="1" t="s">
        <v>124</v>
      </c>
      <c r="J618" s="3">
        <v>0.70000000000000007</v>
      </c>
      <c r="K618" s="4">
        <v>5250</v>
      </c>
      <c r="L618" s="5">
        <f t="shared" si="4"/>
        <v>3675.0000000000005</v>
      </c>
      <c r="M618" s="5">
        <f t="shared" si="5"/>
        <v>2205.0000000000005</v>
      </c>
      <c r="N618" s="6">
        <v>0.60000000000000009</v>
      </c>
    </row>
    <row r="619" spans="1:14" ht="15.75" customHeight="1" x14ac:dyDescent="0.45">
      <c r="A619" s="1" t="s">
        <v>121</v>
      </c>
      <c r="B619" s="1">
        <v>1128299</v>
      </c>
      <c r="C619" s="2">
        <v>44746</v>
      </c>
      <c r="D619" s="1" t="s">
        <v>22</v>
      </c>
      <c r="E619" s="1" t="s">
        <v>34</v>
      </c>
      <c r="F619" s="1" t="s">
        <v>35</v>
      </c>
      <c r="G619" s="1" t="s">
        <v>18</v>
      </c>
      <c r="H619" s="1">
        <v>47</v>
      </c>
      <c r="I619" s="1" t="s">
        <v>126</v>
      </c>
      <c r="J619" s="3">
        <v>0.85000000000000009</v>
      </c>
      <c r="K619" s="4">
        <v>5250</v>
      </c>
      <c r="L619" s="5">
        <f t="shared" si="4"/>
        <v>4462.5000000000009</v>
      </c>
      <c r="M619" s="5">
        <f t="shared" si="5"/>
        <v>1115.6250000000002</v>
      </c>
      <c r="N619" s="6">
        <v>0.25</v>
      </c>
    </row>
    <row r="620" spans="1:14" ht="15.75" customHeight="1" x14ac:dyDescent="0.45">
      <c r="A620" s="1" t="s">
        <v>121</v>
      </c>
      <c r="B620" s="1">
        <v>1128299</v>
      </c>
      <c r="C620" s="2">
        <v>44778</v>
      </c>
      <c r="D620" s="1" t="s">
        <v>22</v>
      </c>
      <c r="E620" s="1" t="s">
        <v>34</v>
      </c>
      <c r="F620" s="1" t="s">
        <v>35</v>
      </c>
      <c r="G620" s="1" t="s">
        <v>13</v>
      </c>
      <c r="H620" s="1">
        <v>60</v>
      </c>
      <c r="I620" s="1" t="s">
        <v>125</v>
      </c>
      <c r="J620" s="3">
        <v>0.70000000000000007</v>
      </c>
      <c r="K620" s="4">
        <v>7250</v>
      </c>
      <c r="L620" s="5">
        <f t="shared" si="4"/>
        <v>5075.0000000000009</v>
      </c>
      <c r="M620" s="5">
        <f t="shared" si="5"/>
        <v>2283.7500000000005</v>
      </c>
      <c r="N620" s="6">
        <v>0.45</v>
      </c>
    </row>
    <row r="621" spans="1:14" ht="15.75" customHeight="1" x14ac:dyDescent="0.45">
      <c r="A621" s="1" t="s">
        <v>121</v>
      </c>
      <c r="B621" s="1">
        <v>1128299</v>
      </c>
      <c r="C621" s="2">
        <v>44778</v>
      </c>
      <c r="D621" s="1" t="s">
        <v>22</v>
      </c>
      <c r="E621" s="1" t="s">
        <v>34</v>
      </c>
      <c r="F621" s="1" t="s">
        <v>35</v>
      </c>
      <c r="G621" s="1" t="s">
        <v>14</v>
      </c>
      <c r="H621" s="1">
        <v>39</v>
      </c>
      <c r="I621" s="1" t="s">
        <v>124</v>
      </c>
      <c r="J621" s="3">
        <v>0.75000000000000011</v>
      </c>
      <c r="K621" s="4">
        <v>6750</v>
      </c>
      <c r="L621" s="5">
        <f t="shared" si="4"/>
        <v>5062.5000000000009</v>
      </c>
      <c r="M621" s="5">
        <f t="shared" si="5"/>
        <v>1518.7500000000002</v>
      </c>
      <c r="N621" s="6">
        <v>0.3</v>
      </c>
    </row>
    <row r="622" spans="1:14" ht="15.75" customHeight="1" x14ac:dyDescent="0.45">
      <c r="A622" s="1" t="s">
        <v>121</v>
      </c>
      <c r="B622" s="1">
        <v>1128299</v>
      </c>
      <c r="C622" s="2">
        <v>44778</v>
      </c>
      <c r="D622" s="1" t="s">
        <v>22</v>
      </c>
      <c r="E622" s="1" t="s">
        <v>34</v>
      </c>
      <c r="F622" s="1" t="s">
        <v>35</v>
      </c>
      <c r="G622" s="1" t="s">
        <v>15</v>
      </c>
      <c r="H622" s="1">
        <v>19</v>
      </c>
      <c r="I622" s="1" t="s">
        <v>123</v>
      </c>
      <c r="J622" s="3">
        <v>0.70000000000000007</v>
      </c>
      <c r="K622" s="4">
        <v>5500</v>
      </c>
      <c r="L622" s="5">
        <f t="shared" si="4"/>
        <v>3850.0000000000005</v>
      </c>
      <c r="M622" s="5">
        <f t="shared" si="5"/>
        <v>1732.5000000000002</v>
      </c>
      <c r="N622" s="6">
        <v>0.45</v>
      </c>
    </row>
    <row r="623" spans="1:14" ht="15.75" customHeight="1" x14ac:dyDescent="0.45">
      <c r="A623" s="1" t="s">
        <v>121</v>
      </c>
      <c r="B623" s="1">
        <v>1128299</v>
      </c>
      <c r="C623" s="2">
        <v>44778</v>
      </c>
      <c r="D623" s="1" t="s">
        <v>22</v>
      </c>
      <c r="E623" s="1" t="s">
        <v>34</v>
      </c>
      <c r="F623" s="1" t="s">
        <v>35</v>
      </c>
      <c r="G623" s="1" t="s">
        <v>16</v>
      </c>
      <c r="H623" s="1">
        <v>57</v>
      </c>
      <c r="I623" s="1" t="s">
        <v>126</v>
      </c>
      <c r="J623" s="3">
        <v>0.70000000000000007</v>
      </c>
      <c r="K623" s="4">
        <v>5000</v>
      </c>
      <c r="L623" s="5">
        <f t="shared" si="4"/>
        <v>3500.0000000000005</v>
      </c>
      <c r="M623" s="5">
        <f t="shared" si="5"/>
        <v>1400</v>
      </c>
      <c r="N623" s="6">
        <v>0.39999999999999997</v>
      </c>
    </row>
    <row r="624" spans="1:14" ht="15.75" customHeight="1" x14ac:dyDescent="0.45">
      <c r="A624" s="1" t="s">
        <v>121</v>
      </c>
      <c r="B624" s="1">
        <v>1128299</v>
      </c>
      <c r="C624" s="2">
        <v>44778</v>
      </c>
      <c r="D624" s="1" t="s">
        <v>22</v>
      </c>
      <c r="E624" s="1" t="s">
        <v>34</v>
      </c>
      <c r="F624" s="1" t="s">
        <v>35</v>
      </c>
      <c r="G624" s="1" t="s">
        <v>17</v>
      </c>
      <c r="H624" s="1">
        <v>46</v>
      </c>
      <c r="I624" s="1" t="s">
        <v>125</v>
      </c>
      <c r="J624" s="3">
        <v>0.75</v>
      </c>
      <c r="K624" s="4">
        <v>5000</v>
      </c>
      <c r="L624" s="5">
        <f t="shared" si="4"/>
        <v>3750</v>
      </c>
      <c r="M624" s="5">
        <f t="shared" si="5"/>
        <v>2250.0000000000005</v>
      </c>
      <c r="N624" s="6">
        <v>0.60000000000000009</v>
      </c>
    </row>
    <row r="625" spans="1:14" ht="15.75" customHeight="1" x14ac:dyDescent="0.45">
      <c r="A625" s="1" t="s">
        <v>121</v>
      </c>
      <c r="B625" s="1">
        <v>1128299</v>
      </c>
      <c r="C625" s="2">
        <v>44778</v>
      </c>
      <c r="D625" s="1" t="s">
        <v>22</v>
      </c>
      <c r="E625" s="1" t="s">
        <v>34</v>
      </c>
      <c r="F625" s="1" t="s">
        <v>35</v>
      </c>
      <c r="G625" s="1" t="s">
        <v>18</v>
      </c>
      <c r="H625" s="1">
        <v>21</v>
      </c>
      <c r="I625" s="1" t="s">
        <v>125</v>
      </c>
      <c r="J625" s="3">
        <v>0.8</v>
      </c>
      <c r="K625" s="4">
        <v>4000</v>
      </c>
      <c r="L625" s="5">
        <f t="shared" si="4"/>
        <v>3200</v>
      </c>
      <c r="M625" s="5">
        <f t="shared" si="5"/>
        <v>800</v>
      </c>
      <c r="N625" s="6">
        <v>0.25</v>
      </c>
    </row>
    <row r="626" spans="1:14" ht="15.75" customHeight="1" x14ac:dyDescent="0.45">
      <c r="A626" s="1" t="s">
        <v>121</v>
      </c>
      <c r="B626" s="1">
        <v>1128299</v>
      </c>
      <c r="C626" s="2">
        <v>44810</v>
      </c>
      <c r="D626" s="1" t="s">
        <v>22</v>
      </c>
      <c r="E626" s="1" t="s">
        <v>34</v>
      </c>
      <c r="F626" s="1" t="s">
        <v>35</v>
      </c>
      <c r="G626" s="1" t="s">
        <v>13</v>
      </c>
      <c r="H626" s="1">
        <v>33</v>
      </c>
      <c r="I626" s="1" t="s">
        <v>123</v>
      </c>
      <c r="J626" s="3">
        <v>0.65000000000000013</v>
      </c>
      <c r="K626" s="4">
        <v>6000</v>
      </c>
      <c r="L626" s="5">
        <f t="shared" si="4"/>
        <v>3900.0000000000009</v>
      </c>
      <c r="M626" s="5">
        <f t="shared" si="5"/>
        <v>1560.0000000000005</v>
      </c>
      <c r="N626" s="6">
        <v>0.4</v>
      </c>
    </row>
    <row r="627" spans="1:14" ht="15.75" customHeight="1" x14ac:dyDescent="0.45">
      <c r="A627" s="1" t="s">
        <v>121</v>
      </c>
      <c r="B627" s="1">
        <v>1128299</v>
      </c>
      <c r="C627" s="2">
        <v>44810</v>
      </c>
      <c r="D627" s="1" t="s">
        <v>22</v>
      </c>
      <c r="E627" s="1" t="s">
        <v>34</v>
      </c>
      <c r="F627" s="1" t="s">
        <v>35</v>
      </c>
      <c r="G627" s="1" t="s">
        <v>14</v>
      </c>
      <c r="H627" s="1">
        <v>54</v>
      </c>
      <c r="I627" s="1" t="s">
        <v>125</v>
      </c>
      <c r="J627" s="3">
        <v>0.70000000000000018</v>
      </c>
      <c r="K627" s="4">
        <v>6000</v>
      </c>
      <c r="L627" s="5">
        <f t="shared" si="4"/>
        <v>4200.0000000000009</v>
      </c>
      <c r="M627" s="5">
        <f t="shared" si="5"/>
        <v>1050.0000000000002</v>
      </c>
      <c r="N627" s="6">
        <v>0.25</v>
      </c>
    </row>
    <row r="628" spans="1:14" ht="15.75" customHeight="1" x14ac:dyDescent="0.45">
      <c r="A628" s="1" t="s">
        <v>121</v>
      </c>
      <c r="B628" s="1">
        <v>1128299</v>
      </c>
      <c r="C628" s="2">
        <v>44810</v>
      </c>
      <c r="D628" s="1" t="s">
        <v>22</v>
      </c>
      <c r="E628" s="1" t="s">
        <v>34</v>
      </c>
      <c r="F628" s="1" t="s">
        <v>35</v>
      </c>
      <c r="G628" s="1" t="s">
        <v>15</v>
      </c>
      <c r="H628" s="1">
        <v>48</v>
      </c>
      <c r="I628" s="1" t="s">
        <v>123</v>
      </c>
      <c r="J628" s="3">
        <v>0.65000000000000013</v>
      </c>
      <c r="K628" s="4">
        <v>4500</v>
      </c>
      <c r="L628" s="5">
        <f t="shared" si="4"/>
        <v>2925.0000000000005</v>
      </c>
      <c r="M628" s="5">
        <f t="shared" si="5"/>
        <v>1170.0000000000002</v>
      </c>
      <c r="N628" s="6">
        <v>0.4</v>
      </c>
    </row>
    <row r="629" spans="1:14" ht="15.75" customHeight="1" x14ac:dyDescent="0.45">
      <c r="A629" s="1" t="s">
        <v>121</v>
      </c>
      <c r="B629" s="1">
        <v>1128299</v>
      </c>
      <c r="C629" s="2">
        <v>44810</v>
      </c>
      <c r="D629" s="1" t="s">
        <v>22</v>
      </c>
      <c r="E629" s="1" t="s">
        <v>34</v>
      </c>
      <c r="F629" s="1" t="s">
        <v>35</v>
      </c>
      <c r="G629" s="1" t="s">
        <v>16</v>
      </c>
      <c r="H629" s="1">
        <v>53</v>
      </c>
      <c r="I629" s="1" t="s">
        <v>124</v>
      </c>
      <c r="J629" s="3">
        <v>0.65000000000000013</v>
      </c>
      <c r="K629" s="4">
        <v>4000</v>
      </c>
      <c r="L629" s="5">
        <f t="shared" si="4"/>
        <v>2600.0000000000005</v>
      </c>
      <c r="M629" s="5">
        <f t="shared" si="5"/>
        <v>910.00000000000011</v>
      </c>
      <c r="N629" s="6">
        <v>0.35</v>
      </c>
    </row>
    <row r="630" spans="1:14" ht="15.75" customHeight="1" x14ac:dyDescent="0.45">
      <c r="A630" s="1" t="s">
        <v>121</v>
      </c>
      <c r="B630" s="1">
        <v>1128299</v>
      </c>
      <c r="C630" s="2">
        <v>44810</v>
      </c>
      <c r="D630" s="1" t="s">
        <v>22</v>
      </c>
      <c r="E630" s="1" t="s">
        <v>34</v>
      </c>
      <c r="F630" s="1" t="s">
        <v>35</v>
      </c>
      <c r="G630" s="1" t="s">
        <v>17</v>
      </c>
      <c r="H630" s="1">
        <v>59</v>
      </c>
      <c r="I630" s="1" t="s">
        <v>124</v>
      </c>
      <c r="J630" s="3">
        <v>0.75000000000000011</v>
      </c>
      <c r="K630" s="4">
        <v>4000</v>
      </c>
      <c r="L630" s="5">
        <f t="shared" si="4"/>
        <v>3000.0000000000005</v>
      </c>
      <c r="M630" s="5">
        <f t="shared" si="5"/>
        <v>1650.0000000000007</v>
      </c>
      <c r="N630" s="6">
        <v>0.55000000000000016</v>
      </c>
    </row>
    <row r="631" spans="1:14" ht="15.75" customHeight="1" x14ac:dyDescent="0.45">
      <c r="A631" s="1" t="s">
        <v>121</v>
      </c>
      <c r="B631" s="1">
        <v>1128299</v>
      </c>
      <c r="C631" s="2">
        <v>44810</v>
      </c>
      <c r="D631" s="1" t="s">
        <v>22</v>
      </c>
      <c r="E631" s="1" t="s">
        <v>34</v>
      </c>
      <c r="F631" s="1" t="s">
        <v>35</v>
      </c>
      <c r="G631" s="1" t="s">
        <v>18</v>
      </c>
      <c r="H631" s="1">
        <v>20</v>
      </c>
      <c r="I631" s="1" t="s">
        <v>124</v>
      </c>
      <c r="J631" s="3">
        <v>0.70000000000000007</v>
      </c>
      <c r="K631" s="4">
        <v>4250</v>
      </c>
      <c r="L631" s="5">
        <f t="shared" si="4"/>
        <v>2975.0000000000005</v>
      </c>
      <c r="M631" s="5">
        <f t="shared" si="5"/>
        <v>595.00000000000011</v>
      </c>
      <c r="N631" s="6">
        <v>0.2</v>
      </c>
    </row>
    <row r="632" spans="1:14" ht="15.75" customHeight="1" x14ac:dyDescent="0.45">
      <c r="A632" s="1" t="s">
        <v>121</v>
      </c>
      <c r="B632" s="1">
        <v>1128299</v>
      </c>
      <c r="C632" s="2">
        <v>44839</v>
      </c>
      <c r="D632" s="1" t="s">
        <v>22</v>
      </c>
      <c r="E632" s="1" t="s">
        <v>34</v>
      </c>
      <c r="F632" s="1" t="s">
        <v>35</v>
      </c>
      <c r="G632" s="1" t="s">
        <v>13</v>
      </c>
      <c r="H632" s="1">
        <v>15</v>
      </c>
      <c r="I632" s="1" t="s">
        <v>126</v>
      </c>
      <c r="J632" s="3">
        <v>0.55000000000000004</v>
      </c>
      <c r="K632" s="4">
        <v>5250</v>
      </c>
      <c r="L632" s="5">
        <f t="shared" si="4"/>
        <v>2887.5000000000005</v>
      </c>
      <c r="M632" s="5">
        <f t="shared" si="5"/>
        <v>1155.0000000000002</v>
      </c>
      <c r="N632" s="6">
        <v>0.4</v>
      </c>
    </row>
    <row r="633" spans="1:14" ht="15.75" customHeight="1" x14ac:dyDescent="0.45">
      <c r="A633" s="1" t="s">
        <v>121</v>
      </c>
      <c r="B633" s="1">
        <v>1128299</v>
      </c>
      <c r="C633" s="2">
        <v>44839</v>
      </c>
      <c r="D633" s="1" t="s">
        <v>22</v>
      </c>
      <c r="E633" s="1" t="s">
        <v>34</v>
      </c>
      <c r="F633" s="1" t="s">
        <v>35</v>
      </c>
      <c r="G633" s="1" t="s">
        <v>14</v>
      </c>
      <c r="H633" s="1">
        <v>15</v>
      </c>
      <c r="I633" s="1" t="s">
        <v>124</v>
      </c>
      <c r="J633" s="3">
        <v>0.60000000000000009</v>
      </c>
      <c r="K633" s="4">
        <v>5250</v>
      </c>
      <c r="L633" s="5">
        <f t="shared" si="4"/>
        <v>3150.0000000000005</v>
      </c>
      <c r="M633" s="5">
        <f t="shared" si="5"/>
        <v>787.50000000000011</v>
      </c>
      <c r="N633" s="6">
        <v>0.25</v>
      </c>
    </row>
    <row r="634" spans="1:14" ht="15.75" customHeight="1" x14ac:dyDescent="0.45">
      <c r="A634" s="1" t="s">
        <v>121</v>
      </c>
      <c r="B634" s="1">
        <v>1128299</v>
      </c>
      <c r="C634" s="2">
        <v>44839</v>
      </c>
      <c r="D634" s="1" t="s">
        <v>22</v>
      </c>
      <c r="E634" s="1" t="s">
        <v>34</v>
      </c>
      <c r="F634" s="1" t="s">
        <v>35</v>
      </c>
      <c r="G634" s="1" t="s">
        <v>15</v>
      </c>
      <c r="H634" s="1">
        <v>47</v>
      </c>
      <c r="I634" s="1" t="s">
        <v>126</v>
      </c>
      <c r="J634" s="3">
        <v>0.55000000000000004</v>
      </c>
      <c r="K634" s="4">
        <v>3500</v>
      </c>
      <c r="L634" s="5">
        <f t="shared" si="4"/>
        <v>1925.0000000000002</v>
      </c>
      <c r="M634" s="5">
        <f t="shared" si="5"/>
        <v>770.00000000000011</v>
      </c>
      <c r="N634" s="6">
        <v>0.4</v>
      </c>
    </row>
    <row r="635" spans="1:14" ht="15.75" customHeight="1" x14ac:dyDescent="0.45">
      <c r="A635" s="1" t="s">
        <v>121</v>
      </c>
      <c r="B635" s="1">
        <v>1128299</v>
      </c>
      <c r="C635" s="2">
        <v>44839</v>
      </c>
      <c r="D635" s="1" t="s">
        <v>22</v>
      </c>
      <c r="E635" s="1" t="s">
        <v>34</v>
      </c>
      <c r="F635" s="1" t="s">
        <v>35</v>
      </c>
      <c r="G635" s="1" t="s">
        <v>16</v>
      </c>
      <c r="H635" s="1">
        <v>53</v>
      </c>
      <c r="I635" s="1" t="s">
        <v>126</v>
      </c>
      <c r="J635" s="3">
        <v>0.55000000000000004</v>
      </c>
      <c r="K635" s="4">
        <v>3250</v>
      </c>
      <c r="L635" s="5">
        <f t="shared" si="4"/>
        <v>1787.5000000000002</v>
      </c>
      <c r="M635" s="5">
        <f t="shared" si="5"/>
        <v>625.625</v>
      </c>
      <c r="N635" s="6">
        <v>0.35</v>
      </c>
    </row>
    <row r="636" spans="1:14" ht="15.75" customHeight="1" x14ac:dyDescent="0.45">
      <c r="A636" s="1" t="s">
        <v>121</v>
      </c>
      <c r="B636" s="1">
        <v>1128299</v>
      </c>
      <c r="C636" s="2">
        <v>44839</v>
      </c>
      <c r="D636" s="1" t="s">
        <v>22</v>
      </c>
      <c r="E636" s="1" t="s">
        <v>34</v>
      </c>
      <c r="F636" s="1" t="s">
        <v>35</v>
      </c>
      <c r="G636" s="1" t="s">
        <v>17</v>
      </c>
      <c r="H636" s="1">
        <v>37</v>
      </c>
      <c r="I636" s="1" t="s">
        <v>125</v>
      </c>
      <c r="J636" s="3">
        <v>0.65</v>
      </c>
      <c r="K636" s="4">
        <v>3000</v>
      </c>
      <c r="L636" s="5">
        <f t="shared" si="4"/>
        <v>1950</v>
      </c>
      <c r="M636" s="5">
        <f t="shared" si="5"/>
        <v>1072.5000000000002</v>
      </c>
      <c r="N636" s="6">
        <v>0.55000000000000016</v>
      </c>
    </row>
    <row r="637" spans="1:14" ht="15.75" customHeight="1" x14ac:dyDescent="0.45">
      <c r="A637" s="1" t="s">
        <v>121</v>
      </c>
      <c r="B637" s="1">
        <v>1128299</v>
      </c>
      <c r="C637" s="2">
        <v>44839</v>
      </c>
      <c r="D637" s="1" t="s">
        <v>22</v>
      </c>
      <c r="E637" s="1" t="s">
        <v>34</v>
      </c>
      <c r="F637" s="1" t="s">
        <v>35</v>
      </c>
      <c r="G637" s="1" t="s">
        <v>18</v>
      </c>
      <c r="H637" s="1">
        <v>17</v>
      </c>
      <c r="I637" s="1" t="s">
        <v>124</v>
      </c>
      <c r="J637" s="3">
        <v>0.70000000000000007</v>
      </c>
      <c r="K637" s="4">
        <v>3500</v>
      </c>
      <c r="L637" s="5">
        <f t="shared" si="4"/>
        <v>2450.0000000000005</v>
      </c>
      <c r="M637" s="5">
        <f t="shared" si="5"/>
        <v>490.00000000000011</v>
      </c>
      <c r="N637" s="6">
        <v>0.2</v>
      </c>
    </row>
    <row r="638" spans="1:14" ht="15.75" customHeight="1" x14ac:dyDescent="0.45">
      <c r="A638" s="1" t="s">
        <v>121</v>
      </c>
      <c r="B638" s="1">
        <v>1128299</v>
      </c>
      <c r="C638" s="2">
        <v>44870</v>
      </c>
      <c r="D638" s="1" t="s">
        <v>22</v>
      </c>
      <c r="E638" s="1" t="s">
        <v>34</v>
      </c>
      <c r="F638" s="1" t="s">
        <v>35</v>
      </c>
      <c r="G638" s="1" t="s">
        <v>13</v>
      </c>
      <c r="H638" s="1">
        <v>38</v>
      </c>
      <c r="I638" s="1" t="s">
        <v>125</v>
      </c>
      <c r="J638" s="3">
        <v>0.55000000000000004</v>
      </c>
      <c r="K638" s="4">
        <v>5750</v>
      </c>
      <c r="L638" s="5">
        <f t="shared" si="4"/>
        <v>3162.5000000000005</v>
      </c>
      <c r="M638" s="5">
        <f t="shared" si="5"/>
        <v>1265.0000000000002</v>
      </c>
      <c r="N638" s="6">
        <v>0.4</v>
      </c>
    </row>
    <row r="639" spans="1:14" ht="15.75" customHeight="1" x14ac:dyDescent="0.45">
      <c r="A639" s="1" t="s">
        <v>121</v>
      </c>
      <c r="B639" s="1">
        <v>1128299</v>
      </c>
      <c r="C639" s="2">
        <v>44870</v>
      </c>
      <c r="D639" s="1" t="s">
        <v>22</v>
      </c>
      <c r="E639" s="1" t="s">
        <v>34</v>
      </c>
      <c r="F639" s="1" t="s">
        <v>35</v>
      </c>
      <c r="G639" s="1" t="s">
        <v>14</v>
      </c>
      <c r="H639" s="1">
        <v>44</v>
      </c>
      <c r="I639" s="1" t="s">
        <v>123</v>
      </c>
      <c r="J639" s="3">
        <v>0.60000000000000009</v>
      </c>
      <c r="K639" s="4">
        <v>5750</v>
      </c>
      <c r="L639" s="5">
        <f t="shared" si="4"/>
        <v>3450.0000000000005</v>
      </c>
      <c r="M639" s="5">
        <f t="shared" si="5"/>
        <v>862.50000000000011</v>
      </c>
      <c r="N639" s="6">
        <v>0.25</v>
      </c>
    </row>
    <row r="640" spans="1:14" ht="15.75" customHeight="1" x14ac:dyDescent="0.45">
      <c r="A640" s="1" t="s">
        <v>121</v>
      </c>
      <c r="B640" s="1">
        <v>1128299</v>
      </c>
      <c r="C640" s="2">
        <v>44870</v>
      </c>
      <c r="D640" s="1" t="s">
        <v>22</v>
      </c>
      <c r="E640" s="1" t="s">
        <v>34</v>
      </c>
      <c r="F640" s="1" t="s">
        <v>35</v>
      </c>
      <c r="G640" s="1" t="s">
        <v>15</v>
      </c>
      <c r="H640" s="1">
        <v>49</v>
      </c>
      <c r="I640" s="1" t="s">
        <v>126</v>
      </c>
      <c r="J640" s="3">
        <v>0.55000000000000004</v>
      </c>
      <c r="K640" s="4">
        <v>4250</v>
      </c>
      <c r="L640" s="5">
        <f t="shared" si="4"/>
        <v>2337.5</v>
      </c>
      <c r="M640" s="5">
        <f t="shared" si="5"/>
        <v>935</v>
      </c>
      <c r="N640" s="6">
        <v>0.4</v>
      </c>
    </row>
    <row r="641" spans="1:14" ht="15.75" customHeight="1" x14ac:dyDescent="0.45">
      <c r="A641" s="1" t="s">
        <v>121</v>
      </c>
      <c r="B641" s="1">
        <v>1128299</v>
      </c>
      <c r="C641" s="2">
        <v>44870</v>
      </c>
      <c r="D641" s="1" t="s">
        <v>22</v>
      </c>
      <c r="E641" s="1" t="s">
        <v>34</v>
      </c>
      <c r="F641" s="1" t="s">
        <v>35</v>
      </c>
      <c r="G641" s="1" t="s">
        <v>16</v>
      </c>
      <c r="H641" s="1">
        <v>50</v>
      </c>
      <c r="I641" s="1" t="s">
        <v>126</v>
      </c>
      <c r="J641" s="3">
        <v>0.65000000000000013</v>
      </c>
      <c r="K641" s="4">
        <v>4000</v>
      </c>
      <c r="L641" s="5">
        <f t="shared" si="4"/>
        <v>2600.0000000000005</v>
      </c>
      <c r="M641" s="5">
        <f t="shared" si="5"/>
        <v>910.00000000000011</v>
      </c>
      <c r="N641" s="6">
        <v>0.35</v>
      </c>
    </row>
    <row r="642" spans="1:14" ht="15.75" customHeight="1" x14ac:dyDescent="0.45">
      <c r="A642" s="1" t="s">
        <v>121</v>
      </c>
      <c r="B642" s="1">
        <v>1128299</v>
      </c>
      <c r="C642" s="2">
        <v>44870</v>
      </c>
      <c r="D642" s="1" t="s">
        <v>22</v>
      </c>
      <c r="E642" s="1" t="s">
        <v>34</v>
      </c>
      <c r="F642" s="1" t="s">
        <v>35</v>
      </c>
      <c r="G642" s="1" t="s">
        <v>17</v>
      </c>
      <c r="H642" s="1">
        <v>49</v>
      </c>
      <c r="I642" s="1" t="s">
        <v>126</v>
      </c>
      <c r="J642" s="3">
        <v>0.75000000000000011</v>
      </c>
      <c r="K642" s="4">
        <v>3750</v>
      </c>
      <c r="L642" s="5">
        <f t="shared" si="4"/>
        <v>2812.5000000000005</v>
      </c>
      <c r="M642" s="5">
        <f t="shared" si="5"/>
        <v>1546.8750000000007</v>
      </c>
      <c r="N642" s="6">
        <v>0.55000000000000016</v>
      </c>
    </row>
    <row r="643" spans="1:14" ht="15.75" customHeight="1" x14ac:dyDescent="0.45">
      <c r="A643" s="1" t="s">
        <v>121</v>
      </c>
      <c r="B643" s="1">
        <v>1128299</v>
      </c>
      <c r="C643" s="2">
        <v>44870</v>
      </c>
      <c r="D643" s="1" t="s">
        <v>22</v>
      </c>
      <c r="E643" s="1" t="s">
        <v>34</v>
      </c>
      <c r="F643" s="1" t="s">
        <v>35</v>
      </c>
      <c r="G643" s="1" t="s">
        <v>18</v>
      </c>
      <c r="H643" s="1">
        <v>44</v>
      </c>
      <c r="I643" s="1" t="s">
        <v>125</v>
      </c>
      <c r="J643" s="3">
        <v>0.80000000000000016</v>
      </c>
      <c r="K643" s="4">
        <v>5000</v>
      </c>
      <c r="L643" s="5">
        <f t="shared" si="4"/>
        <v>4000.0000000000009</v>
      </c>
      <c r="M643" s="5">
        <f t="shared" si="5"/>
        <v>800.00000000000023</v>
      </c>
      <c r="N643" s="6">
        <v>0.2</v>
      </c>
    </row>
    <row r="644" spans="1:14" ht="15.75" customHeight="1" x14ac:dyDescent="0.45">
      <c r="A644" s="1" t="s">
        <v>121</v>
      </c>
      <c r="B644" s="1">
        <v>1128299</v>
      </c>
      <c r="C644" s="2">
        <v>44899</v>
      </c>
      <c r="D644" s="1" t="s">
        <v>22</v>
      </c>
      <c r="E644" s="1" t="s">
        <v>34</v>
      </c>
      <c r="F644" s="1" t="s">
        <v>35</v>
      </c>
      <c r="G644" s="1" t="s">
        <v>13</v>
      </c>
      <c r="H644" s="1">
        <v>18</v>
      </c>
      <c r="I644" s="1" t="s">
        <v>123</v>
      </c>
      <c r="J644" s="3">
        <v>0.65000000000000013</v>
      </c>
      <c r="K644" s="4">
        <v>7000</v>
      </c>
      <c r="L644" s="5">
        <f t="shared" si="4"/>
        <v>4550.0000000000009</v>
      </c>
      <c r="M644" s="5">
        <f t="shared" si="5"/>
        <v>1820.0000000000005</v>
      </c>
      <c r="N644" s="6">
        <v>0.4</v>
      </c>
    </row>
    <row r="645" spans="1:14" ht="15.75" customHeight="1" x14ac:dyDescent="0.45">
      <c r="A645" s="1" t="s">
        <v>121</v>
      </c>
      <c r="B645" s="1">
        <v>1128299</v>
      </c>
      <c r="C645" s="2">
        <v>44899</v>
      </c>
      <c r="D645" s="1" t="s">
        <v>22</v>
      </c>
      <c r="E645" s="1" t="s">
        <v>34</v>
      </c>
      <c r="F645" s="1" t="s">
        <v>35</v>
      </c>
      <c r="G645" s="1" t="s">
        <v>14</v>
      </c>
      <c r="H645" s="1">
        <v>35</v>
      </c>
      <c r="I645" s="1" t="s">
        <v>123</v>
      </c>
      <c r="J645" s="3">
        <v>0.70000000000000018</v>
      </c>
      <c r="K645" s="4">
        <v>7000</v>
      </c>
      <c r="L645" s="5">
        <f t="shared" si="4"/>
        <v>4900.0000000000009</v>
      </c>
      <c r="M645" s="5">
        <f t="shared" si="5"/>
        <v>1225.0000000000002</v>
      </c>
      <c r="N645" s="6">
        <v>0.25</v>
      </c>
    </row>
    <row r="646" spans="1:14" ht="15.75" customHeight="1" x14ac:dyDescent="0.45">
      <c r="A646" s="1" t="s">
        <v>121</v>
      </c>
      <c r="B646" s="1">
        <v>1128299</v>
      </c>
      <c r="C646" s="2">
        <v>44899</v>
      </c>
      <c r="D646" s="1" t="s">
        <v>22</v>
      </c>
      <c r="E646" s="1" t="s">
        <v>34</v>
      </c>
      <c r="F646" s="1" t="s">
        <v>35</v>
      </c>
      <c r="G646" s="1" t="s">
        <v>15</v>
      </c>
      <c r="H646" s="1">
        <v>47</v>
      </c>
      <c r="I646" s="1" t="s">
        <v>125</v>
      </c>
      <c r="J646" s="3">
        <v>0.65000000000000013</v>
      </c>
      <c r="K646" s="4">
        <v>5000</v>
      </c>
      <c r="L646" s="5">
        <f t="shared" si="4"/>
        <v>3250.0000000000005</v>
      </c>
      <c r="M646" s="5">
        <f t="shared" si="5"/>
        <v>1300.0000000000002</v>
      </c>
      <c r="N646" s="6">
        <v>0.4</v>
      </c>
    </row>
    <row r="647" spans="1:14" ht="15.75" customHeight="1" x14ac:dyDescent="0.45">
      <c r="A647" s="1" t="s">
        <v>121</v>
      </c>
      <c r="B647" s="1">
        <v>1128299</v>
      </c>
      <c r="C647" s="2">
        <v>44899</v>
      </c>
      <c r="D647" s="1" t="s">
        <v>22</v>
      </c>
      <c r="E647" s="1" t="s">
        <v>34</v>
      </c>
      <c r="F647" s="1" t="s">
        <v>35</v>
      </c>
      <c r="G647" s="1" t="s">
        <v>16</v>
      </c>
      <c r="H647" s="1">
        <v>43</v>
      </c>
      <c r="I647" s="1" t="s">
        <v>125</v>
      </c>
      <c r="J647" s="3">
        <v>0.65000000000000013</v>
      </c>
      <c r="K647" s="4">
        <v>5000</v>
      </c>
      <c r="L647" s="5">
        <f t="shared" si="4"/>
        <v>3250.0000000000005</v>
      </c>
      <c r="M647" s="5">
        <f t="shared" si="5"/>
        <v>1137.5</v>
      </c>
      <c r="N647" s="6">
        <v>0.35</v>
      </c>
    </row>
    <row r="648" spans="1:14" ht="15.75" customHeight="1" x14ac:dyDescent="0.45">
      <c r="A648" s="1" t="s">
        <v>121</v>
      </c>
      <c r="B648" s="1">
        <v>1128299</v>
      </c>
      <c r="C648" s="2">
        <v>44899</v>
      </c>
      <c r="D648" s="1" t="s">
        <v>22</v>
      </c>
      <c r="E648" s="1" t="s">
        <v>34</v>
      </c>
      <c r="F648" s="1" t="s">
        <v>35</v>
      </c>
      <c r="G648" s="1" t="s">
        <v>17</v>
      </c>
      <c r="H648" s="1">
        <v>15</v>
      </c>
      <c r="I648" s="1" t="s">
        <v>124</v>
      </c>
      <c r="J648" s="3">
        <v>0.75000000000000011</v>
      </c>
      <c r="K648" s="4">
        <v>4250</v>
      </c>
      <c r="L648" s="5">
        <f t="shared" si="4"/>
        <v>3187.5000000000005</v>
      </c>
      <c r="M648" s="5">
        <f t="shared" si="5"/>
        <v>1753.1250000000007</v>
      </c>
      <c r="N648" s="6">
        <v>0.55000000000000016</v>
      </c>
    </row>
    <row r="649" spans="1:14" ht="15.75" customHeight="1" x14ac:dyDescent="0.45">
      <c r="A649" s="1" t="s">
        <v>121</v>
      </c>
      <c r="B649" s="1">
        <v>1128299</v>
      </c>
      <c r="C649" s="2">
        <v>44899</v>
      </c>
      <c r="D649" s="1" t="s">
        <v>22</v>
      </c>
      <c r="E649" s="1" t="s">
        <v>34</v>
      </c>
      <c r="F649" s="1" t="s">
        <v>35</v>
      </c>
      <c r="G649" s="1" t="s">
        <v>18</v>
      </c>
      <c r="H649" s="1">
        <v>59</v>
      </c>
      <c r="I649" s="1" t="s">
        <v>123</v>
      </c>
      <c r="J649" s="3">
        <v>0.80000000000000016</v>
      </c>
      <c r="K649" s="4">
        <v>5250</v>
      </c>
      <c r="L649" s="5">
        <f t="shared" si="4"/>
        <v>4200.0000000000009</v>
      </c>
      <c r="M649" s="5">
        <f t="shared" si="5"/>
        <v>840.00000000000023</v>
      </c>
      <c r="N649" s="6">
        <v>0.2</v>
      </c>
    </row>
    <row r="650" spans="1:14" ht="15.75" customHeight="1" x14ac:dyDescent="0.45">
      <c r="A650" s="1" t="s">
        <v>121</v>
      </c>
      <c r="B650" s="1">
        <v>1128299</v>
      </c>
      <c r="C650" s="2">
        <v>44564</v>
      </c>
      <c r="D650" s="1" t="s">
        <v>22</v>
      </c>
      <c r="E650" s="1" t="s">
        <v>36</v>
      </c>
      <c r="F650" s="1" t="s">
        <v>37</v>
      </c>
      <c r="G650" s="1" t="s">
        <v>13</v>
      </c>
      <c r="H650" s="1">
        <v>55</v>
      </c>
      <c r="I650" s="1" t="s">
        <v>123</v>
      </c>
      <c r="J650" s="3">
        <v>0.4</v>
      </c>
      <c r="K650" s="4">
        <v>4500</v>
      </c>
      <c r="L650" s="5">
        <f t="shared" si="4"/>
        <v>1800</v>
      </c>
      <c r="M650" s="5">
        <f t="shared" si="5"/>
        <v>540</v>
      </c>
      <c r="N650" s="6">
        <v>0.3</v>
      </c>
    </row>
    <row r="651" spans="1:14" ht="15.75" customHeight="1" x14ac:dyDescent="0.45">
      <c r="A651" s="1" t="s">
        <v>121</v>
      </c>
      <c r="B651" s="1">
        <v>1128299</v>
      </c>
      <c r="C651" s="2">
        <v>44564</v>
      </c>
      <c r="D651" s="1" t="s">
        <v>22</v>
      </c>
      <c r="E651" s="1" t="s">
        <v>36</v>
      </c>
      <c r="F651" s="1" t="s">
        <v>37</v>
      </c>
      <c r="G651" s="1" t="s">
        <v>14</v>
      </c>
      <c r="H651" s="1">
        <v>39</v>
      </c>
      <c r="I651" s="1" t="s">
        <v>125</v>
      </c>
      <c r="J651" s="3">
        <v>0.5</v>
      </c>
      <c r="K651" s="4">
        <v>4500</v>
      </c>
      <c r="L651" s="5">
        <f t="shared" si="4"/>
        <v>2250</v>
      </c>
      <c r="M651" s="5">
        <f t="shared" si="5"/>
        <v>562.5</v>
      </c>
      <c r="N651" s="6">
        <v>0.25</v>
      </c>
    </row>
    <row r="652" spans="1:14" ht="15.75" customHeight="1" x14ac:dyDescent="0.45">
      <c r="A652" s="1" t="s">
        <v>121</v>
      </c>
      <c r="B652" s="1">
        <v>1128299</v>
      </c>
      <c r="C652" s="2">
        <v>44564</v>
      </c>
      <c r="D652" s="1" t="s">
        <v>22</v>
      </c>
      <c r="E652" s="1" t="s">
        <v>36</v>
      </c>
      <c r="F652" s="1" t="s">
        <v>37</v>
      </c>
      <c r="G652" s="1" t="s">
        <v>15</v>
      </c>
      <c r="H652" s="1">
        <v>50</v>
      </c>
      <c r="I652" s="1" t="s">
        <v>126</v>
      </c>
      <c r="J652" s="3">
        <v>0.5</v>
      </c>
      <c r="K652" s="4">
        <v>4500</v>
      </c>
      <c r="L652" s="5">
        <f t="shared" si="4"/>
        <v>2250</v>
      </c>
      <c r="M652" s="5">
        <f t="shared" si="5"/>
        <v>562.5</v>
      </c>
      <c r="N652" s="6">
        <v>0.25</v>
      </c>
    </row>
    <row r="653" spans="1:14" ht="15.75" customHeight="1" x14ac:dyDescent="0.45">
      <c r="A653" s="1" t="s">
        <v>121</v>
      </c>
      <c r="B653" s="1">
        <v>1128299</v>
      </c>
      <c r="C653" s="2">
        <v>44564</v>
      </c>
      <c r="D653" s="1" t="s">
        <v>22</v>
      </c>
      <c r="E653" s="1" t="s">
        <v>36</v>
      </c>
      <c r="F653" s="1" t="s">
        <v>37</v>
      </c>
      <c r="G653" s="1" t="s">
        <v>16</v>
      </c>
      <c r="H653" s="1">
        <v>36</v>
      </c>
      <c r="I653" s="1" t="s">
        <v>123</v>
      </c>
      <c r="J653" s="3">
        <v>0.5</v>
      </c>
      <c r="K653" s="4">
        <v>3000</v>
      </c>
      <c r="L653" s="5">
        <f t="shared" si="4"/>
        <v>1500</v>
      </c>
      <c r="M653" s="5">
        <f t="shared" si="5"/>
        <v>450</v>
      </c>
      <c r="N653" s="6">
        <v>0.3</v>
      </c>
    </row>
    <row r="654" spans="1:14" ht="15.75" customHeight="1" x14ac:dyDescent="0.45">
      <c r="A654" s="1" t="s">
        <v>121</v>
      </c>
      <c r="B654" s="1">
        <v>1128299</v>
      </c>
      <c r="C654" s="2">
        <v>44564</v>
      </c>
      <c r="D654" s="1" t="s">
        <v>22</v>
      </c>
      <c r="E654" s="1" t="s">
        <v>36</v>
      </c>
      <c r="F654" s="1" t="s">
        <v>37</v>
      </c>
      <c r="G654" s="1" t="s">
        <v>17</v>
      </c>
      <c r="H654" s="1">
        <v>58</v>
      </c>
      <c r="I654" s="1" t="s">
        <v>123</v>
      </c>
      <c r="J654" s="3">
        <v>0.55000000000000004</v>
      </c>
      <c r="K654" s="4">
        <v>2500</v>
      </c>
      <c r="L654" s="5">
        <f t="shared" si="4"/>
        <v>1375</v>
      </c>
      <c r="M654" s="5">
        <f t="shared" si="5"/>
        <v>343.75</v>
      </c>
      <c r="N654" s="6">
        <v>0.25</v>
      </c>
    </row>
    <row r="655" spans="1:14" ht="15.75" customHeight="1" x14ac:dyDescent="0.45">
      <c r="A655" s="1" t="s">
        <v>121</v>
      </c>
      <c r="B655" s="1">
        <v>1128299</v>
      </c>
      <c r="C655" s="2">
        <v>44564</v>
      </c>
      <c r="D655" s="1" t="s">
        <v>22</v>
      </c>
      <c r="E655" s="1" t="s">
        <v>36</v>
      </c>
      <c r="F655" s="1" t="s">
        <v>37</v>
      </c>
      <c r="G655" s="1" t="s">
        <v>18</v>
      </c>
      <c r="H655" s="1">
        <v>30</v>
      </c>
      <c r="I655" s="1" t="s">
        <v>123</v>
      </c>
      <c r="J655" s="3">
        <v>0.5</v>
      </c>
      <c r="K655" s="4">
        <v>5000</v>
      </c>
      <c r="L655" s="5">
        <f t="shared" si="4"/>
        <v>2500</v>
      </c>
      <c r="M655" s="5">
        <f t="shared" si="5"/>
        <v>500</v>
      </c>
      <c r="N655" s="6">
        <v>0.2</v>
      </c>
    </row>
    <row r="656" spans="1:14" ht="15.75" customHeight="1" x14ac:dyDescent="0.45">
      <c r="A656" s="1" t="s">
        <v>121</v>
      </c>
      <c r="B656" s="1">
        <v>1128299</v>
      </c>
      <c r="C656" s="2">
        <v>44595</v>
      </c>
      <c r="D656" s="1" t="s">
        <v>22</v>
      </c>
      <c r="E656" s="1" t="s">
        <v>36</v>
      </c>
      <c r="F656" s="1" t="s">
        <v>37</v>
      </c>
      <c r="G656" s="1" t="s">
        <v>13</v>
      </c>
      <c r="H656" s="1">
        <v>38</v>
      </c>
      <c r="I656" s="1" t="s">
        <v>126</v>
      </c>
      <c r="J656" s="3">
        <v>0.4</v>
      </c>
      <c r="K656" s="4">
        <v>5500</v>
      </c>
      <c r="L656" s="5">
        <f t="shared" si="4"/>
        <v>2200</v>
      </c>
      <c r="M656" s="5">
        <f t="shared" si="5"/>
        <v>660</v>
      </c>
      <c r="N656" s="6">
        <v>0.3</v>
      </c>
    </row>
    <row r="657" spans="1:14" ht="15.75" customHeight="1" x14ac:dyDescent="0.45">
      <c r="A657" s="1" t="s">
        <v>121</v>
      </c>
      <c r="B657" s="1">
        <v>1128299</v>
      </c>
      <c r="C657" s="2">
        <v>44595</v>
      </c>
      <c r="D657" s="1" t="s">
        <v>22</v>
      </c>
      <c r="E657" s="1" t="s">
        <v>36</v>
      </c>
      <c r="F657" s="1" t="s">
        <v>37</v>
      </c>
      <c r="G657" s="1" t="s">
        <v>14</v>
      </c>
      <c r="H657" s="1">
        <v>28</v>
      </c>
      <c r="I657" s="1" t="s">
        <v>125</v>
      </c>
      <c r="J657" s="3">
        <v>0.5</v>
      </c>
      <c r="K657" s="4">
        <v>4500</v>
      </c>
      <c r="L657" s="5">
        <f t="shared" si="4"/>
        <v>2250</v>
      </c>
      <c r="M657" s="5">
        <f t="shared" si="5"/>
        <v>562.5</v>
      </c>
      <c r="N657" s="6">
        <v>0.25</v>
      </c>
    </row>
    <row r="658" spans="1:14" ht="15.75" customHeight="1" x14ac:dyDescent="0.45">
      <c r="A658" s="1" t="s">
        <v>121</v>
      </c>
      <c r="B658" s="1">
        <v>1128299</v>
      </c>
      <c r="C658" s="2">
        <v>44595</v>
      </c>
      <c r="D658" s="1" t="s">
        <v>22</v>
      </c>
      <c r="E658" s="1" t="s">
        <v>36</v>
      </c>
      <c r="F658" s="1" t="s">
        <v>37</v>
      </c>
      <c r="G658" s="1" t="s">
        <v>15</v>
      </c>
      <c r="H658" s="1">
        <v>40</v>
      </c>
      <c r="I658" s="1" t="s">
        <v>123</v>
      </c>
      <c r="J658" s="3">
        <v>0.5</v>
      </c>
      <c r="K658" s="4">
        <v>4500</v>
      </c>
      <c r="L658" s="5">
        <f t="shared" si="4"/>
        <v>2250</v>
      </c>
      <c r="M658" s="5">
        <f t="shared" si="5"/>
        <v>562.5</v>
      </c>
      <c r="N658" s="6">
        <v>0.25</v>
      </c>
    </row>
    <row r="659" spans="1:14" ht="15.75" customHeight="1" x14ac:dyDescent="0.45">
      <c r="A659" s="1" t="s">
        <v>121</v>
      </c>
      <c r="B659" s="1">
        <v>1128299</v>
      </c>
      <c r="C659" s="2">
        <v>44595</v>
      </c>
      <c r="D659" s="1" t="s">
        <v>22</v>
      </c>
      <c r="E659" s="1" t="s">
        <v>36</v>
      </c>
      <c r="F659" s="1" t="s">
        <v>37</v>
      </c>
      <c r="G659" s="1" t="s">
        <v>16</v>
      </c>
      <c r="H659" s="1">
        <v>35</v>
      </c>
      <c r="I659" s="1" t="s">
        <v>125</v>
      </c>
      <c r="J659" s="3">
        <v>0.5</v>
      </c>
      <c r="K659" s="4">
        <v>3000</v>
      </c>
      <c r="L659" s="5">
        <f t="shared" si="4"/>
        <v>1500</v>
      </c>
      <c r="M659" s="5">
        <f t="shared" si="5"/>
        <v>450</v>
      </c>
      <c r="N659" s="6">
        <v>0.3</v>
      </c>
    </row>
    <row r="660" spans="1:14" ht="15.75" customHeight="1" x14ac:dyDescent="0.45">
      <c r="A660" s="1" t="s">
        <v>121</v>
      </c>
      <c r="B660" s="1">
        <v>1128299</v>
      </c>
      <c r="C660" s="2">
        <v>44595</v>
      </c>
      <c r="D660" s="1" t="s">
        <v>22</v>
      </c>
      <c r="E660" s="1" t="s">
        <v>36</v>
      </c>
      <c r="F660" s="1" t="s">
        <v>37</v>
      </c>
      <c r="G660" s="1" t="s">
        <v>17</v>
      </c>
      <c r="H660" s="1">
        <v>56</v>
      </c>
      <c r="I660" s="1" t="s">
        <v>124</v>
      </c>
      <c r="J660" s="3">
        <v>0.55000000000000004</v>
      </c>
      <c r="K660" s="4">
        <v>2250</v>
      </c>
      <c r="L660" s="5">
        <f t="shared" si="4"/>
        <v>1237.5</v>
      </c>
      <c r="M660" s="5">
        <f t="shared" si="5"/>
        <v>309.375</v>
      </c>
      <c r="N660" s="6">
        <v>0.25</v>
      </c>
    </row>
    <row r="661" spans="1:14" ht="15.75" customHeight="1" x14ac:dyDescent="0.45">
      <c r="A661" s="1" t="s">
        <v>121</v>
      </c>
      <c r="B661" s="1">
        <v>1128299</v>
      </c>
      <c r="C661" s="2">
        <v>44595</v>
      </c>
      <c r="D661" s="1" t="s">
        <v>22</v>
      </c>
      <c r="E661" s="1" t="s">
        <v>36</v>
      </c>
      <c r="F661" s="1" t="s">
        <v>37</v>
      </c>
      <c r="G661" s="1" t="s">
        <v>18</v>
      </c>
      <c r="H661" s="1">
        <v>59</v>
      </c>
      <c r="I661" s="1" t="s">
        <v>125</v>
      </c>
      <c r="J661" s="3">
        <v>0.5</v>
      </c>
      <c r="K661" s="4">
        <v>4250</v>
      </c>
      <c r="L661" s="5">
        <f t="shared" si="4"/>
        <v>2125</v>
      </c>
      <c r="M661" s="5">
        <f t="shared" si="5"/>
        <v>425</v>
      </c>
      <c r="N661" s="6">
        <v>0.2</v>
      </c>
    </row>
    <row r="662" spans="1:14" ht="15.75" customHeight="1" x14ac:dyDescent="0.45">
      <c r="A662" s="1" t="s">
        <v>121</v>
      </c>
      <c r="B662" s="1">
        <v>1128299</v>
      </c>
      <c r="C662" s="2">
        <v>44622</v>
      </c>
      <c r="D662" s="1" t="s">
        <v>22</v>
      </c>
      <c r="E662" s="1" t="s">
        <v>36</v>
      </c>
      <c r="F662" s="1" t="s">
        <v>37</v>
      </c>
      <c r="G662" s="1" t="s">
        <v>13</v>
      </c>
      <c r="H662" s="1">
        <v>56</v>
      </c>
      <c r="I662" s="1" t="s">
        <v>125</v>
      </c>
      <c r="J662" s="3">
        <v>0.5</v>
      </c>
      <c r="K662" s="4">
        <v>5750</v>
      </c>
      <c r="L662" s="5">
        <f t="shared" si="4"/>
        <v>2875</v>
      </c>
      <c r="M662" s="5">
        <f t="shared" si="5"/>
        <v>862.5</v>
      </c>
      <c r="N662" s="6">
        <v>0.3</v>
      </c>
    </row>
    <row r="663" spans="1:14" ht="15.75" customHeight="1" x14ac:dyDescent="0.45">
      <c r="A663" s="1" t="s">
        <v>121</v>
      </c>
      <c r="B663" s="1">
        <v>1128299</v>
      </c>
      <c r="C663" s="2">
        <v>44622</v>
      </c>
      <c r="D663" s="1" t="s">
        <v>22</v>
      </c>
      <c r="E663" s="1" t="s">
        <v>36</v>
      </c>
      <c r="F663" s="1" t="s">
        <v>37</v>
      </c>
      <c r="G663" s="1" t="s">
        <v>14</v>
      </c>
      <c r="H663" s="1">
        <v>50</v>
      </c>
      <c r="I663" s="1" t="s">
        <v>126</v>
      </c>
      <c r="J663" s="3">
        <v>0.6</v>
      </c>
      <c r="K663" s="4">
        <v>4250</v>
      </c>
      <c r="L663" s="5">
        <f t="shared" si="4"/>
        <v>2550</v>
      </c>
      <c r="M663" s="5">
        <f t="shared" si="5"/>
        <v>637.5</v>
      </c>
      <c r="N663" s="6">
        <v>0.25</v>
      </c>
    </row>
    <row r="664" spans="1:14" ht="15.75" customHeight="1" x14ac:dyDescent="0.45">
      <c r="A664" s="1" t="s">
        <v>121</v>
      </c>
      <c r="B664" s="1">
        <v>1128299</v>
      </c>
      <c r="C664" s="2">
        <v>44622</v>
      </c>
      <c r="D664" s="1" t="s">
        <v>22</v>
      </c>
      <c r="E664" s="1" t="s">
        <v>36</v>
      </c>
      <c r="F664" s="1" t="s">
        <v>37</v>
      </c>
      <c r="G664" s="1" t="s">
        <v>15</v>
      </c>
      <c r="H664" s="1">
        <v>33</v>
      </c>
      <c r="I664" s="1" t="s">
        <v>125</v>
      </c>
      <c r="J664" s="3">
        <v>0.64999999999999991</v>
      </c>
      <c r="K664" s="4">
        <v>4250</v>
      </c>
      <c r="L664" s="5">
        <f t="shared" si="4"/>
        <v>2762.4999999999995</v>
      </c>
      <c r="M664" s="5">
        <f t="shared" si="5"/>
        <v>690.62499999999989</v>
      </c>
      <c r="N664" s="6">
        <v>0.25</v>
      </c>
    </row>
    <row r="665" spans="1:14" ht="15.75" customHeight="1" x14ac:dyDescent="0.45">
      <c r="A665" s="1" t="s">
        <v>121</v>
      </c>
      <c r="B665" s="1">
        <v>1128299</v>
      </c>
      <c r="C665" s="2">
        <v>44622</v>
      </c>
      <c r="D665" s="1" t="s">
        <v>22</v>
      </c>
      <c r="E665" s="1" t="s">
        <v>36</v>
      </c>
      <c r="F665" s="1" t="s">
        <v>37</v>
      </c>
      <c r="G665" s="1" t="s">
        <v>16</v>
      </c>
      <c r="H665" s="1">
        <v>37</v>
      </c>
      <c r="I665" s="1" t="s">
        <v>124</v>
      </c>
      <c r="J665" s="3">
        <v>0.64999999999999991</v>
      </c>
      <c r="K665" s="4">
        <v>3250</v>
      </c>
      <c r="L665" s="5">
        <f t="shared" si="4"/>
        <v>2112.4999999999995</v>
      </c>
      <c r="M665" s="5">
        <f t="shared" si="5"/>
        <v>633.74999999999989</v>
      </c>
      <c r="N665" s="6">
        <v>0.3</v>
      </c>
    </row>
    <row r="666" spans="1:14" ht="15.75" customHeight="1" x14ac:dyDescent="0.45">
      <c r="A666" s="1" t="s">
        <v>121</v>
      </c>
      <c r="B666" s="1">
        <v>1128299</v>
      </c>
      <c r="C666" s="2">
        <v>44622</v>
      </c>
      <c r="D666" s="1" t="s">
        <v>22</v>
      </c>
      <c r="E666" s="1" t="s">
        <v>36</v>
      </c>
      <c r="F666" s="1" t="s">
        <v>37</v>
      </c>
      <c r="G666" s="1" t="s">
        <v>17</v>
      </c>
      <c r="H666" s="1">
        <v>53</v>
      </c>
      <c r="I666" s="1" t="s">
        <v>123</v>
      </c>
      <c r="J666" s="3">
        <v>0.7</v>
      </c>
      <c r="K666" s="4">
        <v>1750</v>
      </c>
      <c r="L666" s="5">
        <f t="shared" si="4"/>
        <v>1225</v>
      </c>
      <c r="M666" s="5">
        <f t="shared" si="5"/>
        <v>306.25</v>
      </c>
      <c r="N666" s="6">
        <v>0.25</v>
      </c>
    </row>
    <row r="667" spans="1:14" ht="15.75" customHeight="1" x14ac:dyDescent="0.45">
      <c r="A667" s="1" t="s">
        <v>121</v>
      </c>
      <c r="B667" s="1">
        <v>1128299</v>
      </c>
      <c r="C667" s="2">
        <v>44622</v>
      </c>
      <c r="D667" s="1" t="s">
        <v>22</v>
      </c>
      <c r="E667" s="1" t="s">
        <v>36</v>
      </c>
      <c r="F667" s="1" t="s">
        <v>37</v>
      </c>
      <c r="G667" s="1" t="s">
        <v>18</v>
      </c>
      <c r="H667" s="1">
        <v>48</v>
      </c>
      <c r="I667" s="1" t="s">
        <v>123</v>
      </c>
      <c r="J667" s="3">
        <v>0.64999999999999991</v>
      </c>
      <c r="K667" s="4">
        <v>3750</v>
      </c>
      <c r="L667" s="5">
        <f t="shared" si="4"/>
        <v>2437.4999999999995</v>
      </c>
      <c r="M667" s="5">
        <f t="shared" si="5"/>
        <v>487.49999999999994</v>
      </c>
      <c r="N667" s="6">
        <v>0.2</v>
      </c>
    </row>
    <row r="668" spans="1:14" ht="15.75" customHeight="1" x14ac:dyDescent="0.45">
      <c r="A668" s="1" t="s">
        <v>121</v>
      </c>
      <c r="B668" s="1">
        <v>1128299</v>
      </c>
      <c r="C668" s="2">
        <v>44654</v>
      </c>
      <c r="D668" s="1" t="s">
        <v>22</v>
      </c>
      <c r="E668" s="1" t="s">
        <v>36</v>
      </c>
      <c r="F668" s="1" t="s">
        <v>37</v>
      </c>
      <c r="G668" s="1" t="s">
        <v>13</v>
      </c>
      <c r="H668" s="1">
        <v>34</v>
      </c>
      <c r="I668" s="1" t="s">
        <v>124</v>
      </c>
      <c r="J668" s="3">
        <v>0.7</v>
      </c>
      <c r="K668" s="4">
        <v>5500</v>
      </c>
      <c r="L668" s="5">
        <f t="shared" si="4"/>
        <v>3849.9999999999995</v>
      </c>
      <c r="M668" s="5">
        <f t="shared" si="5"/>
        <v>1154.9999999999998</v>
      </c>
      <c r="N668" s="6">
        <v>0.3</v>
      </c>
    </row>
    <row r="669" spans="1:14" ht="15.75" customHeight="1" x14ac:dyDescent="0.45">
      <c r="A669" s="1" t="s">
        <v>121</v>
      </c>
      <c r="B669" s="1">
        <v>1128299</v>
      </c>
      <c r="C669" s="2">
        <v>44654</v>
      </c>
      <c r="D669" s="1" t="s">
        <v>22</v>
      </c>
      <c r="E669" s="1" t="s">
        <v>36</v>
      </c>
      <c r="F669" s="1" t="s">
        <v>37</v>
      </c>
      <c r="G669" s="1" t="s">
        <v>14</v>
      </c>
      <c r="H669" s="1">
        <v>29</v>
      </c>
      <c r="I669" s="1" t="s">
        <v>126</v>
      </c>
      <c r="J669" s="3">
        <v>0.75</v>
      </c>
      <c r="K669" s="4">
        <v>3500</v>
      </c>
      <c r="L669" s="5">
        <f t="shared" si="4"/>
        <v>2625</v>
      </c>
      <c r="M669" s="5">
        <f t="shared" si="5"/>
        <v>656.25</v>
      </c>
      <c r="N669" s="6">
        <v>0.25</v>
      </c>
    </row>
    <row r="670" spans="1:14" ht="15.75" customHeight="1" x14ac:dyDescent="0.45">
      <c r="A670" s="1" t="s">
        <v>121</v>
      </c>
      <c r="B670" s="1">
        <v>1128299</v>
      </c>
      <c r="C670" s="2">
        <v>44654</v>
      </c>
      <c r="D670" s="1" t="s">
        <v>22</v>
      </c>
      <c r="E670" s="1" t="s">
        <v>36</v>
      </c>
      <c r="F670" s="1" t="s">
        <v>37</v>
      </c>
      <c r="G670" s="1" t="s">
        <v>15</v>
      </c>
      <c r="H670" s="1">
        <v>45</v>
      </c>
      <c r="I670" s="1" t="s">
        <v>126</v>
      </c>
      <c r="J670" s="3">
        <v>0.75</v>
      </c>
      <c r="K670" s="4">
        <v>4000</v>
      </c>
      <c r="L670" s="5">
        <f t="shared" si="4"/>
        <v>3000</v>
      </c>
      <c r="M670" s="5">
        <f t="shared" si="5"/>
        <v>750</v>
      </c>
      <c r="N670" s="6">
        <v>0.25</v>
      </c>
    </row>
    <row r="671" spans="1:14" ht="15.75" customHeight="1" x14ac:dyDescent="0.45">
      <c r="A671" s="1" t="s">
        <v>121</v>
      </c>
      <c r="B671" s="1">
        <v>1128299</v>
      </c>
      <c r="C671" s="2">
        <v>44654</v>
      </c>
      <c r="D671" s="1" t="s">
        <v>22</v>
      </c>
      <c r="E671" s="1" t="s">
        <v>36</v>
      </c>
      <c r="F671" s="1" t="s">
        <v>37</v>
      </c>
      <c r="G671" s="1" t="s">
        <v>16</v>
      </c>
      <c r="H671" s="1">
        <v>34</v>
      </c>
      <c r="I671" s="1" t="s">
        <v>124</v>
      </c>
      <c r="J671" s="3">
        <v>0.6</v>
      </c>
      <c r="K671" s="4">
        <v>3000</v>
      </c>
      <c r="L671" s="5">
        <f t="shared" si="4"/>
        <v>1800</v>
      </c>
      <c r="M671" s="5">
        <f t="shared" si="5"/>
        <v>540</v>
      </c>
      <c r="N671" s="6">
        <v>0.3</v>
      </c>
    </row>
    <row r="672" spans="1:14" ht="15.75" customHeight="1" x14ac:dyDescent="0.45">
      <c r="A672" s="1" t="s">
        <v>121</v>
      </c>
      <c r="B672" s="1">
        <v>1128299</v>
      </c>
      <c r="C672" s="2">
        <v>44654</v>
      </c>
      <c r="D672" s="1" t="s">
        <v>22</v>
      </c>
      <c r="E672" s="1" t="s">
        <v>36</v>
      </c>
      <c r="F672" s="1" t="s">
        <v>37</v>
      </c>
      <c r="G672" s="1" t="s">
        <v>17</v>
      </c>
      <c r="H672" s="1">
        <v>36</v>
      </c>
      <c r="I672" s="1" t="s">
        <v>123</v>
      </c>
      <c r="J672" s="3">
        <v>0.65</v>
      </c>
      <c r="K672" s="4">
        <v>2000</v>
      </c>
      <c r="L672" s="5">
        <f t="shared" si="4"/>
        <v>1300</v>
      </c>
      <c r="M672" s="5">
        <f t="shared" si="5"/>
        <v>325</v>
      </c>
      <c r="N672" s="6">
        <v>0.25</v>
      </c>
    </row>
    <row r="673" spans="1:14" ht="15.75" customHeight="1" x14ac:dyDescent="0.45">
      <c r="A673" s="1" t="s">
        <v>121</v>
      </c>
      <c r="B673" s="1">
        <v>1128299</v>
      </c>
      <c r="C673" s="2">
        <v>44654</v>
      </c>
      <c r="D673" s="1" t="s">
        <v>22</v>
      </c>
      <c r="E673" s="1" t="s">
        <v>36</v>
      </c>
      <c r="F673" s="1" t="s">
        <v>37</v>
      </c>
      <c r="G673" s="1" t="s">
        <v>18</v>
      </c>
      <c r="H673" s="1">
        <v>60</v>
      </c>
      <c r="I673" s="1" t="s">
        <v>126</v>
      </c>
      <c r="J673" s="3">
        <v>0.8</v>
      </c>
      <c r="K673" s="4">
        <v>3500</v>
      </c>
      <c r="L673" s="5">
        <f t="shared" si="4"/>
        <v>2800</v>
      </c>
      <c r="M673" s="5">
        <f t="shared" si="5"/>
        <v>560</v>
      </c>
      <c r="N673" s="6">
        <v>0.2</v>
      </c>
    </row>
    <row r="674" spans="1:14" ht="15.75" customHeight="1" x14ac:dyDescent="0.45">
      <c r="A674" s="1" t="s">
        <v>121</v>
      </c>
      <c r="B674" s="1">
        <v>1128299</v>
      </c>
      <c r="C674" s="2">
        <v>44685</v>
      </c>
      <c r="D674" s="1" t="s">
        <v>22</v>
      </c>
      <c r="E674" s="1" t="s">
        <v>36</v>
      </c>
      <c r="F674" s="1" t="s">
        <v>37</v>
      </c>
      <c r="G674" s="1" t="s">
        <v>13</v>
      </c>
      <c r="H674" s="1">
        <v>54</v>
      </c>
      <c r="I674" s="1" t="s">
        <v>123</v>
      </c>
      <c r="J674" s="3">
        <v>0.6</v>
      </c>
      <c r="K674" s="4">
        <v>5500</v>
      </c>
      <c r="L674" s="5">
        <f t="shared" si="4"/>
        <v>3300</v>
      </c>
      <c r="M674" s="5">
        <f t="shared" si="5"/>
        <v>990</v>
      </c>
      <c r="N674" s="6">
        <v>0.3</v>
      </c>
    </row>
    <row r="675" spans="1:14" ht="15.75" customHeight="1" x14ac:dyDescent="0.45">
      <c r="A675" s="1" t="s">
        <v>121</v>
      </c>
      <c r="B675" s="1">
        <v>1128299</v>
      </c>
      <c r="C675" s="2">
        <v>44685</v>
      </c>
      <c r="D675" s="1" t="s">
        <v>22</v>
      </c>
      <c r="E675" s="1" t="s">
        <v>36</v>
      </c>
      <c r="F675" s="1" t="s">
        <v>37</v>
      </c>
      <c r="G675" s="1" t="s">
        <v>14</v>
      </c>
      <c r="H675" s="1">
        <v>50</v>
      </c>
      <c r="I675" s="1" t="s">
        <v>124</v>
      </c>
      <c r="J675" s="3">
        <v>0.65</v>
      </c>
      <c r="K675" s="4">
        <v>4000</v>
      </c>
      <c r="L675" s="5">
        <f t="shared" si="4"/>
        <v>2600</v>
      </c>
      <c r="M675" s="5">
        <f t="shared" si="5"/>
        <v>650</v>
      </c>
      <c r="N675" s="6">
        <v>0.25</v>
      </c>
    </row>
    <row r="676" spans="1:14" ht="15.75" customHeight="1" x14ac:dyDescent="0.45">
      <c r="A676" s="1" t="s">
        <v>121</v>
      </c>
      <c r="B676" s="1">
        <v>1128299</v>
      </c>
      <c r="C676" s="2">
        <v>44685</v>
      </c>
      <c r="D676" s="1" t="s">
        <v>22</v>
      </c>
      <c r="E676" s="1" t="s">
        <v>36</v>
      </c>
      <c r="F676" s="1" t="s">
        <v>37</v>
      </c>
      <c r="G676" s="1" t="s">
        <v>15</v>
      </c>
      <c r="H676" s="1">
        <v>26</v>
      </c>
      <c r="I676" s="1" t="s">
        <v>124</v>
      </c>
      <c r="J676" s="3">
        <v>0.65</v>
      </c>
      <c r="K676" s="4">
        <v>4000</v>
      </c>
      <c r="L676" s="5">
        <f t="shared" si="4"/>
        <v>2600</v>
      </c>
      <c r="M676" s="5">
        <f t="shared" si="5"/>
        <v>650</v>
      </c>
      <c r="N676" s="6">
        <v>0.25</v>
      </c>
    </row>
    <row r="677" spans="1:14" ht="15.75" customHeight="1" x14ac:dyDescent="0.45">
      <c r="A677" s="1" t="s">
        <v>121</v>
      </c>
      <c r="B677" s="1">
        <v>1128299</v>
      </c>
      <c r="C677" s="2">
        <v>44685</v>
      </c>
      <c r="D677" s="1" t="s">
        <v>22</v>
      </c>
      <c r="E677" s="1" t="s">
        <v>36</v>
      </c>
      <c r="F677" s="1" t="s">
        <v>37</v>
      </c>
      <c r="G677" s="1" t="s">
        <v>16</v>
      </c>
      <c r="H677" s="1">
        <v>25</v>
      </c>
      <c r="I677" s="1" t="s">
        <v>124</v>
      </c>
      <c r="J677" s="3">
        <v>0.6</v>
      </c>
      <c r="K677" s="4">
        <v>3000</v>
      </c>
      <c r="L677" s="5">
        <f t="shared" si="4"/>
        <v>1800</v>
      </c>
      <c r="M677" s="5">
        <f t="shared" si="5"/>
        <v>540</v>
      </c>
      <c r="N677" s="6">
        <v>0.3</v>
      </c>
    </row>
    <row r="678" spans="1:14" ht="15.75" customHeight="1" x14ac:dyDescent="0.45">
      <c r="A678" s="1" t="s">
        <v>121</v>
      </c>
      <c r="B678" s="1">
        <v>1128299</v>
      </c>
      <c r="C678" s="2">
        <v>44685</v>
      </c>
      <c r="D678" s="1" t="s">
        <v>22</v>
      </c>
      <c r="E678" s="1" t="s">
        <v>36</v>
      </c>
      <c r="F678" s="1" t="s">
        <v>37</v>
      </c>
      <c r="G678" s="1" t="s">
        <v>17</v>
      </c>
      <c r="H678" s="1">
        <v>49</v>
      </c>
      <c r="I678" s="1" t="s">
        <v>125</v>
      </c>
      <c r="J678" s="3">
        <v>0.65</v>
      </c>
      <c r="K678" s="4">
        <v>2000</v>
      </c>
      <c r="L678" s="5">
        <f t="shared" si="4"/>
        <v>1300</v>
      </c>
      <c r="M678" s="5">
        <f t="shared" si="5"/>
        <v>325</v>
      </c>
      <c r="N678" s="6">
        <v>0.25</v>
      </c>
    </row>
    <row r="679" spans="1:14" ht="15.75" customHeight="1" x14ac:dyDescent="0.45">
      <c r="A679" s="1" t="s">
        <v>121</v>
      </c>
      <c r="B679" s="1">
        <v>1128299</v>
      </c>
      <c r="C679" s="2">
        <v>44685</v>
      </c>
      <c r="D679" s="1" t="s">
        <v>22</v>
      </c>
      <c r="E679" s="1" t="s">
        <v>36</v>
      </c>
      <c r="F679" s="1" t="s">
        <v>37</v>
      </c>
      <c r="G679" s="1" t="s">
        <v>18</v>
      </c>
      <c r="H679" s="1">
        <v>16</v>
      </c>
      <c r="I679" s="1" t="s">
        <v>123</v>
      </c>
      <c r="J679" s="3">
        <v>0.8</v>
      </c>
      <c r="K679" s="4">
        <v>5000</v>
      </c>
      <c r="L679" s="5">
        <f t="shared" si="4"/>
        <v>4000</v>
      </c>
      <c r="M679" s="5">
        <f t="shared" si="5"/>
        <v>800</v>
      </c>
      <c r="N679" s="6">
        <v>0.2</v>
      </c>
    </row>
    <row r="680" spans="1:14" ht="15.75" customHeight="1" x14ac:dyDescent="0.45">
      <c r="A680" s="1" t="s">
        <v>121</v>
      </c>
      <c r="B680" s="1">
        <v>1128299</v>
      </c>
      <c r="C680" s="2">
        <v>44715</v>
      </c>
      <c r="D680" s="1" t="s">
        <v>22</v>
      </c>
      <c r="E680" s="1" t="s">
        <v>36</v>
      </c>
      <c r="F680" s="1" t="s">
        <v>37</v>
      </c>
      <c r="G680" s="1" t="s">
        <v>13</v>
      </c>
      <c r="H680" s="1">
        <v>19</v>
      </c>
      <c r="I680" s="1" t="s">
        <v>123</v>
      </c>
      <c r="J680" s="3">
        <v>0.75</v>
      </c>
      <c r="K680" s="4">
        <v>7500</v>
      </c>
      <c r="L680" s="5">
        <f t="shared" si="4"/>
        <v>5625</v>
      </c>
      <c r="M680" s="5">
        <f t="shared" si="5"/>
        <v>1687.5</v>
      </c>
      <c r="N680" s="6">
        <v>0.3</v>
      </c>
    </row>
    <row r="681" spans="1:14" ht="15.75" customHeight="1" x14ac:dyDescent="0.45">
      <c r="A681" s="1" t="s">
        <v>121</v>
      </c>
      <c r="B681" s="1">
        <v>1128299</v>
      </c>
      <c r="C681" s="2">
        <v>44715</v>
      </c>
      <c r="D681" s="1" t="s">
        <v>22</v>
      </c>
      <c r="E681" s="1" t="s">
        <v>36</v>
      </c>
      <c r="F681" s="1" t="s">
        <v>37</v>
      </c>
      <c r="G681" s="1" t="s">
        <v>14</v>
      </c>
      <c r="H681" s="1">
        <v>55</v>
      </c>
      <c r="I681" s="1" t="s">
        <v>124</v>
      </c>
      <c r="J681" s="3">
        <v>0.8</v>
      </c>
      <c r="K681" s="4">
        <v>6250</v>
      </c>
      <c r="L681" s="5">
        <f t="shared" si="4"/>
        <v>5000</v>
      </c>
      <c r="M681" s="5">
        <f t="shared" si="5"/>
        <v>1250</v>
      </c>
      <c r="N681" s="6">
        <v>0.25</v>
      </c>
    </row>
    <row r="682" spans="1:14" ht="15.75" customHeight="1" x14ac:dyDescent="0.45">
      <c r="A682" s="1" t="s">
        <v>121</v>
      </c>
      <c r="B682" s="1">
        <v>1128299</v>
      </c>
      <c r="C682" s="2">
        <v>44715</v>
      </c>
      <c r="D682" s="1" t="s">
        <v>22</v>
      </c>
      <c r="E682" s="1" t="s">
        <v>36</v>
      </c>
      <c r="F682" s="1" t="s">
        <v>37</v>
      </c>
      <c r="G682" s="1" t="s">
        <v>15</v>
      </c>
      <c r="H682" s="1">
        <v>34</v>
      </c>
      <c r="I682" s="1" t="s">
        <v>124</v>
      </c>
      <c r="J682" s="3">
        <v>0.8</v>
      </c>
      <c r="K682" s="4">
        <v>6250</v>
      </c>
      <c r="L682" s="5">
        <f t="shared" si="4"/>
        <v>5000</v>
      </c>
      <c r="M682" s="5">
        <f t="shared" si="5"/>
        <v>1250</v>
      </c>
      <c r="N682" s="6">
        <v>0.25</v>
      </c>
    </row>
    <row r="683" spans="1:14" ht="15.75" customHeight="1" x14ac:dyDescent="0.45">
      <c r="A683" s="1" t="s">
        <v>121</v>
      </c>
      <c r="B683" s="1">
        <v>1128299</v>
      </c>
      <c r="C683" s="2">
        <v>44715</v>
      </c>
      <c r="D683" s="1" t="s">
        <v>22</v>
      </c>
      <c r="E683" s="1" t="s">
        <v>36</v>
      </c>
      <c r="F683" s="1" t="s">
        <v>37</v>
      </c>
      <c r="G683" s="1" t="s">
        <v>16</v>
      </c>
      <c r="H683" s="1">
        <v>34</v>
      </c>
      <c r="I683" s="1" t="s">
        <v>125</v>
      </c>
      <c r="J683" s="3">
        <v>0.8</v>
      </c>
      <c r="K683" s="4">
        <v>5000</v>
      </c>
      <c r="L683" s="5">
        <f t="shared" si="4"/>
        <v>4000</v>
      </c>
      <c r="M683" s="5">
        <f t="shared" si="5"/>
        <v>1200</v>
      </c>
      <c r="N683" s="6">
        <v>0.3</v>
      </c>
    </row>
    <row r="684" spans="1:14" ht="15.75" customHeight="1" x14ac:dyDescent="0.45">
      <c r="A684" s="1" t="s">
        <v>121</v>
      </c>
      <c r="B684" s="1">
        <v>1128299</v>
      </c>
      <c r="C684" s="2">
        <v>44715</v>
      </c>
      <c r="D684" s="1" t="s">
        <v>22</v>
      </c>
      <c r="E684" s="1" t="s">
        <v>36</v>
      </c>
      <c r="F684" s="1" t="s">
        <v>37</v>
      </c>
      <c r="G684" s="1" t="s">
        <v>17</v>
      </c>
      <c r="H684" s="1">
        <v>22</v>
      </c>
      <c r="I684" s="1" t="s">
        <v>125</v>
      </c>
      <c r="J684" s="3">
        <v>0.85000000000000009</v>
      </c>
      <c r="K684" s="4">
        <v>3750</v>
      </c>
      <c r="L684" s="5">
        <f t="shared" si="4"/>
        <v>3187.5000000000005</v>
      </c>
      <c r="M684" s="5">
        <f t="shared" si="5"/>
        <v>796.87500000000011</v>
      </c>
      <c r="N684" s="6">
        <v>0.25</v>
      </c>
    </row>
    <row r="685" spans="1:14" ht="15.75" customHeight="1" x14ac:dyDescent="0.45">
      <c r="A685" s="1" t="s">
        <v>121</v>
      </c>
      <c r="B685" s="1">
        <v>1128299</v>
      </c>
      <c r="C685" s="2">
        <v>44715</v>
      </c>
      <c r="D685" s="1" t="s">
        <v>22</v>
      </c>
      <c r="E685" s="1" t="s">
        <v>36</v>
      </c>
      <c r="F685" s="1" t="s">
        <v>37</v>
      </c>
      <c r="G685" s="1" t="s">
        <v>18</v>
      </c>
      <c r="H685" s="1">
        <v>59</v>
      </c>
      <c r="I685" s="1" t="s">
        <v>124</v>
      </c>
      <c r="J685" s="3">
        <v>1</v>
      </c>
      <c r="K685" s="4">
        <v>6750</v>
      </c>
      <c r="L685" s="5">
        <f t="shared" si="4"/>
        <v>6750</v>
      </c>
      <c r="M685" s="5">
        <f t="shared" si="5"/>
        <v>1350</v>
      </c>
      <c r="N685" s="6">
        <v>0.2</v>
      </c>
    </row>
    <row r="686" spans="1:14" ht="15.75" customHeight="1" x14ac:dyDescent="0.45">
      <c r="A686" s="1" t="s">
        <v>121</v>
      </c>
      <c r="B686" s="1">
        <v>1128299</v>
      </c>
      <c r="C686" s="2">
        <v>44744</v>
      </c>
      <c r="D686" s="1" t="s">
        <v>22</v>
      </c>
      <c r="E686" s="1" t="s">
        <v>36</v>
      </c>
      <c r="F686" s="1" t="s">
        <v>37</v>
      </c>
      <c r="G686" s="1" t="s">
        <v>13</v>
      </c>
      <c r="H686" s="1">
        <v>55</v>
      </c>
      <c r="I686" s="1" t="s">
        <v>124</v>
      </c>
      <c r="J686" s="3">
        <v>0.8</v>
      </c>
      <c r="K686" s="4">
        <v>8250</v>
      </c>
      <c r="L686" s="5">
        <f t="shared" si="4"/>
        <v>6600</v>
      </c>
      <c r="M686" s="5">
        <f t="shared" si="5"/>
        <v>1980</v>
      </c>
      <c r="N686" s="6">
        <v>0.3</v>
      </c>
    </row>
    <row r="687" spans="1:14" ht="15.75" customHeight="1" x14ac:dyDescent="0.45">
      <c r="A687" s="1" t="s">
        <v>121</v>
      </c>
      <c r="B687" s="1">
        <v>1128299</v>
      </c>
      <c r="C687" s="2">
        <v>44744</v>
      </c>
      <c r="D687" s="1" t="s">
        <v>22</v>
      </c>
      <c r="E687" s="1" t="s">
        <v>36</v>
      </c>
      <c r="F687" s="1" t="s">
        <v>37</v>
      </c>
      <c r="G687" s="1" t="s">
        <v>14</v>
      </c>
      <c r="H687" s="1">
        <v>32</v>
      </c>
      <c r="I687" s="1" t="s">
        <v>125</v>
      </c>
      <c r="J687" s="3">
        <v>0.85000000000000009</v>
      </c>
      <c r="K687" s="4">
        <v>6750</v>
      </c>
      <c r="L687" s="5">
        <f t="shared" si="4"/>
        <v>5737.5000000000009</v>
      </c>
      <c r="M687" s="5">
        <f t="shared" si="5"/>
        <v>1434.3750000000002</v>
      </c>
      <c r="N687" s="6">
        <v>0.25</v>
      </c>
    </row>
    <row r="688" spans="1:14" ht="15.75" customHeight="1" x14ac:dyDescent="0.45">
      <c r="A688" s="1" t="s">
        <v>121</v>
      </c>
      <c r="B688" s="1">
        <v>1128299</v>
      </c>
      <c r="C688" s="2">
        <v>44744</v>
      </c>
      <c r="D688" s="1" t="s">
        <v>22</v>
      </c>
      <c r="E688" s="1" t="s">
        <v>36</v>
      </c>
      <c r="F688" s="1" t="s">
        <v>37</v>
      </c>
      <c r="G688" s="1" t="s">
        <v>15</v>
      </c>
      <c r="H688" s="1">
        <v>46</v>
      </c>
      <c r="I688" s="1" t="s">
        <v>124</v>
      </c>
      <c r="J688" s="3">
        <v>0.85000000000000009</v>
      </c>
      <c r="K688" s="4">
        <v>6250</v>
      </c>
      <c r="L688" s="5">
        <f t="shared" si="4"/>
        <v>5312.5000000000009</v>
      </c>
      <c r="M688" s="5">
        <f t="shared" si="5"/>
        <v>1328.1250000000002</v>
      </c>
      <c r="N688" s="6">
        <v>0.25</v>
      </c>
    </row>
    <row r="689" spans="1:14" ht="15.75" customHeight="1" x14ac:dyDescent="0.45">
      <c r="A689" s="1" t="s">
        <v>121</v>
      </c>
      <c r="B689" s="1">
        <v>1128299</v>
      </c>
      <c r="C689" s="2">
        <v>44744</v>
      </c>
      <c r="D689" s="1" t="s">
        <v>22</v>
      </c>
      <c r="E689" s="1" t="s">
        <v>36</v>
      </c>
      <c r="F689" s="1" t="s">
        <v>37</v>
      </c>
      <c r="G689" s="1" t="s">
        <v>16</v>
      </c>
      <c r="H689" s="1">
        <v>54</v>
      </c>
      <c r="I689" s="1" t="s">
        <v>126</v>
      </c>
      <c r="J689" s="3">
        <v>0.8</v>
      </c>
      <c r="K689" s="4">
        <v>5250</v>
      </c>
      <c r="L689" s="5">
        <f t="shared" si="4"/>
        <v>4200</v>
      </c>
      <c r="M689" s="5">
        <f t="shared" si="5"/>
        <v>1260</v>
      </c>
      <c r="N689" s="6">
        <v>0.3</v>
      </c>
    </row>
    <row r="690" spans="1:14" ht="15.75" customHeight="1" x14ac:dyDescent="0.45">
      <c r="A690" s="1" t="s">
        <v>121</v>
      </c>
      <c r="B690" s="1">
        <v>1128299</v>
      </c>
      <c r="C690" s="2">
        <v>44744</v>
      </c>
      <c r="D690" s="1" t="s">
        <v>22</v>
      </c>
      <c r="E690" s="1" t="s">
        <v>36</v>
      </c>
      <c r="F690" s="1" t="s">
        <v>37</v>
      </c>
      <c r="G690" s="1" t="s">
        <v>17</v>
      </c>
      <c r="H690" s="1">
        <v>19</v>
      </c>
      <c r="I690" s="1" t="s">
        <v>125</v>
      </c>
      <c r="J690" s="3">
        <v>0.85000000000000009</v>
      </c>
      <c r="K690" s="4">
        <v>5750</v>
      </c>
      <c r="L690" s="5">
        <f t="shared" si="4"/>
        <v>4887.5000000000009</v>
      </c>
      <c r="M690" s="5">
        <f t="shared" si="5"/>
        <v>1221.8750000000002</v>
      </c>
      <c r="N690" s="6">
        <v>0.25</v>
      </c>
    </row>
    <row r="691" spans="1:14" ht="15.75" customHeight="1" x14ac:dyDescent="0.45">
      <c r="A691" s="1" t="s">
        <v>121</v>
      </c>
      <c r="B691" s="1">
        <v>1128299</v>
      </c>
      <c r="C691" s="2">
        <v>44744</v>
      </c>
      <c r="D691" s="1" t="s">
        <v>22</v>
      </c>
      <c r="E691" s="1" t="s">
        <v>36</v>
      </c>
      <c r="F691" s="1" t="s">
        <v>37</v>
      </c>
      <c r="G691" s="1" t="s">
        <v>18</v>
      </c>
      <c r="H691" s="1">
        <v>49</v>
      </c>
      <c r="I691" s="1" t="s">
        <v>126</v>
      </c>
      <c r="J691" s="3">
        <v>1</v>
      </c>
      <c r="K691" s="4">
        <v>5750</v>
      </c>
      <c r="L691" s="5">
        <f t="shared" si="4"/>
        <v>5750</v>
      </c>
      <c r="M691" s="5">
        <f t="shared" si="5"/>
        <v>1150</v>
      </c>
      <c r="N691" s="6">
        <v>0.2</v>
      </c>
    </row>
    <row r="692" spans="1:14" ht="15.75" customHeight="1" x14ac:dyDescent="0.45">
      <c r="A692" s="1" t="s">
        <v>121</v>
      </c>
      <c r="B692" s="1">
        <v>1128299</v>
      </c>
      <c r="C692" s="2">
        <v>44776</v>
      </c>
      <c r="D692" s="1" t="s">
        <v>22</v>
      </c>
      <c r="E692" s="1" t="s">
        <v>36</v>
      </c>
      <c r="F692" s="1" t="s">
        <v>37</v>
      </c>
      <c r="G692" s="1" t="s">
        <v>13</v>
      </c>
      <c r="H692" s="1">
        <v>34</v>
      </c>
      <c r="I692" s="1" t="s">
        <v>123</v>
      </c>
      <c r="J692" s="3">
        <v>0.85000000000000009</v>
      </c>
      <c r="K692" s="4">
        <v>7750</v>
      </c>
      <c r="L692" s="5">
        <f t="shared" si="4"/>
        <v>6587.5000000000009</v>
      </c>
      <c r="M692" s="5">
        <f t="shared" si="5"/>
        <v>1976.2500000000002</v>
      </c>
      <c r="N692" s="6">
        <v>0.3</v>
      </c>
    </row>
    <row r="693" spans="1:14" ht="15.75" customHeight="1" x14ac:dyDescent="0.45">
      <c r="A693" s="1" t="s">
        <v>121</v>
      </c>
      <c r="B693" s="1">
        <v>1128299</v>
      </c>
      <c r="C693" s="2">
        <v>44776</v>
      </c>
      <c r="D693" s="1" t="s">
        <v>22</v>
      </c>
      <c r="E693" s="1" t="s">
        <v>36</v>
      </c>
      <c r="F693" s="1" t="s">
        <v>37</v>
      </c>
      <c r="G693" s="1" t="s">
        <v>14</v>
      </c>
      <c r="H693" s="1">
        <v>17</v>
      </c>
      <c r="I693" s="1" t="s">
        <v>126</v>
      </c>
      <c r="J693" s="3">
        <v>0.80000000000000016</v>
      </c>
      <c r="K693" s="4">
        <v>7500</v>
      </c>
      <c r="L693" s="5">
        <f t="shared" si="4"/>
        <v>6000.0000000000009</v>
      </c>
      <c r="M693" s="5">
        <f t="shared" si="5"/>
        <v>1500.0000000000002</v>
      </c>
      <c r="N693" s="6">
        <v>0.25</v>
      </c>
    </row>
    <row r="694" spans="1:14" ht="15.75" customHeight="1" x14ac:dyDescent="0.45">
      <c r="A694" s="1" t="s">
        <v>121</v>
      </c>
      <c r="B694" s="1">
        <v>1128299</v>
      </c>
      <c r="C694" s="2">
        <v>44776</v>
      </c>
      <c r="D694" s="1" t="s">
        <v>22</v>
      </c>
      <c r="E694" s="1" t="s">
        <v>36</v>
      </c>
      <c r="F694" s="1" t="s">
        <v>37</v>
      </c>
      <c r="G694" s="1" t="s">
        <v>15</v>
      </c>
      <c r="H694" s="1">
        <v>32</v>
      </c>
      <c r="I694" s="1" t="s">
        <v>126</v>
      </c>
      <c r="J694" s="3">
        <v>0.75000000000000011</v>
      </c>
      <c r="K694" s="4">
        <v>6250</v>
      </c>
      <c r="L694" s="5">
        <f t="shared" si="4"/>
        <v>4687.5000000000009</v>
      </c>
      <c r="M694" s="5">
        <f t="shared" si="5"/>
        <v>1171.8750000000002</v>
      </c>
      <c r="N694" s="6">
        <v>0.25</v>
      </c>
    </row>
    <row r="695" spans="1:14" ht="15.75" customHeight="1" x14ac:dyDescent="0.45">
      <c r="A695" s="1" t="s">
        <v>121</v>
      </c>
      <c r="B695" s="1">
        <v>1128299</v>
      </c>
      <c r="C695" s="2">
        <v>44776</v>
      </c>
      <c r="D695" s="1" t="s">
        <v>22</v>
      </c>
      <c r="E695" s="1" t="s">
        <v>36</v>
      </c>
      <c r="F695" s="1" t="s">
        <v>37</v>
      </c>
      <c r="G695" s="1" t="s">
        <v>16</v>
      </c>
      <c r="H695" s="1">
        <v>24</v>
      </c>
      <c r="I695" s="1" t="s">
        <v>124</v>
      </c>
      <c r="J695" s="3">
        <v>0.75000000000000011</v>
      </c>
      <c r="K695" s="4">
        <v>5750</v>
      </c>
      <c r="L695" s="5">
        <f t="shared" si="4"/>
        <v>4312.5000000000009</v>
      </c>
      <c r="M695" s="5">
        <f t="shared" si="5"/>
        <v>1293.7500000000002</v>
      </c>
      <c r="N695" s="6">
        <v>0.3</v>
      </c>
    </row>
    <row r="696" spans="1:14" ht="15.75" customHeight="1" x14ac:dyDescent="0.45">
      <c r="A696" s="1" t="s">
        <v>121</v>
      </c>
      <c r="B696" s="1">
        <v>1128299</v>
      </c>
      <c r="C696" s="2">
        <v>44776</v>
      </c>
      <c r="D696" s="1" t="s">
        <v>22</v>
      </c>
      <c r="E696" s="1" t="s">
        <v>36</v>
      </c>
      <c r="F696" s="1" t="s">
        <v>37</v>
      </c>
      <c r="G696" s="1" t="s">
        <v>17</v>
      </c>
      <c r="H696" s="1">
        <v>45</v>
      </c>
      <c r="I696" s="1" t="s">
        <v>126</v>
      </c>
      <c r="J696" s="3">
        <v>0.75</v>
      </c>
      <c r="K696" s="4">
        <v>5750</v>
      </c>
      <c r="L696" s="5">
        <f t="shared" si="4"/>
        <v>4312.5</v>
      </c>
      <c r="M696" s="5">
        <f t="shared" si="5"/>
        <v>1078.125</v>
      </c>
      <c r="N696" s="6">
        <v>0.25</v>
      </c>
    </row>
    <row r="697" spans="1:14" ht="15.75" customHeight="1" x14ac:dyDescent="0.45">
      <c r="A697" s="1" t="s">
        <v>121</v>
      </c>
      <c r="B697" s="1">
        <v>1128299</v>
      </c>
      <c r="C697" s="2">
        <v>44776</v>
      </c>
      <c r="D697" s="1" t="s">
        <v>22</v>
      </c>
      <c r="E697" s="1" t="s">
        <v>36</v>
      </c>
      <c r="F697" s="1" t="s">
        <v>37</v>
      </c>
      <c r="G697" s="1" t="s">
        <v>18</v>
      </c>
      <c r="H697" s="1">
        <v>58</v>
      </c>
      <c r="I697" s="1" t="s">
        <v>124</v>
      </c>
      <c r="J697" s="3">
        <v>0.8</v>
      </c>
      <c r="K697" s="4">
        <v>4000</v>
      </c>
      <c r="L697" s="5">
        <f t="shared" si="4"/>
        <v>3200</v>
      </c>
      <c r="M697" s="5">
        <f t="shared" si="5"/>
        <v>640</v>
      </c>
      <c r="N697" s="6">
        <v>0.2</v>
      </c>
    </row>
    <row r="698" spans="1:14" ht="15.75" customHeight="1" x14ac:dyDescent="0.45">
      <c r="A698" s="1" t="s">
        <v>121</v>
      </c>
      <c r="B698" s="1">
        <v>1128299</v>
      </c>
      <c r="C698" s="2">
        <v>44808</v>
      </c>
      <c r="D698" s="1" t="s">
        <v>22</v>
      </c>
      <c r="E698" s="1" t="s">
        <v>36</v>
      </c>
      <c r="F698" s="1" t="s">
        <v>37</v>
      </c>
      <c r="G698" s="1" t="s">
        <v>13</v>
      </c>
      <c r="H698" s="1">
        <v>18</v>
      </c>
      <c r="I698" s="1" t="s">
        <v>123</v>
      </c>
      <c r="J698" s="3">
        <v>0.70000000000000018</v>
      </c>
      <c r="K698" s="4">
        <v>6000</v>
      </c>
      <c r="L698" s="5">
        <f t="shared" si="4"/>
        <v>4200.0000000000009</v>
      </c>
      <c r="M698" s="5">
        <f t="shared" si="5"/>
        <v>1260.0000000000002</v>
      </c>
      <c r="N698" s="6">
        <v>0.3</v>
      </c>
    </row>
    <row r="699" spans="1:14" ht="15.75" customHeight="1" x14ac:dyDescent="0.45">
      <c r="A699" s="1" t="s">
        <v>121</v>
      </c>
      <c r="B699" s="1">
        <v>1128299</v>
      </c>
      <c r="C699" s="2">
        <v>44808</v>
      </c>
      <c r="D699" s="1" t="s">
        <v>22</v>
      </c>
      <c r="E699" s="1" t="s">
        <v>36</v>
      </c>
      <c r="F699" s="1" t="s">
        <v>37</v>
      </c>
      <c r="G699" s="1" t="s">
        <v>14</v>
      </c>
      <c r="H699" s="1">
        <v>33</v>
      </c>
      <c r="I699" s="1" t="s">
        <v>126</v>
      </c>
      <c r="J699" s="3">
        <v>0.75000000000000022</v>
      </c>
      <c r="K699" s="4">
        <v>6000</v>
      </c>
      <c r="L699" s="5">
        <f t="shared" si="4"/>
        <v>4500.0000000000009</v>
      </c>
      <c r="M699" s="5">
        <f t="shared" si="5"/>
        <v>1125.0000000000002</v>
      </c>
      <c r="N699" s="6">
        <v>0.25</v>
      </c>
    </row>
    <row r="700" spans="1:14" ht="15.75" customHeight="1" x14ac:dyDescent="0.45">
      <c r="A700" s="1" t="s">
        <v>121</v>
      </c>
      <c r="B700" s="1">
        <v>1128299</v>
      </c>
      <c r="C700" s="2">
        <v>44808</v>
      </c>
      <c r="D700" s="1" t="s">
        <v>22</v>
      </c>
      <c r="E700" s="1" t="s">
        <v>36</v>
      </c>
      <c r="F700" s="1" t="s">
        <v>37</v>
      </c>
      <c r="G700" s="1" t="s">
        <v>15</v>
      </c>
      <c r="H700" s="1">
        <v>49</v>
      </c>
      <c r="I700" s="1" t="s">
        <v>125</v>
      </c>
      <c r="J700" s="3">
        <v>0.70000000000000018</v>
      </c>
      <c r="K700" s="4">
        <v>4500</v>
      </c>
      <c r="L700" s="5">
        <f t="shared" si="4"/>
        <v>3150.0000000000009</v>
      </c>
      <c r="M700" s="5">
        <f t="shared" si="5"/>
        <v>787.50000000000023</v>
      </c>
      <c r="N700" s="6">
        <v>0.25</v>
      </c>
    </row>
    <row r="701" spans="1:14" ht="15.75" customHeight="1" x14ac:dyDescent="0.45">
      <c r="A701" s="1" t="s">
        <v>121</v>
      </c>
      <c r="B701" s="1">
        <v>1128299</v>
      </c>
      <c r="C701" s="2">
        <v>44808</v>
      </c>
      <c r="D701" s="1" t="s">
        <v>22</v>
      </c>
      <c r="E701" s="1" t="s">
        <v>36</v>
      </c>
      <c r="F701" s="1" t="s">
        <v>37</v>
      </c>
      <c r="G701" s="1" t="s">
        <v>16</v>
      </c>
      <c r="H701" s="1">
        <v>17</v>
      </c>
      <c r="I701" s="1" t="s">
        <v>124</v>
      </c>
      <c r="J701" s="3">
        <v>0.70000000000000018</v>
      </c>
      <c r="K701" s="4">
        <v>4000</v>
      </c>
      <c r="L701" s="5">
        <f t="shared" si="4"/>
        <v>2800.0000000000009</v>
      </c>
      <c r="M701" s="5">
        <f t="shared" si="5"/>
        <v>840.00000000000023</v>
      </c>
      <c r="N701" s="6">
        <v>0.3</v>
      </c>
    </row>
    <row r="702" spans="1:14" ht="15.75" customHeight="1" x14ac:dyDescent="0.45">
      <c r="A702" s="1" t="s">
        <v>121</v>
      </c>
      <c r="B702" s="1">
        <v>1128299</v>
      </c>
      <c r="C702" s="2">
        <v>44808</v>
      </c>
      <c r="D702" s="1" t="s">
        <v>22</v>
      </c>
      <c r="E702" s="1" t="s">
        <v>36</v>
      </c>
      <c r="F702" s="1" t="s">
        <v>37</v>
      </c>
      <c r="G702" s="1" t="s">
        <v>17</v>
      </c>
      <c r="H702" s="1">
        <v>28</v>
      </c>
      <c r="I702" s="1" t="s">
        <v>123</v>
      </c>
      <c r="J702" s="3">
        <v>0.80000000000000016</v>
      </c>
      <c r="K702" s="4">
        <v>4250</v>
      </c>
      <c r="L702" s="5">
        <f t="shared" si="4"/>
        <v>3400.0000000000005</v>
      </c>
      <c r="M702" s="5">
        <f t="shared" si="5"/>
        <v>850.00000000000011</v>
      </c>
      <c r="N702" s="6">
        <v>0.25</v>
      </c>
    </row>
    <row r="703" spans="1:14" ht="15.75" customHeight="1" x14ac:dyDescent="0.45">
      <c r="A703" s="1" t="s">
        <v>121</v>
      </c>
      <c r="B703" s="1">
        <v>1128299</v>
      </c>
      <c r="C703" s="2">
        <v>44808</v>
      </c>
      <c r="D703" s="1" t="s">
        <v>22</v>
      </c>
      <c r="E703" s="1" t="s">
        <v>36</v>
      </c>
      <c r="F703" s="1" t="s">
        <v>37</v>
      </c>
      <c r="G703" s="1" t="s">
        <v>18</v>
      </c>
      <c r="H703" s="1">
        <v>55</v>
      </c>
      <c r="I703" s="1" t="s">
        <v>123</v>
      </c>
      <c r="J703" s="3">
        <v>0.65</v>
      </c>
      <c r="K703" s="4">
        <v>4500</v>
      </c>
      <c r="L703" s="5">
        <f t="shared" si="4"/>
        <v>2925</v>
      </c>
      <c r="M703" s="5">
        <f t="shared" si="5"/>
        <v>585</v>
      </c>
      <c r="N703" s="6">
        <v>0.2</v>
      </c>
    </row>
    <row r="704" spans="1:14" ht="15.75" customHeight="1" x14ac:dyDescent="0.45">
      <c r="A704" s="1" t="s">
        <v>121</v>
      </c>
      <c r="B704" s="1">
        <v>1128299</v>
      </c>
      <c r="C704" s="2">
        <v>44837</v>
      </c>
      <c r="D704" s="1" t="s">
        <v>22</v>
      </c>
      <c r="E704" s="1" t="s">
        <v>36</v>
      </c>
      <c r="F704" s="1" t="s">
        <v>37</v>
      </c>
      <c r="G704" s="1" t="s">
        <v>13</v>
      </c>
      <c r="H704" s="1">
        <v>31</v>
      </c>
      <c r="I704" s="1" t="s">
        <v>125</v>
      </c>
      <c r="J704" s="3">
        <v>0.60000000000000009</v>
      </c>
      <c r="K704" s="4">
        <v>5500</v>
      </c>
      <c r="L704" s="5">
        <f t="shared" si="4"/>
        <v>3300.0000000000005</v>
      </c>
      <c r="M704" s="5">
        <f t="shared" si="5"/>
        <v>990.00000000000011</v>
      </c>
      <c r="N704" s="6">
        <v>0.3</v>
      </c>
    </row>
    <row r="705" spans="1:14" ht="15.75" customHeight="1" x14ac:dyDescent="0.45">
      <c r="A705" s="1" t="s">
        <v>121</v>
      </c>
      <c r="B705" s="1">
        <v>1128299</v>
      </c>
      <c r="C705" s="2">
        <v>44837</v>
      </c>
      <c r="D705" s="1" t="s">
        <v>22</v>
      </c>
      <c r="E705" s="1" t="s">
        <v>36</v>
      </c>
      <c r="F705" s="1" t="s">
        <v>37</v>
      </c>
      <c r="G705" s="1" t="s">
        <v>14</v>
      </c>
      <c r="H705" s="1">
        <v>60</v>
      </c>
      <c r="I705" s="1" t="s">
        <v>123</v>
      </c>
      <c r="J705" s="3">
        <v>0.65000000000000013</v>
      </c>
      <c r="K705" s="4">
        <v>5500</v>
      </c>
      <c r="L705" s="5">
        <f t="shared" si="4"/>
        <v>3575.0000000000009</v>
      </c>
      <c r="M705" s="5">
        <f t="shared" si="5"/>
        <v>893.75000000000023</v>
      </c>
      <c r="N705" s="6">
        <v>0.25</v>
      </c>
    </row>
    <row r="706" spans="1:14" ht="15.75" customHeight="1" x14ac:dyDescent="0.45">
      <c r="A706" s="1" t="s">
        <v>121</v>
      </c>
      <c r="B706" s="1">
        <v>1128299</v>
      </c>
      <c r="C706" s="2">
        <v>44837</v>
      </c>
      <c r="D706" s="1" t="s">
        <v>22</v>
      </c>
      <c r="E706" s="1" t="s">
        <v>36</v>
      </c>
      <c r="F706" s="1" t="s">
        <v>37</v>
      </c>
      <c r="G706" s="1" t="s">
        <v>15</v>
      </c>
      <c r="H706" s="1">
        <v>56</v>
      </c>
      <c r="I706" s="1" t="s">
        <v>123</v>
      </c>
      <c r="J706" s="3">
        <v>0.60000000000000009</v>
      </c>
      <c r="K706" s="4">
        <v>3750</v>
      </c>
      <c r="L706" s="5">
        <f t="shared" si="4"/>
        <v>2250.0000000000005</v>
      </c>
      <c r="M706" s="5">
        <f t="shared" si="5"/>
        <v>562.50000000000011</v>
      </c>
      <c r="N706" s="6">
        <v>0.25</v>
      </c>
    </row>
    <row r="707" spans="1:14" ht="15.75" customHeight="1" x14ac:dyDescent="0.45">
      <c r="A707" s="1" t="s">
        <v>121</v>
      </c>
      <c r="B707" s="1">
        <v>1128299</v>
      </c>
      <c r="C707" s="2">
        <v>44837</v>
      </c>
      <c r="D707" s="1" t="s">
        <v>22</v>
      </c>
      <c r="E707" s="1" t="s">
        <v>36</v>
      </c>
      <c r="F707" s="1" t="s">
        <v>37</v>
      </c>
      <c r="G707" s="1" t="s">
        <v>16</v>
      </c>
      <c r="H707" s="1">
        <v>53</v>
      </c>
      <c r="I707" s="1" t="s">
        <v>125</v>
      </c>
      <c r="J707" s="3">
        <v>0.60000000000000009</v>
      </c>
      <c r="K707" s="4">
        <v>3500</v>
      </c>
      <c r="L707" s="5">
        <f t="shared" si="4"/>
        <v>2100.0000000000005</v>
      </c>
      <c r="M707" s="5">
        <f t="shared" si="5"/>
        <v>630.00000000000011</v>
      </c>
      <c r="N707" s="6">
        <v>0.3</v>
      </c>
    </row>
    <row r="708" spans="1:14" ht="15.75" customHeight="1" x14ac:dyDescent="0.45">
      <c r="A708" s="1" t="s">
        <v>121</v>
      </c>
      <c r="B708" s="1">
        <v>1128299</v>
      </c>
      <c r="C708" s="2">
        <v>44837</v>
      </c>
      <c r="D708" s="1" t="s">
        <v>22</v>
      </c>
      <c r="E708" s="1" t="s">
        <v>36</v>
      </c>
      <c r="F708" s="1" t="s">
        <v>37</v>
      </c>
      <c r="G708" s="1" t="s">
        <v>17</v>
      </c>
      <c r="H708" s="1">
        <v>31</v>
      </c>
      <c r="I708" s="1" t="s">
        <v>126</v>
      </c>
      <c r="J708" s="3">
        <v>0.70000000000000007</v>
      </c>
      <c r="K708" s="4">
        <v>3250</v>
      </c>
      <c r="L708" s="5">
        <f t="shared" si="4"/>
        <v>2275</v>
      </c>
      <c r="M708" s="5">
        <f t="shared" si="5"/>
        <v>568.75</v>
      </c>
      <c r="N708" s="6">
        <v>0.25</v>
      </c>
    </row>
    <row r="709" spans="1:14" ht="15.75" customHeight="1" x14ac:dyDescent="0.45">
      <c r="A709" s="1" t="s">
        <v>121</v>
      </c>
      <c r="B709" s="1">
        <v>1128299</v>
      </c>
      <c r="C709" s="2">
        <v>44837</v>
      </c>
      <c r="D709" s="1" t="s">
        <v>22</v>
      </c>
      <c r="E709" s="1" t="s">
        <v>36</v>
      </c>
      <c r="F709" s="1" t="s">
        <v>37</v>
      </c>
      <c r="G709" s="1" t="s">
        <v>18</v>
      </c>
      <c r="H709" s="1">
        <v>25</v>
      </c>
      <c r="I709" s="1" t="s">
        <v>125</v>
      </c>
      <c r="J709" s="3">
        <v>0.75000000000000011</v>
      </c>
      <c r="K709" s="4">
        <v>3750</v>
      </c>
      <c r="L709" s="5">
        <f t="shared" si="4"/>
        <v>2812.5000000000005</v>
      </c>
      <c r="M709" s="5">
        <f t="shared" si="5"/>
        <v>562.50000000000011</v>
      </c>
      <c r="N709" s="6">
        <v>0.2</v>
      </c>
    </row>
    <row r="710" spans="1:14" ht="15.75" customHeight="1" x14ac:dyDescent="0.45">
      <c r="A710" s="1" t="s">
        <v>121</v>
      </c>
      <c r="B710" s="1">
        <v>1128299</v>
      </c>
      <c r="C710" s="2">
        <v>44868</v>
      </c>
      <c r="D710" s="1" t="s">
        <v>22</v>
      </c>
      <c r="E710" s="1" t="s">
        <v>36</v>
      </c>
      <c r="F710" s="1" t="s">
        <v>37</v>
      </c>
      <c r="G710" s="1" t="s">
        <v>13</v>
      </c>
      <c r="H710" s="1">
        <v>42</v>
      </c>
      <c r="I710" s="1" t="s">
        <v>123</v>
      </c>
      <c r="J710" s="3">
        <v>0.60000000000000009</v>
      </c>
      <c r="K710" s="4">
        <v>6000</v>
      </c>
      <c r="L710" s="5">
        <f t="shared" si="4"/>
        <v>3600.0000000000005</v>
      </c>
      <c r="M710" s="5">
        <f t="shared" si="5"/>
        <v>1080</v>
      </c>
      <c r="N710" s="6">
        <v>0.3</v>
      </c>
    </row>
    <row r="711" spans="1:14" ht="15.75" customHeight="1" x14ac:dyDescent="0.45">
      <c r="A711" s="1" t="s">
        <v>121</v>
      </c>
      <c r="B711" s="1">
        <v>1128299</v>
      </c>
      <c r="C711" s="2">
        <v>44868</v>
      </c>
      <c r="D711" s="1" t="s">
        <v>22</v>
      </c>
      <c r="E711" s="1" t="s">
        <v>36</v>
      </c>
      <c r="F711" s="1" t="s">
        <v>37</v>
      </c>
      <c r="G711" s="1" t="s">
        <v>14</v>
      </c>
      <c r="H711" s="1">
        <v>46</v>
      </c>
      <c r="I711" s="1" t="s">
        <v>126</v>
      </c>
      <c r="J711" s="3">
        <v>0.65000000000000013</v>
      </c>
      <c r="K711" s="4">
        <v>6250</v>
      </c>
      <c r="L711" s="5">
        <f t="shared" si="4"/>
        <v>4062.5000000000009</v>
      </c>
      <c r="M711" s="5">
        <f t="shared" si="5"/>
        <v>1015.6250000000002</v>
      </c>
      <c r="N711" s="6">
        <v>0.25</v>
      </c>
    </row>
    <row r="712" spans="1:14" ht="15.75" customHeight="1" x14ac:dyDescent="0.45">
      <c r="A712" s="1" t="s">
        <v>121</v>
      </c>
      <c r="B712" s="1">
        <v>1128299</v>
      </c>
      <c r="C712" s="2">
        <v>44868</v>
      </c>
      <c r="D712" s="1" t="s">
        <v>22</v>
      </c>
      <c r="E712" s="1" t="s">
        <v>36</v>
      </c>
      <c r="F712" s="1" t="s">
        <v>37</v>
      </c>
      <c r="G712" s="1" t="s">
        <v>15</v>
      </c>
      <c r="H712" s="1">
        <v>25</v>
      </c>
      <c r="I712" s="1" t="s">
        <v>124</v>
      </c>
      <c r="J712" s="3">
        <v>0.60000000000000009</v>
      </c>
      <c r="K712" s="4">
        <v>4750</v>
      </c>
      <c r="L712" s="5">
        <f t="shared" si="4"/>
        <v>2850.0000000000005</v>
      </c>
      <c r="M712" s="5">
        <f t="shared" si="5"/>
        <v>712.50000000000011</v>
      </c>
      <c r="N712" s="6">
        <v>0.25</v>
      </c>
    </row>
    <row r="713" spans="1:14" ht="15.75" customHeight="1" x14ac:dyDescent="0.45">
      <c r="A713" s="1" t="s">
        <v>121</v>
      </c>
      <c r="B713" s="1">
        <v>1128299</v>
      </c>
      <c r="C713" s="2">
        <v>44868</v>
      </c>
      <c r="D713" s="1" t="s">
        <v>22</v>
      </c>
      <c r="E713" s="1" t="s">
        <v>36</v>
      </c>
      <c r="F713" s="1" t="s">
        <v>37</v>
      </c>
      <c r="G713" s="1" t="s">
        <v>16</v>
      </c>
      <c r="H713" s="1">
        <v>59</v>
      </c>
      <c r="I713" s="1" t="s">
        <v>123</v>
      </c>
      <c r="J713" s="3">
        <v>0.70000000000000018</v>
      </c>
      <c r="K713" s="4">
        <v>4500</v>
      </c>
      <c r="L713" s="5">
        <f t="shared" si="4"/>
        <v>3150.0000000000009</v>
      </c>
      <c r="M713" s="5">
        <f t="shared" si="5"/>
        <v>945.00000000000023</v>
      </c>
      <c r="N713" s="6">
        <v>0.3</v>
      </c>
    </row>
    <row r="714" spans="1:14" ht="15.75" customHeight="1" x14ac:dyDescent="0.45">
      <c r="A714" s="1" t="s">
        <v>121</v>
      </c>
      <c r="B714" s="1">
        <v>1128299</v>
      </c>
      <c r="C714" s="2">
        <v>44868</v>
      </c>
      <c r="D714" s="1" t="s">
        <v>22</v>
      </c>
      <c r="E714" s="1" t="s">
        <v>36</v>
      </c>
      <c r="F714" s="1" t="s">
        <v>37</v>
      </c>
      <c r="G714" s="1" t="s">
        <v>17</v>
      </c>
      <c r="H714" s="1">
        <v>46</v>
      </c>
      <c r="I714" s="1" t="s">
        <v>124</v>
      </c>
      <c r="J714" s="3">
        <v>0.90000000000000013</v>
      </c>
      <c r="K714" s="4">
        <v>4250</v>
      </c>
      <c r="L714" s="5">
        <f t="shared" si="4"/>
        <v>3825.0000000000005</v>
      </c>
      <c r="M714" s="5">
        <f t="shared" si="5"/>
        <v>956.25000000000011</v>
      </c>
      <c r="N714" s="6">
        <v>0.25</v>
      </c>
    </row>
    <row r="715" spans="1:14" ht="15.75" customHeight="1" x14ac:dyDescent="0.45">
      <c r="A715" s="1" t="s">
        <v>121</v>
      </c>
      <c r="B715" s="1">
        <v>1128299</v>
      </c>
      <c r="C715" s="2">
        <v>44868</v>
      </c>
      <c r="D715" s="1" t="s">
        <v>22</v>
      </c>
      <c r="E715" s="1" t="s">
        <v>36</v>
      </c>
      <c r="F715" s="1" t="s">
        <v>37</v>
      </c>
      <c r="G715" s="1" t="s">
        <v>18</v>
      </c>
      <c r="H715" s="1">
        <v>49</v>
      </c>
      <c r="I715" s="1" t="s">
        <v>125</v>
      </c>
      <c r="J715" s="3">
        <v>0.95000000000000018</v>
      </c>
      <c r="K715" s="4">
        <v>5500</v>
      </c>
      <c r="L715" s="5">
        <f t="shared" si="4"/>
        <v>5225.0000000000009</v>
      </c>
      <c r="M715" s="5">
        <f t="shared" si="5"/>
        <v>1045.0000000000002</v>
      </c>
      <c r="N715" s="6">
        <v>0.2</v>
      </c>
    </row>
    <row r="716" spans="1:14" ht="15.75" customHeight="1" x14ac:dyDescent="0.45">
      <c r="A716" s="1" t="s">
        <v>121</v>
      </c>
      <c r="B716" s="1">
        <v>1128299</v>
      </c>
      <c r="C716" s="2">
        <v>44897</v>
      </c>
      <c r="D716" s="1" t="s">
        <v>22</v>
      </c>
      <c r="E716" s="1" t="s">
        <v>36</v>
      </c>
      <c r="F716" s="1" t="s">
        <v>37</v>
      </c>
      <c r="G716" s="1" t="s">
        <v>13</v>
      </c>
      <c r="H716" s="1">
        <v>31</v>
      </c>
      <c r="I716" s="1" t="s">
        <v>124</v>
      </c>
      <c r="J716" s="3">
        <v>0.80000000000000016</v>
      </c>
      <c r="K716" s="4">
        <v>7500</v>
      </c>
      <c r="L716" s="5">
        <f t="shared" si="4"/>
        <v>6000.0000000000009</v>
      </c>
      <c r="M716" s="5">
        <f t="shared" si="5"/>
        <v>1800.0000000000002</v>
      </c>
      <c r="N716" s="6">
        <v>0.3</v>
      </c>
    </row>
    <row r="717" spans="1:14" ht="15.75" customHeight="1" x14ac:dyDescent="0.45">
      <c r="A717" s="1" t="s">
        <v>121</v>
      </c>
      <c r="B717" s="1">
        <v>1128299</v>
      </c>
      <c r="C717" s="2">
        <v>44897</v>
      </c>
      <c r="D717" s="1" t="s">
        <v>22</v>
      </c>
      <c r="E717" s="1" t="s">
        <v>36</v>
      </c>
      <c r="F717" s="1" t="s">
        <v>37</v>
      </c>
      <c r="G717" s="1" t="s">
        <v>14</v>
      </c>
      <c r="H717" s="1">
        <v>49</v>
      </c>
      <c r="I717" s="1" t="s">
        <v>124</v>
      </c>
      <c r="J717" s="3">
        <v>0.8500000000000002</v>
      </c>
      <c r="K717" s="4">
        <v>7500</v>
      </c>
      <c r="L717" s="5">
        <f t="shared" si="4"/>
        <v>6375.0000000000018</v>
      </c>
      <c r="M717" s="5">
        <f t="shared" si="5"/>
        <v>1593.7500000000005</v>
      </c>
      <c r="N717" s="6">
        <v>0.25</v>
      </c>
    </row>
    <row r="718" spans="1:14" ht="15.75" customHeight="1" x14ac:dyDescent="0.45">
      <c r="A718" s="1" t="s">
        <v>121</v>
      </c>
      <c r="B718" s="1">
        <v>1128299</v>
      </c>
      <c r="C718" s="2">
        <v>44897</v>
      </c>
      <c r="D718" s="1" t="s">
        <v>22</v>
      </c>
      <c r="E718" s="1" t="s">
        <v>36</v>
      </c>
      <c r="F718" s="1" t="s">
        <v>37</v>
      </c>
      <c r="G718" s="1" t="s">
        <v>15</v>
      </c>
      <c r="H718" s="1">
        <v>35</v>
      </c>
      <c r="I718" s="1" t="s">
        <v>125</v>
      </c>
      <c r="J718" s="3">
        <v>0.80000000000000016</v>
      </c>
      <c r="K718" s="4">
        <v>5500</v>
      </c>
      <c r="L718" s="5">
        <f t="shared" si="4"/>
        <v>4400.0000000000009</v>
      </c>
      <c r="M718" s="5">
        <f t="shared" si="5"/>
        <v>1100.0000000000002</v>
      </c>
      <c r="N718" s="6">
        <v>0.25</v>
      </c>
    </row>
    <row r="719" spans="1:14" ht="15.75" customHeight="1" x14ac:dyDescent="0.45">
      <c r="A719" s="1" t="s">
        <v>121</v>
      </c>
      <c r="B719" s="1">
        <v>1128299</v>
      </c>
      <c r="C719" s="2">
        <v>44897</v>
      </c>
      <c r="D719" s="1" t="s">
        <v>22</v>
      </c>
      <c r="E719" s="1" t="s">
        <v>36</v>
      </c>
      <c r="F719" s="1" t="s">
        <v>37</v>
      </c>
      <c r="G719" s="1" t="s">
        <v>16</v>
      </c>
      <c r="H719" s="1">
        <v>23</v>
      </c>
      <c r="I719" s="1" t="s">
        <v>126</v>
      </c>
      <c r="J719" s="3">
        <v>0.80000000000000016</v>
      </c>
      <c r="K719" s="4">
        <v>5500</v>
      </c>
      <c r="L719" s="5">
        <f t="shared" si="4"/>
        <v>4400.0000000000009</v>
      </c>
      <c r="M719" s="5">
        <f t="shared" si="5"/>
        <v>1320.0000000000002</v>
      </c>
      <c r="N719" s="6">
        <v>0.3</v>
      </c>
    </row>
    <row r="720" spans="1:14" ht="15.75" customHeight="1" x14ac:dyDescent="0.45">
      <c r="A720" s="1" t="s">
        <v>121</v>
      </c>
      <c r="B720" s="1">
        <v>1128299</v>
      </c>
      <c r="C720" s="2">
        <v>44897</v>
      </c>
      <c r="D720" s="1" t="s">
        <v>22</v>
      </c>
      <c r="E720" s="1" t="s">
        <v>36</v>
      </c>
      <c r="F720" s="1" t="s">
        <v>37</v>
      </c>
      <c r="G720" s="1" t="s">
        <v>17</v>
      </c>
      <c r="H720" s="1">
        <v>50</v>
      </c>
      <c r="I720" s="1" t="s">
        <v>124</v>
      </c>
      <c r="J720" s="3">
        <v>0.90000000000000013</v>
      </c>
      <c r="K720" s="4">
        <v>4750</v>
      </c>
      <c r="L720" s="5">
        <f t="shared" si="4"/>
        <v>4275.0000000000009</v>
      </c>
      <c r="M720" s="5">
        <f t="shared" si="5"/>
        <v>1068.7500000000002</v>
      </c>
      <c r="N720" s="6">
        <v>0.25</v>
      </c>
    </row>
    <row r="721" spans="1:14" ht="15.75" customHeight="1" x14ac:dyDescent="0.45">
      <c r="A721" s="1" t="s">
        <v>121</v>
      </c>
      <c r="B721" s="1">
        <v>1128299</v>
      </c>
      <c r="C721" s="2">
        <v>44897</v>
      </c>
      <c r="D721" s="1" t="s">
        <v>22</v>
      </c>
      <c r="E721" s="1" t="s">
        <v>36</v>
      </c>
      <c r="F721" s="1" t="s">
        <v>37</v>
      </c>
      <c r="G721" s="1" t="s">
        <v>18</v>
      </c>
      <c r="H721" s="1">
        <v>30</v>
      </c>
      <c r="I721" s="1" t="s">
        <v>124</v>
      </c>
      <c r="J721" s="3">
        <v>0.95000000000000018</v>
      </c>
      <c r="K721" s="4">
        <v>5750</v>
      </c>
      <c r="L721" s="5">
        <f t="shared" si="4"/>
        <v>5462.5000000000009</v>
      </c>
      <c r="M721" s="5">
        <f t="shared" si="5"/>
        <v>1092.5000000000002</v>
      </c>
      <c r="N721" s="6">
        <v>0.2</v>
      </c>
    </row>
    <row r="722" spans="1:14" ht="15.75" customHeight="1" x14ac:dyDescent="0.45">
      <c r="A722" s="1" t="s">
        <v>119</v>
      </c>
      <c r="B722" s="1">
        <v>1185732</v>
      </c>
      <c r="C722" s="2">
        <v>44573</v>
      </c>
      <c r="D722" s="1" t="s">
        <v>38</v>
      </c>
      <c r="E722" s="1" t="s">
        <v>39</v>
      </c>
      <c r="F722" s="1" t="s">
        <v>40</v>
      </c>
      <c r="G722" s="1" t="s">
        <v>13</v>
      </c>
      <c r="H722" s="1">
        <v>15</v>
      </c>
      <c r="I722" s="1" t="s">
        <v>124</v>
      </c>
      <c r="J722" s="3">
        <v>0.45</v>
      </c>
      <c r="K722" s="4">
        <v>10500</v>
      </c>
      <c r="L722" s="5">
        <f t="shared" si="4"/>
        <v>4725</v>
      </c>
      <c r="M722" s="5">
        <f t="shared" si="5"/>
        <v>2126.25</v>
      </c>
      <c r="N722" s="6">
        <v>0.45</v>
      </c>
    </row>
    <row r="723" spans="1:14" ht="15.75" customHeight="1" x14ac:dyDescent="0.45">
      <c r="A723" s="1" t="s">
        <v>119</v>
      </c>
      <c r="B723" s="1">
        <v>1185732</v>
      </c>
      <c r="C723" s="2">
        <v>44573</v>
      </c>
      <c r="D723" s="1" t="s">
        <v>38</v>
      </c>
      <c r="E723" s="1" t="s">
        <v>39</v>
      </c>
      <c r="F723" s="1" t="s">
        <v>40</v>
      </c>
      <c r="G723" s="1" t="s">
        <v>14</v>
      </c>
      <c r="H723" s="1">
        <v>36</v>
      </c>
      <c r="I723" s="1" t="s">
        <v>124</v>
      </c>
      <c r="J723" s="3">
        <v>0.45</v>
      </c>
      <c r="K723" s="4">
        <v>8500</v>
      </c>
      <c r="L723" s="5">
        <f t="shared" si="4"/>
        <v>3825</v>
      </c>
      <c r="M723" s="5">
        <f t="shared" si="5"/>
        <v>1338.75</v>
      </c>
      <c r="N723" s="6">
        <v>0.35</v>
      </c>
    </row>
    <row r="724" spans="1:14" ht="15.75" customHeight="1" x14ac:dyDescent="0.45">
      <c r="A724" s="1" t="s">
        <v>119</v>
      </c>
      <c r="B724" s="1">
        <v>1185732</v>
      </c>
      <c r="C724" s="2">
        <v>44573</v>
      </c>
      <c r="D724" s="1" t="s">
        <v>38</v>
      </c>
      <c r="E724" s="1" t="s">
        <v>39</v>
      </c>
      <c r="F724" s="1" t="s">
        <v>40</v>
      </c>
      <c r="G724" s="1" t="s">
        <v>15</v>
      </c>
      <c r="H724" s="1">
        <v>54</v>
      </c>
      <c r="I724" s="1" t="s">
        <v>124</v>
      </c>
      <c r="J724" s="3">
        <v>0.35000000000000003</v>
      </c>
      <c r="K724" s="4">
        <v>8500</v>
      </c>
      <c r="L724" s="5">
        <f t="shared" si="4"/>
        <v>2975.0000000000005</v>
      </c>
      <c r="M724" s="5">
        <f t="shared" si="5"/>
        <v>743.75000000000011</v>
      </c>
      <c r="N724" s="6">
        <v>0.25</v>
      </c>
    </row>
    <row r="725" spans="1:14" ht="15.75" customHeight="1" x14ac:dyDescent="0.45">
      <c r="A725" s="1" t="s">
        <v>119</v>
      </c>
      <c r="B725" s="1">
        <v>1185732</v>
      </c>
      <c r="C725" s="2">
        <v>44573</v>
      </c>
      <c r="D725" s="1" t="s">
        <v>38</v>
      </c>
      <c r="E725" s="1" t="s">
        <v>39</v>
      </c>
      <c r="F725" s="1" t="s">
        <v>40</v>
      </c>
      <c r="G725" s="1" t="s">
        <v>16</v>
      </c>
      <c r="H725" s="1">
        <v>44</v>
      </c>
      <c r="I725" s="1" t="s">
        <v>125</v>
      </c>
      <c r="J725" s="3">
        <v>0.39999999999999997</v>
      </c>
      <c r="K725" s="4">
        <v>7000</v>
      </c>
      <c r="L725" s="5">
        <f t="shared" si="4"/>
        <v>2799.9999999999995</v>
      </c>
      <c r="M725" s="5">
        <f t="shared" si="5"/>
        <v>839.99999999999989</v>
      </c>
      <c r="N725" s="6">
        <v>0.3</v>
      </c>
    </row>
    <row r="726" spans="1:14" ht="15.75" customHeight="1" x14ac:dyDescent="0.45">
      <c r="A726" s="1" t="s">
        <v>119</v>
      </c>
      <c r="B726" s="1">
        <v>1185732</v>
      </c>
      <c r="C726" s="2">
        <v>44573</v>
      </c>
      <c r="D726" s="1" t="s">
        <v>38</v>
      </c>
      <c r="E726" s="1" t="s">
        <v>39</v>
      </c>
      <c r="F726" s="1" t="s">
        <v>40</v>
      </c>
      <c r="G726" s="1" t="s">
        <v>17</v>
      </c>
      <c r="H726" s="1">
        <v>29</v>
      </c>
      <c r="I726" s="1" t="s">
        <v>124</v>
      </c>
      <c r="J726" s="3">
        <v>0.55000000000000004</v>
      </c>
      <c r="K726" s="4">
        <v>7500</v>
      </c>
      <c r="L726" s="5">
        <f t="shared" si="4"/>
        <v>4125</v>
      </c>
      <c r="M726" s="5">
        <f t="shared" si="5"/>
        <v>1443.75</v>
      </c>
      <c r="N726" s="6">
        <v>0.35</v>
      </c>
    </row>
    <row r="727" spans="1:14" ht="15.75" customHeight="1" x14ac:dyDescent="0.45">
      <c r="A727" s="1" t="s">
        <v>119</v>
      </c>
      <c r="B727" s="1">
        <v>1185732</v>
      </c>
      <c r="C727" s="2">
        <v>44573</v>
      </c>
      <c r="D727" s="1" t="s">
        <v>38</v>
      </c>
      <c r="E727" s="1" t="s">
        <v>39</v>
      </c>
      <c r="F727" s="1" t="s">
        <v>40</v>
      </c>
      <c r="G727" s="1" t="s">
        <v>18</v>
      </c>
      <c r="H727" s="1">
        <v>15</v>
      </c>
      <c r="I727" s="1" t="s">
        <v>124</v>
      </c>
      <c r="J727" s="3">
        <v>0.45</v>
      </c>
      <c r="K727" s="4">
        <v>8500</v>
      </c>
      <c r="L727" s="5">
        <f t="shared" si="4"/>
        <v>3825</v>
      </c>
      <c r="M727" s="5">
        <f t="shared" si="5"/>
        <v>1912.5</v>
      </c>
      <c r="N727" s="6">
        <v>0.5</v>
      </c>
    </row>
    <row r="728" spans="1:14" ht="15.75" customHeight="1" x14ac:dyDescent="0.45">
      <c r="A728" s="1" t="s">
        <v>119</v>
      </c>
      <c r="B728" s="1">
        <v>1185732</v>
      </c>
      <c r="C728" s="2">
        <v>44602</v>
      </c>
      <c r="D728" s="1" t="s">
        <v>38</v>
      </c>
      <c r="E728" s="1" t="s">
        <v>39</v>
      </c>
      <c r="F728" s="1" t="s">
        <v>40</v>
      </c>
      <c r="G728" s="1" t="s">
        <v>13</v>
      </c>
      <c r="H728" s="1">
        <v>17</v>
      </c>
      <c r="I728" s="1" t="s">
        <v>125</v>
      </c>
      <c r="J728" s="3">
        <v>0.45</v>
      </c>
      <c r="K728" s="4">
        <v>11000</v>
      </c>
      <c r="L728" s="5">
        <f t="shared" si="4"/>
        <v>4950</v>
      </c>
      <c r="M728" s="5">
        <f t="shared" si="5"/>
        <v>2227.5</v>
      </c>
      <c r="N728" s="6">
        <v>0.45</v>
      </c>
    </row>
    <row r="729" spans="1:14" ht="15.75" customHeight="1" x14ac:dyDescent="0.45">
      <c r="A729" s="1" t="s">
        <v>119</v>
      </c>
      <c r="B729" s="1">
        <v>1185732</v>
      </c>
      <c r="C729" s="2">
        <v>44602</v>
      </c>
      <c r="D729" s="1" t="s">
        <v>38</v>
      </c>
      <c r="E729" s="1" t="s">
        <v>39</v>
      </c>
      <c r="F729" s="1" t="s">
        <v>40</v>
      </c>
      <c r="G729" s="1" t="s">
        <v>14</v>
      </c>
      <c r="H729" s="1">
        <v>18</v>
      </c>
      <c r="I729" s="1" t="s">
        <v>124</v>
      </c>
      <c r="J729" s="3">
        <v>0.45</v>
      </c>
      <c r="K729" s="4">
        <v>7500</v>
      </c>
      <c r="L729" s="5">
        <f t="shared" si="4"/>
        <v>3375</v>
      </c>
      <c r="M729" s="5">
        <f t="shared" si="5"/>
        <v>1181.25</v>
      </c>
      <c r="N729" s="6">
        <v>0.35</v>
      </c>
    </row>
    <row r="730" spans="1:14" ht="15.75" customHeight="1" x14ac:dyDescent="0.45">
      <c r="A730" s="1" t="s">
        <v>119</v>
      </c>
      <c r="B730" s="1">
        <v>1185732</v>
      </c>
      <c r="C730" s="2">
        <v>44602</v>
      </c>
      <c r="D730" s="1" t="s">
        <v>38</v>
      </c>
      <c r="E730" s="1" t="s">
        <v>39</v>
      </c>
      <c r="F730" s="1" t="s">
        <v>40</v>
      </c>
      <c r="G730" s="1" t="s">
        <v>15</v>
      </c>
      <c r="H730" s="1">
        <v>28</v>
      </c>
      <c r="I730" s="1" t="s">
        <v>124</v>
      </c>
      <c r="J730" s="3">
        <v>0.35000000000000003</v>
      </c>
      <c r="K730" s="4">
        <v>8000</v>
      </c>
      <c r="L730" s="5">
        <f t="shared" si="4"/>
        <v>2800.0000000000005</v>
      </c>
      <c r="M730" s="5">
        <f t="shared" si="5"/>
        <v>700.00000000000011</v>
      </c>
      <c r="N730" s="6">
        <v>0.25</v>
      </c>
    </row>
    <row r="731" spans="1:14" ht="15.75" customHeight="1" x14ac:dyDescent="0.45">
      <c r="A731" s="1" t="s">
        <v>119</v>
      </c>
      <c r="B731" s="1">
        <v>1185732</v>
      </c>
      <c r="C731" s="2">
        <v>44602</v>
      </c>
      <c r="D731" s="1" t="s">
        <v>38</v>
      </c>
      <c r="E731" s="1" t="s">
        <v>39</v>
      </c>
      <c r="F731" s="1" t="s">
        <v>40</v>
      </c>
      <c r="G731" s="1" t="s">
        <v>16</v>
      </c>
      <c r="H731" s="1">
        <v>20</v>
      </c>
      <c r="I731" s="1" t="s">
        <v>124</v>
      </c>
      <c r="J731" s="3">
        <v>0.39999999999999997</v>
      </c>
      <c r="K731" s="4">
        <v>6750</v>
      </c>
      <c r="L731" s="5">
        <f t="shared" si="4"/>
        <v>2700</v>
      </c>
      <c r="M731" s="5">
        <f t="shared" si="5"/>
        <v>810</v>
      </c>
      <c r="N731" s="6">
        <v>0.3</v>
      </c>
    </row>
    <row r="732" spans="1:14" ht="15.75" customHeight="1" x14ac:dyDescent="0.45">
      <c r="A732" s="1" t="s">
        <v>119</v>
      </c>
      <c r="B732" s="1">
        <v>1185732</v>
      </c>
      <c r="C732" s="2">
        <v>44602</v>
      </c>
      <c r="D732" s="1" t="s">
        <v>38</v>
      </c>
      <c r="E732" s="1" t="s">
        <v>39</v>
      </c>
      <c r="F732" s="1" t="s">
        <v>40</v>
      </c>
      <c r="G732" s="1" t="s">
        <v>17</v>
      </c>
      <c r="H732" s="1">
        <v>52</v>
      </c>
      <c r="I732" s="1" t="s">
        <v>126</v>
      </c>
      <c r="J732" s="3">
        <v>0.55000000000000004</v>
      </c>
      <c r="K732" s="4">
        <v>7500</v>
      </c>
      <c r="L732" s="5">
        <f t="shared" si="4"/>
        <v>4125</v>
      </c>
      <c r="M732" s="5">
        <f t="shared" si="5"/>
        <v>1443.75</v>
      </c>
      <c r="N732" s="6">
        <v>0.35</v>
      </c>
    </row>
    <row r="733" spans="1:14" ht="15.75" customHeight="1" x14ac:dyDescent="0.45">
      <c r="A733" s="1" t="s">
        <v>119</v>
      </c>
      <c r="B733" s="1">
        <v>1185732</v>
      </c>
      <c r="C733" s="2">
        <v>44602</v>
      </c>
      <c r="D733" s="1" t="s">
        <v>38</v>
      </c>
      <c r="E733" s="1" t="s">
        <v>39</v>
      </c>
      <c r="F733" s="1" t="s">
        <v>40</v>
      </c>
      <c r="G733" s="1" t="s">
        <v>18</v>
      </c>
      <c r="H733" s="1">
        <v>30</v>
      </c>
      <c r="I733" s="1" t="s">
        <v>123</v>
      </c>
      <c r="J733" s="3">
        <v>0.45</v>
      </c>
      <c r="K733" s="4">
        <v>8500</v>
      </c>
      <c r="L733" s="5">
        <f t="shared" si="4"/>
        <v>3825</v>
      </c>
      <c r="M733" s="5">
        <f t="shared" si="5"/>
        <v>1912.5</v>
      </c>
      <c r="N733" s="6">
        <v>0.5</v>
      </c>
    </row>
    <row r="734" spans="1:14" ht="15.75" customHeight="1" x14ac:dyDescent="0.45">
      <c r="A734" s="1" t="s">
        <v>119</v>
      </c>
      <c r="B734" s="1">
        <v>1185732</v>
      </c>
      <c r="C734" s="2">
        <v>44628</v>
      </c>
      <c r="D734" s="1" t="s">
        <v>38</v>
      </c>
      <c r="E734" s="1" t="s">
        <v>39</v>
      </c>
      <c r="F734" s="1" t="s">
        <v>40</v>
      </c>
      <c r="G734" s="1" t="s">
        <v>13</v>
      </c>
      <c r="H734" s="1">
        <v>44</v>
      </c>
      <c r="I734" s="1" t="s">
        <v>123</v>
      </c>
      <c r="J734" s="3">
        <v>0.45</v>
      </c>
      <c r="K734" s="4">
        <v>10700</v>
      </c>
      <c r="L734" s="5">
        <f t="shared" si="4"/>
        <v>4815</v>
      </c>
      <c r="M734" s="5">
        <f t="shared" si="5"/>
        <v>2166.75</v>
      </c>
      <c r="N734" s="6">
        <v>0.45</v>
      </c>
    </row>
    <row r="735" spans="1:14" ht="15.75" customHeight="1" x14ac:dyDescent="0.45">
      <c r="A735" s="1" t="s">
        <v>119</v>
      </c>
      <c r="B735" s="1">
        <v>1185732</v>
      </c>
      <c r="C735" s="2">
        <v>44628</v>
      </c>
      <c r="D735" s="1" t="s">
        <v>38</v>
      </c>
      <c r="E735" s="1" t="s">
        <v>39</v>
      </c>
      <c r="F735" s="1" t="s">
        <v>40</v>
      </c>
      <c r="G735" s="1" t="s">
        <v>14</v>
      </c>
      <c r="H735" s="1">
        <v>40</v>
      </c>
      <c r="I735" s="1" t="s">
        <v>123</v>
      </c>
      <c r="J735" s="3">
        <v>0.45</v>
      </c>
      <c r="K735" s="4">
        <v>7500</v>
      </c>
      <c r="L735" s="5">
        <f t="shared" si="4"/>
        <v>3375</v>
      </c>
      <c r="M735" s="5">
        <f t="shared" si="5"/>
        <v>1181.25</v>
      </c>
      <c r="N735" s="6">
        <v>0.35</v>
      </c>
    </row>
    <row r="736" spans="1:14" ht="15.75" customHeight="1" x14ac:dyDescent="0.45">
      <c r="A736" s="1" t="s">
        <v>119</v>
      </c>
      <c r="B736" s="1">
        <v>1185732</v>
      </c>
      <c r="C736" s="2">
        <v>44628</v>
      </c>
      <c r="D736" s="1" t="s">
        <v>38</v>
      </c>
      <c r="E736" s="1" t="s">
        <v>39</v>
      </c>
      <c r="F736" s="1" t="s">
        <v>40</v>
      </c>
      <c r="G736" s="1" t="s">
        <v>15</v>
      </c>
      <c r="H736" s="1">
        <v>60</v>
      </c>
      <c r="I736" s="1" t="s">
        <v>124</v>
      </c>
      <c r="J736" s="3">
        <v>0.35000000000000003</v>
      </c>
      <c r="K736" s="4">
        <v>7750</v>
      </c>
      <c r="L736" s="5">
        <f t="shared" si="4"/>
        <v>2712.5000000000005</v>
      </c>
      <c r="M736" s="5">
        <f t="shared" si="5"/>
        <v>678.12500000000011</v>
      </c>
      <c r="N736" s="6">
        <v>0.25</v>
      </c>
    </row>
    <row r="737" spans="1:14" ht="15.75" customHeight="1" x14ac:dyDescent="0.45">
      <c r="A737" s="1" t="s">
        <v>119</v>
      </c>
      <c r="B737" s="1">
        <v>1185732</v>
      </c>
      <c r="C737" s="2">
        <v>44628</v>
      </c>
      <c r="D737" s="1" t="s">
        <v>38</v>
      </c>
      <c r="E737" s="1" t="s">
        <v>39</v>
      </c>
      <c r="F737" s="1" t="s">
        <v>40</v>
      </c>
      <c r="G737" s="1" t="s">
        <v>16</v>
      </c>
      <c r="H737" s="1">
        <v>27</v>
      </c>
      <c r="I737" s="1" t="s">
        <v>124</v>
      </c>
      <c r="J737" s="3">
        <v>0.39999999999999997</v>
      </c>
      <c r="K737" s="4">
        <v>6250</v>
      </c>
      <c r="L737" s="5">
        <f t="shared" si="4"/>
        <v>2500</v>
      </c>
      <c r="M737" s="5">
        <f t="shared" si="5"/>
        <v>750</v>
      </c>
      <c r="N737" s="6">
        <v>0.3</v>
      </c>
    </row>
    <row r="738" spans="1:14" ht="15.75" customHeight="1" x14ac:dyDescent="0.45">
      <c r="A738" s="1" t="s">
        <v>119</v>
      </c>
      <c r="B738" s="1">
        <v>1185732</v>
      </c>
      <c r="C738" s="2">
        <v>44628</v>
      </c>
      <c r="D738" s="1" t="s">
        <v>38</v>
      </c>
      <c r="E738" s="1" t="s">
        <v>39</v>
      </c>
      <c r="F738" s="1" t="s">
        <v>40</v>
      </c>
      <c r="G738" s="1" t="s">
        <v>17</v>
      </c>
      <c r="H738" s="1">
        <v>40</v>
      </c>
      <c r="I738" s="1" t="s">
        <v>124</v>
      </c>
      <c r="J738" s="3">
        <v>0.55000000000000004</v>
      </c>
      <c r="K738" s="4">
        <v>6750</v>
      </c>
      <c r="L738" s="5">
        <f t="shared" si="4"/>
        <v>3712.5000000000005</v>
      </c>
      <c r="M738" s="5">
        <f t="shared" si="5"/>
        <v>1299.375</v>
      </c>
      <c r="N738" s="6">
        <v>0.35</v>
      </c>
    </row>
    <row r="739" spans="1:14" ht="15.75" customHeight="1" x14ac:dyDescent="0.45">
      <c r="A739" s="1" t="s">
        <v>119</v>
      </c>
      <c r="B739" s="1">
        <v>1185732</v>
      </c>
      <c r="C739" s="2">
        <v>44628</v>
      </c>
      <c r="D739" s="1" t="s">
        <v>38</v>
      </c>
      <c r="E739" s="1" t="s">
        <v>39</v>
      </c>
      <c r="F739" s="1" t="s">
        <v>40</v>
      </c>
      <c r="G739" s="1" t="s">
        <v>18</v>
      </c>
      <c r="H739" s="1">
        <v>15</v>
      </c>
      <c r="I739" s="1" t="s">
        <v>124</v>
      </c>
      <c r="J739" s="3">
        <v>0.45</v>
      </c>
      <c r="K739" s="4">
        <v>7750</v>
      </c>
      <c r="L739" s="5">
        <f t="shared" si="4"/>
        <v>3487.5</v>
      </c>
      <c r="M739" s="5">
        <f t="shared" si="5"/>
        <v>1743.75</v>
      </c>
      <c r="N739" s="6">
        <v>0.5</v>
      </c>
    </row>
    <row r="740" spans="1:14" ht="15.75" customHeight="1" x14ac:dyDescent="0.45">
      <c r="A740" s="1" t="s">
        <v>119</v>
      </c>
      <c r="B740" s="1">
        <v>1185732</v>
      </c>
      <c r="C740" s="2">
        <v>44660</v>
      </c>
      <c r="D740" s="1" t="s">
        <v>38</v>
      </c>
      <c r="E740" s="1" t="s">
        <v>39</v>
      </c>
      <c r="F740" s="1" t="s">
        <v>40</v>
      </c>
      <c r="G740" s="1" t="s">
        <v>13</v>
      </c>
      <c r="H740" s="1">
        <v>46</v>
      </c>
      <c r="I740" s="1" t="s">
        <v>123</v>
      </c>
      <c r="J740" s="3">
        <v>0.45</v>
      </c>
      <c r="K740" s="4">
        <v>10250</v>
      </c>
      <c r="L740" s="5">
        <f t="shared" si="4"/>
        <v>4612.5</v>
      </c>
      <c r="M740" s="5">
        <f t="shared" si="5"/>
        <v>2075.625</v>
      </c>
      <c r="N740" s="6">
        <v>0.45</v>
      </c>
    </row>
    <row r="741" spans="1:14" ht="15.75" customHeight="1" x14ac:dyDescent="0.45">
      <c r="A741" s="1" t="s">
        <v>119</v>
      </c>
      <c r="B741" s="1">
        <v>1185732</v>
      </c>
      <c r="C741" s="2">
        <v>44660</v>
      </c>
      <c r="D741" s="1" t="s">
        <v>38</v>
      </c>
      <c r="E741" s="1" t="s">
        <v>39</v>
      </c>
      <c r="F741" s="1" t="s">
        <v>40</v>
      </c>
      <c r="G741" s="1" t="s">
        <v>14</v>
      </c>
      <c r="H741" s="1">
        <v>60</v>
      </c>
      <c r="I741" s="1" t="s">
        <v>126</v>
      </c>
      <c r="J741" s="3">
        <v>0.45</v>
      </c>
      <c r="K741" s="4">
        <v>7250</v>
      </c>
      <c r="L741" s="5">
        <f t="shared" si="4"/>
        <v>3262.5</v>
      </c>
      <c r="M741" s="5">
        <f t="shared" si="5"/>
        <v>1141.875</v>
      </c>
      <c r="N741" s="6">
        <v>0.35</v>
      </c>
    </row>
    <row r="742" spans="1:14" ht="15.75" customHeight="1" x14ac:dyDescent="0.45">
      <c r="A742" s="1" t="s">
        <v>119</v>
      </c>
      <c r="B742" s="1">
        <v>1185732</v>
      </c>
      <c r="C742" s="2">
        <v>44660</v>
      </c>
      <c r="D742" s="1" t="s">
        <v>38</v>
      </c>
      <c r="E742" s="1" t="s">
        <v>39</v>
      </c>
      <c r="F742" s="1" t="s">
        <v>40</v>
      </c>
      <c r="G742" s="1" t="s">
        <v>15</v>
      </c>
      <c r="H742" s="1">
        <v>18</v>
      </c>
      <c r="I742" s="1" t="s">
        <v>123</v>
      </c>
      <c r="J742" s="3">
        <v>0.35000000000000003</v>
      </c>
      <c r="K742" s="4">
        <v>7250</v>
      </c>
      <c r="L742" s="5">
        <f t="shared" si="4"/>
        <v>2537.5000000000005</v>
      </c>
      <c r="M742" s="5">
        <f t="shared" si="5"/>
        <v>634.37500000000011</v>
      </c>
      <c r="N742" s="6">
        <v>0.25</v>
      </c>
    </row>
    <row r="743" spans="1:14" ht="15.75" customHeight="1" x14ac:dyDescent="0.45">
      <c r="A743" s="1" t="s">
        <v>119</v>
      </c>
      <c r="B743" s="1">
        <v>1185732</v>
      </c>
      <c r="C743" s="2">
        <v>44660</v>
      </c>
      <c r="D743" s="1" t="s">
        <v>38</v>
      </c>
      <c r="E743" s="1" t="s">
        <v>39</v>
      </c>
      <c r="F743" s="1" t="s">
        <v>40</v>
      </c>
      <c r="G743" s="1" t="s">
        <v>16</v>
      </c>
      <c r="H743" s="1">
        <v>15</v>
      </c>
      <c r="I743" s="1" t="s">
        <v>126</v>
      </c>
      <c r="J743" s="3">
        <v>0.39999999999999997</v>
      </c>
      <c r="K743" s="4">
        <v>6500</v>
      </c>
      <c r="L743" s="5">
        <f t="shared" si="4"/>
        <v>2600</v>
      </c>
      <c r="M743" s="5">
        <f t="shared" si="5"/>
        <v>780</v>
      </c>
      <c r="N743" s="6">
        <v>0.3</v>
      </c>
    </row>
    <row r="744" spans="1:14" ht="15.75" customHeight="1" x14ac:dyDescent="0.45">
      <c r="A744" s="1" t="s">
        <v>119</v>
      </c>
      <c r="B744" s="1">
        <v>1185732</v>
      </c>
      <c r="C744" s="2">
        <v>44660</v>
      </c>
      <c r="D744" s="1" t="s">
        <v>38</v>
      </c>
      <c r="E744" s="1" t="s">
        <v>39</v>
      </c>
      <c r="F744" s="1" t="s">
        <v>40</v>
      </c>
      <c r="G744" s="1" t="s">
        <v>17</v>
      </c>
      <c r="H744" s="1">
        <v>33</v>
      </c>
      <c r="I744" s="1" t="s">
        <v>126</v>
      </c>
      <c r="J744" s="3">
        <v>0.55000000000000004</v>
      </c>
      <c r="K744" s="4">
        <v>6750</v>
      </c>
      <c r="L744" s="5">
        <f t="shared" si="4"/>
        <v>3712.5000000000005</v>
      </c>
      <c r="M744" s="5">
        <f t="shared" si="5"/>
        <v>1299.375</v>
      </c>
      <c r="N744" s="6">
        <v>0.35</v>
      </c>
    </row>
    <row r="745" spans="1:14" ht="15.75" customHeight="1" x14ac:dyDescent="0.45">
      <c r="A745" s="1" t="s">
        <v>119</v>
      </c>
      <c r="B745" s="1">
        <v>1185732</v>
      </c>
      <c r="C745" s="2">
        <v>44660</v>
      </c>
      <c r="D745" s="1" t="s">
        <v>38</v>
      </c>
      <c r="E745" s="1" t="s">
        <v>39</v>
      </c>
      <c r="F745" s="1" t="s">
        <v>40</v>
      </c>
      <c r="G745" s="1" t="s">
        <v>18</v>
      </c>
      <c r="H745" s="1">
        <v>58</v>
      </c>
      <c r="I745" s="1" t="s">
        <v>126</v>
      </c>
      <c r="J745" s="3">
        <v>0.45</v>
      </c>
      <c r="K745" s="4">
        <v>8000</v>
      </c>
      <c r="L745" s="5">
        <f t="shared" si="4"/>
        <v>3600</v>
      </c>
      <c r="M745" s="5">
        <f t="shared" si="5"/>
        <v>1800</v>
      </c>
      <c r="N745" s="6">
        <v>0.5</v>
      </c>
    </row>
    <row r="746" spans="1:14" ht="15.75" customHeight="1" x14ac:dyDescent="0.45">
      <c r="A746" s="1" t="s">
        <v>119</v>
      </c>
      <c r="B746" s="1">
        <v>1185732</v>
      </c>
      <c r="C746" s="2">
        <v>44689</v>
      </c>
      <c r="D746" s="1" t="s">
        <v>38</v>
      </c>
      <c r="E746" s="1" t="s">
        <v>39</v>
      </c>
      <c r="F746" s="1" t="s">
        <v>40</v>
      </c>
      <c r="G746" s="1" t="s">
        <v>13</v>
      </c>
      <c r="H746" s="1">
        <v>30</v>
      </c>
      <c r="I746" s="1" t="s">
        <v>126</v>
      </c>
      <c r="J746" s="3">
        <v>0.55000000000000004</v>
      </c>
      <c r="K746" s="4">
        <v>10700</v>
      </c>
      <c r="L746" s="5">
        <f t="shared" si="4"/>
        <v>5885.0000000000009</v>
      </c>
      <c r="M746" s="5">
        <f t="shared" si="5"/>
        <v>2648.2500000000005</v>
      </c>
      <c r="N746" s="6">
        <v>0.45</v>
      </c>
    </row>
    <row r="747" spans="1:14" ht="15.75" customHeight="1" x14ac:dyDescent="0.45">
      <c r="A747" s="1" t="s">
        <v>119</v>
      </c>
      <c r="B747" s="1">
        <v>1185732</v>
      </c>
      <c r="C747" s="2">
        <v>44689</v>
      </c>
      <c r="D747" s="1" t="s">
        <v>38</v>
      </c>
      <c r="E747" s="1" t="s">
        <v>39</v>
      </c>
      <c r="F747" s="1" t="s">
        <v>40</v>
      </c>
      <c r="G747" s="1" t="s">
        <v>14</v>
      </c>
      <c r="H747" s="1">
        <v>38</v>
      </c>
      <c r="I747" s="1" t="s">
        <v>124</v>
      </c>
      <c r="J747" s="3">
        <v>0.55000000000000004</v>
      </c>
      <c r="K747" s="4">
        <v>7750</v>
      </c>
      <c r="L747" s="5">
        <f t="shared" si="4"/>
        <v>4262.5</v>
      </c>
      <c r="M747" s="5">
        <f t="shared" si="5"/>
        <v>1491.875</v>
      </c>
      <c r="N747" s="6">
        <v>0.35</v>
      </c>
    </row>
    <row r="748" spans="1:14" ht="15.75" customHeight="1" x14ac:dyDescent="0.45">
      <c r="A748" s="1" t="s">
        <v>119</v>
      </c>
      <c r="B748" s="1">
        <v>1185732</v>
      </c>
      <c r="C748" s="2">
        <v>44689</v>
      </c>
      <c r="D748" s="1" t="s">
        <v>38</v>
      </c>
      <c r="E748" s="1" t="s">
        <v>39</v>
      </c>
      <c r="F748" s="1" t="s">
        <v>40</v>
      </c>
      <c r="G748" s="1" t="s">
        <v>15</v>
      </c>
      <c r="H748" s="1">
        <v>42</v>
      </c>
      <c r="I748" s="1" t="s">
        <v>124</v>
      </c>
      <c r="J748" s="3">
        <v>0.5</v>
      </c>
      <c r="K748" s="4">
        <v>7500</v>
      </c>
      <c r="L748" s="5">
        <f t="shared" si="4"/>
        <v>3750</v>
      </c>
      <c r="M748" s="5">
        <f t="shared" si="5"/>
        <v>937.5</v>
      </c>
      <c r="N748" s="6">
        <v>0.25</v>
      </c>
    </row>
    <row r="749" spans="1:14" ht="15.75" customHeight="1" x14ac:dyDescent="0.45">
      <c r="A749" s="1" t="s">
        <v>119</v>
      </c>
      <c r="B749" s="1">
        <v>1185732</v>
      </c>
      <c r="C749" s="2">
        <v>44689</v>
      </c>
      <c r="D749" s="1" t="s">
        <v>38</v>
      </c>
      <c r="E749" s="1" t="s">
        <v>39</v>
      </c>
      <c r="F749" s="1" t="s">
        <v>40</v>
      </c>
      <c r="G749" s="1" t="s">
        <v>16</v>
      </c>
      <c r="H749" s="1">
        <v>36</v>
      </c>
      <c r="I749" s="1" t="s">
        <v>125</v>
      </c>
      <c r="J749" s="3">
        <v>0.5</v>
      </c>
      <c r="K749" s="4">
        <v>7000</v>
      </c>
      <c r="L749" s="5">
        <f t="shared" si="4"/>
        <v>3500</v>
      </c>
      <c r="M749" s="5">
        <f t="shared" si="5"/>
        <v>1050</v>
      </c>
      <c r="N749" s="6">
        <v>0.3</v>
      </c>
    </row>
    <row r="750" spans="1:14" ht="15.75" customHeight="1" x14ac:dyDescent="0.45">
      <c r="A750" s="1" t="s">
        <v>119</v>
      </c>
      <c r="B750" s="1">
        <v>1185732</v>
      </c>
      <c r="C750" s="2">
        <v>44689</v>
      </c>
      <c r="D750" s="1" t="s">
        <v>38</v>
      </c>
      <c r="E750" s="1" t="s">
        <v>39</v>
      </c>
      <c r="F750" s="1" t="s">
        <v>40</v>
      </c>
      <c r="G750" s="1" t="s">
        <v>17</v>
      </c>
      <c r="H750" s="1">
        <v>55</v>
      </c>
      <c r="I750" s="1" t="s">
        <v>123</v>
      </c>
      <c r="J750" s="3">
        <v>0.6</v>
      </c>
      <c r="K750" s="4">
        <v>7250</v>
      </c>
      <c r="L750" s="5">
        <f t="shared" si="4"/>
        <v>4350</v>
      </c>
      <c r="M750" s="5">
        <f t="shared" si="5"/>
        <v>1522.5</v>
      </c>
      <c r="N750" s="6">
        <v>0.35</v>
      </c>
    </row>
    <row r="751" spans="1:14" ht="15.75" customHeight="1" x14ac:dyDescent="0.45">
      <c r="A751" s="1" t="s">
        <v>119</v>
      </c>
      <c r="B751" s="1">
        <v>1185732</v>
      </c>
      <c r="C751" s="2">
        <v>44689</v>
      </c>
      <c r="D751" s="1" t="s">
        <v>38</v>
      </c>
      <c r="E751" s="1" t="s">
        <v>39</v>
      </c>
      <c r="F751" s="1" t="s">
        <v>40</v>
      </c>
      <c r="G751" s="1" t="s">
        <v>18</v>
      </c>
      <c r="H751" s="1">
        <v>43</v>
      </c>
      <c r="I751" s="1" t="s">
        <v>123</v>
      </c>
      <c r="J751" s="3">
        <v>0.65</v>
      </c>
      <c r="K751" s="4">
        <v>8250</v>
      </c>
      <c r="L751" s="5">
        <f t="shared" si="4"/>
        <v>5362.5</v>
      </c>
      <c r="M751" s="5">
        <f t="shared" si="5"/>
        <v>2681.25</v>
      </c>
      <c r="N751" s="6">
        <v>0.5</v>
      </c>
    </row>
    <row r="752" spans="1:14" ht="15.75" customHeight="1" x14ac:dyDescent="0.45">
      <c r="A752" s="1" t="s">
        <v>119</v>
      </c>
      <c r="B752" s="1">
        <v>1185732</v>
      </c>
      <c r="C752" s="2">
        <v>44722</v>
      </c>
      <c r="D752" s="1" t="s">
        <v>38</v>
      </c>
      <c r="E752" s="1" t="s">
        <v>39</v>
      </c>
      <c r="F752" s="1" t="s">
        <v>40</v>
      </c>
      <c r="G752" s="1" t="s">
        <v>13</v>
      </c>
      <c r="H752" s="1">
        <v>42</v>
      </c>
      <c r="I752" s="1" t="s">
        <v>126</v>
      </c>
      <c r="J752" s="3">
        <v>0.6</v>
      </c>
      <c r="K752" s="4">
        <v>10750</v>
      </c>
      <c r="L752" s="5">
        <f t="shared" si="4"/>
        <v>6450</v>
      </c>
      <c r="M752" s="5">
        <f t="shared" si="5"/>
        <v>2902.5</v>
      </c>
      <c r="N752" s="6">
        <v>0.45</v>
      </c>
    </row>
    <row r="753" spans="1:14" ht="15.75" customHeight="1" x14ac:dyDescent="0.45">
      <c r="A753" s="1" t="s">
        <v>119</v>
      </c>
      <c r="B753" s="1">
        <v>1185732</v>
      </c>
      <c r="C753" s="2">
        <v>44722</v>
      </c>
      <c r="D753" s="1" t="s">
        <v>38</v>
      </c>
      <c r="E753" s="1" t="s">
        <v>39</v>
      </c>
      <c r="F753" s="1" t="s">
        <v>40</v>
      </c>
      <c r="G753" s="1" t="s">
        <v>14</v>
      </c>
      <c r="H753" s="1">
        <v>46</v>
      </c>
      <c r="I753" s="1" t="s">
        <v>124</v>
      </c>
      <c r="J753" s="3">
        <v>0.55000000000000004</v>
      </c>
      <c r="K753" s="4">
        <v>8250</v>
      </c>
      <c r="L753" s="5">
        <f t="shared" si="4"/>
        <v>4537.5</v>
      </c>
      <c r="M753" s="5">
        <f t="shared" si="5"/>
        <v>1588.125</v>
      </c>
      <c r="N753" s="6">
        <v>0.35</v>
      </c>
    </row>
    <row r="754" spans="1:14" ht="15.75" customHeight="1" x14ac:dyDescent="0.45">
      <c r="A754" s="1" t="s">
        <v>119</v>
      </c>
      <c r="B754" s="1">
        <v>1185732</v>
      </c>
      <c r="C754" s="2">
        <v>44722</v>
      </c>
      <c r="D754" s="1" t="s">
        <v>38</v>
      </c>
      <c r="E754" s="1" t="s">
        <v>39</v>
      </c>
      <c r="F754" s="1" t="s">
        <v>40</v>
      </c>
      <c r="G754" s="1" t="s">
        <v>15</v>
      </c>
      <c r="H754" s="1">
        <v>28</v>
      </c>
      <c r="I754" s="1" t="s">
        <v>125</v>
      </c>
      <c r="J754" s="3">
        <v>0.5</v>
      </c>
      <c r="K754" s="4">
        <v>8000</v>
      </c>
      <c r="L754" s="5">
        <f t="shared" si="4"/>
        <v>4000</v>
      </c>
      <c r="M754" s="5">
        <f t="shared" si="5"/>
        <v>1000</v>
      </c>
      <c r="N754" s="6">
        <v>0.25</v>
      </c>
    </row>
    <row r="755" spans="1:14" ht="15.75" customHeight="1" x14ac:dyDescent="0.45">
      <c r="A755" s="1" t="s">
        <v>119</v>
      </c>
      <c r="B755" s="1">
        <v>1185732</v>
      </c>
      <c r="C755" s="2">
        <v>44722</v>
      </c>
      <c r="D755" s="1" t="s">
        <v>38</v>
      </c>
      <c r="E755" s="1" t="s">
        <v>39</v>
      </c>
      <c r="F755" s="1" t="s">
        <v>40</v>
      </c>
      <c r="G755" s="1" t="s">
        <v>16</v>
      </c>
      <c r="H755" s="1">
        <v>47</v>
      </c>
      <c r="I755" s="1" t="s">
        <v>123</v>
      </c>
      <c r="J755" s="3">
        <v>0.5</v>
      </c>
      <c r="K755" s="4">
        <v>7750</v>
      </c>
      <c r="L755" s="5">
        <f t="shared" si="4"/>
        <v>3875</v>
      </c>
      <c r="M755" s="5">
        <f t="shared" si="5"/>
        <v>1162.5</v>
      </c>
      <c r="N755" s="6">
        <v>0.3</v>
      </c>
    </row>
    <row r="756" spans="1:14" ht="15.75" customHeight="1" x14ac:dyDescent="0.45">
      <c r="A756" s="1" t="s">
        <v>119</v>
      </c>
      <c r="B756" s="1">
        <v>1185732</v>
      </c>
      <c r="C756" s="2">
        <v>44722</v>
      </c>
      <c r="D756" s="1" t="s">
        <v>38</v>
      </c>
      <c r="E756" s="1" t="s">
        <v>39</v>
      </c>
      <c r="F756" s="1" t="s">
        <v>40</v>
      </c>
      <c r="G756" s="1" t="s">
        <v>17</v>
      </c>
      <c r="H756" s="1">
        <v>21</v>
      </c>
      <c r="I756" s="1" t="s">
        <v>126</v>
      </c>
      <c r="J756" s="3">
        <v>0.65</v>
      </c>
      <c r="K756" s="4">
        <v>7750</v>
      </c>
      <c r="L756" s="5">
        <f t="shared" si="4"/>
        <v>5037.5</v>
      </c>
      <c r="M756" s="5">
        <f t="shared" si="5"/>
        <v>1763.125</v>
      </c>
      <c r="N756" s="6">
        <v>0.35</v>
      </c>
    </row>
    <row r="757" spans="1:14" ht="15.75" customHeight="1" x14ac:dyDescent="0.45">
      <c r="A757" s="1" t="s">
        <v>119</v>
      </c>
      <c r="B757" s="1">
        <v>1185732</v>
      </c>
      <c r="C757" s="2">
        <v>44722</v>
      </c>
      <c r="D757" s="1" t="s">
        <v>38</v>
      </c>
      <c r="E757" s="1" t="s">
        <v>39</v>
      </c>
      <c r="F757" s="1" t="s">
        <v>40</v>
      </c>
      <c r="G757" s="1" t="s">
        <v>18</v>
      </c>
      <c r="H757" s="1">
        <v>48</v>
      </c>
      <c r="I757" s="1" t="s">
        <v>124</v>
      </c>
      <c r="J757" s="3">
        <v>0.70000000000000007</v>
      </c>
      <c r="K757" s="4">
        <v>9250</v>
      </c>
      <c r="L757" s="5">
        <f t="shared" si="4"/>
        <v>6475.0000000000009</v>
      </c>
      <c r="M757" s="5">
        <f t="shared" si="5"/>
        <v>3237.5000000000005</v>
      </c>
      <c r="N757" s="6">
        <v>0.5</v>
      </c>
    </row>
    <row r="758" spans="1:14" ht="15.75" customHeight="1" x14ac:dyDescent="0.45">
      <c r="A758" s="1" t="s">
        <v>119</v>
      </c>
      <c r="B758" s="1">
        <v>1185732</v>
      </c>
      <c r="C758" s="2">
        <v>44750</v>
      </c>
      <c r="D758" s="1" t="s">
        <v>38</v>
      </c>
      <c r="E758" s="1" t="s">
        <v>39</v>
      </c>
      <c r="F758" s="1" t="s">
        <v>40</v>
      </c>
      <c r="G758" s="1" t="s">
        <v>13</v>
      </c>
      <c r="H758" s="1">
        <v>22</v>
      </c>
      <c r="I758" s="1" t="s">
        <v>125</v>
      </c>
      <c r="J758" s="3">
        <v>0.65</v>
      </c>
      <c r="K758" s="4">
        <v>11500</v>
      </c>
      <c r="L758" s="5">
        <f t="shared" si="4"/>
        <v>7475</v>
      </c>
      <c r="M758" s="5">
        <f t="shared" si="5"/>
        <v>3363.75</v>
      </c>
      <c r="N758" s="6">
        <v>0.45</v>
      </c>
    </row>
    <row r="759" spans="1:14" ht="15.75" customHeight="1" x14ac:dyDescent="0.45">
      <c r="A759" s="1" t="s">
        <v>119</v>
      </c>
      <c r="B759" s="1">
        <v>1185732</v>
      </c>
      <c r="C759" s="2">
        <v>44750</v>
      </c>
      <c r="D759" s="1" t="s">
        <v>38</v>
      </c>
      <c r="E759" s="1" t="s">
        <v>39</v>
      </c>
      <c r="F759" s="1" t="s">
        <v>40</v>
      </c>
      <c r="G759" s="1" t="s">
        <v>14</v>
      </c>
      <c r="H759" s="1">
        <v>38</v>
      </c>
      <c r="I759" s="1" t="s">
        <v>125</v>
      </c>
      <c r="J759" s="3">
        <v>0.60000000000000009</v>
      </c>
      <c r="K759" s="4">
        <v>9000</v>
      </c>
      <c r="L759" s="5">
        <f t="shared" si="4"/>
        <v>5400.0000000000009</v>
      </c>
      <c r="M759" s="5">
        <f t="shared" si="5"/>
        <v>1890.0000000000002</v>
      </c>
      <c r="N759" s="6">
        <v>0.35</v>
      </c>
    </row>
    <row r="760" spans="1:14" ht="15.75" customHeight="1" x14ac:dyDescent="0.45">
      <c r="A760" s="1" t="s">
        <v>119</v>
      </c>
      <c r="B760" s="1">
        <v>1185732</v>
      </c>
      <c r="C760" s="2">
        <v>44750</v>
      </c>
      <c r="D760" s="1" t="s">
        <v>38</v>
      </c>
      <c r="E760" s="1" t="s">
        <v>39</v>
      </c>
      <c r="F760" s="1" t="s">
        <v>40</v>
      </c>
      <c r="G760" s="1" t="s">
        <v>15</v>
      </c>
      <c r="H760" s="1">
        <v>46</v>
      </c>
      <c r="I760" s="1" t="s">
        <v>126</v>
      </c>
      <c r="J760" s="3">
        <v>0.55000000000000004</v>
      </c>
      <c r="K760" s="4">
        <v>8250</v>
      </c>
      <c r="L760" s="5">
        <f t="shared" si="4"/>
        <v>4537.5</v>
      </c>
      <c r="M760" s="5">
        <f t="shared" si="5"/>
        <v>1134.375</v>
      </c>
      <c r="N760" s="6">
        <v>0.25</v>
      </c>
    </row>
    <row r="761" spans="1:14" ht="15.75" customHeight="1" x14ac:dyDescent="0.45">
      <c r="A761" s="1" t="s">
        <v>119</v>
      </c>
      <c r="B761" s="1">
        <v>1185732</v>
      </c>
      <c r="C761" s="2">
        <v>44750</v>
      </c>
      <c r="D761" s="1" t="s">
        <v>38</v>
      </c>
      <c r="E761" s="1" t="s">
        <v>39</v>
      </c>
      <c r="F761" s="1" t="s">
        <v>40</v>
      </c>
      <c r="G761" s="1" t="s">
        <v>16</v>
      </c>
      <c r="H761" s="1">
        <v>44</v>
      </c>
      <c r="I761" s="1" t="s">
        <v>126</v>
      </c>
      <c r="J761" s="3">
        <v>0.55000000000000004</v>
      </c>
      <c r="K761" s="4">
        <v>7750</v>
      </c>
      <c r="L761" s="5">
        <f t="shared" si="4"/>
        <v>4262.5</v>
      </c>
      <c r="M761" s="5">
        <f t="shared" si="5"/>
        <v>1278.75</v>
      </c>
      <c r="N761" s="6">
        <v>0.3</v>
      </c>
    </row>
    <row r="762" spans="1:14" ht="15.75" customHeight="1" x14ac:dyDescent="0.45">
      <c r="A762" s="1" t="s">
        <v>119</v>
      </c>
      <c r="B762" s="1">
        <v>1185732</v>
      </c>
      <c r="C762" s="2">
        <v>44750</v>
      </c>
      <c r="D762" s="1" t="s">
        <v>38</v>
      </c>
      <c r="E762" s="1" t="s">
        <v>39</v>
      </c>
      <c r="F762" s="1" t="s">
        <v>40</v>
      </c>
      <c r="G762" s="1" t="s">
        <v>17</v>
      </c>
      <c r="H762" s="1">
        <v>20</v>
      </c>
      <c r="I762" s="1" t="s">
        <v>123</v>
      </c>
      <c r="J762" s="3">
        <v>0.65</v>
      </c>
      <c r="K762" s="4">
        <v>8000</v>
      </c>
      <c r="L762" s="5">
        <f t="shared" si="4"/>
        <v>5200</v>
      </c>
      <c r="M762" s="5">
        <f t="shared" si="5"/>
        <v>1819.9999999999998</v>
      </c>
      <c r="N762" s="6">
        <v>0.35</v>
      </c>
    </row>
    <row r="763" spans="1:14" ht="15.75" customHeight="1" x14ac:dyDescent="0.45">
      <c r="A763" s="1" t="s">
        <v>119</v>
      </c>
      <c r="B763" s="1">
        <v>1185732</v>
      </c>
      <c r="C763" s="2">
        <v>44750</v>
      </c>
      <c r="D763" s="1" t="s">
        <v>38</v>
      </c>
      <c r="E763" s="1" t="s">
        <v>39</v>
      </c>
      <c r="F763" s="1" t="s">
        <v>40</v>
      </c>
      <c r="G763" s="1" t="s">
        <v>18</v>
      </c>
      <c r="H763" s="1">
        <v>45</v>
      </c>
      <c r="I763" s="1" t="s">
        <v>123</v>
      </c>
      <c r="J763" s="3">
        <v>0.70000000000000007</v>
      </c>
      <c r="K763" s="4">
        <v>9750</v>
      </c>
      <c r="L763" s="5">
        <f t="shared" si="4"/>
        <v>6825.0000000000009</v>
      </c>
      <c r="M763" s="5">
        <f t="shared" si="5"/>
        <v>3412.5000000000005</v>
      </c>
      <c r="N763" s="6">
        <v>0.5</v>
      </c>
    </row>
    <row r="764" spans="1:14" ht="15.75" customHeight="1" x14ac:dyDescent="0.45">
      <c r="A764" s="1" t="s">
        <v>119</v>
      </c>
      <c r="B764" s="1">
        <v>1185732</v>
      </c>
      <c r="C764" s="2">
        <v>44782</v>
      </c>
      <c r="D764" s="1" t="s">
        <v>38</v>
      </c>
      <c r="E764" s="1" t="s">
        <v>39</v>
      </c>
      <c r="F764" s="1" t="s">
        <v>40</v>
      </c>
      <c r="G764" s="1" t="s">
        <v>13</v>
      </c>
      <c r="H764" s="1">
        <v>46</v>
      </c>
      <c r="I764" s="1" t="s">
        <v>126</v>
      </c>
      <c r="J764" s="3">
        <v>0.65</v>
      </c>
      <c r="K764" s="4">
        <v>11250</v>
      </c>
      <c r="L764" s="5">
        <f t="shared" si="4"/>
        <v>7312.5</v>
      </c>
      <c r="M764" s="5">
        <f t="shared" si="5"/>
        <v>3290.625</v>
      </c>
      <c r="N764" s="6">
        <v>0.45</v>
      </c>
    </row>
    <row r="765" spans="1:14" ht="15.75" customHeight="1" x14ac:dyDescent="0.45">
      <c r="A765" s="1" t="s">
        <v>119</v>
      </c>
      <c r="B765" s="1">
        <v>1185732</v>
      </c>
      <c r="C765" s="2">
        <v>44782</v>
      </c>
      <c r="D765" s="1" t="s">
        <v>38</v>
      </c>
      <c r="E765" s="1" t="s">
        <v>39</v>
      </c>
      <c r="F765" s="1" t="s">
        <v>40</v>
      </c>
      <c r="G765" s="1" t="s">
        <v>14</v>
      </c>
      <c r="H765" s="1">
        <v>47</v>
      </c>
      <c r="I765" s="1" t="s">
        <v>126</v>
      </c>
      <c r="J765" s="3">
        <v>0.60000000000000009</v>
      </c>
      <c r="K765" s="4">
        <v>9000</v>
      </c>
      <c r="L765" s="5">
        <f t="shared" si="4"/>
        <v>5400.0000000000009</v>
      </c>
      <c r="M765" s="5">
        <f t="shared" si="5"/>
        <v>1890.0000000000002</v>
      </c>
      <c r="N765" s="6">
        <v>0.35</v>
      </c>
    </row>
    <row r="766" spans="1:14" ht="15.75" customHeight="1" x14ac:dyDescent="0.45">
      <c r="A766" s="1" t="s">
        <v>119</v>
      </c>
      <c r="B766" s="1">
        <v>1185732</v>
      </c>
      <c r="C766" s="2">
        <v>44782</v>
      </c>
      <c r="D766" s="1" t="s">
        <v>38</v>
      </c>
      <c r="E766" s="1" t="s">
        <v>39</v>
      </c>
      <c r="F766" s="1" t="s">
        <v>40</v>
      </c>
      <c r="G766" s="1" t="s">
        <v>15</v>
      </c>
      <c r="H766" s="1">
        <v>23</v>
      </c>
      <c r="I766" s="1" t="s">
        <v>126</v>
      </c>
      <c r="J766" s="3">
        <v>0.55000000000000004</v>
      </c>
      <c r="K766" s="4">
        <v>8250</v>
      </c>
      <c r="L766" s="5">
        <f t="shared" si="4"/>
        <v>4537.5</v>
      </c>
      <c r="M766" s="5">
        <f t="shared" si="5"/>
        <v>1134.375</v>
      </c>
      <c r="N766" s="6">
        <v>0.25</v>
      </c>
    </row>
    <row r="767" spans="1:14" ht="15.75" customHeight="1" x14ac:dyDescent="0.45">
      <c r="A767" s="1" t="s">
        <v>119</v>
      </c>
      <c r="B767" s="1">
        <v>1185732</v>
      </c>
      <c r="C767" s="2">
        <v>44782</v>
      </c>
      <c r="D767" s="1" t="s">
        <v>38</v>
      </c>
      <c r="E767" s="1" t="s">
        <v>39</v>
      </c>
      <c r="F767" s="1" t="s">
        <v>40</v>
      </c>
      <c r="G767" s="1" t="s">
        <v>16</v>
      </c>
      <c r="H767" s="1">
        <v>40</v>
      </c>
      <c r="I767" s="1" t="s">
        <v>125</v>
      </c>
      <c r="J767" s="3">
        <v>0.45</v>
      </c>
      <c r="K767" s="4">
        <v>7750</v>
      </c>
      <c r="L767" s="5">
        <f t="shared" ref="L767:L1021" si="6">J767*K767</f>
        <v>3487.5</v>
      </c>
      <c r="M767" s="5">
        <f t="shared" ref="M767:M1021" si="7">L767*N767</f>
        <v>1046.25</v>
      </c>
      <c r="N767" s="6">
        <v>0.3</v>
      </c>
    </row>
    <row r="768" spans="1:14" ht="15.75" customHeight="1" x14ac:dyDescent="0.45">
      <c r="A768" s="1" t="s">
        <v>119</v>
      </c>
      <c r="B768" s="1">
        <v>1185732</v>
      </c>
      <c r="C768" s="2">
        <v>44782</v>
      </c>
      <c r="D768" s="1" t="s">
        <v>38</v>
      </c>
      <c r="E768" s="1" t="s">
        <v>39</v>
      </c>
      <c r="F768" s="1" t="s">
        <v>40</v>
      </c>
      <c r="G768" s="1" t="s">
        <v>17</v>
      </c>
      <c r="H768" s="1">
        <v>55</v>
      </c>
      <c r="I768" s="1" t="s">
        <v>123</v>
      </c>
      <c r="J768" s="3">
        <v>0.55000000000000004</v>
      </c>
      <c r="K768" s="4">
        <v>7500</v>
      </c>
      <c r="L768" s="5">
        <f t="shared" si="6"/>
        <v>4125</v>
      </c>
      <c r="M768" s="5">
        <f t="shared" si="7"/>
        <v>1443.75</v>
      </c>
      <c r="N768" s="6">
        <v>0.35</v>
      </c>
    </row>
    <row r="769" spans="1:14" ht="15.75" customHeight="1" x14ac:dyDescent="0.45">
      <c r="A769" s="1" t="s">
        <v>119</v>
      </c>
      <c r="B769" s="1">
        <v>1185732</v>
      </c>
      <c r="C769" s="2">
        <v>44782</v>
      </c>
      <c r="D769" s="1" t="s">
        <v>38</v>
      </c>
      <c r="E769" s="1" t="s">
        <v>39</v>
      </c>
      <c r="F769" s="1" t="s">
        <v>40</v>
      </c>
      <c r="G769" s="1" t="s">
        <v>18</v>
      </c>
      <c r="H769" s="1">
        <v>49</v>
      </c>
      <c r="I769" s="1" t="s">
        <v>126</v>
      </c>
      <c r="J769" s="3">
        <v>0.60000000000000009</v>
      </c>
      <c r="K769" s="4">
        <v>9250</v>
      </c>
      <c r="L769" s="5">
        <f t="shared" si="6"/>
        <v>5550.0000000000009</v>
      </c>
      <c r="M769" s="5">
        <f t="shared" si="7"/>
        <v>2775.0000000000005</v>
      </c>
      <c r="N769" s="6">
        <v>0.5</v>
      </c>
    </row>
    <row r="770" spans="1:14" ht="15.75" customHeight="1" x14ac:dyDescent="0.45">
      <c r="A770" s="1" t="s">
        <v>119</v>
      </c>
      <c r="B770" s="1">
        <v>1185732</v>
      </c>
      <c r="C770" s="2">
        <v>44812</v>
      </c>
      <c r="D770" s="1" t="s">
        <v>38</v>
      </c>
      <c r="E770" s="1" t="s">
        <v>39</v>
      </c>
      <c r="F770" s="1" t="s">
        <v>40</v>
      </c>
      <c r="G770" s="1" t="s">
        <v>13</v>
      </c>
      <c r="H770" s="1">
        <v>35</v>
      </c>
      <c r="I770" s="1" t="s">
        <v>123</v>
      </c>
      <c r="J770" s="3">
        <v>0.55000000000000004</v>
      </c>
      <c r="K770" s="4">
        <v>10500</v>
      </c>
      <c r="L770" s="5">
        <f t="shared" si="6"/>
        <v>5775.0000000000009</v>
      </c>
      <c r="M770" s="5">
        <f t="shared" si="7"/>
        <v>2598.7500000000005</v>
      </c>
      <c r="N770" s="6">
        <v>0.45</v>
      </c>
    </row>
    <row r="771" spans="1:14" ht="15.75" customHeight="1" x14ac:dyDescent="0.45">
      <c r="A771" s="1" t="s">
        <v>119</v>
      </c>
      <c r="B771" s="1">
        <v>1185732</v>
      </c>
      <c r="C771" s="2">
        <v>44812</v>
      </c>
      <c r="D771" s="1" t="s">
        <v>38</v>
      </c>
      <c r="E771" s="1" t="s">
        <v>39</v>
      </c>
      <c r="F771" s="1" t="s">
        <v>40</v>
      </c>
      <c r="G771" s="1" t="s">
        <v>14</v>
      </c>
      <c r="H771" s="1">
        <v>48</v>
      </c>
      <c r="I771" s="1" t="s">
        <v>125</v>
      </c>
      <c r="J771" s="3">
        <v>0.50000000000000011</v>
      </c>
      <c r="K771" s="4">
        <v>8500</v>
      </c>
      <c r="L771" s="5">
        <f t="shared" si="6"/>
        <v>4250.0000000000009</v>
      </c>
      <c r="M771" s="5">
        <f t="shared" si="7"/>
        <v>1487.5000000000002</v>
      </c>
      <c r="N771" s="6">
        <v>0.35</v>
      </c>
    </row>
    <row r="772" spans="1:14" ht="15.75" customHeight="1" x14ac:dyDescent="0.45">
      <c r="A772" s="1" t="s">
        <v>119</v>
      </c>
      <c r="B772" s="1">
        <v>1185732</v>
      </c>
      <c r="C772" s="2">
        <v>44812</v>
      </c>
      <c r="D772" s="1" t="s">
        <v>38</v>
      </c>
      <c r="E772" s="1" t="s">
        <v>39</v>
      </c>
      <c r="F772" s="1" t="s">
        <v>40</v>
      </c>
      <c r="G772" s="1" t="s">
        <v>15</v>
      </c>
      <c r="H772" s="1">
        <v>45</v>
      </c>
      <c r="I772" s="1" t="s">
        <v>124</v>
      </c>
      <c r="J772" s="3">
        <v>0.45</v>
      </c>
      <c r="K772" s="4">
        <v>7500</v>
      </c>
      <c r="L772" s="5">
        <f t="shared" si="6"/>
        <v>3375</v>
      </c>
      <c r="M772" s="5">
        <f t="shared" si="7"/>
        <v>843.75</v>
      </c>
      <c r="N772" s="6">
        <v>0.25</v>
      </c>
    </row>
    <row r="773" spans="1:14" ht="15.75" customHeight="1" x14ac:dyDescent="0.45">
      <c r="A773" s="1" t="s">
        <v>119</v>
      </c>
      <c r="B773" s="1">
        <v>1185732</v>
      </c>
      <c r="C773" s="2">
        <v>44812</v>
      </c>
      <c r="D773" s="1" t="s">
        <v>38</v>
      </c>
      <c r="E773" s="1" t="s">
        <v>39</v>
      </c>
      <c r="F773" s="1" t="s">
        <v>40</v>
      </c>
      <c r="G773" s="1" t="s">
        <v>16</v>
      </c>
      <c r="H773" s="1">
        <v>40</v>
      </c>
      <c r="I773" s="1" t="s">
        <v>125</v>
      </c>
      <c r="J773" s="3">
        <v>0.45</v>
      </c>
      <c r="K773" s="4">
        <v>7250</v>
      </c>
      <c r="L773" s="5">
        <f t="shared" si="6"/>
        <v>3262.5</v>
      </c>
      <c r="M773" s="5">
        <f t="shared" si="7"/>
        <v>978.75</v>
      </c>
      <c r="N773" s="6">
        <v>0.3</v>
      </c>
    </row>
    <row r="774" spans="1:14" ht="15.75" customHeight="1" x14ac:dyDescent="0.45">
      <c r="A774" s="1" t="s">
        <v>119</v>
      </c>
      <c r="B774" s="1">
        <v>1185732</v>
      </c>
      <c r="C774" s="2">
        <v>44812</v>
      </c>
      <c r="D774" s="1" t="s">
        <v>38</v>
      </c>
      <c r="E774" s="1" t="s">
        <v>39</v>
      </c>
      <c r="F774" s="1" t="s">
        <v>40</v>
      </c>
      <c r="G774" s="1" t="s">
        <v>17</v>
      </c>
      <c r="H774" s="1">
        <v>55</v>
      </c>
      <c r="I774" s="1" t="s">
        <v>123</v>
      </c>
      <c r="J774" s="3">
        <v>0.55000000000000004</v>
      </c>
      <c r="K774" s="4">
        <v>7250</v>
      </c>
      <c r="L774" s="5">
        <f t="shared" si="6"/>
        <v>3987.5000000000005</v>
      </c>
      <c r="M774" s="5">
        <f t="shared" si="7"/>
        <v>1395.625</v>
      </c>
      <c r="N774" s="6">
        <v>0.35</v>
      </c>
    </row>
    <row r="775" spans="1:14" ht="15.75" customHeight="1" x14ac:dyDescent="0.45">
      <c r="A775" s="1" t="s">
        <v>119</v>
      </c>
      <c r="B775" s="1">
        <v>1185732</v>
      </c>
      <c r="C775" s="2">
        <v>44812</v>
      </c>
      <c r="D775" s="1" t="s">
        <v>38</v>
      </c>
      <c r="E775" s="1" t="s">
        <v>39</v>
      </c>
      <c r="F775" s="1" t="s">
        <v>40</v>
      </c>
      <c r="G775" s="1" t="s">
        <v>18</v>
      </c>
      <c r="H775" s="1">
        <v>17</v>
      </c>
      <c r="I775" s="1" t="s">
        <v>124</v>
      </c>
      <c r="J775" s="3">
        <v>0.60000000000000009</v>
      </c>
      <c r="K775" s="4">
        <v>8250</v>
      </c>
      <c r="L775" s="5">
        <f t="shared" si="6"/>
        <v>4950.0000000000009</v>
      </c>
      <c r="M775" s="5">
        <f t="shared" si="7"/>
        <v>2475.0000000000005</v>
      </c>
      <c r="N775" s="6">
        <v>0.5</v>
      </c>
    </row>
    <row r="776" spans="1:14" ht="15.75" customHeight="1" x14ac:dyDescent="0.45">
      <c r="A776" s="1" t="s">
        <v>119</v>
      </c>
      <c r="B776" s="1">
        <v>1185732</v>
      </c>
      <c r="C776" s="2">
        <v>44844</v>
      </c>
      <c r="D776" s="1" t="s">
        <v>38</v>
      </c>
      <c r="E776" s="1" t="s">
        <v>39</v>
      </c>
      <c r="F776" s="1" t="s">
        <v>40</v>
      </c>
      <c r="G776" s="1" t="s">
        <v>13</v>
      </c>
      <c r="H776" s="1">
        <v>54</v>
      </c>
      <c r="I776" s="1" t="s">
        <v>124</v>
      </c>
      <c r="J776" s="3">
        <v>0.60000000000000009</v>
      </c>
      <c r="K776" s="4">
        <v>10000</v>
      </c>
      <c r="L776" s="5">
        <f t="shared" si="6"/>
        <v>6000.0000000000009</v>
      </c>
      <c r="M776" s="5">
        <f t="shared" si="7"/>
        <v>2700.0000000000005</v>
      </c>
      <c r="N776" s="6">
        <v>0.45</v>
      </c>
    </row>
    <row r="777" spans="1:14" ht="15.75" customHeight="1" x14ac:dyDescent="0.45">
      <c r="A777" s="1" t="s">
        <v>119</v>
      </c>
      <c r="B777" s="1">
        <v>1185732</v>
      </c>
      <c r="C777" s="2">
        <v>44844</v>
      </c>
      <c r="D777" s="1" t="s">
        <v>38</v>
      </c>
      <c r="E777" s="1" t="s">
        <v>39</v>
      </c>
      <c r="F777" s="1" t="s">
        <v>40</v>
      </c>
      <c r="G777" s="1" t="s">
        <v>14</v>
      </c>
      <c r="H777" s="1">
        <v>58</v>
      </c>
      <c r="I777" s="1" t="s">
        <v>125</v>
      </c>
      <c r="J777" s="3">
        <v>0.50000000000000011</v>
      </c>
      <c r="K777" s="4">
        <v>8250</v>
      </c>
      <c r="L777" s="5">
        <f t="shared" si="6"/>
        <v>4125.0000000000009</v>
      </c>
      <c r="M777" s="5">
        <f t="shared" si="7"/>
        <v>1443.7500000000002</v>
      </c>
      <c r="N777" s="6">
        <v>0.35</v>
      </c>
    </row>
    <row r="778" spans="1:14" ht="15.75" customHeight="1" x14ac:dyDescent="0.45">
      <c r="A778" s="1" t="s">
        <v>119</v>
      </c>
      <c r="B778" s="1">
        <v>1185732</v>
      </c>
      <c r="C778" s="2">
        <v>44844</v>
      </c>
      <c r="D778" s="1" t="s">
        <v>38</v>
      </c>
      <c r="E778" s="1" t="s">
        <v>39</v>
      </c>
      <c r="F778" s="1" t="s">
        <v>40</v>
      </c>
      <c r="G778" s="1" t="s">
        <v>15</v>
      </c>
      <c r="H778" s="1">
        <v>51</v>
      </c>
      <c r="I778" s="1" t="s">
        <v>124</v>
      </c>
      <c r="J778" s="3">
        <v>0.50000000000000011</v>
      </c>
      <c r="K778" s="4">
        <v>7250</v>
      </c>
      <c r="L778" s="5">
        <f t="shared" si="6"/>
        <v>3625.0000000000009</v>
      </c>
      <c r="M778" s="5">
        <f t="shared" si="7"/>
        <v>906.25000000000023</v>
      </c>
      <c r="N778" s="6">
        <v>0.25</v>
      </c>
    </row>
    <row r="779" spans="1:14" ht="15.75" customHeight="1" x14ac:dyDescent="0.45">
      <c r="A779" s="1" t="s">
        <v>119</v>
      </c>
      <c r="B779" s="1">
        <v>1185732</v>
      </c>
      <c r="C779" s="2">
        <v>44844</v>
      </c>
      <c r="D779" s="1" t="s">
        <v>38</v>
      </c>
      <c r="E779" s="1" t="s">
        <v>39</v>
      </c>
      <c r="F779" s="1" t="s">
        <v>40</v>
      </c>
      <c r="G779" s="1" t="s">
        <v>16</v>
      </c>
      <c r="H779" s="1">
        <v>29</v>
      </c>
      <c r="I779" s="1" t="s">
        <v>123</v>
      </c>
      <c r="J779" s="3">
        <v>0.50000000000000011</v>
      </c>
      <c r="K779" s="4">
        <v>7000</v>
      </c>
      <c r="L779" s="5">
        <f t="shared" si="6"/>
        <v>3500.0000000000009</v>
      </c>
      <c r="M779" s="5">
        <f t="shared" si="7"/>
        <v>1050.0000000000002</v>
      </c>
      <c r="N779" s="6">
        <v>0.3</v>
      </c>
    </row>
    <row r="780" spans="1:14" ht="15.75" customHeight="1" x14ac:dyDescent="0.45">
      <c r="A780" s="1" t="s">
        <v>119</v>
      </c>
      <c r="B780" s="1">
        <v>1185732</v>
      </c>
      <c r="C780" s="2">
        <v>44844</v>
      </c>
      <c r="D780" s="1" t="s">
        <v>38</v>
      </c>
      <c r="E780" s="1" t="s">
        <v>39</v>
      </c>
      <c r="F780" s="1" t="s">
        <v>40</v>
      </c>
      <c r="G780" s="1" t="s">
        <v>17</v>
      </c>
      <c r="H780" s="1">
        <v>56</v>
      </c>
      <c r="I780" s="1" t="s">
        <v>124</v>
      </c>
      <c r="J780" s="3">
        <v>0.60000000000000009</v>
      </c>
      <c r="K780" s="4">
        <v>7000</v>
      </c>
      <c r="L780" s="5">
        <f t="shared" si="6"/>
        <v>4200.0000000000009</v>
      </c>
      <c r="M780" s="5">
        <f t="shared" si="7"/>
        <v>1470.0000000000002</v>
      </c>
      <c r="N780" s="6">
        <v>0.35</v>
      </c>
    </row>
    <row r="781" spans="1:14" ht="15.75" customHeight="1" x14ac:dyDescent="0.45">
      <c r="A781" s="1" t="s">
        <v>119</v>
      </c>
      <c r="B781" s="1">
        <v>1185732</v>
      </c>
      <c r="C781" s="2">
        <v>44844</v>
      </c>
      <c r="D781" s="1" t="s">
        <v>38</v>
      </c>
      <c r="E781" s="1" t="s">
        <v>39</v>
      </c>
      <c r="F781" s="1" t="s">
        <v>40</v>
      </c>
      <c r="G781" s="1" t="s">
        <v>18</v>
      </c>
      <c r="H781" s="1">
        <v>28</v>
      </c>
      <c r="I781" s="1" t="s">
        <v>124</v>
      </c>
      <c r="J781" s="3">
        <v>0.65</v>
      </c>
      <c r="K781" s="4">
        <v>8250</v>
      </c>
      <c r="L781" s="5">
        <f t="shared" si="6"/>
        <v>5362.5</v>
      </c>
      <c r="M781" s="5">
        <f t="shared" si="7"/>
        <v>2681.25</v>
      </c>
      <c r="N781" s="6">
        <v>0.5</v>
      </c>
    </row>
    <row r="782" spans="1:14" ht="15.75" customHeight="1" x14ac:dyDescent="0.45">
      <c r="A782" s="1" t="s">
        <v>119</v>
      </c>
      <c r="B782" s="1">
        <v>1185732</v>
      </c>
      <c r="C782" s="2">
        <v>44874</v>
      </c>
      <c r="D782" s="1" t="s">
        <v>38</v>
      </c>
      <c r="E782" s="1" t="s">
        <v>39</v>
      </c>
      <c r="F782" s="1" t="s">
        <v>40</v>
      </c>
      <c r="G782" s="1" t="s">
        <v>13</v>
      </c>
      <c r="H782" s="1">
        <v>41</v>
      </c>
      <c r="I782" s="1" t="s">
        <v>126</v>
      </c>
      <c r="J782" s="3">
        <v>0.60000000000000009</v>
      </c>
      <c r="K782" s="4">
        <v>9750</v>
      </c>
      <c r="L782" s="5">
        <f t="shared" si="6"/>
        <v>5850.0000000000009</v>
      </c>
      <c r="M782" s="5">
        <f t="shared" si="7"/>
        <v>2632.5000000000005</v>
      </c>
      <c r="N782" s="6">
        <v>0.45</v>
      </c>
    </row>
    <row r="783" spans="1:14" ht="15.75" customHeight="1" x14ac:dyDescent="0.45">
      <c r="A783" s="1" t="s">
        <v>119</v>
      </c>
      <c r="B783" s="1">
        <v>1185732</v>
      </c>
      <c r="C783" s="2">
        <v>44874</v>
      </c>
      <c r="D783" s="1" t="s">
        <v>38</v>
      </c>
      <c r="E783" s="1" t="s">
        <v>39</v>
      </c>
      <c r="F783" s="1" t="s">
        <v>40</v>
      </c>
      <c r="G783" s="1" t="s">
        <v>14</v>
      </c>
      <c r="H783" s="1">
        <v>44</v>
      </c>
      <c r="I783" s="1" t="s">
        <v>123</v>
      </c>
      <c r="J783" s="3">
        <v>0.50000000000000011</v>
      </c>
      <c r="K783" s="4">
        <v>8000</v>
      </c>
      <c r="L783" s="5">
        <f t="shared" si="6"/>
        <v>4000.0000000000009</v>
      </c>
      <c r="M783" s="5">
        <f t="shared" si="7"/>
        <v>1400.0000000000002</v>
      </c>
      <c r="N783" s="6">
        <v>0.35</v>
      </c>
    </row>
    <row r="784" spans="1:14" ht="15.75" customHeight="1" x14ac:dyDescent="0.45">
      <c r="A784" s="1" t="s">
        <v>119</v>
      </c>
      <c r="B784" s="1">
        <v>1185732</v>
      </c>
      <c r="C784" s="2">
        <v>44874</v>
      </c>
      <c r="D784" s="1" t="s">
        <v>38</v>
      </c>
      <c r="E784" s="1" t="s">
        <v>39</v>
      </c>
      <c r="F784" s="1" t="s">
        <v>40</v>
      </c>
      <c r="G784" s="1" t="s">
        <v>15</v>
      </c>
      <c r="H784" s="1">
        <v>53</v>
      </c>
      <c r="I784" s="1" t="s">
        <v>123</v>
      </c>
      <c r="J784" s="3">
        <v>0.50000000000000011</v>
      </c>
      <c r="K784" s="4">
        <v>7450</v>
      </c>
      <c r="L784" s="5">
        <f t="shared" si="6"/>
        <v>3725.0000000000009</v>
      </c>
      <c r="M784" s="5">
        <f t="shared" si="7"/>
        <v>931.25000000000023</v>
      </c>
      <c r="N784" s="6">
        <v>0.25</v>
      </c>
    </row>
    <row r="785" spans="1:14" ht="15.75" customHeight="1" x14ac:dyDescent="0.45">
      <c r="A785" s="1" t="s">
        <v>119</v>
      </c>
      <c r="B785" s="1">
        <v>1185732</v>
      </c>
      <c r="C785" s="2">
        <v>44874</v>
      </c>
      <c r="D785" s="1" t="s">
        <v>38</v>
      </c>
      <c r="E785" s="1" t="s">
        <v>39</v>
      </c>
      <c r="F785" s="1" t="s">
        <v>40</v>
      </c>
      <c r="G785" s="1" t="s">
        <v>16</v>
      </c>
      <c r="H785" s="1">
        <v>36</v>
      </c>
      <c r="I785" s="1" t="s">
        <v>123</v>
      </c>
      <c r="J785" s="3">
        <v>0.50000000000000011</v>
      </c>
      <c r="K785" s="4">
        <v>7750</v>
      </c>
      <c r="L785" s="5">
        <f t="shared" si="6"/>
        <v>3875.0000000000009</v>
      </c>
      <c r="M785" s="5">
        <f t="shared" si="7"/>
        <v>1162.5000000000002</v>
      </c>
      <c r="N785" s="6">
        <v>0.3</v>
      </c>
    </row>
    <row r="786" spans="1:14" ht="15.75" customHeight="1" x14ac:dyDescent="0.45">
      <c r="A786" s="1" t="s">
        <v>119</v>
      </c>
      <c r="B786" s="1">
        <v>1185732</v>
      </c>
      <c r="C786" s="2">
        <v>44874</v>
      </c>
      <c r="D786" s="1" t="s">
        <v>38</v>
      </c>
      <c r="E786" s="1" t="s">
        <v>39</v>
      </c>
      <c r="F786" s="1" t="s">
        <v>40</v>
      </c>
      <c r="G786" s="1" t="s">
        <v>17</v>
      </c>
      <c r="H786" s="1">
        <v>35</v>
      </c>
      <c r="I786" s="1" t="s">
        <v>124</v>
      </c>
      <c r="J786" s="3">
        <v>0.65</v>
      </c>
      <c r="K786" s="4">
        <v>7500</v>
      </c>
      <c r="L786" s="5">
        <f t="shared" si="6"/>
        <v>4875</v>
      </c>
      <c r="M786" s="5">
        <f t="shared" si="7"/>
        <v>1706.25</v>
      </c>
      <c r="N786" s="6">
        <v>0.35</v>
      </c>
    </row>
    <row r="787" spans="1:14" ht="15.75" customHeight="1" x14ac:dyDescent="0.45">
      <c r="A787" s="1" t="s">
        <v>119</v>
      </c>
      <c r="B787" s="1">
        <v>1185732</v>
      </c>
      <c r="C787" s="2">
        <v>44874</v>
      </c>
      <c r="D787" s="1" t="s">
        <v>38</v>
      </c>
      <c r="E787" s="1" t="s">
        <v>39</v>
      </c>
      <c r="F787" s="1" t="s">
        <v>40</v>
      </c>
      <c r="G787" s="1" t="s">
        <v>18</v>
      </c>
      <c r="H787" s="1">
        <v>45</v>
      </c>
      <c r="I787" s="1" t="s">
        <v>124</v>
      </c>
      <c r="J787" s="3">
        <v>0.7</v>
      </c>
      <c r="K787" s="4">
        <v>8500</v>
      </c>
      <c r="L787" s="5">
        <f t="shared" si="6"/>
        <v>5950</v>
      </c>
      <c r="M787" s="5">
        <f t="shared" si="7"/>
        <v>2975</v>
      </c>
      <c r="N787" s="6">
        <v>0.5</v>
      </c>
    </row>
    <row r="788" spans="1:14" ht="15.75" customHeight="1" x14ac:dyDescent="0.45">
      <c r="A788" s="1" t="s">
        <v>119</v>
      </c>
      <c r="B788" s="1">
        <v>1185732</v>
      </c>
      <c r="C788" s="2">
        <v>44903</v>
      </c>
      <c r="D788" s="1" t="s">
        <v>38</v>
      </c>
      <c r="E788" s="1" t="s">
        <v>39</v>
      </c>
      <c r="F788" s="1" t="s">
        <v>40</v>
      </c>
      <c r="G788" s="1" t="s">
        <v>13</v>
      </c>
      <c r="H788" s="1">
        <v>20</v>
      </c>
      <c r="I788" s="1" t="s">
        <v>124</v>
      </c>
      <c r="J788" s="3">
        <v>0.65</v>
      </c>
      <c r="K788" s="4">
        <v>10750</v>
      </c>
      <c r="L788" s="5">
        <f t="shared" si="6"/>
        <v>6987.5</v>
      </c>
      <c r="M788" s="5">
        <f t="shared" si="7"/>
        <v>3144.375</v>
      </c>
      <c r="N788" s="6">
        <v>0.45</v>
      </c>
    </row>
    <row r="789" spans="1:14" ht="15.75" customHeight="1" x14ac:dyDescent="0.45">
      <c r="A789" s="1" t="s">
        <v>119</v>
      </c>
      <c r="B789" s="1">
        <v>1185732</v>
      </c>
      <c r="C789" s="2">
        <v>44903</v>
      </c>
      <c r="D789" s="1" t="s">
        <v>38</v>
      </c>
      <c r="E789" s="1" t="s">
        <v>39</v>
      </c>
      <c r="F789" s="1" t="s">
        <v>40</v>
      </c>
      <c r="G789" s="1" t="s">
        <v>14</v>
      </c>
      <c r="H789" s="1">
        <v>28</v>
      </c>
      <c r="I789" s="1" t="s">
        <v>125</v>
      </c>
      <c r="J789" s="3">
        <v>0.55000000000000004</v>
      </c>
      <c r="K789" s="4">
        <v>8750</v>
      </c>
      <c r="L789" s="5">
        <f t="shared" si="6"/>
        <v>4812.5</v>
      </c>
      <c r="M789" s="5">
        <f t="shared" si="7"/>
        <v>1684.375</v>
      </c>
      <c r="N789" s="6">
        <v>0.35</v>
      </c>
    </row>
    <row r="790" spans="1:14" ht="15.75" customHeight="1" x14ac:dyDescent="0.45">
      <c r="A790" s="1" t="s">
        <v>119</v>
      </c>
      <c r="B790" s="1">
        <v>1185732</v>
      </c>
      <c r="C790" s="2">
        <v>44903</v>
      </c>
      <c r="D790" s="1" t="s">
        <v>38</v>
      </c>
      <c r="E790" s="1" t="s">
        <v>39</v>
      </c>
      <c r="F790" s="1" t="s">
        <v>40</v>
      </c>
      <c r="G790" s="1" t="s">
        <v>15</v>
      </c>
      <c r="H790" s="1">
        <v>26</v>
      </c>
      <c r="I790" s="1" t="s">
        <v>126</v>
      </c>
      <c r="J790" s="3">
        <v>0.55000000000000004</v>
      </c>
      <c r="K790" s="4">
        <v>8250</v>
      </c>
      <c r="L790" s="5">
        <f t="shared" si="6"/>
        <v>4537.5</v>
      </c>
      <c r="M790" s="5">
        <f t="shared" si="7"/>
        <v>1134.375</v>
      </c>
      <c r="N790" s="6">
        <v>0.25</v>
      </c>
    </row>
    <row r="791" spans="1:14" ht="15.75" customHeight="1" x14ac:dyDescent="0.45">
      <c r="A791" s="1" t="s">
        <v>119</v>
      </c>
      <c r="B791" s="1">
        <v>1185732</v>
      </c>
      <c r="C791" s="2">
        <v>44903</v>
      </c>
      <c r="D791" s="1" t="s">
        <v>38</v>
      </c>
      <c r="E791" s="1" t="s">
        <v>39</v>
      </c>
      <c r="F791" s="1" t="s">
        <v>40</v>
      </c>
      <c r="G791" s="1" t="s">
        <v>16</v>
      </c>
      <c r="H791" s="1">
        <v>34</v>
      </c>
      <c r="I791" s="1" t="s">
        <v>125</v>
      </c>
      <c r="J791" s="3">
        <v>0.55000000000000004</v>
      </c>
      <c r="K791" s="4">
        <v>7750</v>
      </c>
      <c r="L791" s="5">
        <f t="shared" si="6"/>
        <v>4262.5</v>
      </c>
      <c r="M791" s="5">
        <f t="shared" si="7"/>
        <v>1278.75</v>
      </c>
      <c r="N791" s="6">
        <v>0.3</v>
      </c>
    </row>
    <row r="792" spans="1:14" ht="15.75" customHeight="1" x14ac:dyDescent="0.45">
      <c r="A792" s="1" t="s">
        <v>119</v>
      </c>
      <c r="B792" s="1">
        <v>1185732</v>
      </c>
      <c r="C792" s="2">
        <v>44903</v>
      </c>
      <c r="D792" s="1" t="s">
        <v>38</v>
      </c>
      <c r="E792" s="1" t="s">
        <v>39</v>
      </c>
      <c r="F792" s="1" t="s">
        <v>40</v>
      </c>
      <c r="G792" s="1" t="s">
        <v>17</v>
      </c>
      <c r="H792" s="1">
        <v>52</v>
      </c>
      <c r="I792" s="1" t="s">
        <v>124</v>
      </c>
      <c r="J792" s="3">
        <v>0.65</v>
      </c>
      <c r="K792" s="4">
        <v>7750</v>
      </c>
      <c r="L792" s="5">
        <f t="shared" si="6"/>
        <v>5037.5</v>
      </c>
      <c r="M792" s="5">
        <f t="shared" si="7"/>
        <v>1763.125</v>
      </c>
      <c r="N792" s="6">
        <v>0.35</v>
      </c>
    </row>
    <row r="793" spans="1:14" ht="15.75" customHeight="1" x14ac:dyDescent="0.45">
      <c r="A793" s="1" t="s">
        <v>119</v>
      </c>
      <c r="B793" s="1">
        <v>1185732</v>
      </c>
      <c r="C793" s="2">
        <v>44903</v>
      </c>
      <c r="D793" s="1" t="s">
        <v>38</v>
      </c>
      <c r="E793" s="1" t="s">
        <v>39</v>
      </c>
      <c r="F793" s="1" t="s">
        <v>40</v>
      </c>
      <c r="G793" s="1" t="s">
        <v>18</v>
      </c>
      <c r="H793" s="1">
        <v>58</v>
      </c>
      <c r="I793" s="1" t="s">
        <v>124</v>
      </c>
      <c r="J793" s="3">
        <v>0.7</v>
      </c>
      <c r="K793" s="4">
        <v>8750</v>
      </c>
      <c r="L793" s="5">
        <f t="shared" si="6"/>
        <v>6125</v>
      </c>
      <c r="M793" s="5">
        <f t="shared" si="7"/>
        <v>3062.5</v>
      </c>
      <c r="N793" s="6">
        <v>0.5</v>
      </c>
    </row>
    <row r="794" spans="1:14" ht="15.75" customHeight="1" x14ac:dyDescent="0.45">
      <c r="A794" s="1" t="s">
        <v>119</v>
      </c>
      <c r="B794" s="1">
        <v>1185732</v>
      </c>
      <c r="C794" s="2">
        <v>44574</v>
      </c>
      <c r="D794" s="1" t="s">
        <v>26</v>
      </c>
      <c r="E794" s="1" t="s">
        <v>41</v>
      </c>
      <c r="F794" s="1" t="s">
        <v>42</v>
      </c>
      <c r="G794" s="1" t="s">
        <v>13</v>
      </c>
      <c r="H794" s="1">
        <v>46</v>
      </c>
      <c r="I794" s="1" t="s">
        <v>125</v>
      </c>
      <c r="J794" s="3">
        <v>0.35</v>
      </c>
      <c r="K794" s="4">
        <v>4500</v>
      </c>
      <c r="L794" s="5">
        <f t="shared" si="6"/>
        <v>1575</v>
      </c>
      <c r="M794" s="5">
        <f t="shared" si="7"/>
        <v>551.25</v>
      </c>
      <c r="N794" s="6">
        <v>0.35000000000000003</v>
      </c>
    </row>
    <row r="795" spans="1:14" ht="15.75" customHeight="1" x14ac:dyDescent="0.45">
      <c r="A795" s="1" t="s">
        <v>119</v>
      </c>
      <c r="B795" s="1">
        <v>1185732</v>
      </c>
      <c r="C795" s="2">
        <v>44574</v>
      </c>
      <c r="D795" s="1" t="s">
        <v>26</v>
      </c>
      <c r="E795" s="1" t="s">
        <v>41</v>
      </c>
      <c r="F795" s="1" t="s">
        <v>42</v>
      </c>
      <c r="G795" s="1" t="s">
        <v>14</v>
      </c>
      <c r="H795" s="1">
        <v>35</v>
      </c>
      <c r="I795" s="1" t="s">
        <v>126</v>
      </c>
      <c r="J795" s="3">
        <v>0.35</v>
      </c>
      <c r="K795" s="4">
        <v>2500</v>
      </c>
      <c r="L795" s="5">
        <f t="shared" si="6"/>
        <v>875</v>
      </c>
      <c r="M795" s="5">
        <f t="shared" si="7"/>
        <v>262.5</v>
      </c>
      <c r="N795" s="6">
        <v>0.3</v>
      </c>
    </row>
    <row r="796" spans="1:14" ht="15.75" customHeight="1" x14ac:dyDescent="0.45">
      <c r="A796" s="1" t="s">
        <v>119</v>
      </c>
      <c r="B796" s="1">
        <v>1185732</v>
      </c>
      <c r="C796" s="2">
        <v>44574</v>
      </c>
      <c r="D796" s="1" t="s">
        <v>26</v>
      </c>
      <c r="E796" s="1" t="s">
        <v>41</v>
      </c>
      <c r="F796" s="1" t="s">
        <v>42</v>
      </c>
      <c r="G796" s="1" t="s">
        <v>15</v>
      </c>
      <c r="H796" s="1">
        <v>19</v>
      </c>
      <c r="I796" s="1" t="s">
        <v>123</v>
      </c>
      <c r="J796" s="3">
        <v>0.25</v>
      </c>
      <c r="K796" s="4">
        <v>2500</v>
      </c>
      <c r="L796" s="5">
        <f t="shared" si="6"/>
        <v>625</v>
      </c>
      <c r="M796" s="5">
        <f t="shared" si="7"/>
        <v>187.5</v>
      </c>
      <c r="N796" s="6">
        <v>0.3</v>
      </c>
    </row>
    <row r="797" spans="1:14" ht="15.75" customHeight="1" x14ac:dyDescent="0.45">
      <c r="A797" s="1" t="s">
        <v>119</v>
      </c>
      <c r="B797" s="1">
        <v>1185732</v>
      </c>
      <c r="C797" s="2">
        <v>44574</v>
      </c>
      <c r="D797" s="1" t="s">
        <v>26</v>
      </c>
      <c r="E797" s="1" t="s">
        <v>41</v>
      </c>
      <c r="F797" s="1" t="s">
        <v>42</v>
      </c>
      <c r="G797" s="1" t="s">
        <v>16</v>
      </c>
      <c r="H797" s="1">
        <v>35</v>
      </c>
      <c r="I797" s="1" t="s">
        <v>126</v>
      </c>
      <c r="J797" s="3">
        <v>0.30000000000000004</v>
      </c>
      <c r="K797" s="4">
        <v>1000</v>
      </c>
      <c r="L797" s="5">
        <f t="shared" si="6"/>
        <v>300.00000000000006</v>
      </c>
      <c r="M797" s="5">
        <f t="shared" si="7"/>
        <v>105.00000000000003</v>
      </c>
      <c r="N797" s="6">
        <v>0.35000000000000003</v>
      </c>
    </row>
    <row r="798" spans="1:14" ht="15.75" customHeight="1" x14ac:dyDescent="0.45">
      <c r="A798" s="1" t="s">
        <v>119</v>
      </c>
      <c r="B798" s="1">
        <v>1185732</v>
      </c>
      <c r="C798" s="2">
        <v>44574</v>
      </c>
      <c r="D798" s="1" t="s">
        <v>26</v>
      </c>
      <c r="E798" s="1" t="s">
        <v>41</v>
      </c>
      <c r="F798" s="1" t="s">
        <v>42</v>
      </c>
      <c r="G798" s="1" t="s">
        <v>17</v>
      </c>
      <c r="H798" s="1">
        <v>58</v>
      </c>
      <c r="I798" s="1" t="s">
        <v>125</v>
      </c>
      <c r="J798" s="3">
        <v>0.44999999999999996</v>
      </c>
      <c r="K798" s="4">
        <v>1500</v>
      </c>
      <c r="L798" s="5">
        <f t="shared" si="6"/>
        <v>674.99999999999989</v>
      </c>
      <c r="M798" s="5">
        <f t="shared" si="7"/>
        <v>202.49999999999997</v>
      </c>
      <c r="N798" s="6">
        <v>0.3</v>
      </c>
    </row>
    <row r="799" spans="1:14" ht="15.75" customHeight="1" x14ac:dyDescent="0.45">
      <c r="A799" s="1" t="s">
        <v>119</v>
      </c>
      <c r="B799" s="1">
        <v>1185732</v>
      </c>
      <c r="C799" s="2">
        <v>44574</v>
      </c>
      <c r="D799" s="1" t="s">
        <v>26</v>
      </c>
      <c r="E799" s="1" t="s">
        <v>41</v>
      </c>
      <c r="F799" s="1" t="s">
        <v>42</v>
      </c>
      <c r="G799" s="1" t="s">
        <v>18</v>
      </c>
      <c r="H799" s="1">
        <v>42</v>
      </c>
      <c r="I799" s="1" t="s">
        <v>125</v>
      </c>
      <c r="J799" s="3">
        <v>0.35</v>
      </c>
      <c r="K799" s="4">
        <v>2500</v>
      </c>
      <c r="L799" s="5">
        <f t="shared" si="6"/>
        <v>875</v>
      </c>
      <c r="M799" s="5">
        <f t="shared" si="7"/>
        <v>393.75</v>
      </c>
      <c r="N799" s="6">
        <v>0.45</v>
      </c>
    </row>
    <row r="800" spans="1:14" ht="15.75" customHeight="1" x14ac:dyDescent="0.45">
      <c r="A800" s="1" t="s">
        <v>119</v>
      </c>
      <c r="B800" s="1">
        <v>1185732</v>
      </c>
      <c r="C800" s="2">
        <v>44605</v>
      </c>
      <c r="D800" s="1" t="s">
        <v>26</v>
      </c>
      <c r="E800" s="1" t="s">
        <v>41</v>
      </c>
      <c r="F800" s="1" t="s">
        <v>42</v>
      </c>
      <c r="G800" s="1" t="s">
        <v>13</v>
      </c>
      <c r="H800" s="1">
        <v>42</v>
      </c>
      <c r="I800" s="1" t="s">
        <v>126</v>
      </c>
      <c r="J800" s="3">
        <v>0.35</v>
      </c>
      <c r="K800" s="4">
        <v>5000</v>
      </c>
      <c r="L800" s="5">
        <f t="shared" si="6"/>
        <v>1750</v>
      </c>
      <c r="M800" s="5">
        <f t="shared" si="7"/>
        <v>612.50000000000011</v>
      </c>
      <c r="N800" s="6">
        <v>0.35000000000000003</v>
      </c>
    </row>
    <row r="801" spans="1:14" ht="15.75" customHeight="1" x14ac:dyDescent="0.45">
      <c r="A801" s="1" t="s">
        <v>119</v>
      </c>
      <c r="B801" s="1">
        <v>1185732</v>
      </c>
      <c r="C801" s="2">
        <v>44605</v>
      </c>
      <c r="D801" s="1" t="s">
        <v>26</v>
      </c>
      <c r="E801" s="1" t="s">
        <v>41</v>
      </c>
      <c r="F801" s="1" t="s">
        <v>42</v>
      </c>
      <c r="G801" s="1" t="s">
        <v>14</v>
      </c>
      <c r="H801" s="1">
        <v>27</v>
      </c>
      <c r="I801" s="1" t="s">
        <v>126</v>
      </c>
      <c r="J801" s="3">
        <v>0.35</v>
      </c>
      <c r="K801" s="4">
        <v>1500</v>
      </c>
      <c r="L801" s="5">
        <f t="shared" si="6"/>
        <v>525</v>
      </c>
      <c r="M801" s="5">
        <f t="shared" si="7"/>
        <v>157.5</v>
      </c>
      <c r="N801" s="6">
        <v>0.3</v>
      </c>
    </row>
    <row r="802" spans="1:14" ht="15.75" customHeight="1" x14ac:dyDescent="0.45">
      <c r="A802" s="1" t="s">
        <v>119</v>
      </c>
      <c r="B802" s="1">
        <v>1185732</v>
      </c>
      <c r="C802" s="2">
        <v>44605</v>
      </c>
      <c r="D802" s="1" t="s">
        <v>26</v>
      </c>
      <c r="E802" s="1" t="s">
        <v>41</v>
      </c>
      <c r="F802" s="1" t="s">
        <v>42</v>
      </c>
      <c r="G802" s="1" t="s">
        <v>15</v>
      </c>
      <c r="H802" s="1">
        <v>36</v>
      </c>
      <c r="I802" s="1" t="s">
        <v>123</v>
      </c>
      <c r="J802" s="3">
        <v>0.25</v>
      </c>
      <c r="K802" s="4">
        <v>2000</v>
      </c>
      <c r="L802" s="5">
        <f t="shared" si="6"/>
        <v>500</v>
      </c>
      <c r="M802" s="5">
        <f t="shared" si="7"/>
        <v>150</v>
      </c>
      <c r="N802" s="6">
        <v>0.3</v>
      </c>
    </row>
    <row r="803" spans="1:14" ht="15.75" customHeight="1" x14ac:dyDescent="0.45">
      <c r="A803" s="1" t="s">
        <v>119</v>
      </c>
      <c r="B803" s="1">
        <v>1185732</v>
      </c>
      <c r="C803" s="2">
        <v>44605</v>
      </c>
      <c r="D803" s="1" t="s">
        <v>26</v>
      </c>
      <c r="E803" s="1" t="s">
        <v>41</v>
      </c>
      <c r="F803" s="1" t="s">
        <v>42</v>
      </c>
      <c r="G803" s="1" t="s">
        <v>16</v>
      </c>
      <c r="H803" s="1">
        <v>41</v>
      </c>
      <c r="I803" s="1" t="s">
        <v>126</v>
      </c>
      <c r="J803" s="3">
        <v>0.30000000000000004</v>
      </c>
      <c r="K803" s="4">
        <v>750</v>
      </c>
      <c r="L803" s="5">
        <f t="shared" si="6"/>
        <v>225.00000000000003</v>
      </c>
      <c r="M803" s="5">
        <f t="shared" si="7"/>
        <v>78.750000000000014</v>
      </c>
      <c r="N803" s="6">
        <v>0.35000000000000003</v>
      </c>
    </row>
    <row r="804" spans="1:14" ht="15.75" customHeight="1" x14ac:dyDescent="0.45">
      <c r="A804" s="1" t="s">
        <v>119</v>
      </c>
      <c r="B804" s="1">
        <v>1185732</v>
      </c>
      <c r="C804" s="2">
        <v>44605</v>
      </c>
      <c r="D804" s="1" t="s">
        <v>26</v>
      </c>
      <c r="E804" s="1" t="s">
        <v>41</v>
      </c>
      <c r="F804" s="1" t="s">
        <v>42</v>
      </c>
      <c r="G804" s="1" t="s">
        <v>17</v>
      </c>
      <c r="H804" s="1">
        <v>41</v>
      </c>
      <c r="I804" s="1" t="s">
        <v>123</v>
      </c>
      <c r="J804" s="3">
        <v>0.44999999999999996</v>
      </c>
      <c r="K804" s="4">
        <v>1500</v>
      </c>
      <c r="L804" s="5">
        <f t="shared" si="6"/>
        <v>674.99999999999989</v>
      </c>
      <c r="M804" s="5">
        <f t="shared" si="7"/>
        <v>202.49999999999997</v>
      </c>
      <c r="N804" s="6">
        <v>0.3</v>
      </c>
    </row>
    <row r="805" spans="1:14" ht="15.75" customHeight="1" x14ac:dyDescent="0.45">
      <c r="A805" s="1" t="s">
        <v>119</v>
      </c>
      <c r="B805" s="1">
        <v>1185732</v>
      </c>
      <c r="C805" s="2">
        <v>44605</v>
      </c>
      <c r="D805" s="1" t="s">
        <v>26</v>
      </c>
      <c r="E805" s="1" t="s">
        <v>41</v>
      </c>
      <c r="F805" s="1" t="s">
        <v>42</v>
      </c>
      <c r="G805" s="1" t="s">
        <v>18</v>
      </c>
      <c r="H805" s="1">
        <v>43</v>
      </c>
      <c r="I805" s="1" t="s">
        <v>126</v>
      </c>
      <c r="J805" s="3">
        <v>0.35</v>
      </c>
      <c r="K805" s="4">
        <v>2250</v>
      </c>
      <c r="L805" s="5">
        <f t="shared" si="6"/>
        <v>787.5</v>
      </c>
      <c r="M805" s="5">
        <f t="shared" si="7"/>
        <v>354.375</v>
      </c>
      <c r="N805" s="6">
        <v>0.45</v>
      </c>
    </row>
    <row r="806" spans="1:14" ht="15.75" customHeight="1" x14ac:dyDescent="0.45">
      <c r="A806" s="1" t="s">
        <v>119</v>
      </c>
      <c r="B806" s="1">
        <v>1185732</v>
      </c>
      <c r="C806" s="2">
        <v>44632</v>
      </c>
      <c r="D806" s="1" t="s">
        <v>26</v>
      </c>
      <c r="E806" s="1" t="s">
        <v>41</v>
      </c>
      <c r="F806" s="1" t="s">
        <v>42</v>
      </c>
      <c r="G806" s="1" t="s">
        <v>13</v>
      </c>
      <c r="H806" s="1">
        <v>59</v>
      </c>
      <c r="I806" s="1" t="s">
        <v>124</v>
      </c>
      <c r="J806" s="3">
        <v>0.4</v>
      </c>
      <c r="K806" s="4">
        <v>4450</v>
      </c>
      <c r="L806" s="5">
        <f t="shared" si="6"/>
        <v>1780</v>
      </c>
      <c r="M806" s="5">
        <f t="shared" si="7"/>
        <v>623.00000000000011</v>
      </c>
      <c r="N806" s="6">
        <v>0.35000000000000003</v>
      </c>
    </row>
    <row r="807" spans="1:14" ht="15.75" customHeight="1" x14ac:dyDescent="0.45">
      <c r="A807" s="1" t="s">
        <v>119</v>
      </c>
      <c r="B807" s="1">
        <v>1185732</v>
      </c>
      <c r="C807" s="2">
        <v>44632</v>
      </c>
      <c r="D807" s="1" t="s">
        <v>26</v>
      </c>
      <c r="E807" s="1" t="s">
        <v>41</v>
      </c>
      <c r="F807" s="1" t="s">
        <v>42</v>
      </c>
      <c r="G807" s="1" t="s">
        <v>14</v>
      </c>
      <c r="H807" s="1">
        <v>44</v>
      </c>
      <c r="I807" s="1" t="s">
        <v>123</v>
      </c>
      <c r="J807" s="3">
        <v>0.4</v>
      </c>
      <c r="K807" s="4">
        <v>1250</v>
      </c>
      <c r="L807" s="5">
        <f t="shared" si="6"/>
        <v>500</v>
      </c>
      <c r="M807" s="5">
        <f t="shared" si="7"/>
        <v>150</v>
      </c>
      <c r="N807" s="6">
        <v>0.3</v>
      </c>
    </row>
    <row r="808" spans="1:14" ht="15.75" customHeight="1" x14ac:dyDescent="0.45">
      <c r="A808" s="1" t="s">
        <v>119</v>
      </c>
      <c r="B808" s="1">
        <v>1185732</v>
      </c>
      <c r="C808" s="2">
        <v>44632</v>
      </c>
      <c r="D808" s="1" t="s">
        <v>26</v>
      </c>
      <c r="E808" s="1" t="s">
        <v>41</v>
      </c>
      <c r="F808" s="1" t="s">
        <v>42</v>
      </c>
      <c r="G808" s="1" t="s">
        <v>15</v>
      </c>
      <c r="H808" s="1">
        <v>57</v>
      </c>
      <c r="I808" s="1" t="s">
        <v>125</v>
      </c>
      <c r="J808" s="3">
        <v>0.30000000000000004</v>
      </c>
      <c r="K808" s="4">
        <v>1750</v>
      </c>
      <c r="L808" s="5">
        <f t="shared" si="6"/>
        <v>525.00000000000011</v>
      </c>
      <c r="M808" s="5">
        <f t="shared" si="7"/>
        <v>157.50000000000003</v>
      </c>
      <c r="N808" s="6">
        <v>0.3</v>
      </c>
    </row>
    <row r="809" spans="1:14" ht="15.75" customHeight="1" x14ac:dyDescent="0.45">
      <c r="A809" s="1" t="s">
        <v>119</v>
      </c>
      <c r="B809" s="1">
        <v>1185732</v>
      </c>
      <c r="C809" s="2">
        <v>44632</v>
      </c>
      <c r="D809" s="1" t="s">
        <v>26</v>
      </c>
      <c r="E809" s="1" t="s">
        <v>41</v>
      </c>
      <c r="F809" s="1" t="s">
        <v>42</v>
      </c>
      <c r="G809" s="1" t="s">
        <v>16</v>
      </c>
      <c r="H809" s="1">
        <v>42</v>
      </c>
      <c r="I809" s="1" t="s">
        <v>125</v>
      </c>
      <c r="J809" s="3">
        <v>0.35</v>
      </c>
      <c r="K809" s="4">
        <v>250</v>
      </c>
      <c r="L809" s="5">
        <f t="shared" si="6"/>
        <v>87.5</v>
      </c>
      <c r="M809" s="5">
        <f t="shared" si="7"/>
        <v>30.625000000000004</v>
      </c>
      <c r="N809" s="6">
        <v>0.35000000000000003</v>
      </c>
    </row>
    <row r="810" spans="1:14" ht="15.75" customHeight="1" x14ac:dyDescent="0.45">
      <c r="A810" s="1" t="s">
        <v>119</v>
      </c>
      <c r="B810" s="1">
        <v>1185732</v>
      </c>
      <c r="C810" s="2">
        <v>44632</v>
      </c>
      <c r="D810" s="1" t="s">
        <v>26</v>
      </c>
      <c r="E810" s="1" t="s">
        <v>41</v>
      </c>
      <c r="F810" s="1" t="s">
        <v>42</v>
      </c>
      <c r="G810" s="1" t="s">
        <v>17</v>
      </c>
      <c r="H810" s="1">
        <v>34</v>
      </c>
      <c r="I810" s="1" t="s">
        <v>123</v>
      </c>
      <c r="J810" s="3">
        <v>0.5</v>
      </c>
      <c r="K810" s="4">
        <v>750</v>
      </c>
      <c r="L810" s="5">
        <f t="shared" si="6"/>
        <v>375</v>
      </c>
      <c r="M810" s="5">
        <f t="shared" si="7"/>
        <v>112.5</v>
      </c>
      <c r="N810" s="6">
        <v>0.3</v>
      </c>
    </row>
    <row r="811" spans="1:14" ht="15.75" customHeight="1" x14ac:dyDescent="0.45">
      <c r="A811" s="1" t="s">
        <v>119</v>
      </c>
      <c r="B811" s="1">
        <v>1185732</v>
      </c>
      <c r="C811" s="2">
        <v>44632</v>
      </c>
      <c r="D811" s="1" t="s">
        <v>26</v>
      </c>
      <c r="E811" s="1" t="s">
        <v>41</v>
      </c>
      <c r="F811" s="1" t="s">
        <v>42</v>
      </c>
      <c r="G811" s="1" t="s">
        <v>18</v>
      </c>
      <c r="H811" s="1">
        <v>22</v>
      </c>
      <c r="I811" s="1" t="s">
        <v>126</v>
      </c>
      <c r="J811" s="3">
        <v>0.4</v>
      </c>
      <c r="K811" s="4">
        <v>1750</v>
      </c>
      <c r="L811" s="5">
        <f t="shared" si="6"/>
        <v>700</v>
      </c>
      <c r="M811" s="5">
        <f t="shared" si="7"/>
        <v>315</v>
      </c>
      <c r="N811" s="6">
        <v>0.45</v>
      </c>
    </row>
    <row r="812" spans="1:14" ht="15.75" customHeight="1" x14ac:dyDescent="0.45">
      <c r="A812" s="1" t="s">
        <v>119</v>
      </c>
      <c r="B812" s="1">
        <v>1185732</v>
      </c>
      <c r="C812" s="2">
        <v>44664</v>
      </c>
      <c r="D812" s="1" t="s">
        <v>26</v>
      </c>
      <c r="E812" s="1" t="s">
        <v>41</v>
      </c>
      <c r="F812" s="1" t="s">
        <v>42</v>
      </c>
      <c r="G812" s="1" t="s">
        <v>13</v>
      </c>
      <c r="H812" s="1">
        <v>46</v>
      </c>
      <c r="I812" s="1" t="s">
        <v>123</v>
      </c>
      <c r="J812" s="3">
        <v>0.4</v>
      </c>
      <c r="K812" s="4">
        <v>4000</v>
      </c>
      <c r="L812" s="5">
        <f t="shared" si="6"/>
        <v>1600</v>
      </c>
      <c r="M812" s="5">
        <f t="shared" si="7"/>
        <v>560</v>
      </c>
      <c r="N812" s="6">
        <v>0.35000000000000003</v>
      </c>
    </row>
    <row r="813" spans="1:14" ht="15.75" customHeight="1" x14ac:dyDescent="0.45">
      <c r="A813" s="1" t="s">
        <v>119</v>
      </c>
      <c r="B813" s="1">
        <v>1185732</v>
      </c>
      <c r="C813" s="2">
        <v>44664</v>
      </c>
      <c r="D813" s="1" t="s">
        <v>26</v>
      </c>
      <c r="E813" s="1" t="s">
        <v>41</v>
      </c>
      <c r="F813" s="1" t="s">
        <v>42</v>
      </c>
      <c r="G813" s="1" t="s">
        <v>14</v>
      </c>
      <c r="H813" s="1">
        <v>44</v>
      </c>
      <c r="I813" s="1" t="s">
        <v>124</v>
      </c>
      <c r="J813" s="3">
        <v>0.4</v>
      </c>
      <c r="K813" s="4">
        <v>1000</v>
      </c>
      <c r="L813" s="5">
        <f t="shared" si="6"/>
        <v>400</v>
      </c>
      <c r="M813" s="5">
        <f t="shared" si="7"/>
        <v>120</v>
      </c>
      <c r="N813" s="6">
        <v>0.3</v>
      </c>
    </row>
    <row r="814" spans="1:14" ht="15.75" customHeight="1" x14ac:dyDescent="0.45">
      <c r="A814" s="1" t="s">
        <v>119</v>
      </c>
      <c r="B814" s="1">
        <v>1185732</v>
      </c>
      <c r="C814" s="2">
        <v>44664</v>
      </c>
      <c r="D814" s="1" t="s">
        <v>26</v>
      </c>
      <c r="E814" s="1" t="s">
        <v>41</v>
      </c>
      <c r="F814" s="1" t="s">
        <v>42</v>
      </c>
      <c r="G814" s="1" t="s">
        <v>15</v>
      </c>
      <c r="H814" s="1">
        <v>29</v>
      </c>
      <c r="I814" s="1" t="s">
        <v>125</v>
      </c>
      <c r="J814" s="3">
        <v>0.30000000000000004</v>
      </c>
      <c r="K814" s="4">
        <v>1000</v>
      </c>
      <c r="L814" s="5">
        <f t="shared" si="6"/>
        <v>300.00000000000006</v>
      </c>
      <c r="M814" s="5">
        <f t="shared" si="7"/>
        <v>90.000000000000014</v>
      </c>
      <c r="N814" s="6">
        <v>0.3</v>
      </c>
    </row>
    <row r="815" spans="1:14" ht="15.75" customHeight="1" x14ac:dyDescent="0.45">
      <c r="A815" s="1" t="s">
        <v>119</v>
      </c>
      <c r="B815" s="1">
        <v>1185732</v>
      </c>
      <c r="C815" s="2">
        <v>44664</v>
      </c>
      <c r="D815" s="1" t="s">
        <v>26</v>
      </c>
      <c r="E815" s="1" t="s">
        <v>41</v>
      </c>
      <c r="F815" s="1" t="s">
        <v>42</v>
      </c>
      <c r="G815" s="1" t="s">
        <v>16</v>
      </c>
      <c r="H815" s="1">
        <v>52</v>
      </c>
      <c r="I815" s="1" t="s">
        <v>126</v>
      </c>
      <c r="J815" s="3">
        <v>0.35</v>
      </c>
      <c r="K815" s="4">
        <v>250</v>
      </c>
      <c r="L815" s="5">
        <f t="shared" si="6"/>
        <v>87.5</v>
      </c>
      <c r="M815" s="5">
        <f t="shared" si="7"/>
        <v>30.625000000000004</v>
      </c>
      <c r="N815" s="6">
        <v>0.35000000000000003</v>
      </c>
    </row>
    <row r="816" spans="1:14" ht="15.75" customHeight="1" x14ac:dyDescent="0.45">
      <c r="A816" s="1" t="s">
        <v>119</v>
      </c>
      <c r="B816" s="1">
        <v>1185732</v>
      </c>
      <c r="C816" s="2">
        <v>44664</v>
      </c>
      <c r="D816" s="1" t="s">
        <v>26</v>
      </c>
      <c r="E816" s="1" t="s">
        <v>41</v>
      </c>
      <c r="F816" s="1" t="s">
        <v>42</v>
      </c>
      <c r="G816" s="1" t="s">
        <v>17</v>
      </c>
      <c r="H816" s="1">
        <v>32</v>
      </c>
      <c r="I816" s="1" t="s">
        <v>126</v>
      </c>
      <c r="J816" s="3">
        <v>0.5</v>
      </c>
      <c r="K816" s="4">
        <v>500</v>
      </c>
      <c r="L816" s="5">
        <f t="shared" si="6"/>
        <v>250</v>
      </c>
      <c r="M816" s="5">
        <f t="shared" si="7"/>
        <v>75</v>
      </c>
      <c r="N816" s="6">
        <v>0.3</v>
      </c>
    </row>
    <row r="817" spans="1:14" ht="15.75" customHeight="1" x14ac:dyDescent="0.45">
      <c r="A817" s="1" t="s">
        <v>119</v>
      </c>
      <c r="B817" s="1">
        <v>1185732</v>
      </c>
      <c r="C817" s="2">
        <v>44664</v>
      </c>
      <c r="D817" s="1" t="s">
        <v>26</v>
      </c>
      <c r="E817" s="1" t="s">
        <v>41</v>
      </c>
      <c r="F817" s="1" t="s">
        <v>42</v>
      </c>
      <c r="G817" s="1" t="s">
        <v>18</v>
      </c>
      <c r="H817" s="1">
        <v>18</v>
      </c>
      <c r="I817" s="1" t="s">
        <v>125</v>
      </c>
      <c r="J817" s="3">
        <v>0.4</v>
      </c>
      <c r="K817" s="4">
        <v>1750</v>
      </c>
      <c r="L817" s="5">
        <f t="shared" si="6"/>
        <v>700</v>
      </c>
      <c r="M817" s="5">
        <f t="shared" si="7"/>
        <v>315</v>
      </c>
      <c r="N817" s="6">
        <v>0.45</v>
      </c>
    </row>
    <row r="818" spans="1:14" ht="15.75" customHeight="1" x14ac:dyDescent="0.45">
      <c r="A818" s="1" t="s">
        <v>119</v>
      </c>
      <c r="B818" s="1">
        <v>1185732</v>
      </c>
      <c r="C818" s="2">
        <v>44695</v>
      </c>
      <c r="D818" s="1" t="s">
        <v>26</v>
      </c>
      <c r="E818" s="1" t="s">
        <v>41</v>
      </c>
      <c r="F818" s="1" t="s">
        <v>42</v>
      </c>
      <c r="G818" s="1" t="s">
        <v>13</v>
      </c>
      <c r="H818" s="1">
        <v>50</v>
      </c>
      <c r="I818" s="1" t="s">
        <v>125</v>
      </c>
      <c r="J818" s="3">
        <v>0.5</v>
      </c>
      <c r="K818" s="4">
        <v>4450</v>
      </c>
      <c r="L818" s="5">
        <f t="shared" si="6"/>
        <v>2225</v>
      </c>
      <c r="M818" s="5">
        <f t="shared" si="7"/>
        <v>778.75000000000011</v>
      </c>
      <c r="N818" s="6">
        <v>0.35000000000000003</v>
      </c>
    </row>
    <row r="819" spans="1:14" ht="15.75" customHeight="1" x14ac:dyDescent="0.45">
      <c r="A819" s="1" t="s">
        <v>119</v>
      </c>
      <c r="B819" s="1">
        <v>1185732</v>
      </c>
      <c r="C819" s="2">
        <v>44695</v>
      </c>
      <c r="D819" s="1" t="s">
        <v>26</v>
      </c>
      <c r="E819" s="1" t="s">
        <v>41</v>
      </c>
      <c r="F819" s="1" t="s">
        <v>42</v>
      </c>
      <c r="G819" s="1" t="s">
        <v>14</v>
      </c>
      <c r="H819" s="1">
        <v>23</v>
      </c>
      <c r="I819" s="1" t="s">
        <v>124</v>
      </c>
      <c r="J819" s="3">
        <v>0.45000000000000007</v>
      </c>
      <c r="K819" s="4">
        <v>1500</v>
      </c>
      <c r="L819" s="5">
        <f t="shared" si="6"/>
        <v>675.00000000000011</v>
      </c>
      <c r="M819" s="5">
        <f t="shared" si="7"/>
        <v>202.50000000000003</v>
      </c>
      <c r="N819" s="6">
        <v>0.3</v>
      </c>
    </row>
    <row r="820" spans="1:14" ht="15.75" customHeight="1" x14ac:dyDescent="0.45">
      <c r="A820" s="1" t="s">
        <v>119</v>
      </c>
      <c r="B820" s="1">
        <v>1185732</v>
      </c>
      <c r="C820" s="2">
        <v>44695</v>
      </c>
      <c r="D820" s="1" t="s">
        <v>26</v>
      </c>
      <c r="E820" s="1" t="s">
        <v>41</v>
      </c>
      <c r="F820" s="1" t="s">
        <v>42</v>
      </c>
      <c r="G820" s="1" t="s">
        <v>15</v>
      </c>
      <c r="H820" s="1">
        <v>44</v>
      </c>
      <c r="I820" s="1" t="s">
        <v>123</v>
      </c>
      <c r="J820" s="3">
        <v>0.4</v>
      </c>
      <c r="K820" s="4">
        <v>1250</v>
      </c>
      <c r="L820" s="5">
        <f t="shared" si="6"/>
        <v>500</v>
      </c>
      <c r="M820" s="5">
        <f t="shared" si="7"/>
        <v>150</v>
      </c>
      <c r="N820" s="6">
        <v>0.3</v>
      </c>
    </row>
    <row r="821" spans="1:14" ht="15.75" customHeight="1" x14ac:dyDescent="0.45">
      <c r="A821" s="1" t="s">
        <v>119</v>
      </c>
      <c r="B821" s="1">
        <v>1185732</v>
      </c>
      <c r="C821" s="2">
        <v>44695</v>
      </c>
      <c r="D821" s="1" t="s">
        <v>26</v>
      </c>
      <c r="E821" s="1" t="s">
        <v>41</v>
      </c>
      <c r="F821" s="1" t="s">
        <v>42</v>
      </c>
      <c r="G821" s="1" t="s">
        <v>16</v>
      </c>
      <c r="H821" s="1">
        <v>37</v>
      </c>
      <c r="I821" s="1" t="s">
        <v>123</v>
      </c>
      <c r="J821" s="3">
        <v>0.4</v>
      </c>
      <c r="K821" s="4">
        <v>500</v>
      </c>
      <c r="L821" s="5">
        <f t="shared" si="6"/>
        <v>200</v>
      </c>
      <c r="M821" s="5">
        <f t="shared" si="7"/>
        <v>70</v>
      </c>
      <c r="N821" s="6">
        <v>0.35000000000000003</v>
      </c>
    </row>
    <row r="822" spans="1:14" ht="15.75" customHeight="1" x14ac:dyDescent="0.45">
      <c r="A822" s="1" t="s">
        <v>119</v>
      </c>
      <c r="B822" s="1">
        <v>1185732</v>
      </c>
      <c r="C822" s="2">
        <v>44695</v>
      </c>
      <c r="D822" s="1" t="s">
        <v>26</v>
      </c>
      <c r="E822" s="1" t="s">
        <v>41</v>
      </c>
      <c r="F822" s="1" t="s">
        <v>42</v>
      </c>
      <c r="G822" s="1" t="s">
        <v>17</v>
      </c>
      <c r="H822" s="1">
        <v>39</v>
      </c>
      <c r="I822" s="1" t="s">
        <v>124</v>
      </c>
      <c r="J822" s="3">
        <v>0.54999999999999993</v>
      </c>
      <c r="K822" s="4">
        <v>750</v>
      </c>
      <c r="L822" s="5">
        <f t="shared" si="6"/>
        <v>412.49999999999994</v>
      </c>
      <c r="M822" s="5">
        <f t="shared" si="7"/>
        <v>123.74999999999997</v>
      </c>
      <c r="N822" s="6">
        <v>0.3</v>
      </c>
    </row>
    <row r="823" spans="1:14" ht="15.75" customHeight="1" x14ac:dyDescent="0.45">
      <c r="A823" s="1" t="s">
        <v>119</v>
      </c>
      <c r="B823" s="1">
        <v>1185732</v>
      </c>
      <c r="C823" s="2">
        <v>44695</v>
      </c>
      <c r="D823" s="1" t="s">
        <v>26</v>
      </c>
      <c r="E823" s="1" t="s">
        <v>41</v>
      </c>
      <c r="F823" s="1" t="s">
        <v>42</v>
      </c>
      <c r="G823" s="1" t="s">
        <v>18</v>
      </c>
      <c r="H823" s="1">
        <v>37</v>
      </c>
      <c r="I823" s="1" t="s">
        <v>123</v>
      </c>
      <c r="J823" s="3">
        <v>0.6</v>
      </c>
      <c r="K823" s="4">
        <v>1750</v>
      </c>
      <c r="L823" s="5">
        <f t="shared" si="6"/>
        <v>1050</v>
      </c>
      <c r="M823" s="5">
        <f t="shared" si="7"/>
        <v>472.5</v>
      </c>
      <c r="N823" s="6">
        <v>0.45</v>
      </c>
    </row>
    <row r="824" spans="1:14" ht="15.75" customHeight="1" x14ac:dyDescent="0.45">
      <c r="A824" s="1" t="s">
        <v>119</v>
      </c>
      <c r="B824" s="1">
        <v>1185732</v>
      </c>
      <c r="C824" s="2">
        <v>44725</v>
      </c>
      <c r="D824" s="1" t="s">
        <v>26</v>
      </c>
      <c r="E824" s="1" t="s">
        <v>41</v>
      </c>
      <c r="F824" s="1" t="s">
        <v>42</v>
      </c>
      <c r="G824" s="1" t="s">
        <v>13</v>
      </c>
      <c r="H824" s="1">
        <v>47</v>
      </c>
      <c r="I824" s="1" t="s">
        <v>125</v>
      </c>
      <c r="J824" s="3">
        <v>0.45</v>
      </c>
      <c r="K824" s="4">
        <v>4250</v>
      </c>
      <c r="L824" s="5">
        <f t="shared" si="6"/>
        <v>1912.5</v>
      </c>
      <c r="M824" s="5">
        <f t="shared" si="7"/>
        <v>669.37500000000011</v>
      </c>
      <c r="N824" s="6">
        <v>0.35000000000000003</v>
      </c>
    </row>
    <row r="825" spans="1:14" ht="15.75" customHeight="1" x14ac:dyDescent="0.45">
      <c r="A825" s="1" t="s">
        <v>119</v>
      </c>
      <c r="B825" s="1">
        <v>1185732</v>
      </c>
      <c r="C825" s="2">
        <v>44725</v>
      </c>
      <c r="D825" s="1" t="s">
        <v>26</v>
      </c>
      <c r="E825" s="1" t="s">
        <v>41</v>
      </c>
      <c r="F825" s="1" t="s">
        <v>42</v>
      </c>
      <c r="G825" s="1" t="s">
        <v>14</v>
      </c>
      <c r="H825" s="1">
        <v>16</v>
      </c>
      <c r="I825" s="1" t="s">
        <v>124</v>
      </c>
      <c r="J825" s="3">
        <v>0.40000000000000008</v>
      </c>
      <c r="K825" s="4">
        <v>1750</v>
      </c>
      <c r="L825" s="5">
        <f t="shared" si="6"/>
        <v>700.00000000000011</v>
      </c>
      <c r="M825" s="5">
        <f t="shared" si="7"/>
        <v>210.00000000000003</v>
      </c>
      <c r="N825" s="6">
        <v>0.3</v>
      </c>
    </row>
    <row r="826" spans="1:14" ht="15.75" customHeight="1" x14ac:dyDescent="0.45">
      <c r="A826" s="1" t="s">
        <v>119</v>
      </c>
      <c r="B826" s="1">
        <v>1185732</v>
      </c>
      <c r="C826" s="2">
        <v>44725</v>
      </c>
      <c r="D826" s="1" t="s">
        <v>26</v>
      </c>
      <c r="E826" s="1" t="s">
        <v>41</v>
      </c>
      <c r="F826" s="1" t="s">
        <v>42</v>
      </c>
      <c r="G826" s="1" t="s">
        <v>15</v>
      </c>
      <c r="H826" s="1">
        <v>37</v>
      </c>
      <c r="I826" s="1" t="s">
        <v>125</v>
      </c>
      <c r="J826" s="3">
        <v>0.35000000000000003</v>
      </c>
      <c r="K826" s="4">
        <v>1750</v>
      </c>
      <c r="L826" s="5">
        <f t="shared" si="6"/>
        <v>612.50000000000011</v>
      </c>
      <c r="M826" s="5">
        <f t="shared" si="7"/>
        <v>183.75000000000003</v>
      </c>
      <c r="N826" s="6">
        <v>0.3</v>
      </c>
    </row>
    <row r="827" spans="1:14" ht="15.75" customHeight="1" x14ac:dyDescent="0.45">
      <c r="A827" s="1" t="s">
        <v>119</v>
      </c>
      <c r="B827" s="1">
        <v>1185732</v>
      </c>
      <c r="C827" s="2">
        <v>44725</v>
      </c>
      <c r="D827" s="1" t="s">
        <v>26</v>
      </c>
      <c r="E827" s="1" t="s">
        <v>41</v>
      </c>
      <c r="F827" s="1" t="s">
        <v>42</v>
      </c>
      <c r="G827" s="1" t="s">
        <v>16</v>
      </c>
      <c r="H827" s="1">
        <v>22</v>
      </c>
      <c r="I827" s="1" t="s">
        <v>124</v>
      </c>
      <c r="J827" s="3">
        <v>0.35000000000000003</v>
      </c>
      <c r="K827" s="4">
        <v>1500</v>
      </c>
      <c r="L827" s="5">
        <f t="shared" si="6"/>
        <v>525</v>
      </c>
      <c r="M827" s="5">
        <f t="shared" si="7"/>
        <v>183.75000000000003</v>
      </c>
      <c r="N827" s="6">
        <v>0.35000000000000003</v>
      </c>
    </row>
    <row r="828" spans="1:14" ht="15.75" customHeight="1" x14ac:dyDescent="0.45">
      <c r="A828" s="1" t="s">
        <v>119</v>
      </c>
      <c r="B828" s="1">
        <v>1185732</v>
      </c>
      <c r="C828" s="2">
        <v>44725</v>
      </c>
      <c r="D828" s="1" t="s">
        <v>26</v>
      </c>
      <c r="E828" s="1" t="s">
        <v>41</v>
      </c>
      <c r="F828" s="1" t="s">
        <v>42</v>
      </c>
      <c r="G828" s="1" t="s">
        <v>17</v>
      </c>
      <c r="H828" s="1">
        <v>20</v>
      </c>
      <c r="I828" s="1" t="s">
        <v>125</v>
      </c>
      <c r="J828" s="3">
        <v>0.5</v>
      </c>
      <c r="K828" s="4">
        <v>1500</v>
      </c>
      <c r="L828" s="5">
        <f t="shared" si="6"/>
        <v>750</v>
      </c>
      <c r="M828" s="5">
        <f t="shared" si="7"/>
        <v>225</v>
      </c>
      <c r="N828" s="6">
        <v>0.3</v>
      </c>
    </row>
    <row r="829" spans="1:14" ht="15.75" customHeight="1" x14ac:dyDescent="0.45">
      <c r="A829" s="1" t="s">
        <v>119</v>
      </c>
      <c r="B829" s="1">
        <v>1185732</v>
      </c>
      <c r="C829" s="2">
        <v>44725</v>
      </c>
      <c r="D829" s="1" t="s">
        <v>26</v>
      </c>
      <c r="E829" s="1" t="s">
        <v>41</v>
      </c>
      <c r="F829" s="1" t="s">
        <v>42</v>
      </c>
      <c r="G829" s="1" t="s">
        <v>18</v>
      </c>
      <c r="H829" s="1">
        <v>29</v>
      </c>
      <c r="I829" s="1" t="s">
        <v>124</v>
      </c>
      <c r="J829" s="3">
        <v>0.55000000000000004</v>
      </c>
      <c r="K829" s="4">
        <v>3250</v>
      </c>
      <c r="L829" s="5">
        <f t="shared" si="6"/>
        <v>1787.5000000000002</v>
      </c>
      <c r="M829" s="5">
        <f t="shared" si="7"/>
        <v>804.37500000000011</v>
      </c>
      <c r="N829" s="6">
        <v>0.45</v>
      </c>
    </row>
    <row r="830" spans="1:14" ht="15.75" customHeight="1" x14ac:dyDescent="0.45">
      <c r="A830" s="1" t="s">
        <v>119</v>
      </c>
      <c r="B830" s="1">
        <v>1185732</v>
      </c>
      <c r="C830" s="2">
        <v>44754</v>
      </c>
      <c r="D830" s="1" t="s">
        <v>26</v>
      </c>
      <c r="E830" s="1" t="s">
        <v>41</v>
      </c>
      <c r="F830" s="1" t="s">
        <v>42</v>
      </c>
      <c r="G830" s="1" t="s">
        <v>13</v>
      </c>
      <c r="H830" s="1">
        <v>46</v>
      </c>
      <c r="I830" s="1" t="s">
        <v>126</v>
      </c>
      <c r="J830" s="3">
        <v>0.5</v>
      </c>
      <c r="K830" s="4">
        <v>5500</v>
      </c>
      <c r="L830" s="5">
        <f t="shared" si="6"/>
        <v>2750</v>
      </c>
      <c r="M830" s="5">
        <f t="shared" si="7"/>
        <v>962.50000000000011</v>
      </c>
      <c r="N830" s="6">
        <v>0.35000000000000003</v>
      </c>
    </row>
    <row r="831" spans="1:14" ht="15.75" customHeight="1" x14ac:dyDescent="0.45">
      <c r="A831" s="1" t="s">
        <v>119</v>
      </c>
      <c r="B831" s="1">
        <v>1185732</v>
      </c>
      <c r="C831" s="2">
        <v>44754</v>
      </c>
      <c r="D831" s="1" t="s">
        <v>26</v>
      </c>
      <c r="E831" s="1" t="s">
        <v>41</v>
      </c>
      <c r="F831" s="1" t="s">
        <v>42</v>
      </c>
      <c r="G831" s="1" t="s">
        <v>14</v>
      </c>
      <c r="H831" s="1">
        <v>21</v>
      </c>
      <c r="I831" s="1" t="s">
        <v>125</v>
      </c>
      <c r="J831" s="3">
        <v>0.45000000000000007</v>
      </c>
      <c r="K831" s="4">
        <v>3000</v>
      </c>
      <c r="L831" s="5">
        <f t="shared" si="6"/>
        <v>1350.0000000000002</v>
      </c>
      <c r="M831" s="5">
        <f t="shared" si="7"/>
        <v>405.00000000000006</v>
      </c>
      <c r="N831" s="6">
        <v>0.3</v>
      </c>
    </row>
    <row r="832" spans="1:14" ht="15.75" customHeight="1" x14ac:dyDescent="0.45">
      <c r="A832" s="1" t="s">
        <v>119</v>
      </c>
      <c r="B832" s="1">
        <v>1185732</v>
      </c>
      <c r="C832" s="2">
        <v>44754</v>
      </c>
      <c r="D832" s="1" t="s">
        <v>26</v>
      </c>
      <c r="E832" s="1" t="s">
        <v>41</v>
      </c>
      <c r="F832" s="1" t="s">
        <v>42</v>
      </c>
      <c r="G832" s="1" t="s">
        <v>15</v>
      </c>
      <c r="H832" s="1">
        <v>60</v>
      </c>
      <c r="I832" s="1" t="s">
        <v>126</v>
      </c>
      <c r="J832" s="3">
        <v>0.4</v>
      </c>
      <c r="K832" s="4">
        <v>2250</v>
      </c>
      <c r="L832" s="5">
        <f t="shared" si="6"/>
        <v>900</v>
      </c>
      <c r="M832" s="5">
        <f t="shared" si="7"/>
        <v>270</v>
      </c>
      <c r="N832" s="6">
        <v>0.3</v>
      </c>
    </row>
    <row r="833" spans="1:14" ht="15.75" customHeight="1" x14ac:dyDescent="0.45">
      <c r="A833" s="1" t="s">
        <v>119</v>
      </c>
      <c r="B833" s="1">
        <v>1185732</v>
      </c>
      <c r="C833" s="2">
        <v>44754</v>
      </c>
      <c r="D833" s="1" t="s">
        <v>26</v>
      </c>
      <c r="E833" s="1" t="s">
        <v>41</v>
      </c>
      <c r="F833" s="1" t="s">
        <v>42</v>
      </c>
      <c r="G833" s="1" t="s">
        <v>16</v>
      </c>
      <c r="H833" s="1">
        <v>23</v>
      </c>
      <c r="I833" s="1" t="s">
        <v>126</v>
      </c>
      <c r="J833" s="3">
        <v>0.4</v>
      </c>
      <c r="K833" s="4">
        <v>1750</v>
      </c>
      <c r="L833" s="5">
        <f t="shared" si="6"/>
        <v>700</v>
      </c>
      <c r="M833" s="5">
        <f t="shared" si="7"/>
        <v>245.00000000000003</v>
      </c>
      <c r="N833" s="6">
        <v>0.35000000000000003</v>
      </c>
    </row>
    <row r="834" spans="1:14" ht="15.75" customHeight="1" x14ac:dyDescent="0.45">
      <c r="A834" s="1" t="s">
        <v>119</v>
      </c>
      <c r="B834" s="1">
        <v>1185732</v>
      </c>
      <c r="C834" s="2">
        <v>44754</v>
      </c>
      <c r="D834" s="1" t="s">
        <v>26</v>
      </c>
      <c r="E834" s="1" t="s">
        <v>41</v>
      </c>
      <c r="F834" s="1" t="s">
        <v>42</v>
      </c>
      <c r="G834" s="1" t="s">
        <v>17</v>
      </c>
      <c r="H834" s="1">
        <v>26</v>
      </c>
      <c r="I834" s="1" t="s">
        <v>125</v>
      </c>
      <c r="J834" s="3">
        <v>0.5</v>
      </c>
      <c r="K834" s="4">
        <v>2000</v>
      </c>
      <c r="L834" s="5">
        <f t="shared" si="6"/>
        <v>1000</v>
      </c>
      <c r="M834" s="5">
        <f t="shared" si="7"/>
        <v>300</v>
      </c>
      <c r="N834" s="6">
        <v>0.3</v>
      </c>
    </row>
    <row r="835" spans="1:14" ht="15.75" customHeight="1" x14ac:dyDescent="0.45">
      <c r="A835" s="1" t="s">
        <v>119</v>
      </c>
      <c r="B835" s="1">
        <v>1185732</v>
      </c>
      <c r="C835" s="2">
        <v>44754</v>
      </c>
      <c r="D835" s="1" t="s">
        <v>26</v>
      </c>
      <c r="E835" s="1" t="s">
        <v>41</v>
      </c>
      <c r="F835" s="1" t="s">
        <v>42</v>
      </c>
      <c r="G835" s="1" t="s">
        <v>18</v>
      </c>
      <c r="H835" s="1">
        <v>23</v>
      </c>
      <c r="I835" s="1" t="s">
        <v>126</v>
      </c>
      <c r="J835" s="3">
        <v>0.55000000000000004</v>
      </c>
      <c r="K835" s="4">
        <v>3750</v>
      </c>
      <c r="L835" s="5">
        <f t="shared" si="6"/>
        <v>2062.5</v>
      </c>
      <c r="M835" s="5">
        <f t="shared" si="7"/>
        <v>928.125</v>
      </c>
      <c r="N835" s="6">
        <v>0.45</v>
      </c>
    </row>
    <row r="836" spans="1:14" ht="15.75" customHeight="1" x14ac:dyDescent="0.45">
      <c r="A836" s="1" t="s">
        <v>119</v>
      </c>
      <c r="B836" s="1">
        <v>1185732</v>
      </c>
      <c r="C836" s="2">
        <v>44786</v>
      </c>
      <c r="D836" s="1" t="s">
        <v>26</v>
      </c>
      <c r="E836" s="1" t="s">
        <v>41</v>
      </c>
      <c r="F836" s="1" t="s">
        <v>42</v>
      </c>
      <c r="G836" s="1" t="s">
        <v>13</v>
      </c>
      <c r="H836" s="1">
        <v>38</v>
      </c>
      <c r="I836" s="1" t="s">
        <v>124</v>
      </c>
      <c r="J836" s="3">
        <v>0.5</v>
      </c>
      <c r="K836" s="4">
        <v>5250</v>
      </c>
      <c r="L836" s="5">
        <f t="shared" si="6"/>
        <v>2625</v>
      </c>
      <c r="M836" s="5">
        <f t="shared" si="7"/>
        <v>918.75000000000011</v>
      </c>
      <c r="N836" s="6">
        <v>0.35000000000000003</v>
      </c>
    </row>
    <row r="837" spans="1:14" ht="15.75" customHeight="1" x14ac:dyDescent="0.45">
      <c r="A837" s="1" t="s">
        <v>119</v>
      </c>
      <c r="B837" s="1">
        <v>1185732</v>
      </c>
      <c r="C837" s="2">
        <v>44786</v>
      </c>
      <c r="D837" s="1" t="s">
        <v>26</v>
      </c>
      <c r="E837" s="1" t="s">
        <v>41</v>
      </c>
      <c r="F837" s="1" t="s">
        <v>42</v>
      </c>
      <c r="G837" s="1" t="s">
        <v>14</v>
      </c>
      <c r="H837" s="1">
        <v>55</v>
      </c>
      <c r="I837" s="1" t="s">
        <v>126</v>
      </c>
      <c r="J837" s="3">
        <v>0.45000000000000007</v>
      </c>
      <c r="K837" s="4">
        <v>3000</v>
      </c>
      <c r="L837" s="5">
        <f t="shared" si="6"/>
        <v>1350.0000000000002</v>
      </c>
      <c r="M837" s="5">
        <f t="shared" si="7"/>
        <v>405.00000000000006</v>
      </c>
      <c r="N837" s="6">
        <v>0.3</v>
      </c>
    </row>
    <row r="838" spans="1:14" ht="15.75" customHeight="1" x14ac:dyDescent="0.45">
      <c r="A838" s="1" t="s">
        <v>119</v>
      </c>
      <c r="B838" s="1">
        <v>1185732</v>
      </c>
      <c r="C838" s="2">
        <v>44786</v>
      </c>
      <c r="D838" s="1" t="s">
        <v>26</v>
      </c>
      <c r="E838" s="1" t="s">
        <v>41</v>
      </c>
      <c r="F838" s="1" t="s">
        <v>42</v>
      </c>
      <c r="G838" s="1" t="s">
        <v>15</v>
      </c>
      <c r="H838" s="1">
        <v>21</v>
      </c>
      <c r="I838" s="1" t="s">
        <v>124</v>
      </c>
      <c r="J838" s="3">
        <v>0.4</v>
      </c>
      <c r="K838" s="4">
        <v>2250</v>
      </c>
      <c r="L838" s="5">
        <f t="shared" si="6"/>
        <v>900</v>
      </c>
      <c r="M838" s="5">
        <f t="shared" si="7"/>
        <v>270</v>
      </c>
      <c r="N838" s="6">
        <v>0.3</v>
      </c>
    </row>
    <row r="839" spans="1:14" ht="15.75" customHeight="1" x14ac:dyDescent="0.45">
      <c r="A839" s="1" t="s">
        <v>119</v>
      </c>
      <c r="B839" s="1">
        <v>1185732</v>
      </c>
      <c r="C839" s="2">
        <v>44786</v>
      </c>
      <c r="D839" s="1" t="s">
        <v>26</v>
      </c>
      <c r="E839" s="1" t="s">
        <v>41</v>
      </c>
      <c r="F839" s="1" t="s">
        <v>42</v>
      </c>
      <c r="G839" s="1" t="s">
        <v>16</v>
      </c>
      <c r="H839" s="1">
        <v>50</v>
      </c>
      <c r="I839" s="1" t="s">
        <v>123</v>
      </c>
      <c r="J839" s="3">
        <v>0.35000000000000003</v>
      </c>
      <c r="K839" s="4">
        <v>1750</v>
      </c>
      <c r="L839" s="5">
        <f t="shared" si="6"/>
        <v>612.50000000000011</v>
      </c>
      <c r="M839" s="5">
        <f t="shared" si="7"/>
        <v>214.37500000000006</v>
      </c>
      <c r="N839" s="6">
        <v>0.35000000000000003</v>
      </c>
    </row>
    <row r="840" spans="1:14" ht="15.75" customHeight="1" x14ac:dyDescent="0.45">
      <c r="A840" s="1" t="s">
        <v>119</v>
      </c>
      <c r="B840" s="1">
        <v>1185732</v>
      </c>
      <c r="C840" s="2">
        <v>44786</v>
      </c>
      <c r="D840" s="1" t="s">
        <v>26</v>
      </c>
      <c r="E840" s="1" t="s">
        <v>41</v>
      </c>
      <c r="F840" s="1" t="s">
        <v>42</v>
      </c>
      <c r="G840" s="1" t="s">
        <v>17</v>
      </c>
      <c r="H840" s="1">
        <v>21</v>
      </c>
      <c r="I840" s="1" t="s">
        <v>125</v>
      </c>
      <c r="J840" s="3">
        <v>0.45</v>
      </c>
      <c r="K840" s="4">
        <v>1500</v>
      </c>
      <c r="L840" s="5">
        <f t="shared" si="6"/>
        <v>675</v>
      </c>
      <c r="M840" s="5">
        <f t="shared" si="7"/>
        <v>202.5</v>
      </c>
      <c r="N840" s="6">
        <v>0.3</v>
      </c>
    </row>
    <row r="841" spans="1:14" ht="15.75" customHeight="1" x14ac:dyDescent="0.45">
      <c r="A841" s="1" t="s">
        <v>119</v>
      </c>
      <c r="B841" s="1">
        <v>1185732</v>
      </c>
      <c r="C841" s="2">
        <v>44786</v>
      </c>
      <c r="D841" s="1" t="s">
        <v>26</v>
      </c>
      <c r="E841" s="1" t="s">
        <v>41</v>
      </c>
      <c r="F841" s="1" t="s">
        <v>42</v>
      </c>
      <c r="G841" s="1" t="s">
        <v>18</v>
      </c>
      <c r="H841" s="1">
        <v>53</v>
      </c>
      <c r="I841" s="1" t="s">
        <v>125</v>
      </c>
      <c r="J841" s="3">
        <v>0.5</v>
      </c>
      <c r="K841" s="4">
        <v>3250</v>
      </c>
      <c r="L841" s="5">
        <f t="shared" si="6"/>
        <v>1625</v>
      </c>
      <c r="M841" s="5">
        <f t="shared" si="7"/>
        <v>731.25</v>
      </c>
      <c r="N841" s="6">
        <v>0.45</v>
      </c>
    </row>
    <row r="842" spans="1:14" ht="15.75" customHeight="1" x14ac:dyDescent="0.45">
      <c r="A842" s="1" t="s">
        <v>119</v>
      </c>
      <c r="B842" s="1">
        <v>1185732</v>
      </c>
      <c r="C842" s="2">
        <v>44818</v>
      </c>
      <c r="D842" s="1" t="s">
        <v>26</v>
      </c>
      <c r="E842" s="1" t="s">
        <v>41</v>
      </c>
      <c r="F842" s="1" t="s">
        <v>42</v>
      </c>
      <c r="G842" s="1" t="s">
        <v>13</v>
      </c>
      <c r="H842" s="1">
        <v>39</v>
      </c>
      <c r="I842" s="1" t="s">
        <v>126</v>
      </c>
      <c r="J842" s="3">
        <v>0.45</v>
      </c>
      <c r="K842" s="4">
        <v>4500</v>
      </c>
      <c r="L842" s="5">
        <f t="shared" si="6"/>
        <v>2025</v>
      </c>
      <c r="M842" s="5">
        <f t="shared" si="7"/>
        <v>708.75000000000011</v>
      </c>
      <c r="N842" s="6">
        <v>0.35000000000000003</v>
      </c>
    </row>
    <row r="843" spans="1:14" ht="15.75" customHeight="1" x14ac:dyDescent="0.45">
      <c r="A843" s="1" t="s">
        <v>119</v>
      </c>
      <c r="B843" s="1">
        <v>1185732</v>
      </c>
      <c r="C843" s="2">
        <v>44818</v>
      </c>
      <c r="D843" s="1" t="s">
        <v>26</v>
      </c>
      <c r="E843" s="1" t="s">
        <v>41</v>
      </c>
      <c r="F843" s="1" t="s">
        <v>42</v>
      </c>
      <c r="G843" s="1" t="s">
        <v>14</v>
      </c>
      <c r="H843" s="1">
        <v>42</v>
      </c>
      <c r="I843" s="1" t="s">
        <v>124</v>
      </c>
      <c r="J843" s="3">
        <v>0.40000000000000008</v>
      </c>
      <c r="K843" s="4">
        <v>2500</v>
      </c>
      <c r="L843" s="5">
        <f t="shared" si="6"/>
        <v>1000.0000000000002</v>
      </c>
      <c r="M843" s="5">
        <f t="shared" si="7"/>
        <v>300.00000000000006</v>
      </c>
      <c r="N843" s="6">
        <v>0.3</v>
      </c>
    </row>
    <row r="844" spans="1:14" ht="15.75" customHeight="1" x14ac:dyDescent="0.45">
      <c r="A844" s="1" t="s">
        <v>119</v>
      </c>
      <c r="B844" s="1">
        <v>1185732</v>
      </c>
      <c r="C844" s="2">
        <v>44818</v>
      </c>
      <c r="D844" s="1" t="s">
        <v>26</v>
      </c>
      <c r="E844" s="1" t="s">
        <v>41</v>
      </c>
      <c r="F844" s="1" t="s">
        <v>42</v>
      </c>
      <c r="G844" s="1" t="s">
        <v>15</v>
      </c>
      <c r="H844" s="1">
        <v>24</v>
      </c>
      <c r="I844" s="1" t="s">
        <v>126</v>
      </c>
      <c r="J844" s="3">
        <v>0.25</v>
      </c>
      <c r="K844" s="4">
        <v>1500</v>
      </c>
      <c r="L844" s="5">
        <f t="shared" si="6"/>
        <v>375</v>
      </c>
      <c r="M844" s="5">
        <f t="shared" si="7"/>
        <v>112.5</v>
      </c>
      <c r="N844" s="6">
        <v>0.3</v>
      </c>
    </row>
    <row r="845" spans="1:14" ht="15.75" customHeight="1" x14ac:dyDescent="0.45">
      <c r="A845" s="1" t="s">
        <v>119</v>
      </c>
      <c r="B845" s="1">
        <v>1185732</v>
      </c>
      <c r="C845" s="2">
        <v>44818</v>
      </c>
      <c r="D845" s="1" t="s">
        <v>26</v>
      </c>
      <c r="E845" s="1" t="s">
        <v>41</v>
      </c>
      <c r="F845" s="1" t="s">
        <v>42</v>
      </c>
      <c r="G845" s="1" t="s">
        <v>16</v>
      </c>
      <c r="H845" s="1">
        <v>18</v>
      </c>
      <c r="I845" s="1" t="s">
        <v>123</v>
      </c>
      <c r="J845" s="3">
        <v>0.25</v>
      </c>
      <c r="K845" s="4">
        <v>1250</v>
      </c>
      <c r="L845" s="5">
        <f t="shared" si="6"/>
        <v>312.5</v>
      </c>
      <c r="M845" s="5">
        <f t="shared" si="7"/>
        <v>109.37500000000001</v>
      </c>
      <c r="N845" s="6">
        <v>0.35000000000000003</v>
      </c>
    </row>
    <row r="846" spans="1:14" ht="15.75" customHeight="1" x14ac:dyDescent="0.45">
      <c r="A846" s="1" t="s">
        <v>119</v>
      </c>
      <c r="B846" s="1">
        <v>1185732</v>
      </c>
      <c r="C846" s="2">
        <v>44818</v>
      </c>
      <c r="D846" s="1" t="s">
        <v>26</v>
      </c>
      <c r="E846" s="1" t="s">
        <v>41</v>
      </c>
      <c r="F846" s="1" t="s">
        <v>42</v>
      </c>
      <c r="G846" s="1" t="s">
        <v>17</v>
      </c>
      <c r="H846" s="1">
        <v>25</v>
      </c>
      <c r="I846" s="1" t="s">
        <v>125</v>
      </c>
      <c r="J846" s="3">
        <v>0.35</v>
      </c>
      <c r="K846" s="4">
        <v>1250</v>
      </c>
      <c r="L846" s="5">
        <f t="shared" si="6"/>
        <v>437.5</v>
      </c>
      <c r="M846" s="5">
        <f t="shared" si="7"/>
        <v>131.25</v>
      </c>
      <c r="N846" s="6">
        <v>0.3</v>
      </c>
    </row>
    <row r="847" spans="1:14" ht="15.75" customHeight="1" x14ac:dyDescent="0.45">
      <c r="A847" s="1" t="s">
        <v>119</v>
      </c>
      <c r="B847" s="1">
        <v>1185732</v>
      </c>
      <c r="C847" s="2">
        <v>44818</v>
      </c>
      <c r="D847" s="1" t="s">
        <v>26</v>
      </c>
      <c r="E847" s="1" t="s">
        <v>41</v>
      </c>
      <c r="F847" s="1" t="s">
        <v>42</v>
      </c>
      <c r="G847" s="1" t="s">
        <v>18</v>
      </c>
      <c r="H847" s="1">
        <v>51</v>
      </c>
      <c r="I847" s="1" t="s">
        <v>125</v>
      </c>
      <c r="J847" s="3">
        <v>0.4</v>
      </c>
      <c r="K847" s="4">
        <v>2000</v>
      </c>
      <c r="L847" s="5">
        <f t="shared" si="6"/>
        <v>800</v>
      </c>
      <c r="M847" s="5">
        <f t="shared" si="7"/>
        <v>360</v>
      </c>
      <c r="N847" s="6">
        <v>0.45</v>
      </c>
    </row>
    <row r="848" spans="1:14" ht="15.75" customHeight="1" x14ac:dyDescent="0.45">
      <c r="A848" s="1" t="s">
        <v>119</v>
      </c>
      <c r="B848" s="1">
        <v>1185732</v>
      </c>
      <c r="C848" s="2">
        <v>44847</v>
      </c>
      <c r="D848" s="1" t="s">
        <v>26</v>
      </c>
      <c r="E848" s="1" t="s">
        <v>41</v>
      </c>
      <c r="F848" s="1" t="s">
        <v>42</v>
      </c>
      <c r="G848" s="1" t="s">
        <v>13</v>
      </c>
      <c r="H848" s="1">
        <v>25</v>
      </c>
      <c r="I848" s="1" t="s">
        <v>126</v>
      </c>
      <c r="J848" s="3">
        <v>0.44999999999999996</v>
      </c>
      <c r="K848" s="4">
        <v>3750</v>
      </c>
      <c r="L848" s="5">
        <f t="shared" si="6"/>
        <v>1687.4999999999998</v>
      </c>
      <c r="M848" s="5">
        <f t="shared" si="7"/>
        <v>590.625</v>
      </c>
      <c r="N848" s="6">
        <v>0.35000000000000003</v>
      </c>
    </row>
    <row r="849" spans="1:14" ht="15.75" customHeight="1" x14ac:dyDescent="0.45">
      <c r="A849" s="1" t="s">
        <v>119</v>
      </c>
      <c r="B849" s="1">
        <v>1185732</v>
      </c>
      <c r="C849" s="2">
        <v>44847</v>
      </c>
      <c r="D849" s="1" t="s">
        <v>26</v>
      </c>
      <c r="E849" s="1" t="s">
        <v>41</v>
      </c>
      <c r="F849" s="1" t="s">
        <v>42</v>
      </c>
      <c r="G849" s="1" t="s">
        <v>14</v>
      </c>
      <c r="H849" s="1">
        <v>58</v>
      </c>
      <c r="I849" s="1" t="s">
        <v>126</v>
      </c>
      <c r="J849" s="3">
        <v>0.35</v>
      </c>
      <c r="K849" s="4">
        <v>2000</v>
      </c>
      <c r="L849" s="5">
        <f t="shared" si="6"/>
        <v>700</v>
      </c>
      <c r="M849" s="5">
        <f t="shared" si="7"/>
        <v>210</v>
      </c>
      <c r="N849" s="6">
        <v>0.3</v>
      </c>
    </row>
    <row r="850" spans="1:14" ht="15.75" customHeight="1" x14ac:dyDescent="0.45">
      <c r="A850" s="1" t="s">
        <v>119</v>
      </c>
      <c r="B850" s="1">
        <v>1185732</v>
      </c>
      <c r="C850" s="2">
        <v>44847</v>
      </c>
      <c r="D850" s="1" t="s">
        <v>26</v>
      </c>
      <c r="E850" s="1" t="s">
        <v>41</v>
      </c>
      <c r="F850" s="1" t="s">
        <v>42</v>
      </c>
      <c r="G850" s="1" t="s">
        <v>15</v>
      </c>
      <c r="H850" s="1">
        <v>46</v>
      </c>
      <c r="I850" s="1" t="s">
        <v>126</v>
      </c>
      <c r="J850" s="3">
        <v>0.35</v>
      </c>
      <c r="K850" s="4">
        <v>1000</v>
      </c>
      <c r="L850" s="5">
        <f t="shared" si="6"/>
        <v>350</v>
      </c>
      <c r="M850" s="5">
        <f t="shared" si="7"/>
        <v>105</v>
      </c>
      <c r="N850" s="6">
        <v>0.3</v>
      </c>
    </row>
    <row r="851" spans="1:14" ht="15.75" customHeight="1" x14ac:dyDescent="0.45">
      <c r="A851" s="1" t="s">
        <v>119</v>
      </c>
      <c r="B851" s="1">
        <v>1185732</v>
      </c>
      <c r="C851" s="2">
        <v>44847</v>
      </c>
      <c r="D851" s="1" t="s">
        <v>26</v>
      </c>
      <c r="E851" s="1" t="s">
        <v>41</v>
      </c>
      <c r="F851" s="1" t="s">
        <v>42</v>
      </c>
      <c r="G851" s="1" t="s">
        <v>16</v>
      </c>
      <c r="H851" s="1">
        <v>26</v>
      </c>
      <c r="I851" s="1" t="s">
        <v>123</v>
      </c>
      <c r="J851" s="3">
        <v>0.35</v>
      </c>
      <c r="K851" s="4">
        <v>750</v>
      </c>
      <c r="L851" s="5">
        <f t="shared" si="6"/>
        <v>262.5</v>
      </c>
      <c r="M851" s="5">
        <f t="shared" si="7"/>
        <v>91.875000000000014</v>
      </c>
      <c r="N851" s="6">
        <v>0.35000000000000003</v>
      </c>
    </row>
    <row r="852" spans="1:14" ht="15.75" customHeight="1" x14ac:dyDescent="0.45">
      <c r="A852" s="1" t="s">
        <v>119</v>
      </c>
      <c r="B852" s="1">
        <v>1185732</v>
      </c>
      <c r="C852" s="2">
        <v>44847</v>
      </c>
      <c r="D852" s="1" t="s">
        <v>26</v>
      </c>
      <c r="E852" s="1" t="s">
        <v>41</v>
      </c>
      <c r="F852" s="1" t="s">
        <v>42</v>
      </c>
      <c r="G852" s="1" t="s">
        <v>17</v>
      </c>
      <c r="H852" s="1">
        <v>54</v>
      </c>
      <c r="I852" s="1" t="s">
        <v>125</v>
      </c>
      <c r="J852" s="3">
        <v>0.44999999999999996</v>
      </c>
      <c r="K852" s="4">
        <v>750</v>
      </c>
      <c r="L852" s="5">
        <f t="shared" si="6"/>
        <v>337.49999999999994</v>
      </c>
      <c r="M852" s="5">
        <f t="shared" si="7"/>
        <v>101.24999999999999</v>
      </c>
      <c r="N852" s="6">
        <v>0.3</v>
      </c>
    </row>
    <row r="853" spans="1:14" ht="15.75" customHeight="1" x14ac:dyDescent="0.45">
      <c r="A853" s="1" t="s">
        <v>119</v>
      </c>
      <c r="B853" s="1">
        <v>1185732</v>
      </c>
      <c r="C853" s="2">
        <v>44847</v>
      </c>
      <c r="D853" s="1" t="s">
        <v>26</v>
      </c>
      <c r="E853" s="1" t="s">
        <v>41</v>
      </c>
      <c r="F853" s="1" t="s">
        <v>42</v>
      </c>
      <c r="G853" s="1" t="s">
        <v>18</v>
      </c>
      <c r="H853" s="1">
        <v>29</v>
      </c>
      <c r="I853" s="1" t="s">
        <v>126</v>
      </c>
      <c r="J853" s="3">
        <v>0.49999999999999989</v>
      </c>
      <c r="K853" s="4">
        <v>2000</v>
      </c>
      <c r="L853" s="5">
        <f t="shared" si="6"/>
        <v>999.99999999999977</v>
      </c>
      <c r="M853" s="5">
        <f t="shared" si="7"/>
        <v>449.99999999999989</v>
      </c>
      <c r="N853" s="6">
        <v>0.45</v>
      </c>
    </row>
    <row r="854" spans="1:14" ht="15.75" customHeight="1" x14ac:dyDescent="0.45">
      <c r="A854" s="1" t="s">
        <v>119</v>
      </c>
      <c r="B854" s="1">
        <v>1185732</v>
      </c>
      <c r="C854" s="2">
        <v>44878</v>
      </c>
      <c r="D854" s="1" t="s">
        <v>26</v>
      </c>
      <c r="E854" s="1" t="s">
        <v>41</v>
      </c>
      <c r="F854" s="1" t="s">
        <v>42</v>
      </c>
      <c r="G854" s="1" t="s">
        <v>13</v>
      </c>
      <c r="H854" s="1">
        <v>60</v>
      </c>
      <c r="I854" s="1" t="s">
        <v>124</v>
      </c>
      <c r="J854" s="3">
        <v>0.5</v>
      </c>
      <c r="K854" s="4">
        <v>3500</v>
      </c>
      <c r="L854" s="5">
        <f t="shared" si="6"/>
        <v>1750</v>
      </c>
      <c r="M854" s="5">
        <f t="shared" si="7"/>
        <v>612.50000000000011</v>
      </c>
      <c r="N854" s="6">
        <v>0.35000000000000003</v>
      </c>
    </row>
    <row r="855" spans="1:14" ht="15.75" customHeight="1" x14ac:dyDescent="0.45">
      <c r="A855" s="1" t="s">
        <v>119</v>
      </c>
      <c r="B855" s="1">
        <v>1185732</v>
      </c>
      <c r="C855" s="2">
        <v>44878</v>
      </c>
      <c r="D855" s="1" t="s">
        <v>26</v>
      </c>
      <c r="E855" s="1" t="s">
        <v>41</v>
      </c>
      <c r="F855" s="1" t="s">
        <v>42</v>
      </c>
      <c r="G855" s="1" t="s">
        <v>14</v>
      </c>
      <c r="H855" s="1">
        <v>44</v>
      </c>
      <c r="I855" s="1" t="s">
        <v>126</v>
      </c>
      <c r="J855" s="3">
        <v>0.4</v>
      </c>
      <c r="K855" s="4">
        <v>2000</v>
      </c>
      <c r="L855" s="5">
        <f t="shared" si="6"/>
        <v>800</v>
      </c>
      <c r="M855" s="5">
        <f t="shared" si="7"/>
        <v>240</v>
      </c>
      <c r="N855" s="6">
        <v>0.3</v>
      </c>
    </row>
    <row r="856" spans="1:14" ht="15.75" customHeight="1" x14ac:dyDescent="0.45">
      <c r="A856" s="1" t="s">
        <v>119</v>
      </c>
      <c r="B856" s="1">
        <v>1185732</v>
      </c>
      <c r="C856" s="2">
        <v>44878</v>
      </c>
      <c r="D856" s="1" t="s">
        <v>26</v>
      </c>
      <c r="E856" s="1" t="s">
        <v>41</v>
      </c>
      <c r="F856" s="1" t="s">
        <v>42</v>
      </c>
      <c r="G856" s="1" t="s">
        <v>15</v>
      </c>
      <c r="H856" s="1">
        <v>48</v>
      </c>
      <c r="I856" s="1" t="s">
        <v>126</v>
      </c>
      <c r="J856" s="3">
        <v>0.4</v>
      </c>
      <c r="K856" s="4">
        <v>1450</v>
      </c>
      <c r="L856" s="5">
        <f t="shared" si="6"/>
        <v>580</v>
      </c>
      <c r="M856" s="5">
        <f t="shared" si="7"/>
        <v>174</v>
      </c>
      <c r="N856" s="6">
        <v>0.3</v>
      </c>
    </row>
    <row r="857" spans="1:14" ht="15.75" customHeight="1" x14ac:dyDescent="0.45">
      <c r="A857" s="1" t="s">
        <v>119</v>
      </c>
      <c r="B857" s="1">
        <v>1185732</v>
      </c>
      <c r="C857" s="2">
        <v>44878</v>
      </c>
      <c r="D857" s="1" t="s">
        <v>26</v>
      </c>
      <c r="E857" s="1" t="s">
        <v>41</v>
      </c>
      <c r="F857" s="1" t="s">
        <v>42</v>
      </c>
      <c r="G857" s="1" t="s">
        <v>16</v>
      </c>
      <c r="H857" s="1">
        <v>47</v>
      </c>
      <c r="I857" s="1" t="s">
        <v>123</v>
      </c>
      <c r="J857" s="3">
        <v>0.4</v>
      </c>
      <c r="K857" s="4">
        <v>1500</v>
      </c>
      <c r="L857" s="5">
        <f t="shared" si="6"/>
        <v>600</v>
      </c>
      <c r="M857" s="5">
        <f t="shared" si="7"/>
        <v>210.00000000000003</v>
      </c>
      <c r="N857" s="6">
        <v>0.35000000000000003</v>
      </c>
    </row>
    <row r="858" spans="1:14" ht="15.75" customHeight="1" x14ac:dyDescent="0.45">
      <c r="A858" s="1" t="s">
        <v>119</v>
      </c>
      <c r="B858" s="1">
        <v>1185732</v>
      </c>
      <c r="C858" s="2">
        <v>44878</v>
      </c>
      <c r="D858" s="1" t="s">
        <v>26</v>
      </c>
      <c r="E858" s="1" t="s">
        <v>41</v>
      </c>
      <c r="F858" s="1" t="s">
        <v>42</v>
      </c>
      <c r="G858" s="1" t="s">
        <v>17</v>
      </c>
      <c r="H858" s="1">
        <v>33</v>
      </c>
      <c r="I858" s="1" t="s">
        <v>125</v>
      </c>
      <c r="J858" s="3">
        <v>0.54999999999999993</v>
      </c>
      <c r="K858" s="4">
        <v>1250</v>
      </c>
      <c r="L858" s="5">
        <f t="shared" si="6"/>
        <v>687.49999999999989</v>
      </c>
      <c r="M858" s="5">
        <f t="shared" si="7"/>
        <v>206.24999999999997</v>
      </c>
      <c r="N858" s="6">
        <v>0.3</v>
      </c>
    </row>
    <row r="859" spans="1:14" ht="15.75" customHeight="1" x14ac:dyDescent="0.45">
      <c r="A859" s="1" t="s">
        <v>119</v>
      </c>
      <c r="B859" s="1">
        <v>1185732</v>
      </c>
      <c r="C859" s="2">
        <v>44878</v>
      </c>
      <c r="D859" s="1" t="s">
        <v>26</v>
      </c>
      <c r="E859" s="1" t="s">
        <v>41</v>
      </c>
      <c r="F859" s="1" t="s">
        <v>42</v>
      </c>
      <c r="G859" s="1" t="s">
        <v>18</v>
      </c>
      <c r="H859" s="1">
        <v>17</v>
      </c>
      <c r="I859" s="1" t="s">
        <v>124</v>
      </c>
      <c r="J859" s="3">
        <v>0.59999999999999987</v>
      </c>
      <c r="K859" s="4">
        <v>2250</v>
      </c>
      <c r="L859" s="5">
        <f t="shared" si="6"/>
        <v>1349.9999999999998</v>
      </c>
      <c r="M859" s="5">
        <f t="shared" si="7"/>
        <v>607.49999999999989</v>
      </c>
      <c r="N859" s="6">
        <v>0.45</v>
      </c>
    </row>
    <row r="860" spans="1:14" ht="15.75" customHeight="1" x14ac:dyDescent="0.45">
      <c r="A860" s="1" t="s">
        <v>119</v>
      </c>
      <c r="B860" s="1">
        <v>1185732</v>
      </c>
      <c r="C860" s="2">
        <v>44907</v>
      </c>
      <c r="D860" s="1" t="s">
        <v>26</v>
      </c>
      <c r="E860" s="1" t="s">
        <v>41</v>
      </c>
      <c r="F860" s="1" t="s">
        <v>42</v>
      </c>
      <c r="G860" s="1" t="s">
        <v>13</v>
      </c>
      <c r="H860" s="1">
        <v>52</v>
      </c>
      <c r="I860" s="1" t="s">
        <v>126</v>
      </c>
      <c r="J860" s="3">
        <v>0.54999999999999993</v>
      </c>
      <c r="K860" s="4">
        <v>4750</v>
      </c>
      <c r="L860" s="5">
        <f t="shared" si="6"/>
        <v>2612.4999999999995</v>
      </c>
      <c r="M860" s="5">
        <f t="shared" si="7"/>
        <v>914.37499999999989</v>
      </c>
      <c r="N860" s="6">
        <v>0.35000000000000003</v>
      </c>
    </row>
    <row r="861" spans="1:14" ht="15.75" customHeight="1" x14ac:dyDescent="0.45">
      <c r="A861" s="1" t="s">
        <v>119</v>
      </c>
      <c r="B861" s="1">
        <v>1185732</v>
      </c>
      <c r="C861" s="2">
        <v>44907</v>
      </c>
      <c r="D861" s="1" t="s">
        <v>26</v>
      </c>
      <c r="E861" s="1" t="s">
        <v>41</v>
      </c>
      <c r="F861" s="1" t="s">
        <v>42</v>
      </c>
      <c r="G861" s="1" t="s">
        <v>14</v>
      </c>
      <c r="H861" s="1">
        <v>47</v>
      </c>
      <c r="I861" s="1" t="s">
        <v>123</v>
      </c>
      <c r="J861" s="3">
        <v>0.45</v>
      </c>
      <c r="K861" s="4">
        <v>2750</v>
      </c>
      <c r="L861" s="5">
        <f t="shared" si="6"/>
        <v>1237.5</v>
      </c>
      <c r="M861" s="5">
        <f t="shared" si="7"/>
        <v>371.25</v>
      </c>
      <c r="N861" s="6">
        <v>0.3</v>
      </c>
    </row>
    <row r="862" spans="1:14" ht="15.75" customHeight="1" x14ac:dyDescent="0.45">
      <c r="A862" s="1" t="s">
        <v>119</v>
      </c>
      <c r="B862" s="1">
        <v>1185732</v>
      </c>
      <c r="C862" s="2">
        <v>44907</v>
      </c>
      <c r="D862" s="1" t="s">
        <v>26</v>
      </c>
      <c r="E862" s="1" t="s">
        <v>41</v>
      </c>
      <c r="F862" s="1" t="s">
        <v>42</v>
      </c>
      <c r="G862" s="1" t="s">
        <v>15</v>
      </c>
      <c r="H862" s="1">
        <v>29</v>
      </c>
      <c r="I862" s="1" t="s">
        <v>124</v>
      </c>
      <c r="J862" s="3">
        <v>0.45</v>
      </c>
      <c r="K862" s="4">
        <v>2250</v>
      </c>
      <c r="L862" s="5">
        <f t="shared" si="6"/>
        <v>1012.5</v>
      </c>
      <c r="M862" s="5">
        <f t="shared" si="7"/>
        <v>303.75</v>
      </c>
      <c r="N862" s="6">
        <v>0.3</v>
      </c>
    </row>
    <row r="863" spans="1:14" ht="15.75" customHeight="1" x14ac:dyDescent="0.45">
      <c r="A863" s="1" t="s">
        <v>119</v>
      </c>
      <c r="B863" s="1">
        <v>1185732</v>
      </c>
      <c r="C863" s="2">
        <v>44907</v>
      </c>
      <c r="D863" s="1" t="s">
        <v>26</v>
      </c>
      <c r="E863" s="1" t="s">
        <v>41</v>
      </c>
      <c r="F863" s="1" t="s">
        <v>42</v>
      </c>
      <c r="G863" s="1" t="s">
        <v>16</v>
      </c>
      <c r="H863" s="1">
        <v>44</v>
      </c>
      <c r="I863" s="1" t="s">
        <v>124</v>
      </c>
      <c r="J863" s="3">
        <v>0.45</v>
      </c>
      <c r="K863" s="4">
        <v>1750</v>
      </c>
      <c r="L863" s="5">
        <f t="shared" si="6"/>
        <v>787.5</v>
      </c>
      <c r="M863" s="5">
        <f t="shared" si="7"/>
        <v>275.625</v>
      </c>
      <c r="N863" s="6">
        <v>0.35000000000000003</v>
      </c>
    </row>
    <row r="864" spans="1:14" ht="15.75" customHeight="1" x14ac:dyDescent="0.45">
      <c r="A864" s="1" t="s">
        <v>119</v>
      </c>
      <c r="B864" s="1">
        <v>1185732</v>
      </c>
      <c r="C864" s="2">
        <v>44907</v>
      </c>
      <c r="D864" s="1" t="s">
        <v>26</v>
      </c>
      <c r="E864" s="1" t="s">
        <v>41</v>
      </c>
      <c r="F864" s="1" t="s">
        <v>42</v>
      </c>
      <c r="G864" s="1" t="s">
        <v>17</v>
      </c>
      <c r="H864" s="1">
        <v>38</v>
      </c>
      <c r="I864" s="1" t="s">
        <v>125</v>
      </c>
      <c r="J864" s="3">
        <v>0.54999999999999993</v>
      </c>
      <c r="K864" s="4">
        <v>1750</v>
      </c>
      <c r="L864" s="5">
        <f t="shared" si="6"/>
        <v>962.49999999999989</v>
      </c>
      <c r="M864" s="5">
        <f t="shared" si="7"/>
        <v>288.74999999999994</v>
      </c>
      <c r="N864" s="6">
        <v>0.3</v>
      </c>
    </row>
    <row r="865" spans="1:14" ht="15.75" customHeight="1" x14ac:dyDescent="0.45">
      <c r="A865" s="1" t="s">
        <v>119</v>
      </c>
      <c r="B865" s="1">
        <v>1185732</v>
      </c>
      <c r="C865" s="2">
        <v>44907</v>
      </c>
      <c r="D865" s="1" t="s">
        <v>26</v>
      </c>
      <c r="E865" s="1" t="s">
        <v>41</v>
      </c>
      <c r="F865" s="1" t="s">
        <v>42</v>
      </c>
      <c r="G865" s="1" t="s">
        <v>18</v>
      </c>
      <c r="H865" s="1">
        <v>54</v>
      </c>
      <c r="I865" s="1" t="s">
        <v>126</v>
      </c>
      <c r="J865" s="3">
        <v>0.59999999999999987</v>
      </c>
      <c r="K865" s="4">
        <v>2750</v>
      </c>
      <c r="L865" s="5">
        <f t="shared" si="6"/>
        <v>1649.9999999999995</v>
      </c>
      <c r="M865" s="5">
        <f t="shared" si="7"/>
        <v>742.49999999999977</v>
      </c>
      <c r="N865" s="6">
        <v>0.45</v>
      </c>
    </row>
    <row r="866" spans="1:14" ht="15.75" customHeight="1" x14ac:dyDescent="0.45">
      <c r="A866" s="1" t="s">
        <v>122</v>
      </c>
      <c r="B866" s="1">
        <v>1189833</v>
      </c>
      <c r="C866" s="2">
        <v>44578</v>
      </c>
      <c r="D866" s="1" t="s">
        <v>26</v>
      </c>
      <c r="E866" s="1" t="s">
        <v>43</v>
      </c>
      <c r="F866" s="1" t="s">
        <v>44</v>
      </c>
      <c r="G866" s="1" t="s">
        <v>13</v>
      </c>
      <c r="H866" s="1">
        <v>49</v>
      </c>
      <c r="I866" s="1" t="s">
        <v>124</v>
      </c>
      <c r="J866" s="3">
        <v>0.35</v>
      </c>
      <c r="K866" s="4">
        <v>4750</v>
      </c>
      <c r="L866" s="5">
        <f t="shared" si="6"/>
        <v>1662.5</v>
      </c>
      <c r="M866" s="5">
        <f t="shared" si="7"/>
        <v>748.125</v>
      </c>
      <c r="N866" s="6">
        <v>0.45</v>
      </c>
    </row>
    <row r="867" spans="1:14" ht="15.75" customHeight="1" x14ac:dyDescent="0.45">
      <c r="A867" s="1" t="s">
        <v>122</v>
      </c>
      <c r="B867" s="1">
        <v>1189833</v>
      </c>
      <c r="C867" s="2">
        <v>44578</v>
      </c>
      <c r="D867" s="1" t="s">
        <v>26</v>
      </c>
      <c r="E867" s="1" t="s">
        <v>43</v>
      </c>
      <c r="F867" s="1" t="s">
        <v>44</v>
      </c>
      <c r="G867" s="1" t="s">
        <v>14</v>
      </c>
      <c r="H867" s="1">
        <v>50</v>
      </c>
      <c r="I867" s="1" t="s">
        <v>123</v>
      </c>
      <c r="J867" s="3">
        <v>0.45</v>
      </c>
      <c r="K867" s="4">
        <v>4750</v>
      </c>
      <c r="L867" s="5">
        <f t="shared" si="6"/>
        <v>2137.5</v>
      </c>
      <c r="M867" s="5">
        <f t="shared" si="7"/>
        <v>641.25</v>
      </c>
      <c r="N867" s="6">
        <v>0.3</v>
      </c>
    </row>
    <row r="868" spans="1:14" ht="15.75" customHeight="1" x14ac:dyDescent="0.45">
      <c r="A868" s="1" t="s">
        <v>122</v>
      </c>
      <c r="B868" s="1">
        <v>1189833</v>
      </c>
      <c r="C868" s="2">
        <v>44578</v>
      </c>
      <c r="D868" s="1" t="s">
        <v>26</v>
      </c>
      <c r="E868" s="1" t="s">
        <v>43</v>
      </c>
      <c r="F868" s="1" t="s">
        <v>44</v>
      </c>
      <c r="G868" s="1" t="s">
        <v>15</v>
      </c>
      <c r="H868" s="1">
        <v>19</v>
      </c>
      <c r="I868" s="1" t="s">
        <v>126</v>
      </c>
      <c r="J868" s="3">
        <v>0.45</v>
      </c>
      <c r="K868" s="4">
        <v>4750</v>
      </c>
      <c r="L868" s="5">
        <f t="shared" si="6"/>
        <v>2137.5</v>
      </c>
      <c r="M868" s="5">
        <f t="shared" si="7"/>
        <v>961.875</v>
      </c>
      <c r="N868" s="6">
        <v>0.45</v>
      </c>
    </row>
    <row r="869" spans="1:14" ht="15.75" customHeight="1" x14ac:dyDescent="0.45">
      <c r="A869" s="1" t="s">
        <v>122</v>
      </c>
      <c r="B869" s="1">
        <v>1189833</v>
      </c>
      <c r="C869" s="2">
        <v>44578</v>
      </c>
      <c r="D869" s="1" t="s">
        <v>26</v>
      </c>
      <c r="E869" s="1" t="s">
        <v>43</v>
      </c>
      <c r="F869" s="1" t="s">
        <v>44</v>
      </c>
      <c r="G869" s="1" t="s">
        <v>16</v>
      </c>
      <c r="H869" s="1">
        <v>21</v>
      </c>
      <c r="I869" s="1" t="s">
        <v>124</v>
      </c>
      <c r="J869" s="3">
        <v>0.45</v>
      </c>
      <c r="K869" s="4">
        <v>3250</v>
      </c>
      <c r="L869" s="5">
        <f t="shared" si="6"/>
        <v>1462.5</v>
      </c>
      <c r="M869" s="5">
        <f t="shared" si="7"/>
        <v>585</v>
      </c>
      <c r="N869" s="6">
        <v>0.39999999999999997</v>
      </c>
    </row>
    <row r="870" spans="1:14" ht="15.75" customHeight="1" x14ac:dyDescent="0.45">
      <c r="A870" s="1" t="s">
        <v>122</v>
      </c>
      <c r="B870" s="1">
        <v>1189833</v>
      </c>
      <c r="C870" s="2">
        <v>44578</v>
      </c>
      <c r="D870" s="1" t="s">
        <v>26</v>
      </c>
      <c r="E870" s="1" t="s">
        <v>43</v>
      </c>
      <c r="F870" s="1" t="s">
        <v>44</v>
      </c>
      <c r="G870" s="1" t="s">
        <v>17</v>
      </c>
      <c r="H870" s="1">
        <v>37</v>
      </c>
      <c r="I870" s="1" t="s">
        <v>125</v>
      </c>
      <c r="J870" s="3">
        <v>0.5</v>
      </c>
      <c r="K870" s="4">
        <v>2750</v>
      </c>
      <c r="L870" s="5">
        <f t="shared" si="6"/>
        <v>1375</v>
      </c>
      <c r="M870" s="5">
        <f t="shared" si="7"/>
        <v>825.00000000000011</v>
      </c>
      <c r="N870" s="6">
        <v>0.60000000000000009</v>
      </c>
    </row>
    <row r="871" spans="1:14" ht="15.75" customHeight="1" x14ac:dyDescent="0.45">
      <c r="A871" s="1" t="s">
        <v>122</v>
      </c>
      <c r="B871" s="1">
        <v>1189833</v>
      </c>
      <c r="C871" s="2">
        <v>44578</v>
      </c>
      <c r="D871" s="1" t="s">
        <v>26</v>
      </c>
      <c r="E871" s="1" t="s">
        <v>43</v>
      </c>
      <c r="F871" s="1" t="s">
        <v>44</v>
      </c>
      <c r="G871" s="1" t="s">
        <v>18</v>
      </c>
      <c r="H871" s="1">
        <v>32</v>
      </c>
      <c r="I871" s="1" t="s">
        <v>125</v>
      </c>
      <c r="J871" s="3">
        <v>0.45</v>
      </c>
      <c r="K871" s="4">
        <v>4750</v>
      </c>
      <c r="L871" s="5">
        <f t="shared" si="6"/>
        <v>2137.5</v>
      </c>
      <c r="M871" s="5">
        <f t="shared" si="7"/>
        <v>534.375</v>
      </c>
      <c r="N871" s="6">
        <v>0.25</v>
      </c>
    </row>
    <row r="872" spans="1:14" ht="15.75" customHeight="1" x14ac:dyDescent="0.45">
      <c r="A872" s="1" t="s">
        <v>122</v>
      </c>
      <c r="B872" s="1">
        <v>1189833</v>
      </c>
      <c r="C872" s="2">
        <v>44609</v>
      </c>
      <c r="D872" s="1" t="s">
        <v>26</v>
      </c>
      <c r="E872" s="1" t="s">
        <v>43</v>
      </c>
      <c r="F872" s="1" t="s">
        <v>44</v>
      </c>
      <c r="G872" s="1" t="s">
        <v>13</v>
      </c>
      <c r="H872" s="1">
        <v>43</v>
      </c>
      <c r="I872" s="1" t="s">
        <v>124</v>
      </c>
      <c r="J872" s="3">
        <v>0.35</v>
      </c>
      <c r="K872" s="4">
        <v>5250</v>
      </c>
      <c r="L872" s="5">
        <f t="shared" si="6"/>
        <v>1837.4999999999998</v>
      </c>
      <c r="M872" s="5">
        <f t="shared" si="7"/>
        <v>826.87499999999989</v>
      </c>
      <c r="N872" s="6">
        <v>0.45</v>
      </c>
    </row>
    <row r="873" spans="1:14" ht="15.75" customHeight="1" x14ac:dyDescent="0.45">
      <c r="A873" s="1" t="s">
        <v>122</v>
      </c>
      <c r="B873" s="1">
        <v>1189833</v>
      </c>
      <c r="C873" s="2">
        <v>44609</v>
      </c>
      <c r="D873" s="1" t="s">
        <v>26</v>
      </c>
      <c r="E873" s="1" t="s">
        <v>43</v>
      </c>
      <c r="F873" s="1" t="s">
        <v>44</v>
      </c>
      <c r="G873" s="1" t="s">
        <v>14</v>
      </c>
      <c r="H873" s="1">
        <v>22</v>
      </c>
      <c r="I873" s="1" t="s">
        <v>123</v>
      </c>
      <c r="J873" s="3">
        <v>0.45</v>
      </c>
      <c r="K873" s="4">
        <v>4250</v>
      </c>
      <c r="L873" s="5">
        <f t="shared" si="6"/>
        <v>1912.5</v>
      </c>
      <c r="M873" s="5">
        <f t="shared" si="7"/>
        <v>573.75</v>
      </c>
      <c r="N873" s="6">
        <v>0.3</v>
      </c>
    </row>
    <row r="874" spans="1:14" ht="15.75" customHeight="1" x14ac:dyDescent="0.45">
      <c r="A874" s="1" t="s">
        <v>122</v>
      </c>
      <c r="B874" s="1">
        <v>1189833</v>
      </c>
      <c r="C874" s="2">
        <v>44609</v>
      </c>
      <c r="D874" s="1" t="s">
        <v>26</v>
      </c>
      <c r="E874" s="1" t="s">
        <v>43</v>
      </c>
      <c r="F874" s="1" t="s">
        <v>44</v>
      </c>
      <c r="G874" s="1" t="s">
        <v>15</v>
      </c>
      <c r="H874" s="1">
        <v>18</v>
      </c>
      <c r="I874" s="1" t="s">
        <v>123</v>
      </c>
      <c r="J874" s="3">
        <v>0.45</v>
      </c>
      <c r="K874" s="4">
        <v>4500</v>
      </c>
      <c r="L874" s="5">
        <f t="shared" si="6"/>
        <v>2025</v>
      </c>
      <c r="M874" s="5">
        <f t="shared" si="7"/>
        <v>911.25</v>
      </c>
      <c r="N874" s="6">
        <v>0.45</v>
      </c>
    </row>
    <row r="875" spans="1:14" ht="15.75" customHeight="1" x14ac:dyDescent="0.45">
      <c r="A875" s="1" t="s">
        <v>122</v>
      </c>
      <c r="B875" s="1">
        <v>1189833</v>
      </c>
      <c r="C875" s="2">
        <v>44609</v>
      </c>
      <c r="D875" s="1" t="s">
        <v>26</v>
      </c>
      <c r="E875" s="1" t="s">
        <v>43</v>
      </c>
      <c r="F875" s="1" t="s">
        <v>44</v>
      </c>
      <c r="G875" s="1" t="s">
        <v>16</v>
      </c>
      <c r="H875" s="1">
        <v>34</v>
      </c>
      <c r="I875" s="1" t="s">
        <v>124</v>
      </c>
      <c r="J875" s="3">
        <v>0.45</v>
      </c>
      <c r="K875" s="4">
        <v>3000</v>
      </c>
      <c r="L875" s="5">
        <f t="shared" si="6"/>
        <v>1350</v>
      </c>
      <c r="M875" s="5">
        <f t="shared" si="7"/>
        <v>540</v>
      </c>
      <c r="N875" s="6">
        <v>0.39999999999999997</v>
      </c>
    </row>
    <row r="876" spans="1:14" ht="15.75" customHeight="1" x14ac:dyDescent="0.45">
      <c r="A876" s="1" t="s">
        <v>122</v>
      </c>
      <c r="B876" s="1">
        <v>1189833</v>
      </c>
      <c r="C876" s="2">
        <v>44609</v>
      </c>
      <c r="D876" s="1" t="s">
        <v>26</v>
      </c>
      <c r="E876" s="1" t="s">
        <v>43</v>
      </c>
      <c r="F876" s="1" t="s">
        <v>44</v>
      </c>
      <c r="G876" s="1" t="s">
        <v>17</v>
      </c>
      <c r="H876" s="1">
        <v>51</v>
      </c>
      <c r="I876" s="1" t="s">
        <v>123</v>
      </c>
      <c r="J876" s="3">
        <v>0.5</v>
      </c>
      <c r="K876" s="4">
        <v>2250</v>
      </c>
      <c r="L876" s="5">
        <f t="shared" si="6"/>
        <v>1125</v>
      </c>
      <c r="M876" s="5">
        <f t="shared" si="7"/>
        <v>675.00000000000011</v>
      </c>
      <c r="N876" s="6">
        <v>0.60000000000000009</v>
      </c>
    </row>
    <row r="877" spans="1:14" ht="15.75" customHeight="1" x14ac:dyDescent="0.45">
      <c r="A877" s="1" t="s">
        <v>122</v>
      </c>
      <c r="B877" s="1">
        <v>1189833</v>
      </c>
      <c r="C877" s="2">
        <v>44609</v>
      </c>
      <c r="D877" s="1" t="s">
        <v>26</v>
      </c>
      <c r="E877" s="1" t="s">
        <v>43</v>
      </c>
      <c r="F877" s="1" t="s">
        <v>44</v>
      </c>
      <c r="G877" s="1" t="s">
        <v>18</v>
      </c>
      <c r="H877" s="1">
        <v>24</v>
      </c>
      <c r="I877" s="1" t="s">
        <v>123</v>
      </c>
      <c r="J877" s="3">
        <v>0.45</v>
      </c>
      <c r="K877" s="4">
        <v>4250</v>
      </c>
      <c r="L877" s="5">
        <f t="shared" si="6"/>
        <v>1912.5</v>
      </c>
      <c r="M877" s="5">
        <f t="shared" si="7"/>
        <v>478.125</v>
      </c>
      <c r="N877" s="6">
        <v>0.25</v>
      </c>
    </row>
    <row r="878" spans="1:14" ht="15.75" customHeight="1" x14ac:dyDescent="0.45">
      <c r="A878" s="1" t="s">
        <v>122</v>
      </c>
      <c r="B878" s="1">
        <v>1189833</v>
      </c>
      <c r="C878" s="2">
        <v>44636</v>
      </c>
      <c r="D878" s="1" t="s">
        <v>26</v>
      </c>
      <c r="E878" s="1" t="s">
        <v>43</v>
      </c>
      <c r="F878" s="1" t="s">
        <v>44</v>
      </c>
      <c r="G878" s="1" t="s">
        <v>13</v>
      </c>
      <c r="H878" s="1">
        <v>29</v>
      </c>
      <c r="I878" s="1" t="s">
        <v>125</v>
      </c>
      <c r="J878" s="3">
        <v>0.35</v>
      </c>
      <c r="K878" s="4">
        <v>5750</v>
      </c>
      <c r="L878" s="5">
        <f t="shared" si="6"/>
        <v>2012.4999999999998</v>
      </c>
      <c r="M878" s="5">
        <f t="shared" si="7"/>
        <v>905.62499999999989</v>
      </c>
      <c r="N878" s="6">
        <v>0.45</v>
      </c>
    </row>
    <row r="879" spans="1:14" ht="15.75" customHeight="1" x14ac:dyDescent="0.45">
      <c r="A879" s="1" t="s">
        <v>122</v>
      </c>
      <c r="B879" s="1">
        <v>1189833</v>
      </c>
      <c r="C879" s="2">
        <v>44636</v>
      </c>
      <c r="D879" s="1" t="s">
        <v>26</v>
      </c>
      <c r="E879" s="1" t="s">
        <v>43</v>
      </c>
      <c r="F879" s="1" t="s">
        <v>44</v>
      </c>
      <c r="G879" s="1" t="s">
        <v>14</v>
      </c>
      <c r="H879" s="1">
        <v>49</v>
      </c>
      <c r="I879" s="1" t="s">
        <v>123</v>
      </c>
      <c r="J879" s="3">
        <v>0.45</v>
      </c>
      <c r="K879" s="4">
        <v>4250</v>
      </c>
      <c r="L879" s="5">
        <f t="shared" si="6"/>
        <v>1912.5</v>
      </c>
      <c r="M879" s="5">
        <f t="shared" si="7"/>
        <v>573.75</v>
      </c>
      <c r="N879" s="6">
        <v>0.3</v>
      </c>
    </row>
    <row r="880" spans="1:14" ht="15.75" customHeight="1" x14ac:dyDescent="0.45">
      <c r="A880" s="1" t="s">
        <v>122</v>
      </c>
      <c r="B880" s="1">
        <v>1189833</v>
      </c>
      <c r="C880" s="2">
        <v>44636</v>
      </c>
      <c r="D880" s="1" t="s">
        <v>26</v>
      </c>
      <c r="E880" s="1" t="s">
        <v>43</v>
      </c>
      <c r="F880" s="1" t="s">
        <v>44</v>
      </c>
      <c r="G880" s="1" t="s">
        <v>15</v>
      </c>
      <c r="H880" s="1">
        <v>35</v>
      </c>
      <c r="I880" s="1" t="s">
        <v>126</v>
      </c>
      <c r="J880" s="3">
        <v>0.45</v>
      </c>
      <c r="K880" s="4">
        <v>4250</v>
      </c>
      <c r="L880" s="5">
        <f t="shared" si="6"/>
        <v>1912.5</v>
      </c>
      <c r="M880" s="5">
        <f t="shared" si="7"/>
        <v>860.625</v>
      </c>
      <c r="N880" s="6">
        <v>0.45</v>
      </c>
    </row>
    <row r="881" spans="1:14" ht="15.75" customHeight="1" x14ac:dyDescent="0.45">
      <c r="A881" s="1" t="s">
        <v>122</v>
      </c>
      <c r="B881" s="1">
        <v>1189833</v>
      </c>
      <c r="C881" s="2">
        <v>44636</v>
      </c>
      <c r="D881" s="1" t="s">
        <v>26</v>
      </c>
      <c r="E881" s="1" t="s">
        <v>43</v>
      </c>
      <c r="F881" s="1" t="s">
        <v>44</v>
      </c>
      <c r="G881" s="1" t="s">
        <v>16</v>
      </c>
      <c r="H881" s="1">
        <v>25</v>
      </c>
      <c r="I881" s="1" t="s">
        <v>125</v>
      </c>
      <c r="J881" s="3">
        <v>0.45</v>
      </c>
      <c r="K881" s="4">
        <v>3250</v>
      </c>
      <c r="L881" s="5">
        <f t="shared" si="6"/>
        <v>1462.5</v>
      </c>
      <c r="M881" s="5">
        <f t="shared" si="7"/>
        <v>585</v>
      </c>
      <c r="N881" s="6">
        <v>0.39999999999999997</v>
      </c>
    </row>
    <row r="882" spans="1:14" ht="15.75" customHeight="1" x14ac:dyDescent="0.45">
      <c r="A882" s="1" t="s">
        <v>122</v>
      </c>
      <c r="B882" s="1">
        <v>1189833</v>
      </c>
      <c r="C882" s="2">
        <v>44636</v>
      </c>
      <c r="D882" s="1" t="s">
        <v>26</v>
      </c>
      <c r="E882" s="1" t="s">
        <v>43</v>
      </c>
      <c r="F882" s="1" t="s">
        <v>44</v>
      </c>
      <c r="G882" s="1" t="s">
        <v>17</v>
      </c>
      <c r="H882" s="1">
        <v>57</v>
      </c>
      <c r="I882" s="1" t="s">
        <v>126</v>
      </c>
      <c r="J882" s="3">
        <v>0.5</v>
      </c>
      <c r="K882" s="4">
        <v>2000</v>
      </c>
      <c r="L882" s="5">
        <f t="shared" si="6"/>
        <v>1000</v>
      </c>
      <c r="M882" s="5">
        <f t="shared" si="7"/>
        <v>600.00000000000011</v>
      </c>
      <c r="N882" s="6">
        <v>0.60000000000000009</v>
      </c>
    </row>
    <row r="883" spans="1:14" ht="15.75" customHeight="1" x14ac:dyDescent="0.45">
      <c r="A883" s="1" t="s">
        <v>122</v>
      </c>
      <c r="B883" s="1">
        <v>1189833</v>
      </c>
      <c r="C883" s="2">
        <v>44636</v>
      </c>
      <c r="D883" s="1" t="s">
        <v>26</v>
      </c>
      <c r="E883" s="1" t="s">
        <v>43</v>
      </c>
      <c r="F883" s="1" t="s">
        <v>44</v>
      </c>
      <c r="G883" s="1" t="s">
        <v>18</v>
      </c>
      <c r="H883" s="1">
        <v>58</v>
      </c>
      <c r="I883" s="1" t="s">
        <v>123</v>
      </c>
      <c r="J883" s="3">
        <v>0.45</v>
      </c>
      <c r="K883" s="4">
        <v>4000</v>
      </c>
      <c r="L883" s="5">
        <f t="shared" si="6"/>
        <v>1800</v>
      </c>
      <c r="M883" s="5">
        <f t="shared" si="7"/>
        <v>450</v>
      </c>
      <c r="N883" s="6">
        <v>0.25</v>
      </c>
    </row>
    <row r="884" spans="1:14" ht="15.75" customHeight="1" x14ac:dyDescent="0.45">
      <c r="A884" s="1" t="s">
        <v>122</v>
      </c>
      <c r="B884" s="1">
        <v>1189833</v>
      </c>
      <c r="C884" s="2">
        <v>44668</v>
      </c>
      <c r="D884" s="1" t="s">
        <v>26</v>
      </c>
      <c r="E884" s="1" t="s">
        <v>43</v>
      </c>
      <c r="F884" s="1" t="s">
        <v>44</v>
      </c>
      <c r="G884" s="1" t="s">
        <v>13</v>
      </c>
      <c r="H884" s="1">
        <v>45</v>
      </c>
      <c r="I884" s="1" t="s">
        <v>126</v>
      </c>
      <c r="J884" s="3">
        <v>0.45</v>
      </c>
      <c r="K884" s="4">
        <v>5750</v>
      </c>
      <c r="L884" s="5">
        <f t="shared" si="6"/>
        <v>2587.5</v>
      </c>
      <c r="M884" s="5">
        <f t="shared" si="7"/>
        <v>1164.375</v>
      </c>
      <c r="N884" s="6">
        <v>0.45</v>
      </c>
    </row>
    <row r="885" spans="1:14" ht="15.75" customHeight="1" x14ac:dyDescent="0.45">
      <c r="A885" s="1" t="s">
        <v>122</v>
      </c>
      <c r="B885" s="1">
        <v>1189833</v>
      </c>
      <c r="C885" s="2">
        <v>44668</v>
      </c>
      <c r="D885" s="1" t="s">
        <v>26</v>
      </c>
      <c r="E885" s="1" t="s">
        <v>43</v>
      </c>
      <c r="F885" s="1" t="s">
        <v>44</v>
      </c>
      <c r="G885" s="1" t="s">
        <v>14</v>
      </c>
      <c r="H885" s="1">
        <v>34</v>
      </c>
      <c r="I885" s="1" t="s">
        <v>124</v>
      </c>
      <c r="J885" s="3">
        <v>0.45</v>
      </c>
      <c r="K885" s="4">
        <v>3750</v>
      </c>
      <c r="L885" s="5">
        <f t="shared" si="6"/>
        <v>1687.5</v>
      </c>
      <c r="M885" s="5">
        <f t="shared" si="7"/>
        <v>506.25</v>
      </c>
      <c r="N885" s="6">
        <v>0.3</v>
      </c>
    </row>
    <row r="886" spans="1:14" ht="15.75" customHeight="1" x14ac:dyDescent="0.45">
      <c r="A886" s="1" t="s">
        <v>122</v>
      </c>
      <c r="B886" s="1">
        <v>1189833</v>
      </c>
      <c r="C886" s="2">
        <v>44668</v>
      </c>
      <c r="D886" s="1" t="s">
        <v>26</v>
      </c>
      <c r="E886" s="1" t="s">
        <v>43</v>
      </c>
      <c r="F886" s="1" t="s">
        <v>44</v>
      </c>
      <c r="G886" s="1" t="s">
        <v>15</v>
      </c>
      <c r="H886" s="1">
        <v>52</v>
      </c>
      <c r="I886" s="1" t="s">
        <v>124</v>
      </c>
      <c r="J886" s="3">
        <v>0.45</v>
      </c>
      <c r="K886" s="4">
        <v>4000</v>
      </c>
      <c r="L886" s="5">
        <f t="shared" si="6"/>
        <v>1800</v>
      </c>
      <c r="M886" s="5">
        <f t="shared" si="7"/>
        <v>810</v>
      </c>
      <c r="N886" s="6">
        <v>0.45</v>
      </c>
    </row>
    <row r="887" spans="1:14" ht="15.75" customHeight="1" x14ac:dyDescent="0.45">
      <c r="A887" s="1" t="s">
        <v>122</v>
      </c>
      <c r="B887" s="1">
        <v>1189833</v>
      </c>
      <c r="C887" s="2">
        <v>44668</v>
      </c>
      <c r="D887" s="1" t="s">
        <v>26</v>
      </c>
      <c r="E887" s="1" t="s">
        <v>43</v>
      </c>
      <c r="F887" s="1" t="s">
        <v>44</v>
      </c>
      <c r="G887" s="1" t="s">
        <v>16</v>
      </c>
      <c r="H887" s="1">
        <v>29</v>
      </c>
      <c r="I887" s="1" t="s">
        <v>123</v>
      </c>
      <c r="J887" s="3">
        <v>0.4</v>
      </c>
      <c r="K887" s="4">
        <v>3000</v>
      </c>
      <c r="L887" s="5">
        <f t="shared" si="6"/>
        <v>1200</v>
      </c>
      <c r="M887" s="5">
        <f t="shared" si="7"/>
        <v>479.99999999999994</v>
      </c>
      <c r="N887" s="6">
        <v>0.39999999999999997</v>
      </c>
    </row>
    <row r="888" spans="1:14" ht="15.75" customHeight="1" x14ac:dyDescent="0.45">
      <c r="A888" s="1" t="s">
        <v>122</v>
      </c>
      <c r="B888" s="1">
        <v>1189833</v>
      </c>
      <c r="C888" s="2">
        <v>44668</v>
      </c>
      <c r="D888" s="1" t="s">
        <v>26</v>
      </c>
      <c r="E888" s="1" t="s">
        <v>43</v>
      </c>
      <c r="F888" s="1" t="s">
        <v>44</v>
      </c>
      <c r="G888" s="1" t="s">
        <v>17</v>
      </c>
      <c r="H888" s="1">
        <v>51</v>
      </c>
      <c r="I888" s="1" t="s">
        <v>123</v>
      </c>
      <c r="J888" s="3">
        <v>0.45</v>
      </c>
      <c r="K888" s="4">
        <v>2000</v>
      </c>
      <c r="L888" s="5">
        <f t="shared" si="6"/>
        <v>900</v>
      </c>
      <c r="M888" s="5">
        <f t="shared" si="7"/>
        <v>540.00000000000011</v>
      </c>
      <c r="N888" s="6">
        <v>0.60000000000000009</v>
      </c>
    </row>
    <row r="889" spans="1:14" ht="15.75" customHeight="1" x14ac:dyDescent="0.45">
      <c r="A889" s="1" t="s">
        <v>122</v>
      </c>
      <c r="B889" s="1">
        <v>1189833</v>
      </c>
      <c r="C889" s="2">
        <v>44668</v>
      </c>
      <c r="D889" s="1" t="s">
        <v>26</v>
      </c>
      <c r="E889" s="1" t="s">
        <v>43</v>
      </c>
      <c r="F889" s="1" t="s">
        <v>44</v>
      </c>
      <c r="G889" s="1" t="s">
        <v>18</v>
      </c>
      <c r="H889" s="1">
        <v>37</v>
      </c>
      <c r="I889" s="1" t="s">
        <v>125</v>
      </c>
      <c r="J889" s="3">
        <v>0.6</v>
      </c>
      <c r="K889" s="4">
        <v>3750</v>
      </c>
      <c r="L889" s="5">
        <f t="shared" si="6"/>
        <v>2250</v>
      </c>
      <c r="M889" s="5">
        <f t="shared" si="7"/>
        <v>562.5</v>
      </c>
      <c r="N889" s="6">
        <v>0.25</v>
      </c>
    </row>
    <row r="890" spans="1:14" ht="15.75" customHeight="1" x14ac:dyDescent="0.45">
      <c r="A890" s="1" t="s">
        <v>122</v>
      </c>
      <c r="B890" s="1">
        <v>1189833</v>
      </c>
      <c r="C890" s="2">
        <v>44699</v>
      </c>
      <c r="D890" s="1" t="s">
        <v>26</v>
      </c>
      <c r="E890" s="1" t="s">
        <v>43</v>
      </c>
      <c r="F890" s="1" t="s">
        <v>44</v>
      </c>
      <c r="G890" s="1" t="s">
        <v>13</v>
      </c>
      <c r="H890" s="1">
        <v>50</v>
      </c>
      <c r="I890" s="1" t="s">
        <v>125</v>
      </c>
      <c r="J890" s="3">
        <v>0.4</v>
      </c>
      <c r="K890" s="4">
        <v>5750</v>
      </c>
      <c r="L890" s="5">
        <f t="shared" si="6"/>
        <v>2300</v>
      </c>
      <c r="M890" s="5">
        <f t="shared" si="7"/>
        <v>1035</v>
      </c>
      <c r="N890" s="6">
        <v>0.45</v>
      </c>
    </row>
    <row r="891" spans="1:14" ht="15.75" customHeight="1" x14ac:dyDescent="0.45">
      <c r="A891" s="1" t="s">
        <v>122</v>
      </c>
      <c r="B891" s="1">
        <v>1189833</v>
      </c>
      <c r="C891" s="2">
        <v>44699</v>
      </c>
      <c r="D891" s="1" t="s">
        <v>26</v>
      </c>
      <c r="E891" s="1" t="s">
        <v>43</v>
      </c>
      <c r="F891" s="1" t="s">
        <v>44</v>
      </c>
      <c r="G891" s="1" t="s">
        <v>14</v>
      </c>
      <c r="H891" s="1">
        <v>28</v>
      </c>
      <c r="I891" s="1" t="s">
        <v>124</v>
      </c>
      <c r="J891" s="3">
        <v>0.45</v>
      </c>
      <c r="K891" s="4">
        <v>4250</v>
      </c>
      <c r="L891" s="5">
        <f t="shared" si="6"/>
        <v>1912.5</v>
      </c>
      <c r="M891" s="5">
        <f t="shared" si="7"/>
        <v>573.75</v>
      </c>
      <c r="N891" s="6">
        <v>0.3</v>
      </c>
    </row>
    <row r="892" spans="1:14" ht="15.75" customHeight="1" x14ac:dyDescent="0.45">
      <c r="A892" s="1" t="s">
        <v>122</v>
      </c>
      <c r="B892" s="1">
        <v>1189833</v>
      </c>
      <c r="C892" s="2">
        <v>44699</v>
      </c>
      <c r="D892" s="1" t="s">
        <v>26</v>
      </c>
      <c r="E892" s="1" t="s">
        <v>43</v>
      </c>
      <c r="F892" s="1" t="s">
        <v>44</v>
      </c>
      <c r="G892" s="1" t="s">
        <v>15</v>
      </c>
      <c r="H892" s="1">
        <v>53</v>
      </c>
      <c r="I892" s="1" t="s">
        <v>123</v>
      </c>
      <c r="J892" s="3">
        <v>0.45</v>
      </c>
      <c r="K892" s="4">
        <v>4250</v>
      </c>
      <c r="L892" s="5">
        <f t="shared" si="6"/>
        <v>1912.5</v>
      </c>
      <c r="M892" s="5">
        <f t="shared" si="7"/>
        <v>860.625</v>
      </c>
      <c r="N892" s="6">
        <v>0.45</v>
      </c>
    </row>
    <row r="893" spans="1:14" ht="15.75" customHeight="1" x14ac:dyDescent="0.45">
      <c r="A893" s="1" t="s">
        <v>122</v>
      </c>
      <c r="B893" s="1">
        <v>1189833</v>
      </c>
      <c r="C893" s="2">
        <v>44699</v>
      </c>
      <c r="D893" s="1" t="s">
        <v>26</v>
      </c>
      <c r="E893" s="1" t="s">
        <v>43</v>
      </c>
      <c r="F893" s="1" t="s">
        <v>44</v>
      </c>
      <c r="G893" s="1" t="s">
        <v>16</v>
      </c>
      <c r="H893" s="1">
        <v>17</v>
      </c>
      <c r="I893" s="1" t="s">
        <v>126</v>
      </c>
      <c r="J893" s="3">
        <v>0.4</v>
      </c>
      <c r="K893" s="4">
        <v>3250</v>
      </c>
      <c r="L893" s="5">
        <f t="shared" si="6"/>
        <v>1300</v>
      </c>
      <c r="M893" s="5">
        <f t="shared" si="7"/>
        <v>520</v>
      </c>
      <c r="N893" s="6">
        <v>0.39999999999999997</v>
      </c>
    </row>
    <row r="894" spans="1:14" ht="15.75" customHeight="1" x14ac:dyDescent="0.45">
      <c r="A894" s="1" t="s">
        <v>122</v>
      </c>
      <c r="B894" s="1">
        <v>1189833</v>
      </c>
      <c r="C894" s="2">
        <v>44699</v>
      </c>
      <c r="D894" s="1" t="s">
        <v>26</v>
      </c>
      <c r="E894" s="1" t="s">
        <v>43</v>
      </c>
      <c r="F894" s="1" t="s">
        <v>44</v>
      </c>
      <c r="G894" s="1" t="s">
        <v>17</v>
      </c>
      <c r="H894" s="1">
        <v>18</v>
      </c>
      <c r="I894" s="1" t="s">
        <v>123</v>
      </c>
      <c r="J894" s="3">
        <v>0.45</v>
      </c>
      <c r="K894" s="4">
        <v>2250</v>
      </c>
      <c r="L894" s="5">
        <f t="shared" si="6"/>
        <v>1012.5</v>
      </c>
      <c r="M894" s="5">
        <f t="shared" si="7"/>
        <v>607.50000000000011</v>
      </c>
      <c r="N894" s="6">
        <v>0.60000000000000009</v>
      </c>
    </row>
    <row r="895" spans="1:14" ht="15.75" customHeight="1" x14ac:dyDescent="0.45">
      <c r="A895" s="1" t="s">
        <v>122</v>
      </c>
      <c r="B895" s="1">
        <v>1189833</v>
      </c>
      <c r="C895" s="2">
        <v>44699</v>
      </c>
      <c r="D895" s="1" t="s">
        <v>26</v>
      </c>
      <c r="E895" s="1" t="s">
        <v>43</v>
      </c>
      <c r="F895" s="1" t="s">
        <v>44</v>
      </c>
      <c r="G895" s="1" t="s">
        <v>18</v>
      </c>
      <c r="H895" s="1">
        <v>32</v>
      </c>
      <c r="I895" s="1" t="s">
        <v>125</v>
      </c>
      <c r="J895" s="3">
        <v>0.6</v>
      </c>
      <c r="K895" s="4">
        <v>4000</v>
      </c>
      <c r="L895" s="5">
        <f t="shared" si="6"/>
        <v>2400</v>
      </c>
      <c r="M895" s="5">
        <f t="shared" si="7"/>
        <v>600</v>
      </c>
      <c r="N895" s="6">
        <v>0.25</v>
      </c>
    </row>
    <row r="896" spans="1:14" ht="15.75" customHeight="1" x14ac:dyDescent="0.45">
      <c r="A896" s="1" t="s">
        <v>122</v>
      </c>
      <c r="B896" s="1">
        <v>1189833</v>
      </c>
      <c r="C896" s="2">
        <v>44729</v>
      </c>
      <c r="D896" s="1" t="s">
        <v>26</v>
      </c>
      <c r="E896" s="1" t="s">
        <v>43</v>
      </c>
      <c r="F896" s="1" t="s">
        <v>44</v>
      </c>
      <c r="G896" s="1" t="s">
        <v>13</v>
      </c>
      <c r="H896" s="1">
        <v>16</v>
      </c>
      <c r="I896" s="1" t="s">
        <v>123</v>
      </c>
      <c r="J896" s="3">
        <v>0.4</v>
      </c>
      <c r="K896" s="4">
        <v>6750</v>
      </c>
      <c r="L896" s="5">
        <f t="shared" si="6"/>
        <v>2700</v>
      </c>
      <c r="M896" s="5">
        <f t="shared" si="7"/>
        <v>1215</v>
      </c>
      <c r="N896" s="6">
        <v>0.45</v>
      </c>
    </row>
    <row r="897" spans="1:14" ht="15.75" customHeight="1" x14ac:dyDescent="0.45">
      <c r="A897" s="1" t="s">
        <v>122</v>
      </c>
      <c r="B897" s="1">
        <v>1189833</v>
      </c>
      <c r="C897" s="2">
        <v>44729</v>
      </c>
      <c r="D897" s="1" t="s">
        <v>26</v>
      </c>
      <c r="E897" s="1" t="s">
        <v>43</v>
      </c>
      <c r="F897" s="1" t="s">
        <v>44</v>
      </c>
      <c r="G897" s="1" t="s">
        <v>14</v>
      </c>
      <c r="H897" s="1">
        <v>29</v>
      </c>
      <c r="I897" s="1" t="s">
        <v>126</v>
      </c>
      <c r="J897" s="3">
        <v>0.45</v>
      </c>
      <c r="K897" s="4">
        <v>5250</v>
      </c>
      <c r="L897" s="5">
        <f t="shared" si="6"/>
        <v>2362.5</v>
      </c>
      <c r="M897" s="5">
        <f t="shared" si="7"/>
        <v>708.75</v>
      </c>
      <c r="N897" s="6">
        <v>0.3</v>
      </c>
    </row>
    <row r="898" spans="1:14" ht="15.75" customHeight="1" x14ac:dyDescent="0.45">
      <c r="A898" s="1" t="s">
        <v>122</v>
      </c>
      <c r="B898" s="1">
        <v>1189833</v>
      </c>
      <c r="C898" s="2">
        <v>44729</v>
      </c>
      <c r="D898" s="1" t="s">
        <v>26</v>
      </c>
      <c r="E898" s="1" t="s">
        <v>43</v>
      </c>
      <c r="F898" s="1" t="s">
        <v>44</v>
      </c>
      <c r="G898" s="1" t="s">
        <v>15</v>
      </c>
      <c r="H898" s="1">
        <v>24</v>
      </c>
      <c r="I898" s="1" t="s">
        <v>125</v>
      </c>
      <c r="J898" s="3">
        <v>0.45</v>
      </c>
      <c r="K898" s="4">
        <v>5500</v>
      </c>
      <c r="L898" s="5">
        <f t="shared" si="6"/>
        <v>2475</v>
      </c>
      <c r="M898" s="5">
        <f t="shared" si="7"/>
        <v>1113.75</v>
      </c>
      <c r="N898" s="6">
        <v>0.45</v>
      </c>
    </row>
    <row r="899" spans="1:14" ht="15.75" customHeight="1" x14ac:dyDescent="0.45">
      <c r="A899" s="1" t="s">
        <v>122</v>
      </c>
      <c r="B899" s="1">
        <v>1189833</v>
      </c>
      <c r="C899" s="2">
        <v>44729</v>
      </c>
      <c r="D899" s="1" t="s">
        <v>26</v>
      </c>
      <c r="E899" s="1" t="s">
        <v>43</v>
      </c>
      <c r="F899" s="1" t="s">
        <v>44</v>
      </c>
      <c r="G899" s="1" t="s">
        <v>16</v>
      </c>
      <c r="H899" s="1">
        <v>28</v>
      </c>
      <c r="I899" s="1" t="s">
        <v>125</v>
      </c>
      <c r="J899" s="3">
        <v>0.4</v>
      </c>
      <c r="K899" s="4">
        <v>4250</v>
      </c>
      <c r="L899" s="5">
        <f t="shared" si="6"/>
        <v>1700</v>
      </c>
      <c r="M899" s="5">
        <f t="shared" si="7"/>
        <v>680</v>
      </c>
      <c r="N899" s="6">
        <v>0.39999999999999997</v>
      </c>
    </row>
    <row r="900" spans="1:14" ht="15.75" customHeight="1" x14ac:dyDescent="0.45">
      <c r="A900" s="1" t="s">
        <v>122</v>
      </c>
      <c r="B900" s="1">
        <v>1189833</v>
      </c>
      <c r="C900" s="2">
        <v>44729</v>
      </c>
      <c r="D900" s="1" t="s">
        <v>26</v>
      </c>
      <c r="E900" s="1" t="s">
        <v>43</v>
      </c>
      <c r="F900" s="1" t="s">
        <v>44</v>
      </c>
      <c r="G900" s="1" t="s">
        <v>17</v>
      </c>
      <c r="H900" s="1">
        <v>43</v>
      </c>
      <c r="I900" s="1" t="s">
        <v>126</v>
      </c>
      <c r="J900" s="3">
        <v>0.45</v>
      </c>
      <c r="K900" s="4">
        <v>3000</v>
      </c>
      <c r="L900" s="5">
        <f t="shared" si="6"/>
        <v>1350</v>
      </c>
      <c r="M900" s="5">
        <f t="shared" si="7"/>
        <v>810.00000000000011</v>
      </c>
      <c r="N900" s="6">
        <v>0.60000000000000009</v>
      </c>
    </row>
    <row r="901" spans="1:14" ht="15.75" customHeight="1" x14ac:dyDescent="0.45">
      <c r="A901" s="1" t="s">
        <v>122</v>
      </c>
      <c r="B901" s="1">
        <v>1189833</v>
      </c>
      <c r="C901" s="2">
        <v>44729</v>
      </c>
      <c r="D901" s="1" t="s">
        <v>26</v>
      </c>
      <c r="E901" s="1" t="s">
        <v>43</v>
      </c>
      <c r="F901" s="1" t="s">
        <v>44</v>
      </c>
      <c r="G901" s="1" t="s">
        <v>18</v>
      </c>
      <c r="H901" s="1">
        <v>31</v>
      </c>
      <c r="I901" s="1" t="s">
        <v>124</v>
      </c>
      <c r="J901" s="3">
        <v>0.6</v>
      </c>
      <c r="K901" s="4">
        <v>6000</v>
      </c>
      <c r="L901" s="5">
        <f t="shared" si="6"/>
        <v>3600</v>
      </c>
      <c r="M901" s="5">
        <f t="shared" si="7"/>
        <v>900</v>
      </c>
      <c r="N901" s="6">
        <v>0.25</v>
      </c>
    </row>
    <row r="902" spans="1:14" ht="15.75" customHeight="1" x14ac:dyDescent="0.45">
      <c r="A902" s="1" t="s">
        <v>122</v>
      </c>
      <c r="B902" s="1">
        <v>1189833</v>
      </c>
      <c r="C902" s="2">
        <v>44758</v>
      </c>
      <c r="D902" s="1" t="s">
        <v>26</v>
      </c>
      <c r="E902" s="1" t="s">
        <v>43</v>
      </c>
      <c r="F902" s="1" t="s">
        <v>44</v>
      </c>
      <c r="G902" s="1" t="s">
        <v>13</v>
      </c>
      <c r="H902" s="1">
        <v>47</v>
      </c>
      <c r="I902" s="1" t="s">
        <v>126</v>
      </c>
      <c r="J902" s="3">
        <v>0.4</v>
      </c>
      <c r="K902" s="4">
        <v>7500</v>
      </c>
      <c r="L902" s="5">
        <f t="shared" si="6"/>
        <v>3000</v>
      </c>
      <c r="M902" s="5">
        <f t="shared" si="7"/>
        <v>1350</v>
      </c>
      <c r="N902" s="6">
        <v>0.45</v>
      </c>
    </row>
    <row r="903" spans="1:14" ht="15.75" customHeight="1" x14ac:dyDescent="0.45">
      <c r="A903" s="1" t="s">
        <v>122</v>
      </c>
      <c r="B903" s="1">
        <v>1189833</v>
      </c>
      <c r="C903" s="2">
        <v>44758</v>
      </c>
      <c r="D903" s="1" t="s">
        <v>26</v>
      </c>
      <c r="E903" s="1" t="s">
        <v>43</v>
      </c>
      <c r="F903" s="1" t="s">
        <v>44</v>
      </c>
      <c r="G903" s="1" t="s">
        <v>14</v>
      </c>
      <c r="H903" s="1">
        <v>31</v>
      </c>
      <c r="I903" s="1" t="s">
        <v>126</v>
      </c>
      <c r="J903" s="3">
        <v>0.45</v>
      </c>
      <c r="K903" s="4">
        <v>6000</v>
      </c>
      <c r="L903" s="5">
        <f t="shared" si="6"/>
        <v>2700</v>
      </c>
      <c r="M903" s="5">
        <f t="shared" si="7"/>
        <v>810</v>
      </c>
      <c r="N903" s="6">
        <v>0.3</v>
      </c>
    </row>
    <row r="904" spans="1:14" ht="15.75" customHeight="1" x14ac:dyDescent="0.45">
      <c r="A904" s="1" t="s">
        <v>122</v>
      </c>
      <c r="B904" s="1">
        <v>1189833</v>
      </c>
      <c r="C904" s="2">
        <v>44758</v>
      </c>
      <c r="D904" s="1" t="s">
        <v>26</v>
      </c>
      <c r="E904" s="1" t="s">
        <v>43</v>
      </c>
      <c r="F904" s="1" t="s">
        <v>44</v>
      </c>
      <c r="G904" s="1" t="s">
        <v>15</v>
      </c>
      <c r="H904" s="1">
        <v>39</v>
      </c>
      <c r="I904" s="1" t="s">
        <v>125</v>
      </c>
      <c r="J904" s="3">
        <v>0.45</v>
      </c>
      <c r="K904" s="4">
        <v>5500</v>
      </c>
      <c r="L904" s="5">
        <f t="shared" si="6"/>
        <v>2475</v>
      </c>
      <c r="M904" s="5">
        <f t="shared" si="7"/>
        <v>1113.75</v>
      </c>
      <c r="N904" s="6">
        <v>0.45</v>
      </c>
    </row>
    <row r="905" spans="1:14" ht="15.75" customHeight="1" x14ac:dyDescent="0.45">
      <c r="A905" s="1" t="s">
        <v>122</v>
      </c>
      <c r="B905" s="1">
        <v>1189833</v>
      </c>
      <c r="C905" s="2">
        <v>44758</v>
      </c>
      <c r="D905" s="1" t="s">
        <v>26</v>
      </c>
      <c r="E905" s="1" t="s">
        <v>43</v>
      </c>
      <c r="F905" s="1" t="s">
        <v>44</v>
      </c>
      <c r="G905" s="1" t="s">
        <v>16</v>
      </c>
      <c r="H905" s="1">
        <v>57</v>
      </c>
      <c r="I905" s="1" t="s">
        <v>126</v>
      </c>
      <c r="J905" s="3">
        <v>0.4</v>
      </c>
      <c r="K905" s="4">
        <v>4500</v>
      </c>
      <c r="L905" s="5">
        <f t="shared" si="6"/>
        <v>1800</v>
      </c>
      <c r="M905" s="5">
        <f t="shared" si="7"/>
        <v>719.99999999999989</v>
      </c>
      <c r="N905" s="6">
        <v>0.39999999999999997</v>
      </c>
    </row>
    <row r="906" spans="1:14" ht="15.75" customHeight="1" x14ac:dyDescent="0.45">
      <c r="A906" s="1" t="s">
        <v>122</v>
      </c>
      <c r="B906" s="1">
        <v>1189833</v>
      </c>
      <c r="C906" s="2">
        <v>44758</v>
      </c>
      <c r="D906" s="1" t="s">
        <v>26</v>
      </c>
      <c r="E906" s="1" t="s">
        <v>43</v>
      </c>
      <c r="F906" s="1" t="s">
        <v>44</v>
      </c>
      <c r="G906" s="1" t="s">
        <v>17</v>
      </c>
      <c r="H906" s="1">
        <v>46</v>
      </c>
      <c r="I906" s="1" t="s">
        <v>124</v>
      </c>
      <c r="J906" s="3">
        <v>0.45</v>
      </c>
      <c r="K906" s="4">
        <v>4750</v>
      </c>
      <c r="L906" s="5">
        <f t="shared" si="6"/>
        <v>2137.5</v>
      </c>
      <c r="M906" s="5">
        <f t="shared" si="7"/>
        <v>1282.5000000000002</v>
      </c>
      <c r="N906" s="6">
        <v>0.60000000000000009</v>
      </c>
    </row>
    <row r="907" spans="1:14" ht="15.75" customHeight="1" x14ac:dyDescent="0.45">
      <c r="A907" s="1" t="s">
        <v>122</v>
      </c>
      <c r="B907" s="1">
        <v>1189833</v>
      </c>
      <c r="C907" s="2">
        <v>44758</v>
      </c>
      <c r="D907" s="1" t="s">
        <v>26</v>
      </c>
      <c r="E907" s="1" t="s">
        <v>43</v>
      </c>
      <c r="F907" s="1" t="s">
        <v>44</v>
      </c>
      <c r="G907" s="1" t="s">
        <v>18</v>
      </c>
      <c r="H907" s="1">
        <v>53</v>
      </c>
      <c r="I907" s="1" t="s">
        <v>124</v>
      </c>
      <c r="J907" s="3">
        <v>0.6</v>
      </c>
      <c r="K907" s="4">
        <v>4750</v>
      </c>
      <c r="L907" s="5">
        <f t="shared" si="6"/>
        <v>2850</v>
      </c>
      <c r="M907" s="5">
        <f t="shared" si="7"/>
        <v>712.5</v>
      </c>
      <c r="N907" s="6">
        <v>0.25</v>
      </c>
    </row>
    <row r="908" spans="1:14" ht="15.75" customHeight="1" x14ac:dyDescent="0.45">
      <c r="A908" s="1" t="s">
        <v>122</v>
      </c>
      <c r="B908" s="1">
        <v>1189833</v>
      </c>
      <c r="C908" s="2">
        <v>44790</v>
      </c>
      <c r="D908" s="1" t="s">
        <v>26</v>
      </c>
      <c r="E908" s="1" t="s">
        <v>43</v>
      </c>
      <c r="F908" s="1" t="s">
        <v>44</v>
      </c>
      <c r="G908" s="1" t="s">
        <v>13</v>
      </c>
      <c r="H908" s="1">
        <v>37</v>
      </c>
      <c r="I908" s="1" t="s">
        <v>123</v>
      </c>
      <c r="J908" s="3">
        <v>0.45</v>
      </c>
      <c r="K908" s="4">
        <v>6750</v>
      </c>
      <c r="L908" s="5">
        <f t="shared" si="6"/>
        <v>3037.5</v>
      </c>
      <c r="M908" s="5">
        <f t="shared" si="7"/>
        <v>1366.875</v>
      </c>
      <c r="N908" s="6">
        <v>0.45</v>
      </c>
    </row>
    <row r="909" spans="1:14" ht="15.75" customHeight="1" x14ac:dyDescent="0.45">
      <c r="A909" s="1" t="s">
        <v>122</v>
      </c>
      <c r="B909" s="1">
        <v>1189833</v>
      </c>
      <c r="C909" s="2">
        <v>44790</v>
      </c>
      <c r="D909" s="1" t="s">
        <v>26</v>
      </c>
      <c r="E909" s="1" t="s">
        <v>43</v>
      </c>
      <c r="F909" s="1" t="s">
        <v>44</v>
      </c>
      <c r="G909" s="1" t="s">
        <v>14</v>
      </c>
      <c r="H909" s="1">
        <v>35</v>
      </c>
      <c r="I909" s="1" t="s">
        <v>126</v>
      </c>
      <c r="J909" s="3">
        <v>0.55000000000000004</v>
      </c>
      <c r="K909" s="4">
        <v>6250</v>
      </c>
      <c r="L909" s="5">
        <f t="shared" si="6"/>
        <v>3437.5000000000005</v>
      </c>
      <c r="M909" s="5">
        <f t="shared" si="7"/>
        <v>1031.25</v>
      </c>
      <c r="N909" s="6">
        <v>0.3</v>
      </c>
    </row>
    <row r="910" spans="1:14" ht="15.75" customHeight="1" x14ac:dyDescent="0.45">
      <c r="A910" s="1" t="s">
        <v>122</v>
      </c>
      <c r="B910" s="1">
        <v>1189833</v>
      </c>
      <c r="C910" s="2">
        <v>44790</v>
      </c>
      <c r="D910" s="1" t="s">
        <v>26</v>
      </c>
      <c r="E910" s="1" t="s">
        <v>43</v>
      </c>
      <c r="F910" s="1" t="s">
        <v>44</v>
      </c>
      <c r="G910" s="1" t="s">
        <v>15</v>
      </c>
      <c r="H910" s="1">
        <v>46</v>
      </c>
      <c r="I910" s="1" t="s">
        <v>125</v>
      </c>
      <c r="J910" s="3">
        <v>0.5</v>
      </c>
      <c r="K910" s="4">
        <v>5000</v>
      </c>
      <c r="L910" s="5">
        <f t="shared" si="6"/>
        <v>2500</v>
      </c>
      <c r="M910" s="5">
        <f t="shared" si="7"/>
        <v>1125</v>
      </c>
      <c r="N910" s="6">
        <v>0.45</v>
      </c>
    </row>
    <row r="911" spans="1:14" ht="15.75" customHeight="1" x14ac:dyDescent="0.45">
      <c r="A911" s="1" t="s">
        <v>122</v>
      </c>
      <c r="B911" s="1">
        <v>1189833</v>
      </c>
      <c r="C911" s="2">
        <v>44790</v>
      </c>
      <c r="D911" s="1" t="s">
        <v>26</v>
      </c>
      <c r="E911" s="1" t="s">
        <v>43</v>
      </c>
      <c r="F911" s="1" t="s">
        <v>44</v>
      </c>
      <c r="G911" s="1" t="s">
        <v>16</v>
      </c>
      <c r="H911" s="1">
        <v>39</v>
      </c>
      <c r="I911" s="1" t="s">
        <v>125</v>
      </c>
      <c r="J911" s="3">
        <v>0.45</v>
      </c>
      <c r="K911" s="4">
        <v>4250</v>
      </c>
      <c r="L911" s="5">
        <f t="shared" si="6"/>
        <v>1912.5</v>
      </c>
      <c r="M911" s="5">
        <f t="shared" si="7"/>
        <v>764.99999999999989</v>
      </c>
      <c r="N911" s="6">
        <v>0.39999999999999997</v>
      </c>
    </row>
    <row r="912" spans="1:14" ht="15.75" customHeight="1" x14ac:dyDescent="0.45">
      <c r="A912" s="1" t="s">
        <v>122</v>
      </c>
      <c r="B912" s="1">
        <v>1189833</v>
      </c>
      <c r="C912" s="2">
        <v>44790</v>
      </c>
      <c r="D912" s="1" t="s">
        <v>26</v>
      </c>
      <c r="E912" s="1" t="s">
        <v>43</v>
      </c>
      <c r="F912" s="1" t="s">
        <v>44</v>
      </c>
      <c r="G912" s="1" t="s">
        <v>17</v>
      </c>
      <c r="H912" s="1">
        <v>55</v>
      </c>
      <c r="I912" s="1" t="s">
        <v>125</v>
      </c>
      <c r="J912" s="3">
        <v>0.54999999999999993</v>
      </c>
      <c r="K912" s="4">
        <v>4250</v>
      </c>
      <c r="L912" s="5">
        <f t="shared" si="6"/>
        <v>2337.4999999999995</v>
      </c>
      <c r="M912" s="5">
        <f t="shared" si="7"/>
        <v>1402.5</v>
      </c>
      <c r="N912" s="6">
        <v>0.60000000000000009</v>
      </c>
    </row>
    <row r="913" spans="1:14" ht="15.75" customHeight="1" x14ac:dyDescent="0.45">
      <c r="A913" s="1" t="s">
        <v>122</v>
      </c>
      <c r="B913" s="1">
        <v>1189833</v>
      </c>
      <c r="C913" s="2">
        <v>44790</v>
      </c>
      <c r="D913" s="1" t="s">
        <v>26</v>
      </c>
      <c r="E913" s="1" t="s">
        <v>43</v>
      </c>
      <c r="F913" s="1" t="s">
        <v>44</v>
      </c>
      <c r="G913" s="1" t="s">
        <v>18</v>
      </c>
      <c r="H913" s="1">
        <v>33</v>
      </c>
      <c r="I913" s="1" t="s">
        <v>126</v>
      </c>
      <c r="J913" s="3">
        <v>0.6</v>
      </c>
      <c r="K913" s="4">
        <v>4000</v>
      </c>
      <c r="L913" s="5">
        <f t="shared" si="6"/>
        <v>2400</v>
      </c>
      <c r="M913" s="5">
        <f t="shared" si="7"/>
        <v>600</v>
      </c>
      <c r="N913" s="6">
        <v>0.25</v>
      </c>
    </row>
    <row r="914" spans="1:14" ht="15.75" customHeight="1" x14ac:dyDescent="0.45">
      <c r="A914" s="1" t="s">
        <v>122</v>
      </c>
      <c r="B914" s="1">
        <v>1189833</v>
      </c>
      <c r="C914" s="2">
        <v>44822</v>
      </c>
      <c r="D914" s="1" t="s">
        <v>26</v>
      </c>
      <c r="E914" s="1" t="s">
        <v>43</v>
      </c>
      <c r="F914" s="1" t="s">
        <v>44</v>
      </c>
      <c r="G914" s="1" t="s">
        <v>13</v>
      </c>
      <c r="H914" s="1">
        <v>22</v>
      </c>
      <c r="I914" s="1" t="s">
        <v>124</v>
      </c>
      <c r="J914" s="3">
        <v>0.45</v>
      </c>
      <c r="K914" s="4">
        <v>6000</v>
      </c>
      <c r="L914" s="5">
        <f t="shared" si="6"/>
        <v>2700</v>
      </c>
      <c r="M914" s="5">
        <f t="shared" si="7"/>
        <v>1215</v>
      </c>
      <c r="N914" s="6">
        <v>0.45</v>
      </c>
    </row>
    <row r="915" spans="1:14" ht="15.75" customHeight="1" x14ac:dyDescent="0.45">
      <c r="A915" s="1" t="s">
        <v>122</v>
      </c>
      <c r="B915" s="1">
        <v>1189833</v>
      </c>
      <c r="C915" s="2">
        <v>44822</v>
      </c>
      <c r="D915" s="1" t="s">
        <v>26</v>
      </c>
      <c r="E915" s="1" t="s">
        <v>43</v>
      </c>
      <c r="F915" s="1" t="s">
        <v>44</v>
      </c>
      <c r="G915" s="1" t="s">
        <v>14</v>
      </c>
      <c r="H915" s="1">
        <v>51</v>
      </c>
      <c r="I915" s="1" t="s">
        <v>123</v>
      </c>
      <c r="J915" s="3">
        <v>0.5</v>
      </c>
      <c r="K915" s="4">
        <v>6000</v>
      </c>
      <c r="L915" s="5">
        <f t="shared" si="6"/>
        <v>3000</v>
      </c>
      <c r="M915" s="5">
        <f t="shared" si="7"/>
        <v>900</v>
      </c>
      <c r="N915" s="6">
        <v>0.3</v>
      </c>
    </row>
    <row r="916" spans="1:14" ht="15.75" customHeight="1" x14ac:dyDescent="0.45">
      <c r="A916" s="1" t="s">
        <v>122</v>
      </c>
      <c r="B916" s="1">
        <v>1189833</v>
      </c>
      <c r="C916" s="2">
        <v>44822</v>
      </c>
      <c r="D916" s="1" t="s">
        <v>26</v>
      </c>
      <c r="E916" s="1" t="s">
        <v>43</v>
      </c>
      <c r="F916" s="1" t="s">
        <v>44</v>
      </c>
      <c r="G916" s="1" t="s">
        <v>15</v>
      </c>
      <c r="H916" s="1">
        <v>49</v>
      </c>
      <c r="I916" s="1" t="s">
        <v>126</v>
      </c>
      <c r="J916" s="3">
        <v>0.45</v>
      </c>
      <c r="K916" s="4">
        <v>4500</v>
      </c>
      <c r="L916" s="5">
        <f t="shared" si="6"/>
        <v>2025</v>
      </c>
      <c r="M916" s="5">
        <f t="shared" si="7"/>
        <v>911.25</v>
      </c>
      <c r="N916" s="6">
        <v>0.45</v>
      </c>
    </row>
    <row r="917" spans="1:14" ht="15.75" customHeight="1" x14ac:dyDescent="0.45">
      <c r="A917" s="1" t="s">
        <v>122</v>
      </c>
      <c r="B917" s="1">
        <v>1189833</v>
      </c>
      <c r="C917" s="2">
        <v>44822</v>
      </c>
      <c r="D917" s="1" t="s">
        <v>26</v>
      </c>
      <c r="E917" s="1" t="s">
        <v>43</v>
      </c>
      <c r="F917" s="1" t="s">
        <v>44</v>
      </c>
      <c r="G917" s="1" t="s">
        <v>16</v>
      </c>
      <c r="H917" s="1">
        <v>47</v>
      </c>
      <c r="I917" s="1" t="s">
        <v>126</v>
      </c>
      <c r="J917" s="3">
        <v>0.45</v>
      </c>
      <c r="K917" s="4">
        <v>4000</v>
      </c>
      <c r="L917" s="5">
        <f t="shared" si="6"/>
        <v>1800</v>
      </c>
      <c r="M917" s="5">
        <f t="shared" si="7"/>
        <v>719.99999999999989</v>
      </c>
      <c r="N917" s="6">
        <v>0.39999999999999997</v>
      </c>
    </row>
    <row r="918" spans="1:14" ht="15.75" customHeight="1" x14ac:dyDescent="0.45">
      <c r="A918" s="1" t="s">
        <v>122</v>
      </c>
      <c r="B918" s="1">
        <v>1189833</v>
      </c>
      <c r="C918" s="2">
        <v>44822</v>
      </c>
      <c r="D918" s="1" t="s">
        <v>26</v>
      </c>
      <c r="E918" s="1" t="s">
        <v>43</v>
      </c>
      <c r="F918" s="1" t="s">
        <v>44</v>
      </c>
      <c r="G918" s="1" t="s">
        <v>17</v>
      </c>
      <c r="H918" s="1">
        <v>49</v>
      </c>
      <c r="I918" s="1" t="s">
        <v>124</v>
      </c>
      <c r="J918" s="3">
        <v>0.54999999999999993</v>
      </c>
      <c r="K918" s="4">
        <v>4000</v>
      </c>
      <c r="L918" s="5">
        <f t="shared" si="6"/>
        <v>2199.9999999999995</v>
      </c>
      <c r="M918" s="5">
        <f t="shared" si="7"/>
        <v>1320</v>
      </c>
      <c r="N918" s="6">
        <v>0.60000000000000009</v>
      </c>
    </row>
    <row r="919" spans="1:14" ht="15.75" customHeight="1" x14ac:dyDescent="0.45">
      <c r="A919" s="1" t="s">
        <v>122</v>
      </c>
      <c r="B919" s="1">
        <v>1189833</v>
      </c>
      <c r="C919" s="2">
        <v>44822</v>
      </c>
      <c r="D919" s="1" t="s">
        <v>26</v>
      </c>
      <c r="E919" s="1" t="s">
        <v>43</v>
      </c>
      <c r="F919" s="1" t="s">
        <v>44</v>
      </c>
      <c r="G919" s="1" t="s">
        <v>18</v>
      </c>
      <c r="H919" s="1">
        <v>22</v>
      </c>
      <c r="I919" s="1" t="s">
        <v>125</v>
      </c>
      <c r="J919" s="3">
        <v>0.6</v>
      </c>
      <c r="K919" s="4">
        <v>4500</v>
      </c>
      <c r="L919" s="5">
        <f t="shared" si="6"/>
        <v>2700</v>
      </c>
      <c r="M919" s="5">
        <f t="shared" si="7"/>
        <v>675</v>
      </c>
      <c r="N919" s="6">
        <v>0.25</v>
      </c>
    </row>
    <row r="920" spans="1:14" ht="15.75" customHeight="1" x14ac:dyDescent="0.45">
      <c r="A920" s="1" t="s">
        <v>122</v>
      </c>
      <c r="B920" s="1">
        <v>1189833</v>
      </c>
      <c r="C920" s="2">
        <v>44851</v>
      </c>
      <c r="D920" s="1" t="s">
        <v>26</v>
      </c>
      <c r="E920" s="1" t="s">
        <v>43</v>
      </c>
      <c r="F920" s="1" t="s">
        <v>44</v>
      </c>
      <c r="G920" s="1" t="s">
        <v>13</v>
      </c>
      <c r="H920" s="1">
        <v>42</v>
      </c>
      <c r="I920" s="1" t="s">
        <v>126</v>
      </c>
      <c r="J920" s="3">
        <v>0.45</v>
      </c>
      <c r="K920" s="4">
        <v>5500</v>
      </c>
      <c r="L920" s="5">
        <f t="shared" si="6"/>
        <v>2475</v>
      </c>
      <c r="M920" s="5">
        <f t="shared" si="7"/>
        <v>1113.75</v>
      </c>
      <c r="N920" s="6">
        <v>0.45</v>
      </c>
    </row>
    <row r="921" spans="1:14" ht="15.75" customHeight="1" x14ac:dyDescent="0.45">
      <c r="A921" s="1" t="s">
        <v>122</v>
      </c>
      <c r="B921" s="1">
        <v>1189833</v>
      </c>
      <c r="C921" s="2">
        <v>44851</v>
      </c>
      <c r="D921" s="1" t="s">
        <v>26</v>
      </c>
      <c r="E921" s="1" t="s">
        <v>43</v>
      </c>
      <c r="F921" s="1" t="s">
        <v>44</v>
      </c>
      <c r="G921" s="1" t="s">
        <v>14</v>
      </c>
      <c r="H921" s="1">
        <v>24</v>
      </c>
      <c r="I921" s="1" t="s">
        <v>123</v>
      </c>
      <c r="J921" s="3">
        <v>0.5</v>
      </c>
      <c r="K921" s="4">
        <v>5500</v>
      </c>
      <c r="L921" s="5">
        <f t="shared" si="6"/>
        <v>2750</v>
      </c>
      <c r="M921" s="5">
        <f t="shared" si="7"/>
        <v>825</v>
      </c>
      <c r="N921" s="6">
        <v>0.3</v>
      </c>
    </row>
    <row r="922" spans="1:14" ht="15.75" customHeight="1" x14ac:dyDescent="0.45">
      <c r="A922" s="1" t="s">
        <v>122</v>
      </c>
      <c r="B922" s="1">
        <v>1189833</v>
      </c>
      <c r="C922" s="2">
        <v>44851</v>
      </c>
      <c r="D922" s="1" t="s">
        <v>26</v>
      </c>
      <c r="E922" s="1" t="s">
        <v>43</v>
      </c>
      <c r="F922" s="1" t="s">
        <v>44</v>
      </c>
      <c r="G922" s="1" t="s">
        <v>15</v>
      </c>
      <c r="H922" s="1">
        <v>45</v>
      </c>
      <c r="I922" s="1" t="s">
        <v>124</v>
      </c>
      <c r="J922" s="3">
        <v>0.45</v>
      </c>
      <c r="K922" s="4">
        <v>4000</v>
      </c>
      <c r="L922" s="5">
        <f t="shared" si="6"/>
        <v>1800</v>
      </c>
      <c r="M922" s="5">
        <f t="shared" si="7"/>
        <v>810</v>
      </c>
      <c r="N922" s="6">
        <v>0.45</v>
      </c>
    </row>
    <row r="923" spans="1:14" ht="15.75" customHeight="1" x14ac:dyDescent="0.45">
      <c r="A923" s="1" t="s">
        <v>122</v>
      </c>
      <c r="B923" s="1">
        <v>1189833</v>
      </c>
      <c r="C923" s="2">
        <v>44851</v>
      </c>
      <c r="D923" s="1" t="s">
        <v>26</v>
      </c>
      <c r="E923" s="1" t="s">
        <v>43</v>
      </c>
      <c r="F923" s="1" t="s">
        <v>44</v>
      </c>
      <c r="G923" s="1" t="s">
        <v>16</v>
      </c>
      <c r="H923" s="1">
        <v>46</v>
      </c>
      <c r="I923" s="1" t="s">
        <v>124</v>
      </c>
      <c r="J923" s="3">
        <v>0.45</v>
      </c>
      <c r="K923" s="4">
        <v>3750</v>
      </c>
      <c r="L923" s="5">
        <f t="shared" si="6"/>
        <v>1687.5</v>
      </c>
      <c r="M923" s="5">
        <f t="shared" si="7"/>
        <v>675</v>
      </c>
      <c r="N923" s="6">
        <v>0.39999999999999997</v>
      </c>
    </row>
    <row r="924" spans="1:14" ht="15.75" customHeight="1" x14ac:dyDescent="0.45">
      <c r="A924" s="1" t="s">
        <v>122</v>
      </c>
      <c r="B924" s="1">
        <v>1189833</v>
      </c>
      <c r="C924" s="2">
        <v>44851</v>
      </c>
      <c r="D924" s="1" t="s">
        <v>26</v>
      </c>
      <c r="E924" s="1" t="s">
        <v>43</v>
      </c>
      <c r="F924" s="1" t="s">
        <v>44</v>
      </c>
      <c r="G924" s="1" t="s">
        <v>17</v>
      </c>
      <c r="H924" s="1">
        <v>39</v>
      </c>
      <c r="I924" s="1" t="s">
        <v>124</v>
      </c>
      <c r="J924" s="3">
        <v>0.54999999999999993</v>
      </c>
      <c r="K924" s="4">
        <v>3500</v>
      </c>
      <c r="L924" s="5">
        <f t="shared" si="6"/>
        <v>1924.9999999999998</v>
      </c>
      <c r="M924" s="5">
        <f t="shared" si="7"/>
        <v>1155</v>
      </c>
      <c r="N924" s="6">
        <v>0.60000000000000009</v>
      </c>
    </row>
    <row r="925" spans="1:14" ht="15.75" customHeight="1" x14ac:dyDescent="0.45">
      <c r="A925" s="1" t="s">
        <v>122</v>
      </c>
      <c r="B925" s="1">
        <v>1189833</v>
      </c>
      <c r="C925" s="2">
        <v>44851</v>
      </c>
      <c r="D925" s="1" t="s">
        <v>26</v>
      </c>
      <c r="E925" s="1" t="s">
        <v>43</v>
      </c>
      <c r="F925" s="1" t="s">
        <v>44</v>
      </c>
      <c r="G925" s="1" t="s">
        <v>18</v>
      </c>
      <c r="H925" s="1">
        <v>54</v>
      </c>
      <c r="I925" s="1" t="s">
        <v>126</v>
      </c>
      <c r="J925" s="3">
        <v>0.6</v>
      </c>
      <c r="K925" s="4">
        <v>4000</v>
      </c>
      <c r="L925" s="5">
        <f t="shared" si="6"/>
        <v>2400</v>
      </c>
      <c r="M925" s="5">
        <f t="shared" si="7"/>
        <v>600</v>
      </c>
      <c r="N925" s="6">
        <v>0.25</v>
      </c>
    </row>
    <row r="926" spans="1:14" ht="15.75" customHeight="1" x14ac:dyDescent="0.45">
      <c r="A926" s="1" t="s">
        <v>122</v>
      </c>
      <c r="B926" s="1">
        <v>1189833</v>
      </c>
      <c r="C926" s="2">
        <v>44882</v>
      </c>
      <c r="D926" s="1" t="s">
        <v>26</v>
      </c>
      <c r="E926" s="1" t="s">
        <v>43</v>
      </c>
      <c r="F926" s="1" t="s">
        <v>44</v>
      </c>
      <c r="G926" s="1" t="s">
        <v>13</v>
      </c>
      <c r="H926" s="1">
        <v>42</v>
      </c>
      <c r="I926" s="1" t="s">
        <v>126</v>
      </c>
      <c r="J926" s="3">
        <v>0.4</v>
      </c>
      <c r="K926" s="4">
        <v>5750</v>
      </c>
      <c r="L926" s="5">
        <f t="shared" si="6"/>
        <v>2300</v>
      </c>
      <c r="M926" s="5">
        <f t="shared" si="7"/>
        <v>1035</v>
      </c>
      <c r="N926" s="6">
        <v>0.45</v>
      </c>
    </row>
    <row r="927" spans="1:14" ht="15.75" customHeight="1" x14ac:dyDescent="0.45">
      <c r="A927" s="1" t="s">
        <v>122</v>
      </c>
      <c r="B927" s="1">
        <v>1189833</v>
      </c>
      <c r="C927" s="2">
        <v>44882</v>
      </c>
      <c r="D927" s="1" t="s">
        <v>26</v>
      </c>
      <c r="E927" s="1" t="s">
        <v>43</v>
      </c>
      <c r="F927" s="1" t="s">
        <v>44</v>
      </c>
      <c r="G927" s="1" t="s">
        <v>14</v>
      </c>
      <c r="H927" s="1">
        <v>41</v>
      </c>
      <c r="I927" s="1" t="s">
        <v>126</v>
      </c>
      <c r="J927" s="3">
        <v>0.45000000000000007</v>
      </c>
      <c r="K927" s="4">
        <v>5750</v>
      </c>
      <c r="L927" s="5">
        <f t="shared" si="6"/>
        <v>2587.5000000000005</v>
      </c>
      <c r="M927" s="5">
        <f t="shared" si="7"/>
        <v>776.25000000000011</v>
      </c>
      <c r="N927" s="6">
        <v>0.3</v>
      </c>
    </row>
    <row r="928" spans="1:14" ht="15.75" customHeight="1" x14ac:dyDescent="0.45">
      <c r="A928" s="1" t="s">
        <v>122</v>
      </c>
      <c r="B928" s="1">
        <v>1189833</v>
      </c>
      <c r="C928" s="2">
        <v>44882</v>
      </c>
      <c r="D928" s="1" t="s">
        <v>26</v>
      </c>
      <c r="E928" s="1" t="s">
        <v>43</v>
      </c>
      <c r="F928" s="1" t="s">
        <v>44</v>
      </c>
      <c r="G928" s="1" t="s">
        <v>15</v>
      </c>
      <c r="H928" s="1">
        <v>42</v>
      </c>
      <c r="I928" s="1" t="s">
        <v>123</v>
      </c>
      <c r="J928" s="3">
        <v>0.4</v>
      </c>
      <c r="K928" s="4">
        <v>4250</v>
      </c>
      <c r="L928" s="5">
        <f t="shared" si="6"/>
        <v>1700</v>
      </c>
      <c r="M928" s="5">
        <f t="shared" si="7"/>
        <v>765</v>
      </c>
      <c r="N928" s="6">
        <v>0.45</v>
      </c>
    </row>
    <row r="929" spans="1:14" ht="15.75" customHeight="1" x14ac:dyDescent="0.45">
      <c r="A929" s="1" t="s">
        <v>122</v>
      </c>
      <c r="B929" s="1">
        <v>1189833</v>
      </c>
      <c r="C929" s="2">
        <v>44882</v>
      </c>
      <c r="D929" s="1" t="s">
        <v>26</v>
      </c>
      <c r="E929" s="1" t="s">
        <v>43</v>
      </c>
      <c r="F929" s="1" t="s">
        <v>44</v>
      </c>
      <c r="G929" s="1" t="s">
        <v>16</v>
      </c>
      <c r="H929" s="1">
        <v>35</v>
      </c>
      <c r="I929" s="1" t="s">
        <v>125</v>
      </c>
      <c r="J929" s="3">
        <v>0.4</v>
      </c>
      <c r="K929" s="4">
        <v>4250</v>
      </c>
      <c r="L929" s="5">
        <f t="shared" si="6"/>
        <v>1700</v>
      </c>
      <c r="M929" s="5">
        <f t="shared" si="7"/>
        <v>680</v>
      </c>
      <c r="N929" s="6">
        <v>0.39999999999999997</v>
      </c>
    </row>
    <row r="930" spans="1:14" ht="15.75" customHeight="1" x14ac:dyDescent="0.45">
      <c r="A930" s="1" t="s">
        <v>122</v>
      </c>
      <c r="B930" s="1">
        <v>1189833</v>
      </c>
      <c r="C930" s="2">
        <v>44882</v>
      </c>
      <c r="D930" s="1" t="s">
        <v>26</v>
      </c>
      <c r="E930" s="1" t="s">
        <v>43</v>
      </c>
      <c r="F930" s="1" t="s">
        <v>44</v>
      </c>
      <c r="G930" s="1" t="s">
        <v>17</v>
      </c>
      <c r="H930" s="1">
        <v>42</v>
      </c>
      <c r="I930" s="1" t="s">
        <v>125</v>
      </c>
      <c r="J930" s="3">
        <v>0.54999999999999993</v>
      </c>
      <c r="K930" s="4">
        <v>3750</v>
      </c>
      <c r="L930" s="5">
        <f t="shared" si="6"/>
        <v>2062.4999999999995</v>
      </c>
      <c r="M930" s="5">
        <f t="shared" si="7"/>
        <v>1237.5</v>
      </c>
      <c r="N930" s="6">
        <v>0.60000000000000009</v>
      </c>
    </row>
    <row r="931" spans="1:14" ht="15.75" customHeight="1" x14ac:dyDescent="0.45">
      <c r="A931" s="1" t="s">
        <v>122</v>
      </c>
      <c r="B931" s="1">
        <v>1189833</v>
      </c>
      <c r="C931" s="2">
        <v>44882</v>
      </c>
      <c r="D931" s="1" t="s">
        <v>26</v>
      </c>
      <c r="E931" s="1" t="s">
        <v>43</v>
      </c>
      <c r="F931" s="1" t="s">
        <v>44</v>
      </c>
      <c r="G931" s="1" t="s">
        <v>18</v>
      </c>
      <c r="H931" s="1">
        <v>17</v>
      </c>
      <c r="I931" s="1" t="s">
        <v>125</v>
      </c>
      <c r="J931" s="3">
        <v>0.6</v>
      </c>
      <c r="K931" s="4">
        <v>4750</v>
      </c>
      <c r="L931" s="5">
        <f t="shared" si="6"/>
        <v>2850</v>
      </c>
      <c r="M931" s="5">
        <f t="shared" si="7"/>
        <v>712.5</v>
      </c>
      <c r="N931" s="6">
        <v>0.25</v>
      </c>
    </row>
    <row r="932" spans="1:14" ht="15.75" customHeight="1" x14ac:dyDescent="0.45">
      <c r="A932" s="1" t="s">
        <v>122</v>
      </c>
      <c r="B932" s="1">
        <v>1189833</v>
      </c>
      <c r="C932" s="2">
        <v>44911</v>
      </c>
      <c r="D932" s="1" t="s">
        <v>26</v>
      </c>
      <c r="E932" s="1" t="s">
        <v>43</v>
      </c>
      <c r="F932" s="1" t="s">
        <v>44</v>
      </c>
      <c r="G932" s="1" t="s">
        <v>13</v>
      </c>
      <c r="H932" s="1">
        <v>18</v>
      </c>
      <c r="I932" s="1" t="s">
        <v>125</v>
      </c>
      <c r="J932" s="3">
        <v>0.45</v>
      </c>
      <c r="K932" s="4">
        <v>6750</v>
      </c>
      <c r="L932" s="5">
        <f t="shared" si="6"/>
        <v>3037.5</v>
      </c>
      <c r="M932" s="5">
        <f t="shared" si="7"/>
        <v>1366.875</v>
      </c>
      <c r="N932" s="6">
        <v>0.45</v>
      </c>
    </row>
    <row r="933" spans="1:14" ht="15.75" customHeight="1" x14ac:dyDescent="0.45">
      <c r="A933" s="1" t="s">
        <v>122</v>
      </c>
      <c r="B933" s="1">
        <v>1189833</v>
      </c>
      <c r="C933" s="2">
        <v>44911</v>
      </c>
      <c r="D933" s="1" t="s">
        <v>26</v>
      </c>
      <c r="E933" s="1" t="s">
        <v>43</v>
      </c>
      <c r="F933" s="1" t="s">
        <v>44</v>
      </c>
      <c r="G933" s="1" t="s">
        <v>14</v>
      </c>
      <c r="H933" s="1">
        <v>55</v>
      </c>
      <c r="I933" s="1" t="s">
        <v>124</v>
      </c>
      <c r="J933" s="3">
        <v>0.5</v>
      </c>
      <c r="K933" s="4">
        <v>6750</v>
      </c>
      <c r="L933" s="5">
        <f t="shared" si="6"/>
        <v>3375</v>
      </c>
      <c r="M933" s="5">
        <f t="shared" si="7"/>
        <v>1012.5</v>
      </c>
      <c r="N933" s="6">
        <v>0.3</v>
      </c>
    </row>
    <row r="934" spans="1:14" ht="15.75" customHeight="1" x14ac:dyDescent="0.45">
      <c r="A934" s="1" t="s">
        <v>122</v>
      </c>
      <c r="B934" s="1">
        <v>1189833</v>
      </c>
      <c r="C934" s="2">
        <v>44911</v>
      </c>
      <c r="D934" s="1" t="s">
        <v>26</v>
      </c>
      <c r="E934" s="1" t="s">
        <v>43</v>
      </c>
      <c r="F934" s="1" t="s">
        <v>44</v>
      </c>
      <c r="G934" s="1" t="s">
        <v>15</v>
      </c>
      <c r="H934" s="1">
        <v>37</v>
      </c>
      <c r="I934" s="1" t="s">
        <v>125</v>
      </c>
      <c r="J934" s="3">
        <v>0.45</v>
      </c>
      <c r="K934" s="4">
        <v>4750</v>
      </c>
      <c r="L934" s="5">
        <f t="shared" si="6"/>
        <v>2137.5</v>
      </c>
      <c r="M934" s="5">
        <f t="shared" si="7"/>
        <v>961.875</v>
      </c>
      <c r="N934" s="6">
        <v>0.45</v>
      </c>
    </row>
    <row r="935" spans="1:14" ht="15.75" customHeight="1" x14ac:dyDescent="0.45">
      <c r="A935" s="1" t="s">
        <v>122</v>
      </c>
      <c r="B935" s="1">
        <v>1189833</v>
      </c>
      <c r="C935" s="2">
        <v>44911</v>
      </c>
      <c r="D935" s="1" t="s">
        <v>26</v>
      </c>
      <c r="E935" s="1" t="s">
        <v>43</v>
      </c>
      <c r="F935" s="1" t="s">
        <v>44</v>
      </c>
      <c r="G935" s="1" t="s">
        <v>16</v>
      </c>
      <c r="H935" s="1">
        <v>21</v>
      </c>
      <c r="I935" s="1" t="s">
        <v>123</v>
      </c>
      <c r="J935" s="3">
        <v>0.45</v>
      </c>
      <c r="K935" s="4">
        <v>4750</v>
      </c>
      <c r="L935" s="5">
        <f t="shared" si="6"/>
        <v>2137.5</v>
      </c>
      <c r="M935" s="5">
        <f t="shared" si="7"/>
        <v>854.99999999999989</v>
      </c>
      <c r="N935" s="6">
        <v>0.39999999999999997</v>
      </c>
    </row>
    <row r="936" spans="1:14" ht="15.75" customHeight="1" x14ac:dyDescent="0.45">
      <c r="A936" s="1" t="s">
        <v>122</v>
      </c>
      <c r="B936" s="1">
        <v>1189833</v>
      </c>
      <c r="C936" s="2">
        <v>44911</v>
      </c>
      <c r="D936" s="1" t="s">
        <v>26</v>
      </c>
      <c r="E936" s="1" t="s">
        <v>43</v>
      </c>
      <c r="F936" s="1" t="s">
        <v>44</v>
      </c>
      <c r="G936" s="1" t="s">
        <v>17</v>
      </c>
      <c r="H936" s="1">
        <v>53</v>
      </c>
      <c r="I936" s="1" t="s">
        <v>124</v>
      </c>
      <c r="J936" s="3">
        <v>0.54999999999999993</v>
      </c>
      <c r="K936" s="4">
        <v>4000</v>
      </c>
      <c r="L936" s="5">
        <f t="shared" si="6"/>
        <v>2199.9999999999995</v>
      </c>
      <c r="M936" s="5">
        <f t="shared" si="7"/>
        <v>1320</v>
      </c>
      <c r="N936" s="6">
        <v>0.60000000000000009</v>
      </c>
    </row>
    <row r="937" spans="1:14" ht="15.75" customHeight="1" x14ac:dyDescent="0.45">
      <c r="A937" s="1" t="s">
        <v>122</v>
      </c>
      <c r="B937" s="1">
        <v>1189833</v>
      </c>
      <c r="C937" s="2">
        <v>44911</v>
      </c>
      <c r="D937" s="1" t="s">
        <v>26</v>
      </c>
      <c r="E937" s="1" t="s">
        <v>43</v>
      </c>
      <c r="F937" s="1" t="s">
        <v>44</v>
      </c>
      <c r="G937" s="1" t="s">
        <v>18</v>
      </c>
      <c r="H937" s="1">
        <v>47</v>
      </c>
      <c r="I937" s="1" t="s">
        <v>124</v>
      </c>
      <c r="J937" s="3">
        <v>0.6</v>
      </c>
      <c r="K937" s="4">
        <v>5000</v>
      </c>
      <c r="L937" s="5">
        <f t="shared" si="6"/>
        <v>3000</v>
      </c>
      <c r="M937" s="5">
        <f t="shared" si="7"/>
        <v>750</v>
      </c>
      <c r="N937" s="6">
        <v>0.25</v>
      </c>
    </row>
    <row r="938" spans="1:14" ht="15.75" customHeight="1" x14ac:dyDescent="0.45">
      <c r="A938" s="1" t="s">
        <v>120</v>
      </c>
      <c r="B938" s="1">
        <v>1197831</v>
      </c>
      <c r="C938" s="2">
        <v>44565</v>
      </c>
      <c r="D938" s="1" t="s">
        <v>19</v>
      </c>
      <c r="E938" s="1" t="s">
        <v>45</v>
      </c>
      <c r="F938" s="1" t="s">
        <v>46</v>
      </c>
      <c r="G938" s="1" t="s">
        <v>13</v>
      </c>
      <c r="H938" s="1">
        <v>20</v>
      </c>
      <c r="I938" s="1" t="s">
        <v>123</v>
      </c>
      <c r="J938" s="3">
        <v>0.2</v>
      </c>
      <c r="K938" s="4">
        <v>7000</v>
      </c>
      <c r="L938" s="5">
        <f t="shared" si="6"/>
        <v>1400</v>
      </c>
      <c r="M938" s="5">
        <f t="shared" si="7"/>
        <v>489.99999999999994</v>
      </c>
      <c r="N938" s="6">
        <v>0.35</v>
      </c>
    </row>
    <row r="939" spans="1:14" ht="15.75" customHeight="1" x14ac:dyDescent="0.45">
      <c r="A939" s="1" t="s">
        <v>120</v>
      </c>
      <c r="B939" s="1">
        <v>1197831</v>
      </c>
      <c r="C939" s="2">
        <v>44565</v>
      </c>
      <c r="D939" s="1" t="s">
        <v>19</v>
      </c>
      <c r="E939" s="1" t="s">
        <v>45</v>
      </c>
      <c r="F939" s="1" t="s">
        <v>46</v>
      </c>
      <c r="G939" s="1" t="s">
        <v>14</v>
      </c>
      <c r="H939" s="1">
        <v>35</v>
      </c>
      <c r="I939" s="1" t="s">
        <v>125</v>
      </c>
      <c r="J939" s="3">
        <v>0.3</v>
      </c>
      <c r="K939" s="4">
        <v>7000</v>
      </c>
      <c r="L939" s="5">
        <f t="shared" si="6"/>
        <v>2100</v>
      </c>
      <c r="M939" s="5">
        <f t="shared" si="7"/>
        <v>735</v>
      </c>
      <c r="N939" s="6">
        <v>0.35</v>
      </c>
    </row>
    <row r="940" spans="1:14" ht="15.75" customHeight="1" x14ac:dyDescent="0.45">
      <c r="A940" s="1" t="s">
        <v>120</v>
      </c>
      <c r="B940" s="1">
        <v>1197831</v>
      </c>
      <c r="C940" s="2">
        <v>44565</v>
      </c>
      <c r="D940" s="1" t="s">
        <v>19</v>
      </c>
      <c r="E940" s="1" t="s">
        <v>45</v>
      </c>
      <c r="F940" s="1" t="s">
        <v>46</v>
      </c>
      <c r="G940" s="1" t="s">
        <v>15</v>
      </c>
      <c r="H940" s="1">
        <v>28</v>
      </c>
      <c r="I940" s="1" t="s">
        <v>125</v>
      </c>
      <c r="J940" s="3">
        <v>0.3</v>
      </c>
      <c r="K940" s="4">
        <v>5000</v>
      </c>
      <c r="L940" s="5">
        <f t="shared" si="6"/>
        <v>1500</v>
      </c>
      <c r="M940" s="5">
        <f t="shared" si="7"/>
        <v>525</v>
      </c>
      <c r="N940" s="6">
        <v>0.35</v>
      </c>
    </row>
    <row r="941" spans="1:14" ht="15.75" customHeight="1" x14ac:dyDescent="0.45">
      <c r="A941" s="1" t="s">
        <v>120</v>
      </c>
      <c r="B941" s="1">
        <v>1197831</v>
      </c>
      <c r="C941" s="2">
        <v>44565</v>
      </c>
      <c r="D941" s="1" t="s">
        <v>19</v>
      </c>
      <c r="E941" s="1" t="s">
        <v>45</v>
      </c>
      <c r="F941" s="1" t="s">
        <v>46</v>
      </c>
      <c r="G941" s="1" t="s">
        <v>16</v>
      </c>
      <c r="H941" s="1">
        <v>49</v>
      </c>
      <c r="I941" s="1" t="s">
        <v>125</v>
      </c>
      <c r="J941" s="3">
        <v>0.35</v>
      </c>
      <c r="K941" s="4">
        <v>5000</v>
      </c>
      <c r="L941" s="5">
        <f t="shared" si="6"/>
        <v>1750</v>
      </c>
      <c r="M941" s="5">
        <f t="shared" si="7"/>
        <v>787.5</v>
      </c>
      <c r="N941" s="6">
        <v>0.45</v>
      </c>
    </row>
    <row r="942" spans="1:14" ht="15.75" customHeight="1" x14ac:dyDescent="0.45">
      <c r="A942" s="1" t="s">
        <v>120</v>
      </c>
      <c r="B942" s="1">
        <v>1197831</v>
      </c>
      <c r="C942" s="2">
        <v>44565</v>
      </c>
      <c r="D942" s="1" t="s">
        <v>19</v>
      </c>
      <c r="E942" s="1" t="s">
        <v>45</v>
      </c>
      <c r="F942" s="1" t="s">
        <v>46</v>
      </c>
      <c r="G942" s="1" t="s">
        <v>17</v>
      </c>
      <c r="H942" s="1">
        <v>58</v>
      </c>
      <c r="I942" s="1" t="s">
        <v>124</v>
      </c>
      <c r="J942" s="3">
        <v>0.4</v>
      </c>
      <c r="K942" s="4">
        <v>3500</v>
      </c>
      <c r="L942" s="5">
        <f t="shared" si="6"/>
        <v>1400</v>
      </c>
      <c r="M942" s="5">
        <f t="shared" si="7"/>
        <v>420</v>
      </c>
      <c r="N942" s="6">
        <v>0.3</v>
      </c>
    </row>
    <row r="943" spans="1:14" ht="15.75" customHeight="1" x14ac:dyDescent="0.45">
      <c r="A943" s="1" t="s">
        <v>120</v>
      </c>
      <c r="B943" s="1">
        <v>1197831</v>
      </c>
      <c r="C943" s="2">
        <v>44565</v>
      </c>
      <c r="D943" s="1" t="s">
        <v>19</v>
      </c>
      <c r="E943" s="1" t="s">
        <v>45</v>
      </c>
      <c r="F943" s="1" t="s">
        <v>46</v>
      </c>
      <c r="G943" s="1" t="s">
        <v>18</v>
      </c>
      <c r="H943" s="1">
        <v>18</v>
      </c>
      <c r="I943" s="1" t="s">
        <v>126</v>
      </c>
      <c r="J943" s="3">
        <v>0.35</v>
      </c>
      <c r="K943" s="4">
        <v>5000</v>
      </c>
      <c r="L943" s="5">
        <f t="shared" si="6"/>
        <v>1750</v>
      </c>
      <c r="M943" s="5">
        <f t="shared" si="7"/>
        <v>875</v>
      </c>
      <c r="N943" s="6">
        <v>0.5</v>
      </c>
    </row>
    <row r="944" spans="1:14" ht="15.75" customHeight="1" x14ac:dyDescent="0.45">
      <c r="A944" s="1" t="s">
        <v>120</v>
      </c>
      <c r="B944" s="1">
        <v>1197831</v>
      </c>
      <c r="C944" s="2">
        <v>44595</v>
      </c>
      <c r="D944" s="1" t="s">
        <v>19</v>
      </c>
      <c r="E944" s="1" t="s">
        <v>45</v>
      </c>
      <c r="F944" s="1" t="s">
        <v>46</v>
      </c>
      <c r="G944" s="1" t="s">
        <v>13</v>
      </c>
      <c r="H944" s="1">
        <v>16</v>
      </c>
      <c r="I944" s="1" t="s">
        <v>124</v>
      </c>
      <c r="J944" s="3">
        <v>0.25</v>
      </c>
      <c r="K944" s="4">
        <v>6500</v>
      </c>
      <c r="L944" s="5">
        <f t="shared" si="6"/>
        <v>1625</v>
      </c>
      <c r="M944" s="5">
        <f t="shared" si="7"/>
        <v>568.75</v>
      </c>
      <c r="N944" s="6">
        <v>0.35</v>
      </c>
    </row>
    <row r="945" spans="1:14" ht="15.75" customHeight="1" x14ac:dyDescent="0.45">
      <c r="A945" s="1" t="s">
        <v>120</v>
      </c>
      <c r="B945" s="1">
        <v>1197831</v>
      </c>
      <c r="C945" s="2">
        <v>44595</v>
      </c>
      <c r="D945" s="1" t="s">
        <v>19</v>
      </c>
      <c r="E945" s="1" t="s">
        <v>45</v>
      </c>
      <c r="F945" s="1" t="s">
        <v>46</v>
      </c>
      <c r="G945" s="1" t="s">
        <v>14</v>
      </c>
      <c r="H945" s="1">
        <v>31</v>
      </c>
      <c r="I945" s="1" t="s">
        <v>124</v>
      </c>
      <c r="J945" s="3">
        <v>0.35</v>
      </c>
      <c r="K945" s="4">
        <v>6250</v>
      </c>
      <c r="L945" s="5">
        <f t="shared" si="6"/>
        <v>2187.5</v>
      </c>
      <c r="M945" s="5">
        <f t="shared" si="7"/>
        <v>765.625</v>
      </c>
      <c r="N945" s="6">
        <v>0.35</v>
      </c>
    </row>
    <row r="946" spans="1:14" ht="15.75" customHeight="1" x14ac:dyDescent="0.45">
      <c r="A946" s="1" t="s">
        <v>120</v>
      </c>
      <c r="B946" s="1">
        <v>1197831</v>
      </c>
      <c r="C946" s="2">
        <v>44595</v>
      </c>
      <c r="D946" s="1" t="s">
        <v>19</v>
      </c>
      <c r="E946" s="1" t="s">
        <v>45</v>
      </c>
      <c r="F946" s="1" t="s">
        <v>46</v>
      </c>
      <c r="G946" s="1" t="s">
        <v>15</v>
      </c>
      <c r="H946" s="1">
        <v>31</v>
      </c>
      <c r="I946" s="1" t="s">
        <v>126</v>
      </c>
      <c r="J946" s="3">
        <v>0.35</v>
      </c>
      <c r="K946" s="4">
        <v>4500</v>
      </c>
      <c r="L946" s="5">
        <f t="shared" si="6"/>
        <v>1575</v>
      </c>
      <c r="M946" s="5">
        <f t="shared" si="7"/>
        <v>551.25</v>
      </c>
      <c r="N946" s="6">
        <v>0.35</v>
      </c>
    </row>
    <row r="947" spans="1:14" ht="15.75" customHeight="1" x14ac:dyDescent="0.45">
      <c r="A947" s="1" t="s">
        <v>120</v>
      </c>
      <c r="B947" s="1">
        <v>1197831</v>
      </c>
      <c r="C947" s="2">
        <v>44595</v>
      </c>
      <c r="D947" s="1" t="s">
        <v>19</v>
      </c>
      <c r="E947" s="1" t="s">
        <v>45</v>
      </c>
      <c r="F947" s="1" t="s">
        <v>46</v>
      </c>
      <c r="G947" s="1" t="s">
        <v>16</v>
      </c>
      <c r="H947" s="1">
        <v>20</v>
      </c>
      <c r="I947" s="1" t="s">
        <v>126</v>
      </c>
      <c r="J947" s="3">
        <v>0.35</v>
      </c>
      <c r="K947" s="4">
        <v>4000</v>
      </c>
      <c r="L947" s="5">
        <f t="shared" si="6"/>
        <v>1400</v>
      </c>
      <c r="M947" s="5">
        <f t="shared" si="7"/>
        <v>630</v>
      </c>
      <c r="N947" s="6">
        <v>0.45</v>
      </c>
    </row>
    <row r="948" spans="1:14" ht="15.75" customHeight="1" x14ac:dyDescent="0.45">
      <c r="A948" s="1" t="s">
        <v>120</v>
      </c>
      <c r="B948" s="1">
        <v>1197831</v>
      </c>
      <c r="C948" s="2">
        <v>44595</v>
      </c>
      <c r="D948" s="1" t="s">
        <v>19</v>
      </c>
      <c r="E948" s="1" t="s">
        <v>45</v>
      </c>
      <c r="F948" s="1" t="s">
        <v>46</v>
      </c>
      <c r="G948" s="1" t="s">
        <v>17</v>
      </c>
      <c r="H948" s="1">
        <v>54</v>
      </c>
      <c r="I948" s="1" t="s">
        <v>124</v>
      </c>
      <c r="J948" s="3">
        <v>0.4</v>
      </c>
      <c r="K948" s="4">
        <v>2750</v>
      </c>
      <c r="L948" s="5">
        <f t="shared" si="6"/>
        <v>1100</v>
      </c>
      <c r="M948" s="5">
        <f t="shared" si="7"/>
        <v>330</v>
      </c>
      <c r="N948" s="6">
        <v>0.3</v>
      </c>
    </row>
    <row r="949" spans="1:14" ht="15.75" customHeight="1" x14ac:dyDescent="0.45">
      <c r="A949" s="1" t="s">
        <v>120</v>
      </c>
      <c r="B949" s="1">
        <v>1197831</v>
      </c>
      <c r="C949" s="2">
        <v>44595</v>
      </c>
      <c r="D949" s="1" t="s">
        <v>19</v>
      </c>
      <c r="E949" s="1" t="s">
        <v>45</v>
      </c>
      <c r="F949" s="1" t="s">
        <v>46</v>
      </c>
      <c r="G949" s="1" t="s">
        <v>18</v>
      </c>
      <c r="H949" s="1">
        <v>60</v>
      </c>
      <c r="I949" s="1" t="s">
        <v>123</v>
      </c>
      <c r="J949" s="3">
        <v>0.35</v>
      </c>
      <c r="K949" s="4">
        <v>4750</v>
      </c>
      <c r="L949" s="5">
        <f t="shared" si="6"/>
        <v>1662.5</v>
      </c>
      <c r="M949" s="5">
        <f t="shared" si="7"/>
        <v>831.25</v>
      </c>
      <c r="N949" s="6">
        <v>0.5</v>
      </c>
    </row>
    <row r="950" spans="1:14" ht="15.75" customHeight="1" x14ac:dyDescent="0.45">
      <c r="A950" s="1" t="s">
        <v>120</v>
      </c>
      <c r="B950" s="1">
        <v>1197831</v>
      </c>
      <c r="C950" s="2">
        <v>44625</v>
      </c>
      <c r="D950" s="1" t="s">
        <v>19</v>
      </c>
      <c r="E950" s="1" t="s">
        <v>45</v>
      </c>
      <c r="F950" s="1" t="s">
        <v>46</v>
      </c>
      <c r="G950" s="1" t="s">
        <v>13</v>
      </c>
      <c r="H950" s="1">
        <v>43</v>
      </c>
      <c r="I950" s="1" t="s">
        <v>125</v>
      </c>
      <c r="J950" s="3">
        <v>0.3</v>
      </c>
      <c r="K950" s="4">
        <v>6500</v>
      </c>
      <c r="L950" s="5">
        <f t="shared" si="6"/>
        <v>1950</v>
      </c>
      <c r="M950" s="5">
        <f t="shared" si="7"/>
        <v>779.99999999999989</v>
      </c>
      <c r="N950" s="6">
        <v>0.39999999999999997</v>
      </c>
    </row>
    <row r="951" spans="1:14" ht="15.75" customHeight="1" x14ac:dyDescent="0.45">
      <c r="A951" s="1" t="s">
        <v>120</v>
      </c>
      <c r="B951" s="1">
        <v>1197831</v>
      </c>
      <c r="C951" s="2">
        <v>44625</v>
      </c>
      <c r="D951" s="1" t="s">
        <v>19</v>
      </c>
      <c r="E951" s="1" t="s">
        <v>45</v>
      </c>
      <c r="F951" s="1" t="s">
        <v>46</v>
      </c>
      <c r="G951" s="1" t="s">
        <v>14</v>
      </c>
      <c r="H951" s="1">
        <v>46</v>
      </c>
      <c r="I951" s="1" t="s">
        <v>125</v>
      </c>
      <c r="J951" s="3">
        <v>0.4</v>
      </c>
      <c r="K951" s="4">
        <v>6500</v>
      </c>
      <c r="L951" s="5">
        <f t="shared" si="6"/>
        <v>2600</v>
      </c>
      <c r="M951" s="5">
        <f t="shared" si="7"/>
        <v>1040</v>
      </c>
      <c r="N951" s="6">
        <v>0.39999999999999997</v>
      </c>
    </row>
    <row r="952" spans="1:14" ht="15.75" customHeight="1" x14ac:dyDescent="0.45">
      <c r="A952" s="1" t="s">
        <v>120</v>
      </c>
      <c r="B952" s="1">
        <v>1197831</v>
      </c>
      <c r="C952" s="2">
        <v>44625</v>
      </c>
      <c r="D952" s="1" t="s">
        <v>19</v>
      </c>
      <c r="E952" s="1" t="s">
        <v>45</v>
      </c>
      <c r="F952" s="1" t="s">
        <v>46</v>
      </c>
      <c r="G952" s="1" t="s">
        <v>15</v>
      </c>
      <c r="H952" s="1">
        <v>31</v>
      </c>
      <c r="I952" s="1" t="s">
        <v>125</v>
      </c>
      <c r="J952" s="3">
        <v>0.3</v>
      </c>
      <c r="K952" s="4">
        <v>4750</v>
      </c>
      <c r="L952" s="5">
        <f t="shared" si="6"/>
        <v>1425</v>
      </c>
      <c r="M952" s="5">
        <f t="shared" si="7"/>
        <v>570</v>
      </c>
      <c r="N952" s="6">
        <v>0.39999999999999997</v>
      </c>
    </row>
    <row r="953" spans="1:14" ht="15.75" customHeight="1" x14ac:dyDescent="0.45">
      <c r="A953" s="1" t="s">
        <v>120</v>
      </c>
      <c r="B953" s="1">
        <v>1197831</v>
      </c>
      <c r="C953" s="2">
        <v>44625</v>
      </c>
      <c r="D953" s="1" t="s">
        <v>19</v>
      </c>
      <c r="E953" s="1" t="s">
        <v>45</v>
      </c>
      <c r="F953" s="1" t="s">
        <v>46</v>
      </c>
      <c r="G953" s="1" t="s">
        <v>16</v>
      </c>
      <c r="H953" s="1">
        <v>26</v>
      </c>
      <c r="I953" s="1" t="s">
        <v>124</v>
      </c>
      <c r="J953" s="3">
        <v>0.35000000000000003</v>
      </c>
      <c r="K953" s="4">
        <v>3750</v>
      </c>
      <c r="L953" s="5">
        <f t="shared" si="6"/>
        <v>1312.5000000000002</v>
      </c>
      <c r="M953" s="5">
        <f t="shared" si="7"/>
        <v>656.25000000000011</v>
      </c>
      <c r="N953" s="6">
        <v>0.5</v>
      </c>
    </row>
    <row r="954" spans="1:14" ht="15.75" customHeight="1" x14ac:dyDescent="0.45">
      <c r="A954" s="1" t="s">
        <v>120</v>
      </c>
      <c r="B954" s="1">
        <v>1197831</v>
      </c>
      <c r="C954" s="2">
        <v>44625</v>
      </c>
      <c r="D954" s="1" t="s">
        <v>19</v>
      </c>
      <c r="E954" s="1" t="s">
        <v>45</v>
      </c>
      <c r="F954" s="1" t="s">
        <v>46</v>
      </c>
      <c r="G954" s="1" t="s">
        <v>17</v>
      </c>
      <c r="H954" s="1">
        <v>53</v>
      </c>
      <c r="I954" s="1" t="s">
        <v>123</v>
      </c>
      <c r="J954" s="3">
        <v>0.4</v>
      </c>
      <c r="K954" s="4">
        <v>2750</v>
      </c>
      <c r="L954" s="5">
        <f t="shared" si="6"/>
        <v>1100</v>
      </c>
      <c r="M954" s="5">
        <f t="shared" si="7"/>
        <v>385</v>
      </c>
      <c r="N954" s="6">
        <v>0.35</v>
      </c>
    </row>
    <row r="955" spans="1:14" ht="15.75" customHeight="1" x14ac:dyDescent="0.45">
      <c r="A955" s="1" t="s">
        <v>120</v>
      </c>
      <c r="B955" s="1">
        <v>1197831</v>
      </c>
      <c r="C955" s="2">
        <v>44625</v>
      </c>
      <c r="D955" s="1" t="s">
        <v>19</v>
      </c>
      <c r="E955" s="1" t="s">
        <v>45</v>
      </c>
      <c r="F955" s="1" t="s">
        <v>46</v>
      </c>
      <c r="G955" s="1" t="s">
        <v>18</v>
      </c>
      <c r="H955" s="1">
        <v>27</v>
      </c>
      <c r="I955" s="1" t="s">
        <v>123</v>
      </c>
      <c r="J955" s="3">
        <v>0.35000000000000003</v>
      </c>
      <c r="K955" s="4">
        <v>4250</v>
      </c>
      <c r="L955" s="5">
        <f t="shared" si="6"/>
        <v>1487.5000000000002</v>
      </c>
      <c r="M955" s="5">
        <f t="shared" si="7"/>
        <v>818.12500000000023</v>
      </c>
      <c r="N955" s="6">
        <v>0.55000000000000004</v>
      </c>
    </row>
    <row r="956" spans="1:14" ht="15.75" customHeight="1" x14ac:dyDescent="0.45">
      <c r="A956" s="1" t="s">
        <v>120</v>
      </c>
      <c r="B956" s="1">
        <v>1197831</v>
      </c>
      <c r="C956" s="2">
        <v>44655</v>
      </c>
      <c r="D956" s="1" t="s">
        <v>19</v>
      </c>
      <c r="E956" s="1" t="s">
        <v>45</v>
      </c>
      <c r="F956" s="1" t="s">
        <v>46</v>
      </c>
      <c r="G956" s="1" t="s">
        <v>13</v>
      </c>
      <c r="H956" s="1">
        <v>58</v>
      </c>
      <c r="I956" s="1" t="s">
        <v>126</v>
      </c>
      <c r="J956" s="3">
        <v>0.19999999999999998</v>
      </c>
      <c r="K956" s="4">
        <v>6750</v>
      </c>
      <c r="L956" s="5">
        <f t="shared" si="6"/>
        <v>1350</v>
      </c>
      <c r="M956" s="5">
        <f t="shared" si="7"/>
        <v>540</v>
      </c>
      <c r="N956" s="6">
        <v>0.39999999999999997</v>
      </c>
    </row>
    <row r="957" spans="1:14" ht="15.75" customHeight="1" x14ac:dyDescent="0.45">
      <c r="A957" s="1" t="s">
        <v>120</v>
      </c>
      <c r="B957" s="1">
        <v>1197831</v>
      </c>
      <c r="C957" s="2">
        <v>44655</v>
      </c>
      <c r="D957" s="1" t="s">
        <v>19</v>
      </c>
      <c r="E957" s="1" t="s">
        <v>45</v>
      </c>
      <c r="F957" s="1" t="s">
        <v>46</v>
      </c>
      <c r="G957" s="1" t="s">
        <v>14</v>
      </c>
      <c r="H957" s="1">
        <v>45</v>
      </c>
      <c r="I957" s="1" t="s">
        <v>126</v>
      </c>
      <c r="J957" s="3">
        <v>0.25000000000000006</v>
      </c>
      <c r="K957" s="4">
        <v>6750</v>
      </c>
      <c r="L957" s="5">
        <f t="shared" si="6"/>
        <v>1687.5000000000005</v>
      </c>
      <c r="M957" s="5">
        <f t="shared" si="7"/>
        <v>675.00000000000011</v>
      </c>
      <c r="N957" s="6">
        <v>0.39999999999999997</v>
      </c>
    </row>
    <row r="958" spans="1:14" ht="15.75" customHeight="1" x14ac:dyDescent="0.45">
      <c r="A958" s="1" t="s">
        <v>120</v>
      </c>
      <c r="B958" s="1">
        <v>1197831</v>
      </c>
      <c r="C958" s="2">
        <v>44655</v>
      </c>
      <c r="D958" s="1" t="s">
        <v>19</v>
      </c>
      <c r="E958" s="1" t="s">
        <v>45</v>
      </c>
      <c r="F958" s="1" t="s">
        <v>46</v>
      </c>
      <c r="G958" s="1" t="s">
        <v>15</v>
      </c>
      <c r="H958" s="1">
        <v>53</v>
      </c>
      <c r="I958" s="1" t="s">
        <v>126</v>
      </c>
      <c r="J958" s="3">
        <v>0.19999999999999996</v>
      </c>
      <c r="K958" s="4">
        <v>5000</v>
      </c>
      <c r="L958" s="5">
        <f t="shared" si="6"/>
        <v>999.99999999999977</v>
      </c>
      <c r="M958" s="5">
        <f t="shared" si="7"/>
        <v>399.99999999999989</v>
      </c>
      <c r="N958" s="6">
        <v>0.39999999999999997</v>
      </c>
    </row>
    <row r="959" spans="1:14" ht="15.75" customHeight="1" x14ac:dyDescent="0.45">
      <c r="A959" s="1" t="s">
        <v>120</v>
      </c>
      <c r="B959" s="1">
        <v>1197831</v>
      </c>
      <c r="C959" s="2">
        <v>44655</v>
      </c>
      <c r="D959" s="1" t="s">
        <v>19</v>
      </c>
      <c r="E959" s="1" t="s">
        <v>45</v>
      </c>
      <c r="F959" s="1" t="s">
        <v>46</v>
      </c>
      <c r="G959" s="1" t="s">
        <v>16</v>
      </c>
      <c r="H959" s="1">
        <v>15</v>
      </c>
      <c r="I959" s="1" t="s">
        <v>125</v>
      </c>
      <c r="J959" s="3">
        <v>0.25000000000000006</v>
      </c>
      <c r="K959" s="4">
        <v>4000</v>
      </c>
      <c r="L959" s="5">
        <f t="shared" si="6"/>
        <v>1000.0000000000002</v>
      </c>
      <c r="M959" s="5">
        <f t="shared" si="7"/>
        <v>500.00000000000011</v>
      </c>
      <c r="N959" s="6">
        <v>0.5</v>
      </c>
    </row>
    <row r="960" spans="1:14" ht="15.75" customHeight="1" x14ac:dyDescent="0.45">
      <c r="A960" s="1" t="s">
        <v>120</v>
      </c>
      <c r="B960" s="1">
        <v>1197831</v>
      </c>
      <c r="C960" s="2">
        <v>44655</v>
      </c>
      <c r="D960" s="1" t="s">
        <v>19</v>
      </c>
      <c r="E960" s="1" t="s">
        <v>45</v>
      </c>
      <c r="F960" s="1" t="s">
        <v>46</v>
      </c>
      <c r="G960" s="1" t="s">
        <v>17</v>
      </c>
      <c r="H960" s="1">
        <v>53</v>
      </c>
      <c r="I960" s="1" t="s">
        <v>126</v>
      </c>
      <c r="J960" s="3">
        <v>0.3</v>
      </c>
      <c r="K960" s="4">
        <v>3000</v>
      </c>
      <c r="L960" s="5">
        <f t="shared" si="6"/>
        <v>900</v>
      </c>
      <c r="M960" s="5">
        <f t="shared" si="7"/>
        <v>315</v>
      </c>
      <c r="N960" s="6">
        <v>0.35</v>
      </c>
    </row>
    <row r="961" spans="1:14" ht="15.75" customHeight="1" x14ac:dyDescent="0.45">
      <c r="A961" s="1" t="s">
        <v>120</v>
      </c>
      <c r="B961" s="1">
        <v>1197831</v>
      </c>
      <c r="C961" s="2">
        <v>44655</v>
      </c>
      <c r="D961" s="1" t="s">
        <v>19</v>
      </c>
      <c r="E961" s="1" t="s">
        <v>45</v>
      </c>
      <c r="F961" s="1" t="s">
        <v>46</v>
      </c>
      <c r="G961" s="1" t="s">
        <v>18</v>
      </c>
      <c r="H961" s="1">
        <v>23</v>
      </c>
      <c r="I961" s="1" t="s">
        <v>126</v>
      </c>
      <c r="J961" s="3">
        <v>0.25000000000000006</v>
      </c>
      <c r="K961" s="4">
        <v>5750</v>
      </c>
      <c r="L961" s="5">
        <f t="shared" si="6"/>
        <v>1437.5000000000002</v>
      </c>
      <c r="M961" s="5">
        <f t="shared" si="7"/>
        <v>790.62500000000023</v>
      </c>
      <c r="N961" s="6">
        <v>0.55000000000000004</v>
      </c>
    </row>
    <row r="962" spans="1:14" ht="15.75" customHeight="1" x14ac:dyDescent="0.45">
      <c r="A962" s="1" t="s">
        <v>120</v>
      </c>
      <c r="B962" s="1">
        <v>1197831</v>
      </c>
      <c r="C962" s="2">
        <v>44685</v>
      </c>
      <c r="D962" s="1" t="s">
        <v>19</v>
      </c>
      <c r="E962" s="1" t="s">
        <v>45</v>
      </c>
      <c r="F962" s="1" t="s">
        <v>46</v>
      </c>
      <c r="G962" s="1" t="s">
        <v>13</v>
      </c>
      <c r="H962" s="1">
        <v>15</v>
      </c>
      <c r="I962" s="1" t="s">
        <v>126</v>
      </c>
      <c r="J962" s="3">
        <v>0.14999999999999997</v>
      </c>
      <c r="K962" s="4">
        <v>7250</v>
      </c>
      <c r="L962" s="5">
        <f t="shared" si="6"/>
        <v>1087.4999999999998</v>
      </c>
      <c r="M962" s="5">
        <f t="shared" si="7"/>
        <v>434.99999999999989</v>
      </c>
      <c r="N962" s="6">
        <v>0.39999999999999997</v>
      </c>
    </row>
    <row r="963" spans="1:14" ht="15.75" customHeight="1" x14ac:dyDescent="0.45">
      <c r="A963" s="1" t="s">
        <v>120</v>
      </c>
      <c r="B963" s="1">
        <v>1197831</v>
      </c>
      <c r="C963" s="2">
        <v>44685</v>
      </c>
      <c r="D963" s="1" t="s">
        <v>19</v>
      </c>
      <c r="E963" s="1" t="s">
        <v>45</v>
      </c>
      <c r="F963" s="1" t="s">
        <v>46</v>
      </c>
      <c r="G963" s="1" t="s">
        <v>14</v>
      </c>
      <c r="H963" s="1">
        <v>21</v>
      </c>
      <c r="I963" s="1" t="s">
        <v>124</v>
      </c>
      <c r="J963" s="3">
        <v>0.25000000000000006</v>
      </c>
      <c r="K963" s="4">
        <v>7500</v>
      </c>
      <c r="L963" s="5">
        <f t="shared" si="6"/>
        <v>1875.0000000000005</v>
      </c>
      <c r="M963" s="5">
        <f t="shared" si="7"/>
        <v>750.00000000000011</v>
      </c>
      <c r="N963" s="6">
        <v>0.39999999999999997</v>
      </c>
    </row>
    <row r="964" spans="1:14" ht="15.75" customHeight="1" x14ac:dyDescent="0.45">
      <c r="A964" s="1" t="s">
        <v>120</v>
      </c>
      <c r="B964" s="1">
        <v>1197831</v>
      </c>
      <c r="C964" s="2">
        <v>44685</v>
      </c>
      <c r="D964" s="1" t="s">
        <v>19</v>
      </c>
      <c r="E964" s="1" t="s">
        <v>45</v>
      </c>
      <c r="F964" s="1" t="s">
        <v>46</v>
      </c>
      <c r="G964" s="1" t="s">
        <v>15</v>
      </c>
      <c r="H964" s="1">
        <v>39</v>
      </c>
      <c r="I964" s="1" t="s">
        <v>126</v>
      </c>
      <c r="J964" s="3">
        <v>0.19999999999999996</v>
      </c>
      <c r="K964" s="4">
        <v>6000</v>
      </c>
      <c r="L964" s="5">
        <f t="shared" si="6"/>
        <v>1199.9999999999998</v>
      </c>
      <c r="M964" s="5">
        <f t="shared" si="7"/>
        <v>479.99999999999989</v>
      </c>
      <c r="N964" s="6">
        <v>0.39999999999999997</v>
      </c>
    </row>
    <row r="965" spans="1:14" ht="15.75" customHeight="1" x14ac:dyDescent="0.45">
      <c r="A965" s="1" t="s">
        <v>120</v>
      </c>
      <c r="B965" s="1">
        <v>1197831</v>
      </c>
      <c r="C965" s="2">
        <v>44685</v>
      </c>
      <c r="D965" s="1" t="s">
        <v>19</v>
      </c>
      <c r="E965" s="1" t="s">
        <v>45</v>
      </c>
      <c r="F965" s="1" t="s">
        <v>46</v>
      </c>
      <c r="G965" s="1" t="s">
        <v>16</v>
      </c>
      <c r="H965" s="1">
        <v>53</v>
      </c>
      <c r="I965" s="1" t="s">
        <v>123</v>
      </c>
      <c r="J965" s="3">
        <v>0.30000000000000004</v>
      </c>
      <c r="K965" s="4">
        <v>5250</v>
      </c>
      <c r="L965" s="5">
        <f t="shared" si="6"/>
        <v>1575.0000000000002</v>
      </c>
      <c r="M965" s="5">
        <f t="shared" si="7"/>
        <v>787.50000000000011</v>
      </c>
      <c r="N965" s="6">
        <v>0.5</v>
      </c>
    </row>
    <row r="966" spans="1:14" ht="15.75" customHeight="1" x14ac:dyDescent="0.45">
      <c r="A966" s="1" t="s">
        <v>120</v>
      </c>
      <c r="B966" s="1">
        <v>1197831</v>
      </c>
      <c r="C966" s="2">
        <v>44685</v>
      </c>
      <c r="D966" s="1" t="s">
        <v>19</v>
      </c>
      <c r="E966" s="1" t="s">
        <v>45</v>
      </c>
      <c r="F966" s="1" t="s">
        <v>46</v>
      </c>
      <c r="G966" s="1" t="s">
        <v>17</v>
      </c>
      <c r="H966" s="1">
        <v>18</v>
      </c>
      <c r="I966" s="1" t="s">
        <v>126</v>
      </c>
      <c r="J966" s="3">
        <v>0.45</v>
      </c>
      <c r="K966" s="4">
        <v>4250</v>
      </c>
      <c r="L966" s="5">
        <f t="shared" si="6"/>
        <v>1912.5</v>
      </c>
      <c r="M966" s="5">
        <f t="shared" si="7"/>
        <v>669.375</v>
      </c>
      <c r="N966" s="6">
        <v>0.35</v>
      </c>
    </row>
    <row r="967" spans="1:14" ht="15.75" customHeight="1" x14ac:dyDescent="0.45">
      <c r="A967" s="1" t="s">
        <v>120</v>
      </c>
      <c r="B967" s="1">
        <v>1197831</v>
      </c>
      <c r="C967" s="2">
        <v>44685</v>
      </c>
      <c r="D967" s="1" t="s">
        <v>19</v>
      </c>
      <c r="E967" s="1" t="s">
        <v>45</v>
      </c>
      <c r="F967" s="1" t="s">
        <v>46</v>
      </c>
      <c r="G967" s="1" t="s">
        <v>18</v>
      </c>
      <c r="H967" s="1">
        <v>52</v>
      </c>
      <c r="I967" s="1" t="s">
        <v>126</v>
      </c>
      <c r="J967" s="3">
        <v>0.4</v>
      </c>
      <c r="K967" s="4">
        <v>7750</v>
      </c>
      <c r="L967" s="5">
        <f t="shared" si="6"/>
        <v>3100</v>
      </c>
      <c r="M967" s="5">
        <f t="shared" si="7"/>
        <v>1705.0000000000002</v>
      </c>
      <c r="N967" s="6">
        <v>0.55000000000000004</v>
      </c>
    </row>
    <row r="968" spans="1:14" ht="15.75" customHeight="1" x14ac:dyDescent="0.45">
      <c r="A968" s="1" t="s">
        <v>120</v>
      </c>
      <c r="B968" s="1">
        <v>1197831</v>
      </c>
      <c r="C968" s="2">
        <v>44715</v>
      </c>
      <c r="D968" s="1" t="s">
        <v>19</v>
      </c>
      <c r="E968" s="1" t="s">
        <v>45</v>
      </c>
      <c r="F968" s="1" t="s">
        <v>46</v>
      </c>
      <c r="G968" s="1" t="s">
        <v>13</v>
      </c>
      <c r="H968" s="1">
        <v>49</v>
      </c>
      <c r="I968" s="1" t="s">
        <v>124</v>
      </c>
      <c r="J968" s="3">
        <v>0.4</v>
      </c>
      <c r="K968" s="4">
        <v>7750</v>
      </c>
      <c r="L968" s="5">
        <f t="shared" si="6"/>
        <v>3100</v>
      </c>
      <c r="M968" s="5">
        <f t="shared" si="7"/>
        <v>1240</v>
      </c>
      <c r="N968" s="6">
        <v>0.39999999999999997</v>
      </c>
    </row>
    <row r="969" spans="1:14" ht="15.75" customHeight="1" x14ac:dyDescent="0.45">
      <c r="A969" s="1" t="s">
        <v>120</v>
      </c>
      <c r="B969" s="1">
        <v>1197831</v>
      </c>
      <c r="C969" s="2">
        <v>44715</v>
      </c>
      <c r="D969" s="1" t="s">
        <v>19</v>
      </c>
      <c r="E969" s="1" t="s">
        <v>45</v>
      </c>
      <c r="F969" s="1" t="s">
        <v>46</v>
      </c>
      <c r="G969" s="1" t="s">
        <v>14</v>
      </c>
      <c r="H969" s="1">
        <v>41</v>
      </c>
      <c r="I969" s="1" t="s">
        <v>126</v>
      </c>
      <c r="J969" s="3">
        <v>0.45</v>
      </c>
      <c r="K969" s="4">
        <v>7750</v>
      </c>
      <c r="L969" s="5">
        <f t="shared" si="6"/>
        <v>3487.5</v>
      </c>
      <c r="M969" s="5">
        <f t="shared" si="7"/>
        <v>1394.9999999999998</v>
      </c>
      <c r="N969" s="6">
        <v>0.39999999999999997</v>
      </c>
    </row>
    <row r="970" spans="1:14" ht="15.75" customHeight="1" x14ac:dyDescent="0.45">
      <c r="A970" s="1" t="s">
        <v>120</v>
      </c>
      <c r="B970" s="1">
        <v>1197831</v>
      </c>
      <c r="C970" s="2">
        <v>44715</v>
      </c>
      <c r="D970" s="1" t="s">
        <v>19</v>
      </c>
      <c r="E970" s="1" t="s">
        <v>45</v>
      </c>
      <c r="F970" s="1" t="s">
        <v>46</v>
      </c>
      <c r="G970" s="1" t="s">
        <v>15</v>
      </c>
      <c r="H970" s="1">
        <v>50</v>
      </c>
      <c r="I970" s="1" t="s">
        <v>126</v>
      </c>
      <c r="J970" s="3">
        <v>0.4</v>
      </c>
      <c r="K970" s="4">
        <v>6500</v>
      </c>
      <c r="L970" s="5">
        <f t="shared" si="6"/>
        <v>2600</v>
      </c>
      <c r="M970" s="5">
        <f t="shared" si="7"/>
        <v>1040</v>
      </c>
      <c r="N970" s="6">
        <v>0.39999999999999997</v>
      </c>
    </row>
    <row r="971" spans="1:14" ht="15.75" customHeight="1" x14ac:dyDescent="0.45">
      <c r="A971" s="1" t="s">
        <v>120</v>
      </c>
      <c r="B971" s="1">
        <v>1197831</v>
      </c>
      <c r="C971" s="2">
        <v>44715</v>
      </c>
      <c r="D971" s="1" t="s">
        <v>19</v>
      </c>
      <c r="E971" s="1" t="s">
        <v>45</v>
      </c>
      <c r="F971" s="1" t="s">
        <v>46</v>
      </c>
      <c r="G971" s="1" t="s">
        <v>16</v>
      </c>
      <c r="H971" s="1">
        <v>57</v>
      </c>
      <c r="I971" s="1" t="s">
        <v>126</v>
      </c>
      <c r="J971" s="3">
        <v>0.4</v>
      </c>
      <c r="K971" s="4">
        <v>6000</v>
      </c>
      <c r="L971" s="5">
        <f t="shared" si="6"/>
        <v>2400</v>
      </c>
      <c r="M971" s="5">
        <f t="shared" si="7"/>
        <v>1200</v>
      </c>
      <c r="N971" s="6">
        <v>0.5</v>
      </c>
    </row>
    <row r="972" spans="1:14" ht="15.75" customHeight="1" x14ac:dyDescent="0.45">
      <c r="A972" s="1" t="s">
        <v>120</v>
      </c>
      <c r="B972" s="1">
        <v>1197831</v>
      </c>
      <c r="C972" s="2">
        <v>44715</v>
      </c>
      <c r="D972" s="1" t="s">
        <v>19</v>
      </c>
      <c r="E972" s="1" t="s">
        <v>45</v>
      </c>
      <c r="F972" s="1" t="s">
        <v>46</v>
      </c>
      <c r="G972" s="1" t="s">
        <v>17</v>
      </c>
      <c r="H972" s="1">
        <v>53</v>
      </c>
      <c r="I972" s="1" t="s">
        <v>124</v>
      </c>
      <c r="J972" s="3">
        <v>0.45</v>
      </c>
      <c r="K972" s="4">
        <v>5000</v>
      </c>
      <c r="L972" s="5">
        <f t="shared" si="6"/>
        <v>2250</v>
      </c>
      <c r="M972" s="5">
        <f t="shared" si="7"/>
        <v>787.5</v>
      </c>
      <c r="N972" s="6">
        <v>0.35</v>
      </c>
    </row>
    <row r="973" spans="1:14" ht="15.75" customHeight="1" x14ac:dyDescent="0.45">
      <c r="A973" s="1" t="s">
        <v>120</v>
      </c>
      <c r="B973" s="1">
        <v>1197831</v>
      </c>
      <c r="C973" s="2">
        <v>44715</v>
      </c>
      <c r="D973" s="1" t="s">
        <v>19</v>
      </c>
      <c r="E973" s="1" t="s">
        <v>45</v>
      </c>
      <c r="F973" s="1" t="s">
        <v>46</v>
      </c>
      <c r="G973" s="1" t="s">
        <v>18</v>
      </c>
      <c r="H973" s="1">
        <v>37</v>
      </c>
      <c r="I973" s="1" t="s">
        <v>123</v>
      </c>
      <c r="J973" s="3">
        <v>0.5</v>
      </c>
      <c r="K973" s="4">
        <v>8750</v>
      </c>
      <c r="L973" s="5">
        <f t="shared" si="6"/>
        <v>4375</v>
      </c>
      <c r="M973" s="5">
        <f t="shared" si="7"/>
        <v>2406.25</v>
      </c>
      <c r="N973" s="6">
        <v>0.55000000000000004</v>
      </c>
    </row>
    <row r="974" spans="1:14" ht="15.75" customHeight="1" x14ac:dyDescent="0.45">
      <c r="A974" s="1" t="s">
        <v>120</v>
      </c>
      <c r="B974" s="1">
        <v>1197831</v>
      </c>
      <c r="C974" s="2">
        <v>44747</v>
      </c>
      <c r="D974" s="1" t="s">
        <v>19</v>
      </c>
      <c r="E974" s="1" t="s">
        <v>45</v>
      </c>
      <c r="F974" s="1" t="s">
        <v>46</v>
      </c>
      <c r="G974" s="1" t="s">
        <v>13</v>
      </c>
      <c r="H974" s="1">
        <v>40</v>
      </c>
      <c r="I974" s="1" t="s">
        <v>126</v>
      </c>
      <c r="J974" s="3">
        <v>0.4</v>
      </c>
      <c r="K974" s="4">
        <v>8250</v>
      </c>
      <c r="L974" s="5">
        <f t="shared" si="6"/>
        <v>3300</v>
      </c>
      <c r="M974" s="5">
        <f t="shared" si="7"/>
        <v>1484.9999999999998</v>
      </c>
      <c r="N974" s="6">
        <v>0.44999999999999996</v>
      </c>
    </row>
    <row r="975" spans="1:14" ht="15.75" customHeight="1" x14ac:dyDescent="0.45">
      <c r="A975" s="1" t="s">
        <v>120</v>
      </c>
      <c r="B975" s="1">
        <v>1197831</v>
      </c>
      <c r="C975" s="2">
        <v>44747</v>
      </c>
      <c r="D975" s="1" t="s">
        <v>19</v>
      </c>
      <c r="E975" s="1" t="s">
        <v>45</v>
      </c>
      <c r="F975" s="1" t="s">
        <v>46</v>
      </c>
      <c r="G975" s="1" t="s">
        <v>14</v>
      </c>
      <c r="H975" s="1">
        <v>16</v>
      </c>
      <c r="I975" s="1" t="s">
        <v>123</v>
      </c>
      <c r="J975" s="3">
        <v>0.45</v>
      </c>
      <c r="K975" s="4">
        <v>8250</v>
      </c>
      <c r="L975" s="5">
        <f t="shared" si="6"/>
        <v>3712.5</v>
      </c>
      <c r="M975" s="5">
        <f t="shared" si="7"/>
        <v>1670.6249999999998</v>
      </c>
      <c r="N975" s="6">
        <v>0.44999999999999996</v>
      </c>
    </row>
    <row r="976" spans="1:14" ht="15.75" customHeight="1" x14ac:dyDescent="0.45">
      <c r="A976" s="1" t="s">
        <v>120</v>
      </c>
      <c r="B976" s="1">
        <v>1197831</v>
      </c>
      <c r="C976" s="2">
        <v>44747</v>
      </c>
      <c r="D976" s="1" t="s">
        <v>19</v>
      </c>
      <c r="E976" s="1" t="s">
        <v>45</v>
      </c>
      <c r="F976" s="1" t="s">
        <v>46</v>
      </c>
      <c r="G976" s="1" t="s">
        <v>15</v>
      </c>
      <c r="H976" s="1">
        <v>36</v>
      </c>
      <c r="I976" s="1" t="s">
        <v>125</v>
      </c>
      <c r="J976" s="3">
        <v>0.4</v>
      </c>
      <c r="K976" s="4">
        <v>9750</v>
      </c>
      <c r="L976" s="5">
        <f t="shared" si="6"/>
        <v>3900</v>
      </c>
      <c r="M976" s="5">
        <f t="shared" si="7"/>
        <v>1754.9999999999998</v>
      </c>
      <c r="N976" s="6">
        <v>0.44999999999999996</v>
      </c>
    </row>
    <row r="977" spans="1:14" ht="15.75" customHeight="1" x14ac:dyDescent="0.45">
      <c r="A977" s="1" t="s">
        <v>120</v>
      </c>
      <c r="B977" s="1">
        <v>1197831</v>
      </c>
      <c r="C977" s="2">
        <v>44747</v>
      </c>
      <c r="D977" s="1" t="s">
        <v>19</v>
      </c>
      <c r="E977" s="1" t="s">
        <v>45</v>
      </c>
      <c r="F977" s="1" t="s">
        <v>46</v>
      </c>
      <c r="G977" s="1" t="s">
        <v>16</v>
      </c>
      <c r="H977" s="1">
        <v>52</v>
      </c>
      <c r="I977" s="1" t="s">
        <v>124</v>
      </c>
      <c r="J977" s="3">
        <v>0.4</v>
      </c>
      <c r="K977" s="4">
        <v>5750</v>
      </c>
      <c r="L977" s="5">
        <f t="shared" si="6"/>
        <v>2300</v>
      </c>
      <c r="M977" s="5">
        <f t="shared" si="7"/>
        <v>1265</v>
      </c>
      <c r="N977" s="6">
        <v>0.55000000000000004</v>
      </c>
    </row>
    <row r="978" spans="1:14" ht="15.75" customHeight="1" x14ac:dyDescent="0.45">
      <c r="A978" s="1" t="s">
        <v>120</v>
      </c>
      <c r="B978" s="1">
        <v>1197831</v>
      </c>
      <c r="C978" s="2">
        <v>44747</v>
      </c>
      <c r="D978" s="1" t="s">
        <v>19</v>
      </c>
      <c r="E978" s="1" t="s">
        <v>45</v>
      </c>
      <c r="F978" s="1" t="s">
        <v>46</v>
      </c>
      <c r="G978" s="1" t="s">
        <v>17</v>
      </c>
      <c r="H978" s="1">
        <v>48</v>
      </c>
      <c r="I978" s="1" t="s">
        <v>125</v>
      </c>
      <c r="J978" s="3">
        <v>0.45</v>
      </c>
      <c r="K978" s="4">
        <v>5500</v>
      </c>
      <c r="L978" s="5">
        <f t="shared" si="6"/>
        <v>2475</v>
      </c>
      <c r="M978" s="5">
        <f t="shared" si="7"/>
        <v>989.99999999999989</v>
      </c>
      <c r="N978" s="6">
        <v>0.39999999999999997</v>
      </c>
    </row>
    <row r="979" spans="1:14" ht="15.75" customHeight="1" x14ac:dyDescent="0.45">
      <c r="A979" s="1" t="s">
        <v>120</v>
      </c>
      <c r="B979" s="1">
        <v>1197831</v>
      </c>
      <c r="C979" s="2">
        <v>44747</v>
      </c>
      <c r="D979" s="1" t="s">
        <v>19</v>
      </c>
      <c r="E979" s="1" t="s">
        <v>45</v>
      </c>
      <c r="F979" s="1" t="s">
        <v>46</v>
      </c>
      <c r="G979" s="1" t="s">
        <v>18</v>
      </c>
      <c r="H979" s="1">
        <v>56</v>
      </c>
      <c r="I979" s="1" t="s">
        <v>123</v>
      </c>
      <c r="J979" s="3">
        <v>0.54999999999999993</v>
      </c>
      <c r="K979" s="4">
        <v>8250</v>
      </c>
      <c r="L979" s="5">
        <f t="shared" si="6"/>
        <v>4537.4999999999991</v>
      </c>
      <c r="M979" s="5">
        <f t="shared" si="7"/>
        <v>2722.5</v>
      </c>
      <c r="N979" s="6">
        <v>0.60000000000000009</v>
      </c>
    </row>
    <row r="980" spans="1:14" ht="15.75" customHeight="1" x14ac:dyDescent="0.45">
      <c r="A980" s="1" t="s">
        <v>120</v>
      </c>
      <c r="B980" s="1">
        <v>1197831</v>
      </c>
      <c r="C980" s="2">
        <v>44780</v>
      </c>
      <c r="D980" s="1" t="s">
        <v>19</v>
      </c>
      <c r="E980" s="1" t="s">
        <v>45</v>
      </c>
      <c r="F980" s="1" t="s">
        <v>46</v>
      </c>
      <c r="G980" s="1" t="s">
        <v>13</v>
      </c>
      <c r="H980" s="1">
        <v>40</v>
      </c>
      <c r="I980" s="1" t="s">
        <v>124</v>
      </c>
      <c r="J980" s="3">
        <v>0.45</v>
      </c>
      <c r="K980" s="4">
        <v>7750</v>
      </c>
      <c r="L980" s="5">
        <f t="shared" si="6"/>
        <v>3487.5</v>
      </c>
      <c r="M980" s="5">
        <f t="shared" si="7"/>
        <v>1569.3749999999998</v>
      </c>
      <c r="N980" s="6">
        <v>0.44999999999999996</v>
      </c>
    </row>
    <row r="981" spans="1:14" ht="15.75" customHeight="1" x14ac:dyDescent="0.45">
      <c r="A981" s="1" t="s">
        <v>120</v>
      </c>
      <c r="B981" s="1">
        <v>1197831</v>
      </c>
      <c r="C981" s="2">
        <v>44780</v>
      </c>
      <c r="D981" s="1" t="s">
        <v>19</v>
      </c>
      <c r="E981" s="1" t="s">
        <v>45</v>
      </c>
      <c r="F981" s="1" t="s">
        <v>46</v>
      </c>
      <c r="G981" s="1" t="s">
        <v>14</v>
      </c>
      <c r="H981" s="1">
        <v>58</v>
      </c>
      <c r="I981" s="1" t="s">
        <v>126</v>
      </c>
      <c r="J981" s="3">
        <v>0.55000000000000004</v>
      </c>
      <c r="K981" s="4">
        <v>7750</v>
      </c>
      <c r="L981" s="5">
        <f t="shared" si="6"/>
        <v>4262.5</v>
      </c>
      <c r="M981" s="5">
        <f t="shared" si="7"/>
        <v>1918.1249999999998</v>
      </c>
      <c r="N981" s="6">
        <v>0.44999999999999996</v>
      </c>
    </row>
    <row r="982" spans="1:14" ht="15.75" customHeight="1" x14ac:dyDescent="0.45">
      <c r="A982" s="1" t="s">
        <v>120</v>
      </c>
      <c r="B982" s="1">
        <v>1197831</v>
      </c>
      <c r="C982" s="2">
        <v>44780</v>
      </c>
      <c r="D982" s="1" t="s">
        <v>19</v>
      </c>
      <c r="E982" s="1" t="s">
        <v>45</v>
      </c>
      <c r="F982" s="1" t="s">
        <v>46</v>
      </c>
      <c r="G982" s="1" t="s">
        <v>15</v>
      </c>
      <c r="H982" s="1">
        <v>56</v>
      </c>
      <c r="I982" s="1" t="s">
        <v>125</v>
      </c>
      <c r="J982" s="3">
        <v>0.5</v>
      </c>
      <c r="K982" s="4">
        <v>9500</v>
      </c>
      <c r="L982" s="5">
        <f t="shared" si="6"/>
        <v>4750</v>
      </c>
      <c r="M982" s="5">
        <f t="shared" si="7"/>
        <v>2137.5</v>
      </c>
      <c r="N982" s="6">
        <v>0.44999999999999996</v>
      </c>
    </row>
    <row r="983" spans="1:14" ht="15.75" customHeight="1" x14ac:dyDescent="0.45">
      <c r="A983" s="1" t="s">
        <v>120</v>
      </c>
      <c r="B983" s="1">
        <v>1197831</v>
      </c>
      <c r="C983" s="2">
        <v>44780</v>
      </c>
      <c r="D983" s="1" t="s">
        <v>19</v>
      </c>
      <c r="E983" s="1" t="s">
        <v>45</v>
      </c>
      <c r="F983" s="1" t="s">
        <v>46</v>
      </c>
      <c r="G983" s="1" t="s">
        <v>16</v>
      </c>
      <c r="H983" s="1">
        <v>30</v>
      </c>
      <c r="I983" s="1" t="s">
        <v>125</v>
      </c>
      <c r="J983" s="3">
        <v>0.45</v>
      </c>
      <c r="K983" s="4">
        <v>4750</v>
      </c>
      <c r="L983" s="5">
        <f t="shared" si="6"/>
        <v>2137.5</v>
      </c>
      <c r="M983" s="5">
        <f t="shared" si="7"/>
        <v>1175.625</v>
      </c>
      <c r="N983" s="6">
        <v>0.55000000000000004</v>
      </c>
    </row>
    <row r="984" spans="1:14" ht="15.75" customHeight="1" x14ac:dyDescent="0.45">
      <c r="A984" s="1" t="s">
        <v>120</v>
      </c>
      <c r="B984" s="1">
        <v>1197831</v>
      </c>
      <c r="C984" s="2">
        <v>44780</v>
      </c>
      <c r="D984" s="1" t="s">
        <v>19</v>
      </c>
      <c r="E984" s="1" t="s">
        <v>45</v>
      </c>
      <c r="F984" s="1" t="s">
        <v>46</v>
      </c>
      <c r="G984" s="1" t="s">
        <v>17</v>
      </c>
      <c r="H984" s="1">
        <v>57</v>
      </c>
      <c r="I984" s="1" t="s">
        <v>126</v>
      </c>
      <c r="J984" s="3">
        <v>0.5</v>
      </c>
      <c r="K984" s="4">
        <v>4750</v>
      </c>
      <c r="L984" s="5">
        <f t="shared" si="6"/>
        <v>2375</v>
      </c>
      <c r="M984" s="5">
        <f t="shared" si="7"/>
        <v>949.99999999999989</v>
      </c>
      <c r="N984" s="6">
        <v>0.39999999999999997</v>
      </c>
    </row>
    <row r="985" spans="1:14" ht="15.75" customHeight="1" x14ac:dyDescent="0.45">
      <c r="A985" s="1" t="s">
        <v>120</v>
      </c>
      <c r="B985" s="1">
        <v>1197831</v>
      </c>
      <c r="C985" s="2">
        <v>44780</v>
      </c>
      <c r="D985" s="1" t="s">
        <v>19</v>
      </c>
      <c r="E985" s="1" t="s">
        <v>45</v>
      </c>
      <c r="F985" s="1" t="s">
        <v>46</v>
      </c>
      <c r="G985" s="1" t="s">
        <v>18</v>
      </c>
      <c r="H985" s="1">
        <v>27</v>
      </c>
      <c r="I985" s="1" t="s">
        <v>126</v>
      </c>
      <c r="J985" s="3">
        <v>0.54999999999999993</v>
      </c>
      <c r="K985" s="4">
        <v>7250</v>
      </c>
      <c r="L985" s="5">
        <f t="shared" si="6"/>
        <v>3987.4999999999995</v>
      </c>
      <c r="M985" s="5">
        <f t="shared" si="7"/>
        <v>2392.5</v>
      </c>
      <c r="N985" s="6">
        <v>0.60000000000000009</v>
      </c>
    </row>
    <row r="986" spans="1:14" ht="15.75" customHeight="1" x14ac:dyDescent="0.45">
      <c r="A986" s="1" t="s">
        <v>120</v>
      </c>
      <c r="B986" s="1">
        <v>1197831</v>
      </c>
      <c r="C986" s="2">
        <v>44808</v>
      </c>
      <c r="D986" s="1" t="s">
        <v>19</v>
      </c>
      <c r="E986" s="1" t="s">
        <v>45</v>
      </c>
      <c r="F986" s="1" t="s">
        <v>46</v>
      </c>
      <c r="G986" s="1" t="s">
        <v>13</v>
      </c>
      <c r="H986" s="1">
        <v>54</v>
      </c>
      <c r="I986" s="1" t="s">
        <v>125</v>
      </c>
      <c r="J986" s="3">
        <v>0.5</v>
      </c>
      <c r="K986" s="4">
        <v>6750</v>
      </c>
      <c r="L986" s="5">
        <f t="shared" si="6"/>
        <v>3375</v>
      </c>
      <c r="M986" s="5">
        <f t="shared" si="7"/>
        <v>1518.7499999999998</v>
      </c>
      <c r="N986" s="6">
        <v>0.44999999999999996</v>
      </c>
    </row>
    <row r="987" spans="1:14" ht="15.75" customHeight="1" x14ac:dyDescent="0.45">
      <c r="A987" s="1" t="s">
        <v>120</v>
      </c>
      <c r="B987" s="1">
        <v>1197831</v>
      </c>
      <c r="C987" s="2">
        <v>44808</v>
      </c>
      <c r="D987" s="1" t="s">
        <v>19</v>
      </c>
      <c r="E987" s="1" t="s">
        <v>45</v>
      </c>
      <c r="F987" s="1" t="s">
        <v>46</v>
      </c>
      <c r="G987" s="1" t="s">
        <v>14</v>
      </c>
      <c r="H987" s="1">
        <v>21</v>
      </c>
      <c r="I987" s="1" t="s">
        <v>125</v>
      </c>
      <c r="J987" s="3">
        <v>0.5</v>
      </c>
      <c r="K987" s="4">
        <v>6250</v>
      </c>
      <c r="L987" s="5">
        <f t="shared" si="6"/>
        <v>3125</v>
      </c>
      <c r="M987" s="5">
        <f t="shared" si="7"/>
        <v>1406.2499999999998</v>
      </c>
      <c r="N987" s="6">
        <v>0.44999999999999996</v>
      </c>
    </row>
    <row r="988" spans="1:14" ht="15.75" customHeight="1" x14ac:dyDescent="0.45">
      <c r="A988" s="1" t="s">
        <v>120</v>
      </c>
      <c r="B988" s="1">
        <v>1197831</v>
      </c>
      <c r="C988" s="2">
        <v>44808</v>
      </c>
      <c r="D988" s="1" t="s">
        <v>19</v>
      </c>
      <c r="E988" s="1" t="s">
        <v>45</v>
      </c>
      <c r="F988" s="1" t="s">
        <v>46</v>
      </c>
      <c r="G988" s="1" t="s">
        <v>15</v>
      </c>
      <c r="H988" s="1">
        <v>48</v>
      </c>
      <c r="I988" s="1" t="s">
        <v>124</v>
      </c>
      <c r="J988" s="3">
        <v>0.54999999999999993</v>
      </c>
      <c r="K988" s="4">
        <v>6750</v>
      </c>
      <c r="L988" s="5">
        <f t="shared" si="6"/>
        <v>3712.4999999999995</v>
      </c>
      <c r="M988" s="5">
        <f t="shared" si="7"/>
        <v>1670.6249999999995</v>
      </c>
      <c r="N988" s="6">
        <v>0.44999999999999996</v>
      </c>
    </row>
    <row r="989" spans="1:14" ht="15.75" customHeight="1" x14ac:dyDescent="0.45">
      <c r="A989" s="1" t="s">
        <v>120</v>
      </c>
      <c r="B989" s="1">
        <v>1197831</v>
      </c>
      <c r="C989" s="2">
        <v>44808</v>
      </c>
      <c r="D989" s="1" t="s">
        <v>19</v>
      </c>
      <c r="E989" s="1" t="s">
        <v>45</v>
      </c>
      <c r="F989" s="1" t="s">
        <v>46</v>
      </c>
      <c r="G989" s="1" t="s">
        <v>16</v>
      </c>
      <c r="H989" s="1">
        <v>47</v>
      </c>
      <c r="I989" s="1" t="s">
        <v>124</v>
      </c>
      <c r="J989" s="3">
        <v>0.54999999999999993</v>
      </c>
      <c r="K989" s="4">
        <v>4000</v>
      </c>
      <c r="L989" s="5">
        <f t="shared" si="6"/>
        <v>2199.9999999999995</v>
      </c>
      <c r="M989" s="5">
        <f t="shared" si="7"/>
        <v>1209.9999999999998</v>
      </c>
      <c r="N989" s="6">
        <v>0.55000000000000004</v>
      </c>
    </row>
    <row r="990" spans="1:14" ht="15.75" customHeight="1" x14ac:dyDescent="0.45">
      <c r="A990" s="1" t="s">
        <v>120</v>
      </c>
      <c r="B990" s="1">
        <v>1197831</v>
      </c>
      <c r="C990" s="2">
        <v>44808</v>
      </c>
      <c r="D990" s="1" t="s">
        <v>19</v>
      </c>
      <c r="E990" s="1" t="s">
        <v>45</v>
      </c>
      <c r="F990" s="1" t="s">
        <v>46</v>
      </c>
      <c r="G990" s="1" t="s">
        <v>17</v>
      </c>
      <c r="H990" s="1">
        <v>18</v>
      </c>
      <c r="I990" s="1" t="s">
        <v>125</v>
      </c>
      <c r="J990" s="3">
        <v>0.5</v>
      </c>
      <c r="K990" s="4">
        <v>4000</v>
      </c>
      <c r="L990" s="5">
        <f t="shared" si="6"/>
        <v>2000</v>
      </c>
      <c r="M990" s="5">
        <f t="shared" si="7"/>
        <v>799.99999999999989</v>
      </c>
      <c r="N990" s="6">
        <v>0.39999999999999997</v>
      </c>
    </row>
    <row r="991" spans="1:14" ht="15.75" customHeight="1" x14ac:dyDescent="0.45">
      <c r="A991" s="1" t="s">
        <v>120</v>
      </c>
      <c r="B991" s="1">
        <v>1197831</v>
      </c>
      <c r="C991" s="2">
        <v>44808</v>
      </c>
      <c r="D991" s="1" t="s">
        <v>19</v>
      </c>
      <c r="E991" s="1" t="s">
        <v>45</v>
      </c>
      <c r="F991" s="1" t="s">
        <v>46</v>
      </c>
      <c r="G991" s="1" t="s">
        <v>18</v>
      </c>
      <c r="H991" s="1">
        <v>22</v>
      </c>
      <c r="I991" s="1" t="s">
        <v>124</v>
      </c>
      <c r="J991" s="3">
        <v>0.45</v>
      </c>
      <c r="K991" s="4">
        <v>6250</v>
      </c>
      <c r="L991" s="5">
        <f t="shared" si="6"/>
        <v>2812.5</v>
      </c>
      <c r="M991" s="5">
        <f t="shared" si="7"/>
        <v>1687.5000000000002</v>
      </c>
      <c r="N991" s="6">
        <v>0.60000000000000009</v>
      </c>
    </row>
    <row r="992" spans="1:14" ht="15.75" customHeight="1" x14ac:dyDescent="0.45">
      <c r="A992" s="1" t="s">
        <v>120</v>
      </c>
      <c r="B992" s="1">
        <v>1197831</v>
      </c>
      <c r="C992" s="2">
        <v>44837</v>
      </c>
      <c r="D992" s="1" t="s">
        <v>19</v>
      </c>
      <c r="E992" s="1" t="s">
        <v>45</v>
      </c>
      <c r="F992" s="1" t="s">
        <v>46</v>
      </c>
      <c r="G992" s="1" t="s">
        <v>13</v>
      </c>
      <c r="H992" s="1">
        <v>33</v>
      </c>
      <c r="I992" s="1" t="s">
        <v>123</v>
      </c>
      <c r="J992" s="3">
        <v>0.35000000000000003</v>
      </c>
      <c r="K992" s="4">
        <v>5750</v>
      </c>
      <c r="L992" s="5">
        <f t="shared" si="6"/>
        <v>2012.5000000000002</v>
      </c>
      <c r="M992" s="5">
        <f t="shared" si="7"/>
        <v>905.625</v>
      </c>
      <c r="N992" s="6">
        <v>0.44999999999999996</v>
      </c>
    </row>
    <row r="993" spans="1:14" ht="15.75" customHeight="1" x14ac:dyDescent="0.45">
      <c r="A993" s="1" t="s">
        <v>120</v>
      </c>
      <c r="B993" s="1">
        <v>1197831</v>
      </c>
      <c r="C993" s="2">
        <v>44837</v>
      </c>
      <c r="D993" s="1" t="s">
        <v>19</v>
      </c>
      <c r="E993" s="1" t="s">
        <v>45</v>
      </c>
      <c r="F993" s="1" t="s">
        <v>46</v>
      </c>
      <c r="G993" s="1" t="s">
        <v>14</v>
      </c>
      <c r="H993" s="1">
        <v>51</v>
      </c>
      <c r="I993" s="1" t="s">
        <v>123</v>
      </c>
      <c r="J993" s="3">
        <v>0.35000000000000003</v>
      </c>
      <c r="K993" s="4">
        <v>5750</v>
      </c>
      <c r="L993" s="5">
        <f t="shared" si="6"/>
        <v>2012.5000000000002</v>
      </c>
      <c r="M993" s="5">
        <f t="shared" si="7"/>
        <v>905.625</v>
      </c>
      <c r="N993" s="6">
        <v>0.44999999999999996</v>
      </c>
    </row>
    <row r="994" spans="1:14" ht="15.75" customHeight="1" x14ac:dyDescent="0.45">
      <c r="A994" s="1" t="s">
        <v>120</v>
      </c>
      <c r="B994" s="1">
        <v>1197831</v>
      </c>
      <c r="C994" s="2">
        <v>44837</v>
      </c>
      <c r="D994" s="1" t="s">
        <v>19</v>
      </c>
      <c r="E994" s="1" t="s">
        <v>45</v>
      </c>
      <c r="F994" s="1" t="s">
        <v>46</v>
      </c>
      <c r="G994" s="1" t="s">
        <v>15</v>
      </c>
      <c r="H994" s="1">
        <v>24</v>
      </c>
      <c r="I994" s="1" t="s">
        <v>124</v>
      </c>
      <c r="J994" s="3">
        <v>0.4</v>
      </c>
      <c r="K994" s="4">
        <v>5250</v>
      </c>
      <c r="L994" s="5">
        <f t="shared" si="6"/>
        <v>2100</v>
      </c>
      <c r="M994" s="5">
        <f t="shared" si="7"/>
        <v>944.99999999999989</v>
      </c>
      <c r="N994" s="6">
        <v>0.44999999999999996</v>
      </c>
    </row>
    <row r="995" spans="1:14" ht="15.75" customHeight="1" x14ac:dyDescent="0.45">
      <c r="A995" s="1" t="s">
        <v>120</v>
      </c>
      <c r="B995" s="1">
        <v>1197831</v>
      </c>
      <c r="C995" s="2">
        <v>44837</v>
      </c>
      <c r="D995" s="1" t="s">
        <v>19</v>
      </c>
      <c r="E995" s="1" t="s">
        <v>45</v>
      </c>
      <c r="F995" s="1" t="s">
        <v>46</v>
      </c>
      <c r="G995" s="1" t="s">
        <v>16</v>
      </c>
      <c r="H995" s="1">
        <v>37</v>
      </c>
      <c r="I995" s="1" t="s">
        <v>125</v>
      </c>
      <c r="J995" s="3">
        <v>0.4</v>
      </c>
      <c r="K995" s="4">
        <v>3750</v>
      </c>
      <c r="L995" s="5">
        <f t="shared" si="6"/>
        <v>1500</v>
      </c>
      <c r="M995" s="5">
        <f t="shared" si="7"/>
        <v>825.00000000000011</v>
      </c>
      <c r="N995" s="6">
        <v>0.55000000000000004</v>
      </c>
    </row>
    <row r="996" spans="1:14" ht="15.75" customHeight="1" x14ac:dyDescent="0.45">
      <c r="A996" s="1" t="s">
        <v>120</v>
      </c>
      <c r="B996" s="1">
        <v>1197831</v>
      </c>
      <c r="C996" s="2">
        <v>44837</v>
      </c>
      <c r="D996" s="1" t="s">
        <v>19</v>
      </c>
      <c r="E996" s="1" t="s">
        <v>45</v>
      </c>
      <c r="F996" s="1" t="s">
        <v>46</v>
      </c>
      <c r="G996" s="1" t="s">
        <v>17</v>
      </c>
      <c r="H996" s="1">
        <v>40</v>
      </c>
      <c r="I996" s="1" t="s">
        <v>126</v>
      </c>
      <c r="J996" s="3">
        <v>0.35000000000000003</v>
      </c>
      <c r="K996" s="4">
        <v>3500</v>
      </c>
      <c r="L996" s="5">
        <f t="shared" si="6"/>
        <v>1225.0000000000002</v>
      </c>
      <c r="M996" s="5">
        <f t="shared" si="7"/>
        <v>490.00000000000006</v>
      </c>
      <c r="N996" s="6">
        <v>0.39999999999999997</v>
      </c>
    </row>
    <row r="997" spans="1:14" ht="15.75" customHeight="1" x14ac:dyDescent="0.45">
      <c r="A997" s="1" t="s">
        <v>120</v>
      </c>
      <c r="B997" s="1">
        <v>1197831</v>
      </c>
      <c r="C997" s="2">
        <v>44837</v>
      </c>
      <c r="D997" s="1" t="s">
        <v>19</v>
      </c>
      <c r="E997" s="1" t="s">
        <v>45</v>
      </c>
      <c r="F997" s="1" t="s">
        <v>46</v>
      </c>
      <c r="G997" s="1" t="s">
        <v>18</v>
      </c>
      <c r="H997" s="1">
        <v>33</v>
      </c>
      <c r="I997" s="1" t="s">
        <v>124</v>
      </c>
      <c r="J997" s="3">
        <v>0.45</v>
      </c>
      <c r="K997" s="4">
        <v>5250</v>
      </c>
      <c r="L997" s="5">
        <f t="shared" si="6"/>
        <v>2362.5</v>
      </c>
      <c r="M997" s="5">
        <f t="shared" si="7"/>
        <v>1417.5000000000002</v>
      </c>
      <c r="N997" s="6">
        <v>0.60000000000000009</v>
      </c>
    </row>
    <row r="998" spans="1:14" ht="15.75" customHeight="1" x14ac:dyDescent="0.45">
      <c r="A998" s="1" t="s">
        <v>120</v>
      </c>
      <c r="B998" s="1">
        <v>1197831</v>
      </c>
      <c r="C998" s="2">
        <v>44869</v>
      </c>
      <c r="D998" s="1" t="s">
        <v>19</v>
      </c>
      <c r="E998" s="1" t="s">
        <v>45</v>
      </c>
      <c r="F998" s="1" t="s">
        <v>46</v>
      </c>
      <c r="G998" s="1" t="s">
        <v>13</v>
      </c>
      <c r="H998" s="1">
        <v>47</v>
      </c>
      <c r="I998" s="1" t="s">
        <v>123</v>
      </c>
      <c r="J998" s="3">
        <v>0.30000000000000004</v>
      </c>
      <c r="K998" s="4">
        <v>6750</v>
      </c>
      <c r="L998" s="5">
        <f t="shared" si="6"/>
        <v>2025.0000000000002</v>
      </c>
      <c r="M998" s="5">
        <f t="shared" si="7"/>
        <v>911.25</v>
      </c>
      <c r="N998" s="6">
        <v>0.44999999999999996</v>
      </c>
    </row>
    <row r="999" spans="1:14" ht="15.75" customHeight="1" x14ac:dyDescent="0.45">
      <c r="A999" s="1" t="s">
        <v>120</v>
      </c>
      <c r="B999" s="1">
        <v>1197831</v>
      </c>
      <c r="C999" s="2">
        <v>44869</v>
      </c>
      <c r="D999" s="1" t="s">
        <v>19</v>
      </c>
      <c r="E999" s="1" t="s">
        <v>45</v>
      </c>
      <c r="F999" s="1" t="s">
        <v>46</v>
      </c>
      <c r="G999" s="1" t="s">
        <v>14</v>
      </c>
      <c r="H999" s="1">
        <v>43</v>
      </c>
      <c r="I999" s="1" t="s">
        <v>123</v>
      </c>
      <c r="J999" s="3">
        <v>0.30000000000000004</v>
      </c>
      <c r="K999" s="4">
        <v>6750</v>
      </c>
      <c r="L999" s="5">
        <f t="shared" si="6"/>
        <v>2025.0000000000002</v>
      </c>
      <c r="M999" s="5">
        <f t="shared" si="7"/>
        <v>911.25</v>
      </c>
      <c r="N999" s="6">
        <v>0.44999999999999996</v>
      </c>
    </row>
    <row r="1000" spans="1:14" ht="15.75" customHeight="1" x14ac:dyDescent="0.45">
      <c r="A1000" s="1" t="s">
        <v>120</v>
      </c>
      <c r="B1000" s="1">
        <v>1197831</v>
      </c>
      <c r="C1000" s="2">
        <v>44869</v>
      </c>
      <c r="D1000" s="1" t="s">
        <v>19</v>
      </c>
      <c r="E1000" s="1" t="s">
        <v>45</v>
      </c>
      <c r="F1000" s="1" t="s">
        <v>46</v>
      </c>
      <c r="G1000" s="1" t="s">
        <v>15</v>
      </c>
      <c r="H1000" s="1">
        <v>50</v>
      </c>
      <c r="I1000" s="1" t="s">
        <v>125</v>
      </c>
      <c r="J1000" s="3">
        <v>0.55000000000000004</v>
      </c>
      <c r="K1000" s="4">
        <v>6000</v>
      </c>
      <c r="L1000" s="5">
        <f t="shared" si="6"/>
        <v>3300.0000000000005</v>
      </c>
      <c r="M1000" s="5">
        <f t="shared" si="7"/>
        <v>1485</v>
      </c>
      <c r="N1000" s="6">
        <v>0.44999999999999996</v>
      </c>
    </row>
    <row r="1001" spans="1:14" ht="15.75" customHeight="1" x14ac:dyDescent="0.45">
      <c r="A1001" s="1" t="s">
        <v>120</v>
      </c>
      <c r="B1001" s="1">
        <v>1197831</v>
      </c>
      <c r="C1001" s="2">
        <v>44869</v>
      </c>
      <c r="D1001" s="1" t="s">
        <v>19</v>
      </c>
      <c r="E1001" s="1" t="s">
        <v>45</v>
      </c>
      <c r="F1001" s="1" t="s">
        <v>46</v>
      </c>
      <c r="G1001" s="1" t="s">
        <v>16</v>
      </c>
      <c r="H1001" s="1">
        <v>40</v>
      </c>
      <c r="I1001" s="1" t="s">
        <v>126</v>
      </c>
      <c r="J1001" s="3">
        <v>0.55000000000000004</v>
      </c>
      <c r="K1001" s="4">
        <v>4750</v>
      </c>
      <c r="L1001" s="5">
        <f t="shared" si="6"/>
        <v>2612.5</v>
      </c>
      <c r="M1001" s="5">
        <f t="shared" si="7"/>
        <v>1436.8750000000002</v>
      </c>
      <c r="N1001" s="6">
        <v>0.55000000000000004</v>
      </c>
    </row>
    <row r="1002" spans="1:14" ht="15.75" customHeight="1" x14ac:dyDescent="0.45">
      <c r="A1002" s="1" t="s">
        <v>120</v>
      </c>
      <c r="B1002" s="1">
        <v>1197831</v>
      </c>
      <c r="C1002" s="2">
        <v>44869</v>
      </c>
      <c r="D1002" s="1" t="s">
        <v>19</v>
      </c>
      <c r="E1002" s="1" t="s">
        <v>45</v>
      </c>
      <c r="F1002" s="1" t="s">
        <v>46</v>
      </c>
      <c r="G1002" s="1" t="s">
        <v>17</v>
      </c>
      <c r="H1002" s="1">
        <v>21</v>
      </c>
      <c r="I1002" s="1" t="s">
        <v>125</v>
      </c>
      <c r="J1002" s="3">
        <v>0.54999999999999993</v>
      </c>
      <c r="K1002" s="4">
        <v>4500</v>
      </c>
      <c r="L1002" s="5">
        <f t="shared" si="6"/>
        <v>2474.9999999999995</v>
      </c>
      <c r="M1002" s="5">
        <f t="shared" si="7"/>
        <v>989.99999999999977</v>
      </c>
      <c r="N1002" s="6">
        <v>0.39999999999999997</v>
      </c>
    </row>
    <row r="1003" spans="1:14" ht="15.75" customHeight="1" x14ac:dyDescent="0.45">
      <c r="A1003" s="1" t="s">
        <v>120</v>
      </c>
      <c r="B1003" s="1">
        <v>1197831</v>
      </c>
      <c r="C1003" s="2">
        <v>44869</v>
      </c>
      <c r="D1003" s="1" t="s">
        <v>19</v>
      </c>
      <c r="E1003" s="1" t="s">
        <v>45</v>
      </c>
      <c r="F1003" s="1" t="s">
        <v>46</v>
      </c>
      <c r="G1003" s="1" t="s">
        <v>18</v>
      </c>
      <c r="H1003" s="1">
        <v>15</v>
      </c>
      <c r="I1003" s="1" t="s">
        <v>124</v>
      </c>
      <c r="J1003" s="3">
        <v>0.65</v>
      </c>
      <c r="K1003" s="4">
        <v>6500</v>
      </c>
      <c r="L1003" s="5">
        <f t="shared" si="6"/>
        <v>4225</v>
      </c>
      <c r="M1003" s="5">
        <f t="shared" si="7"/>
        <v>2535.0000000000005</v>
      </c>
      <c r="N1003" s="6">
        <v>0.60000000000000009</v>
      </c>
    </row>
    <row r="1004" spans="1:14" ht="15.75" customHeight="1" x14ac:dyDescent="0.45">
      <c r="A1004" s="1" t="s">
        <v>120</v>
      </c>
      <c r="B1004" s="1">
        <v>1197831</v>
      </c>
      <c r="C1004" s="2">
        <v>44898</v>
      </c>
      <c r="D1004" s="1" t="s">
        <v>19</v>
      </c>
      <c r="E1004" s="1" t="s">
        <v>45</v>
      </c>
      <c r="F1004" s="1" t="s">
        <v>46</v>
      </c>
      <c r="G1004" s="1" t="s">
        <v>13</v>
      </c>
      <c r="H1004" s="1">
        <v>42</v>
      </c>
      <c r="I1004" s="1" t="s">
        <v>123</v>
      </c>
      <c r="J1004" s="3">
        <v>0.54999999999999993</v>
      </c>
      <c r="K1004" s="4">
        <v>8000</v>
      </c>
      <c r="L1004" s="5">
        <f t="shared" si="6"/>
        <v>4399.9999999999991</v>
      </c>
      <c r="M1004" s="5">
        <f t="shared" si="7"/>
        <v>1979.9999999999993</v>
      </c>
      <c r="N1004" s="6">
        <v>0.44999999999999996</v>
      </c>
    </row>
    <row r="1005" spans="1:14" ht="15.75" customHeight="1" x14ac:dyDescent="0.45">
      <c r="A1005" s="1" t="s">
        <v>120</v>
      </c>
      <c r="B1005" s="1">
        <v>1197831</v>
      </c>
      <c r="C1005" s="2">
        <v>44898</v>
      </c>
      <c r="D1005" s="1" t="s">
        <v>19</v>
      </c>
      <c r="E1005" s="1" t="s">
        <v>45</v>
      </c>
      <c r="F1005" s="1" t="s">
        <v>46</v>
      </c>
      <c r="G1005" s="1" t="s">
        <v>14</v>
      </c>
      <c r="H1005" s="1">
        <v>31</v>
      </c>
      <c r="I1005" s="1" t="s">
        <v>125</v>
      </c>
      <c r="J1005" s="3">
        <v>0.54999999999999993</v>
      </c>
      <c r="K1005" s="4">
        <v>8000</v>
      </c>
      <c r="L1005" s="5">
        <f t="shared" si="6"/>
        <v>4399.9999999999991</v>
      </c>
      <c r="M1005" s="5">
        <f t="shared" si="7"/>
        <v>1979.9999999999993</v>
      </c>
      <c r="N1005" s="6">
        <v>0.44999999999999996</v>
      </c>
    </row>
    <row r="1006" spans="1:14" ht="15.75" customHeight="1" x14ac:dyDescent="0.45">
      <c r="A1006" s="1" t="s">
        <v>120</v>
      </c>
      <c r="B1006" s="1">
        <v>1197831</v>
      </c>
      <c r="C1006" s="2">
        <v>44898</v>
      </c>
      <c r="D1006" s="1" t="s">
        <v>19</v>
      </c>
      <c r="E1006" s="1" t="s">
        <v>45</v>
      </c>
      <c r="F1006" s="1" t="s">
        <v>46</v>
      </c>
      <c r="G1006" s="1" t="s">
        <v>15</v>
      </c>
      <c r="H1006" s="1">
        <v>21</v>
      </c>
      <c r="I1006" s="1" t="s">
        <v>123</v>
      </c>
      <c r="J1006" s="3">
        <v>0.6</v>
      </c>
      <c r="K1006" s="4">
        <v>7000</v>
      </c>
      <c r="L1006" s="5">
        <f t="shared" si="6"/>
        <v>4200</v>
      </c>
      <c r="M1006" s="5">
        <f t="shared" si="7"/>
        <v>1889.9999999999998</v>
      </c>
      <c r="N1006" s="6">
        <v>0.44999999999999996</v>
      </c>
    </row>
    <row r="1007" spans="1:14" ht="15.75" customHeight="1" x14ac:dyDescent="0.45">
      <c r="A1007" s="1" t="s">
        <v>120</v>
      </c>
      <c r="B1007" s="1">
        <v>1197831</v>
      </c>
      <c r="C1007" s="2">
        <v>44898</v>
      </c>
      <c r="D1007" s="1" t="s">
        <v>19</v>
      </c>
      <c r="E1007" s="1" t="s">
        <v>45</v>
      </c>
      <c r="F1007" s="1" t="s">
        <v>46</v>
      </c>
      <c r="G1007" s="1" t="s">
        <v>16</v>
      </c>
      <c r="H1007" s="1">
        <v>50</v>
      </c>
      <c r="I1007" s="1" t="s">
        <v>125</v>
      </c>
      <c r="J1007" s="3">
        <v>0.6</v>
      </c>
      <c r="K1007" s="4">
        <v>5500</v>
      </c>
      <c r="L1007" s="5">
        <f t="shared" si="6"/>
        <v>3300</v>
      </c>
      <c r="M1007" s="5">
        <f t="shared" si="7"/>
        <v>1815.0000000000002</v>
      </c>
      <c r="N1007" s="6">
        <v>0.55000000000000004</v>
      </c>
    </row>
    <row r="1008" spans="1:14" ht="15.75" customHeight="1" x14ac:dyDescent="0.45">
      <c r="A1008" s="1" t="s">
        <v>120</v>
      </c>
      <c r="B1008" s="1">
        <v>1197831</v>
      </c>
      <c r="C1008" s="2">
        <v>44898</v>
      </c>
      <c r="D1008" s="1" t="s">
        <v>19</v>
      </c>
      <c r="E1008" s="1" t="s">
        <v>45</v>
      </c>
      <c r="F1008" s="1" t="s">
        <v>46</v>
      </c>
      <c r="G1008" s="1" t="s">
        <v>17</v>
      </c>
      <c r="H1008" s="1">
        <v>53</v>
      </c>
      <c r="I1008" s="1" t="s">
        <v>124</v>
      </c>
      <c r="J1008" s="3">
        <v>0.54999999999999993</v>
      </c>
      <c r="K1008" s="4">
        <v>5000</v>
      </c>
      <c r="L1008" s="5">
        <f t="shared" si="6"/>
        <v>2749.9999999999995</v>
      </c>
      <c r="M1008" s="5">
        <f t="shared" si="7"/>
        <v>1099.9999999999998</v>
      </c>
      <c r="N1008" s="6">
        <v>0.39999999999999997</v>
      </c>
    </row>
    <row r="1009" spans="1:14" ht="15.75" customHeight="1" x14ac:dyDescent="0.45">
      <c r="A1009" s="1" t="s">
        <v>120</v>
      </c>
      <c r="B1009" s="1">
        <v>1197831</v>
      </c>
      <c r="C1009" s="2">
        <v>44898</v>
      </c>
      <c r="D1009" s="1" t="s">
        <v>19</v>
      </c>
      <c r="E1009" s="1" t="s">
        <v>45</v>
      </c>
      <c r="F1009" s="1" t="s">
        <v>46</v>
      </c>
      <c r="G1009" s="1" t="s">
        <v>18</v>
      </c>
      <c r="H1009" s="1">
        <v>17</v>
      </c>
      <c r="I1009" s="1" t="s">
        <v>126</v>
      </c>
      <c r="J1009" s="3">
        <v>0.65</v>
      </c>
      <c r="K1009" s="4">
        <v>7500</v>
      </c>
      <c r="L1009" s="5">
        <f t="shared" si="6"/>
        <v>4875</v>
      </c>
      <c r="M1009" s="5">
        <f t="shared" si="7"/>
        <v>2925.0000000000005</v>
      </c>
      <c r="N1009" s="6">
        <v>0.60000000000000009</v>
      </c>
    </row>
    <row r="1010" spans="1:14" ht="15.75" customHeight="1" x14ac:dyDescent="0.45">
      <c r="A1010" s="1" t="s">
        <v>119</v>
      </c>
      <c r="B1010" s="1">
        <v>1185732</v>
      </c>
      <c r="C1010" s="2">
        <v>44572</v>
      </c>
      <c r="D1010" s="1" t="s">
        <v>26</v>
      </c>
      <c r="E1010" s="1" t="s">
        <v>47</v>
      </c>
      <c r="F1010" s="1" t="s">
        <v>48</v>
      </c>
      <c r="G1010" s="1" t="s">
        <v>13</v>
      </c>
      <c r="H1010" s="1">
        <v>48</v>
      </c>
      <c r="I1010" s="1" t="s">
        <v>123</v>
      </c>
      <c r="J1010" s="3">
        <v>0.35</v>
      </c>
      <c r="K1010" s="4">
        <v>4250</v>
      </c>
      <c r="L1010" s="5">
        <f t="shared" si="6"/>
        <v>1487.5</v>
      </c>
      <c r="M1010" s="5">
        <f t="shared" si="7"/>
        <v>595</v>
      </c>
      <c r="N1010" s="6">
        <v>0.4</v>
      </c>
    </row>
    <row r="1011" spans="1:14" ht="15.75" customHeight="1" x14ac:dyDescent="0.45">
      <c r="A1011" s="1" t="s">
        <v>119</v>
      </c>
      <c r="B1011" s="1">
        <v>1185732</v>
      </c>
      <c r="C1011" s="2">
        <v>44572</v>
      </c>
      <c r="D1011" s="1" t="s">
        <v>26</v>
      </c>
      <c r="E1011" s="1" t="s">
        <v>47</v>
      </c>
      <c r="F1011" s="1" t="s">
        <v>48</v>
      </c>
      <c r="G1011" s="1" t="s">
        <v>14</v>
      </c>
      <c r="H1011" s="1">
        <v>32</v>
      </c>
      <c r="I1011" s="1" t="s">
        <v>124</v>
      </c>
      <c r="J1011" s="3">
        <v>0.35</v>
      </c>
      <c r="K1011" s="4">
        <v>2250</v>
      </c>
      <c r="L1011" s="5">
        <f t="shared" si="6"/>
        <v>787.5</v>
      </c>
      <c r="M1011" s="5">
        <f t="shared" si="7"/>
        <v>275.625</v>
      </c>
      <c r="N1011" s="6">
        <v>0.35</v>
      </c>
    </row>
    <row r="1012" spans="1:14" ht="15.75" customHeight="1" x14ac:dyDescent="0.45">
      <c r="A1012" s="1" t="s">
        <v>119</v>
      </c>
      <c r="B1012" s="1">
        <v>1185732</v>
      </c>
      <c r="C1012" s="2">
        <v>44572</v>
      </c>
      <c r="D1012" s="1" t="s">
        <v>26</v>
      </c>
      <c r="E1012" s="1" t="s">
        <v>47</v>
      </c>
      <c r="F1012" s="1" t="s">
        <v>48</v>
      </c>
      <c r="G1012" s="1" t="s">
        <v>15</v>
      </c>
      <c r="H1012" s="1">
        <v>26</v>
      </c>
      <c r="I1012" s="1" t="s">
        <v>126</v>
      </c>
      <c r="J1012" s="3">
        <v>0.25</v>
      </c>
      <c r="K1012" s="4">
        <v>2250</v>
      </c>
      <c r="L1012" s="5">
        <f t="shared" si="6"/>
        <v>562.5</v>
      </c>
      <c r="M1012" s="5">
        <f t="shared" si="7"/>
        <v>196.875</v>
      </c>
      <c r="N1012" s="6">
        <v>0.35</v>
      </c>
    </row>
    <row r="1013" spans="1:14" ht="15.75" customHeight="1" x14ac:dyDescent="0.45">
      <c r="A1013" s="1" t="s">
        <v>119</v>
      </c>
      <c r="B1013" s="1">
        <v>1185732</v>
      </c>
      <c r="C1013" s="2">
        <v>44572</v>
      </c>
      <c r="D1013" s="1" t="s">
        <v>26</v>
      </c>
      <c r="E1013" s="1" t="s">
        <v>47</v>
      </c>
      <c r="F1013" s="1" t="s">
        <v>48</v>
      </c>
      <c r="G1013" s="1" t="s">
        <v>16</v>
      </c>
      <c r="H1013" s="1">
        <v>17</v>
      </c>
      <c r="I1013" s="1" t="s">
        <v>125</v>
      </c>
      <c r="J1013" s="3">
        <v>0.30000000000000004</v>
      </c>
      <c r="K1013" s="4">
        <v>750</v>
      </c>
      <c r="L1013" s="5">
        <f t="shared" si="6"/>
        <v>225.00000000000003</v>
      </c>
      <c r="M1013" s="5">
        <f t="shared" si="7"/>
        <v>90.000000000000014</v>
      </c>
      <c r="N1013" s="6">
        <v>0.4</v>
      </c>
    </row>
    <row r="1014" spans="1:14" ht="15.75" customHeight="1" x14ac:dyDescent="0.45">
      <c r="A1014" s="1" t="s">
        <v>119</v>
      </c>
      <c r="B1014" s="1">
        <v>1185732</v>
      </c>
      <c r="C1014" s="2">
        <v>44572</v>
      </c>
      <c r="D1014" s="1" t="s">
        <v>26</v>
      </c>
      <c r="E1014" s="1" t="s">
        <v>47</v>
      </c>
      <c r="F1014" s="1" t="s">
        <v>48</v>
      </c>
      <c r="G1014" s="1" t="s">
        <v>17</v>
      </c>
      <c r="H1014" s="1">
        <v>26</v>
      </c>
      <c r="I1014" s="1" t="s">
        <v>125</v>
      </c>
      <c r="J1014" s="3">
        <v>0.44999999999999996</v>
      </c>
      <c r="K1014" s="4">
        <v>1250</v>
      </c>
      <c r="L1014" s="5">
        <f t="shared" si="6"/>
        <v>562.5</v>
      </c>
      <c r="M1014" s="5">
        <f t="shared" si="7"/>
        <v>196.875</v>
      </c>
      <c r="N1014" s="6">
        <v>0.35</v>
      </c>
    </row>
    <row r="1015" spans="1:14" ht="15.75" customHeight="1" x14ac:dyDescent="0.45">
      <c r="A1015" s="1" t="s">
        <v>119</v>
      </c>
      <c r="B1015" s="1">
        <v>1185732</v>
      </c>
      <c r="C1015" s="2">
        <v>44572</v>
      </c>
      <c r="D1015" s="1" t="s">
        <v>26</v>
      </c>
      <c r="E1015" s="1" t="s">
        <v>47</v>
      </c>
      <c r="F1015" s="1" t="s">
        <v>48</v>
      </c>
      <c r="G1015" s="1" t="s">
        <v>18</v>
      </c>
      <c r="H1015" s="1">
        <v>43</v>
      </c>
      <c r="I1015" s="1" t="s">
        <v>123</v>
      </c>
      <c r="J1015" s="3">
        <v>0.35</v>
      </c>
      <c r="K1015" s="4">
        <v>2250</v>
      </c>
      <c r="L1015" s="5">
        <f t="shared" si="6"/>
        <v>787.5</v>
      </c>
      <c r="M1015" s="5">
        <f t="shared" si="7"/>
        <v>393.75</v>
      </c>
      <c r="N1015" s="6">
        <v>0.5</v>
      </c>
    </row>
    <row r="1016" spans="1:14" ht="15.75" customHeight="1" x14ac:dyDescent="0.45">
      <c r="A1016" s="1" t="s">
        <v>119</v>
      </c>
      <c r="B1016" s="1">
        <v>1185732</v>
      </c>
      <c r="C1016" s="2">
        <v>44603</v>
      </c>
      <c r="D1016" s="1" t="s">
        <v>26</v>
      </c>
      <c r="E1016" s="1" t="s">
        <v>47</v>
      </c>
      <c r="F1016" s="1" t="s">
        <v>48</v>
      </c>
      <c r="G1016" s="1" t="s">
        <v>13</v>
      </c>
      <c r="H1016" s="1">
        <v>44</v>
      </c>
      <c r="I1016" s="1" t="s">
        <v>126</v>
      </c>
      <c r="J1016" s="3">
        <v>0.35</v>
      </c>
      <c r="K1016" s="4">
        <v>4750</v>
      </c>
      <c r="L1016" s="5">
        <f t="shared" si="6"/>
        <v>1662.5</v>
      </c>
      <c r="M1016" s="5">
        <f t="shared" si="7"/>
        <v>665</v>
      </c>
      <c r="N1016" s="6">
        <v>0.4</v>
      </c>
    </row>
    <row r="1017" spans="1:14" ht="15.75" customHeight="1" x14ac:dyDescent="0.45">
      <c r="A1017" s="1" t="s">
        <v>119</v>
      </c>
      <c r="B1017" s="1">
        <v>1185732</v>
      </c>
      <c r="C1017" s="2">
        <v>44603</v>
      </c>
      <c r="D1017" s="1" t="s">
        <v>26</v>
      </c>
      <c r="E1017" s="1" t="s">
        <v>47</v>
      </c>
      <c r="F1017" s="1" t="s">
        <v>48</v>
      </c>
      <c r="G1017" s="1" t="s">
        <v>14</v>
      </c>
      <c r="H1017" s="1">
        <v>22</v>
      </c>
      <c r="I1017" s="1" t="s">
        <v>126</v>
      </c>
      <c r="J1017" s="3">
        <v>0.35</v>
      </c>
      <c r="K1017" s="4">
        <v>1250</v>
      </c>
      <c r="L1017" s="5">
        <f t="shared" si="6"/>
        <v>437.5</v>
      </c>
      <c r="M1017" s="5">
        <f t="shared" si="7"/>
        <v>153.125</v>
      </c>
      <c r="N1017" s="6">
        <v>0.35</v>
      </c>
    </row>
    <row r="1018" spans="1:14" ht="15.75" customHeight="1" x14ac:dyDescent="0.45">
      <c r="A1018" s="1" t="s">
        <v>119</v>
      </c>
      <c r="B1018" s="1">
        <v>1185732</v>
      </c>
      <c r="C1018" s="2">
        <v>44603</v>
      </c>
      <c r="D1018" s="1" t="s">
        <v>26</v>
      </c>
      <c r="E1018" s="1" t="s">
        <v>47</v>
      </c>
      <c r="F1018" s="1" t="s">
        <v>48</v>
      </c>
      <c r="G1018" s="1" t="s">
        <v>15</v>
      </c>
      <c r="H1018" s="1">
        <v>32</v>
      </c>
      <c r="I1018" s="1" t="s">
        <v>123</v>
      </c>
      <c r="J1018" s="3">
        <v>0.25</v>
      </c>
      <c r="K1018" s="4">
        <v>1750</v>
      </c>
      <c r="L1018" s="5">
        <f t="shared" si="6"/>
        <v>437.5</v>
      </c>
      <c r="M1018" s="5">
        <f t="shared" si="7"/>
        <v>153.125</v>
      </c>
      <c r="N1018" s="6">
        <v>0.35</v>
      </c>
    </row>
    <row r="1019" spans="1:14" ht="15.75" customHeight="1" x14ac:dyDescent="0.45">
      <c r="A1019" s="1" t="s">
        <v>119</v>
      </c>
      <c r="B1019" s="1">
        <v>1185732</v>
      </c>
      <c r="C1019" s="2">
        <v>44603</v>
      </c>
      <c r="D1019" s="1" t="s">
        <v>26</v>
      </c>
      <c r="E1019" s="1" t="s">
        <v>47</v>
      </c>
      <c r="F1019" s="1" t="s">
        <v>48</v>
      </c>
      <c r="G1019" s="1" t="s">
        <v>16</v>
      </c>
      <c r="H1019" s="1">
        <v>37</v>
      </c>
      <c r="I1019" s="1" t="s">
        <v>124</v>
      </c>
      <c r="J1019" s="3">
        <v>0.30000000000000004</v>
      </c>
      <c r="K1019" s="4">
        <v>500</v>
      </c>
      <c r="L1019" s="5">
        <f t="shared" si="6"/>
        <v>150.00000000000003</v>
      </c>
      <c r="M1019" s="5">
        <f t="shared" si="7"/>
        <v>60.000000000000014</v>
      </c>
      <c r="N1019" s="6">
        <v>0.4</v>
      </c>
    </row>
    <row r="1020" spans="1:14" ht="15.75" customHeight="1" x14ac:dyDescent="0.45">
      <c r="A1020" s="1" t="s">
        <v>119</v>
      </c>
      <c r="B1020" s="1">
        <v>1185732</v>
      </c>
      <c r="C1020" s="2">
        <v>44603</v>
      </c>
      <c r="D1020" s="1" t="s">
        <v>26</v>
      </c>
      <c r="E1020" s="1" t="s">
        <v>47</v>
      </c>
      <c r="F1020" s="1" t="s">
        <v>48</v>
      </c>
      <c r="G1020" s="1" t="s">
        <v>17</v>
      </c>
      <c r="H1020" s="1">
        <v>20</v>
      </c>
      <c r="I1020" s="1" t="s">
        <v>125</v>
      </c>
      <c r="J1020" s="3">
        <v>0.44999999999999996</v>
      </c>
      <c r="K1020" s="4">
        <v>1250</v>
      </c>
      <c r="L1020" s="5">
        <f t="shared" si="6"/>
        <v>562.5</v>
      </c>
      <c r="M1020" s="5">
        <f t="shared" si="7"/>
        <v>196.875</v>
      </c>
      <c r="N1020" s="6">
        <v>0.35</v>
      </c>
    </row>
    <row r="1021" spans="1:14" ht="15.75" customHeight="1" x14ac:dyDescent="0.45">
      <c r="A1021" s="1" t="s">
        <v>119</v>
      </c>
      <c r="B1021" s="1">
        <v>1185732</v>
      </c>
      <c r="C1021" s="2">
        <v>44603</v>
      </c>
      <c r="D1021" s="1" t="s">
        <v>26</v>
      </c>
      <c r="E1021" s="1" t="s">
        <v>47</v>
      </c>
      <c r="F1021" s="1" t="s">
        <v>48</v>
      </c>
      <c r="G1021" s="1" t="s">
        <v>18</v>
      </c>
      <c r="H1021" s="1">
        <v>40</v>
      </c>
      <c r="I1021" s="1" t="s">
        <v>126</v>
      </c>
      <c r="J1021" s="3">
        <v>0.35</v>
      </c>
      <c r="K1021" s="4">
        <v>2000</v>
      </c>
      <c r="L1021" s="5">
        <f t="shared" si="6"/>
        <v>700</v>
      </c>
      <c r="M1021" s="5">
        <f t="shared" si="7"/>
        <v>350</v>
      </c>
      <c r="N1021" s="6">
        <v>0.5</v>
      </c>
    </row>
    <row r="1022" spans="1:14" ht="15.75" customHeight="1" x14ac:dyDescent="0.45">
      <c r="A1022" s="1" t="s">
        <v>119</v>
      </c>
      <c r="B1022" s="1">
        <v>1185732</v>
      </c>
      <c r="C1022" s="2">
        <v>44630</v>
      </c>
      <c r="D1022" s="1" t="s">
        <v>26</v>
      </c>
      <c r="E1022" s="1" t="s">
        <v>47</v>
      </c>
      <c r="F1022" s="1" t="s">
        <v>48</v>
      </c>
      <c r="G1022" s="1" t="s">
        <v>13</v>
      </c>
      <c r="H1022" s="1">
        <v>42</v>
      </c>
      <c r="I1022" s="1" t="s">
        <v>124</v>
      </c>
      <c r="J1022" s="3">
        <v>0.4</v>
      </c>
      <c r="K1022" s="4">
        <v>4200</v>
      </c>
      <c r="L1022" s="5">
        <f t="shared" ref="L1022:L1225" si="8">J1022*K1022</f>
        <v>1680</v>
      </c>
      <c r="M1022" s="5">
        <f t="shared" ref="M1022:M1225" si="9">L1022*N1022</f>
        <v>672</v>
      </c>
      <c r="N1022" s="6">
        <v>0.4</v>
      </c>
    </row>
    <row r="1023" spans="1:14" ht="15.75" customHeight="1" x14ac:dyDescent="0.45">
      <c r="A1023" s="1" t="s">
        <v>119</v>
      </c>
      <c r="B1023" s="1">
        <v>1185732</v>
      </c>
      <c r="C1023" s="2">
        <v>44630</v>
      </c>
      <c r="D1023" s="1" t="s">
        <v>26</v>
      </c>
      <c r="E1023" s="1" t="s">
        <v>47</v>
      </c>
      <c r="F1023" s="1" t="s">
        <v>48</v>
      </c>
      <c r="G1023" s="1" t="s">
        <v>14</v>
      </c>
      <c r="H1023" s="1">
        <v>36</v>
      </c>
      <c r="I1023" s="1" t="s">
        <v>123</v>
      </c>
      <c r="J1023" s="3">
        <v>0.4</v>
      </c>
      <c r="K1023" s="4">
        <v>1000</v>
      </c>
      <c r="L1023" s="5">
        <f t="shared" si="8"/>
        <v>400</v>
      </c>
      <c r="M1023" s="5">
        <f t="shared" si="9"/>
        <v>140</v>
      </c>
      <c r="N1023" s="6">
        <v>0.35</v>
      </c>
    </row>
    <row r="1024" spans="1:14" ht="15.75" customHeight="1" x14ac:dyDescent="0.45">
      <c r="A1024" s="1" t="s">
        <v>119</v>
      </c>
      <c r="B1024" s="1">
        <v>1185732</v>
      </c>
      <c r="C1024" s="2">
        <v>44630</v>
      </c>
      <c r="D1024" s="1" t="s">
        <v>26</v>
      </c>
      <c r="E1024" s="1" t="s">
        <v>47</v>
      </c>
      <c r="F1024" s="1" t="s">
        <v>48</v>
      </c>
      <c r="G1024" s="1" t="s">
        <v>15</v>
      </c>
      <c r="H1024" s="1">
        <v>17</v>
      </c>
      <c r="I1024" s="1" t="s">
        <v>126</v>
      </c>
      <c r="J1024" s="3">
        <v>0.30000000000000004</v>
      </c>
      <c r="K1024" s="4">
        <v>1500</v>
      </c>
      <c r="L1024" s="5">
        <f t="shared" si="8"/>
        <v>450.00000000000006</v>
      </c>
      <c r="M1024" s="5">
        <f t="shared" si="9"/>
        <v>157.5</v>
      </c>
      <c r="N1024" s="6">
        <v>0.35</v>
      </c>
    </row>
    <row r="1025" spans="1:14" ht="15.75" customHeight="1" x14ac:dyDescent="0.45">
      <c r="A1025" s="1" t="s">
        <v>119</v>
      </c>
      <c r="B1025" s="1">
        <v>1185732</v>
      </c>
      <c r="C1025" s="2">
        <v>44630</v>
      </c>
      <c r="D1025" s="1" t="s">
        <v>26</v>
      </c>
      <c r="E1025" s="1" t="s">
        <v>47</v>
      </c>
      <c r="F1025" s="1" t="s">
        <v>48</v>
      </c>
      <c r="G1025" s="1" t="s">
        <v>16</v>
      </c>
      <c r="H1025" s="1">
        <v>40</v>
      </c>
      <c r="I1025" s="1" t="s">
        <v>126</v>
      </c>
      <c r="J1025" s="3">
        <v>0.35</v>
      </c>
      <c r="K1025" s="4">
        <v>0</v>
      </c>
      <c r="L1025" s="5">
        <f t="shared" si="8"/>
        <v>0</v>
      </c>
      <c r="M1025" s="5">
        <f t="shared" si="9"/>
        <v>0</v>
      </c>
      <c r="N1025" s="6">
        <v>0.4</v>
      </c>
    </row>
    <row r="1026" spans="1:14" ht="15.75" customHeight="1" x14ac:dyDescent="0.45">
      <c r="A1026" s="1" t="s">
        <v>119</v>
      </c>
      <c r="B1026" s="1">
        <v>1185732</v>
      </c>
      <c r="C1026" s="2">
        <v>44630</v>
      </c>
      <c r="D1026" s="1" t="s">
        <v>26</v>
      </c>
      <c r="E1026" s="1" t="s">
        <v>47</v>
      </c>
      <c r="F1026" s="1" t="s">
        <v>48</v>
      </c>
      <c r="G1026" s="1" t="s">
        <v>17</v>
      </c>
      <c r="H1026" s="1">
        <v>57</v>
      </c>
      <c r="I1026" s="1" t="s">
        <v>123</v>
      </c>
      <c r="J1026" s="3">
        <v>0.5</v>
      </c>
      <c r="K1026" s="4">
        <v>500</v>
      </c>
      <c r="L1026" s="5">
        <f t="shared" si="8"/>
        <v>250</v>
      </c>
      <c r="M1026" s="5">
        <f t="shared" si="9"/>
        <v>87.5</v>
      </c>
      <c r="N1026" s="6">
        <v>0.35</v>
      </c>
    </row>
    <row r="1027" spans="1:14" ht="15.75" customHeight="1" x14ac:dyDescent="0.45">
      <c r="A1027" s="1" t="s">
        <v>119</v>
      </c>
      <c r="B1027" s="1">
        <v>1185732</v>
      </c>
      <c r="C1027" s="2">
        <v>44630</v>
      </c>
      <c r="D1027" s="1" t="s">
        <v>26</v>
      </c>
      <c r="E1027" s="1" t="s">
        <v>47</v>
      </c>
      <c r="F1027" s="1" t="s">
        <v>48</v>
      </c>
      <c r="G1027" s="1" t="s">
        <v>18</v>
      </c>
      <c r="H1027" s="1">
        <v>36</v>
      </c>
      <c r="I1027" s="1" t="s">
        <v>124</v>
      </c>
      <c r="J1027" s="3">
        <v>0.4</v>
      </c>
      <c r="K1027" s="4">
        <v>1500</v>
      </c>
      <c r="L1027" s="5">
        <f t="shared" si="8"/>
        <v>600</v>
      </c>
      <c r="M1027" s="5">
        <f t="shared" si="9"/>
        <v>300</v>
      </c>
      <c r="N1027" s="6">
        <v>0.5</v>
      </c>
    </row>
    <row r="1028" spans="1:14" ht="15.75" customHeight="1" x14ac:dyDescent="0.45">
      <c r="A1028" s="1" t="s">
        <v>119</v>
      </c>
      <c r="B1028" s="1">
        <v>1185732</v>
      </c>
      <c r="C1028" s="2">
        <v>44662</v>
      </c>
      <c r="D1028" s="1" t="s">
        <v>26</v>
      </c>
      <c r="E1028" s="1" t="s">
        <v>47</v>
      </c>
      <c r="F1028" s="1" t="s">
        <v>48</v>
      </c>
      <c r="G1028" s="1" t="s">
        <v>13</v>
      </c>
      <c r="H1028" s="1">
        <v>33</v>
      </c>
      <c r="I1028" s="1" t="s">
        <v>124</v>
      </c>
      <c r="J1028" s="3">
        <v>0.4</v>
      </c>
      <c r="K1028" s="4">
        <v>3750</v>
      </c>
      <c r="L1028" s="5">
        <f t="shared" si="8"/>
        <v>1500</v>
      </c>
      <c r="M1028" s="5">
        <f t="shared" si="9"/>
        <v>600</v>
      </c>
      <c r="N1028" s="6">
        <v>0.4</v>
      </c>
    </row>
    <row r="1029" spans="1:14" ht="15.75" customHeight="1" x14ac:dyDescent="0.45">
      <c r="A1029" s="1" t="s">
        <v>119</v>
      </c>
      <c r="B1029" s="1">
        <v>1185732</v>
      </c>
      <c r="C1029" s="2">
        <v>44662</v>
      </c>
      <c r="D1029" s="1" t="s">
        <v>26</v>
      </c>
      <c r="E1029" s="1" t="s">
        <v>47</v>
      </c>
      <c r="F1029" s="1" t="s">
        <v>48</v>
      </c>
      <c r="G1029" s="1" t="s">
        <v>14</v>
      </c>
      <c r="H1029" s="1">
        <v>53</v>
      </c>
      <c r="I1029" s="1" t="s">
        <v>125</v>
      </c>
      <c r="J1029" s="3">
        <v>0.35000000000000003</v>
      </c>
      <c r="K1029" s="4">
        <v>750</v>
      </c>
      <c r="L1029" s="5">
        <f t="shared" si="8"/>
        <v>262.5</v>
      </c>
      <c r="M1029" s="5">
        <f t="shared" si="9"/>
        <v>91.875</v>
      </c>
      <c r="N1029" s="6">
        <v>0.35</v>
      </c>
    </row>
    <row r="1030" spans="1:14" ht="15.75" customHeight="1" x14ac:dyDescent="0.45">
      <c r="A1030" s="1" t="s">
        <v>119</v>
      </c>
      <c r="B1030" s="1">
        <v>1185732</v>
      </c>
      <c r="C1030" s="2">
        <v>44662</v>
      </c>
      <c r="D1030" s="1" t="s">
        <v>26</v>
      </c>
      <c r="E1030" s="1" t="s">
        <v>47</v>
      </c>
      <c r="F1030" s="1" t="s">
        <v>48</v>
      </c>
      <c r="G1030" s="1" t="s">
        <v>15</v>
      </c>
      <c r="H1030" s="1">
        <v>39</v>
      </c>
      <c r="I1030" s="1" t="s">
        <v>125</v>
      </c>
      <c r="J1030" s="3">
        <v>0.25000000000000006</v>
      </c>
      <c r="K1030" s="4">
        <v>750</v>
      </c>
      <c r="L1030" s="5">
        <f t="shared" si="8"/>
        <v>187.50000000000003</v>
      </c>
      <c r="M1030" s="5">
        <f t="shared" si="9"/>
        <v>65.625</v>
      </c>
      <c r="N1030" s="6">
        <v>0.35</v>
      </c>
    </row>
    <row r="1031" spans="1:14" ht="15.75" customHeight="1" x14ac:dyDescent="0.45">
      <c r="A1031" s="1" t="s">
        <v>119</v>
      </c>
      <c r="B1031" s="1">
        <v>1185732</v>
      </c>
      <c r="C1031" s="2">
        <v>44662</v>
      </c>
      <c r="D1031" s="1" t="s">
        <v>26</v>
      </c>
      <c r="E1031" s="1" t="s">
        <v>47</v>
      </c>
      <c r="F1031" s="1" t="s">
        <v>48</v>
      </c>
      <c r="G1031" s="1" t="s">
        <v>16</v>
      </c>
      <c r="H1031" s="1">
        <v>41</v>
      </c>
      <c r="I1031" s="1" t="s">
        <v>125</v>
      </c>
      <c r="J1031" s="3">
        <v>0.3</v>
      </c>
      <c r="K1031" s="4">
        <v>0</v>
      </c>
      <c r="L1031" s="5">
        <f t="shared" si="8"/>
        <v>0</v>
      </c>
      <c r="M1031" s="5">
        <f t="shared" si="9"/>
        <v>0</v>
      </c>
      <c r="N1031" s="6">
        <v>0.4</v>
      </c>
    </row>
    <row r="1032" spans="1:14" ht="15.75" customHeight="1" x14ac:dyDescent="0.45">
      <c r="A1032" s="1" t="s">
        <v>119</v>
      </c>
      <c r="B1032" s="1">
        <v>1185732</v>
      </c>
      <c r="C1032" s="2">
        <v>44662</v>
      </c>
      <c r="D1032" s="1" t="s">
        <v>26</v>
      </c>
      <c r="E1032" s="1" t="s">
        <v>47</v>
      </c>
      <c r="F1032" s="1" t="s">
        <v>48</v>
      </c>
      <c r="G1032" s="1" t="s">
        <v>17</v>
      </c>
      <c r="H1032" s="1">
        <v>25</v>
      </c>
      <c r="I1032" s="1" t="s">
        <v>123</v>
      </c>
      <c r="J1032" s="3">
        <v>0.45</v>
      </c>
      <c r="K1032" s="4">
        <v>250</v>
      </c>
      <c r="L1032" s="5">
        <f t="shared" si="8"/>
        <v>112.5</v>
      </c>
      <c r="M1032" s="5">
        <f t="shared" si="9"/>
        <v>39.375</v>
      </c>
      <c r="N1032" s="6">
        <v>0.35</v>
      </c>
    </row>
    <row r="1033" spans="1:14" ht="15.75" customHeight="1" x14ac:dyDescent="0.45">
      <c r="A1033" s="1" t="s">
        <v>119</v>
      </c>
      <c r="B1033" s="1">
        <v>1185732</v>
      </c>
      <c r="C1033" s="2">
        <v>44662</v>
      </c>
      <c r="D1033" s="1" t="s">
        <v>26</v>
      </c>
      <c r="E1033" s="1" t="s">
        <v>47</v>
      </c>
      <c r="F1033" s="1" t="s">
        <v>48</v>
      </c>
      <c r="G1033" s="1" t="s">
        <v>18</v>
      </c>
      <c r="H1033" s="1">
        <v>37</v>
      </c>
      <c r="I1033" s="1" t="s">
        <v>126</v>
      </c>
      <c r="J1033" s="3">
        <v>0.35000000000000003</v>
      </c>
      <c r="K1033" s="4">
        <v>1500</v>
      </c>
      <c r="L1033" s="5">
        <f t="shared" si="8"/>
        <v>525</v>
      </c>
      <c r="M1033" s="5">
        <f t="shared" si="9"/>
        <v>262.5</v>
      </c>
      <c r="N1033" s="6">
        <v>0.5</v>
      </c>
    </row>
    <row r="1034" spans="1:14" ht="15.75" customHeight="1" x14ac:dyDescent="0.45">
      <c r="A1034" s="1" t="s">
        <v>119</v>
      </c>
      <c r="B1034" s="1">
        <v>1185732</v>
      </c>
      <c r="C1034" s="2">
        <v>44693</v>
      </c>
      <c r="D1034" s="1" t="s">
        <v>26</v>
      </c>
      <c r="E1034" s="1" t="s">
        <v>47</v>
      </c>
      <c r="F1034" s="1" t="s">
        <v>48</v>
      </c>
      <c r="G1034" s="1" t="s">
        <v>13</v>
      </c>
      <c r="H1034" s="1">
        <v>26</v>
      </c>
      <c r="I1034" s="1" t="s">
        <v>126</v>
      </c>
      <c r="J1034" s="3">
        <v>0.45</v>
      </c>
      <c r="K1034" s="4">
        <v>4200</v>
      </c>
      <c r="L1034" s="5">
        <f t="shared" si="8"/>
        <v>1890</v>
      </c>
      <c r="M1034" s="5">
        <f t="shared" si="9"/>
        <v>756</v>
      </c>
      <c r="N1034" s="6">
        <v>0.4</v>
      </c>
    </row>
    <row r="1035" spans="1:14" ht="15.75" customHeight="1" x14ac:dyDescent="0.45">
      <c r="A1035" s="1" t="s">
        <v>119</v>
      </c>
      <c r="B1035" s="1">
        <v>1185732</v>
      </c>
      <c r="C1035" s="2">
        <v>44693</v>
      </c>
      <c r="D1035" s="1" t="s">
        <v>26</v>
      </c>
      <c r="E1035" s="1" t="s">
        <v>47</v>
      </c>
      <c r="F1035" s="1" t="s">
        <v>48</v>
      </c>
      <c r="G1035" s="1" t="s">
        <v>14</v>
      </c>
      <c r="H1035" s="1">
        <v>53</v>
      </c>
      <c r="I1035" s="1" t="s">
        <v>124</v>
      </c>
      <c r="J1035" s="3">
        <v>0.40000000000000008</v>
      </c>
      <c r="K1035" s="4">
        <v>1250</v>
      </c>
      <c r="L1035" s="5">
        <f t="shared" si="8"/>
        <v>500.00000000000011</v>
      </c>
      <c r="M1035" s="5">
        <f t="shared" si="9"/>
        <v>175.00000000000003</v>
      </c>
      <c r="N1035" s="6">
        <v>0.35</v>
      </c>
    </row>
    <row r="1036" spans="1:14" ht="15.75" customHeight="1" x14ac:dyDescent="0.45">
      <c r="A1036" s="1" t="s">
        <v>119</v>
      </c>
      <c r="B1036" s="1">
        <v>1185732</v>
      </c>
      <c r="C1036" s="2">
        <v>44693</v>
      </c>
      <c r="D1036" s="1" t="s">
        <v>26</v>
      </c>
      <c r="E1036" s="1" t="s">
        <v>47</v>
      </c>
      <c r="F1036" s="1" t="s">
        <v>48</v>
      </c>
      <c r="G1036" s="1" t="s">
        <v>15</v>
      </c>
      <c r="H1036" s="1">
        <v>40</v>
      </c>
      <c r="I1036" s="1" t="s">
        <v>126</v>
      </c>
      <c r="J1036" s="3">
        <v>0.35000000000000003</v>
      </c>
      <c r="K1036" s="4">
        <v>1000</v>
      </c>
      <c r="L1036" s="5">
        <f t="shared" si="8"/>
        <v>350.00000000000006</v>
      </c>
      <c r="M1036" s="5">
        <f t="shared" si="9"/>
        <v>122.50000000000001</v>
      </c>
      <c r="N1036" s="6">
        <v>0.35</v>
      </c>
    </row>
    <row r="1037" spans="1:14" ht="15.75" customHeight="1" x14ac:dyDescent="0.45">
      <c r="A1037" s="1" t="s">
        <v>119</v>
      </c>
      <c r="B1037" s="1">
        <v>1185732</v>
      </c>
      <c r="C1037" s="2">
        <v>44693</v>
      </c>
      <c r="D1037" s="1" t="s">
        <v>26</v>
      </c>
      <c r="E1037" s="1" t="s">
        <v>47</v>
      </c>
      <c r="F1037" s="1" t="s">
        <v>48</v>
      </c>
      <c r="G1037" s="1" t="s">
        <v>16</v>
      </c>
      <c r="H1037" s="1">
        <v>54</v>
      </c>
      <c r="I1037" s="1" t="s">
        <v>123</v>
      </c>
      <c r="J1037" s="3">
        <v>0.35000000000000003</v>
      </c>
      <c r="K1037" s="4">
        <v>250</v>
      </c>
      <c r="L1037" s="5">
        <f t="shared" si="8"/>
        <v>87.500000000000014</v>
      </c>
      <c r="M1037" s="5">
        <f t="shared" si="9"/>
        <v>35.000000000000007</v>
      </c>
      <c r="N1037" s="6">
        <v>0.4</v>
      </c>
    </row>
    <row r="1038" spans="1:14" ht="15.75" customHeight="1" x14ac:dyDescent="0.45">
      <c r="A1038" s="1" t="s">
        <v>119</v>
      </c>
      <c r="B1038" s="1">
        <v>1185732</v>
      </c>
      <c r="C1038" s="2">
        <v>44693</v>
      </c>
      <c r="D1038" s="1" t="s">
        <v>26</v>
      </c>
      <c r="E1038" s="1" t="s">
        <v>47</v>
      </c>
      <c r="F1038" s="1" t="s">
        <v>48</v>
      </c>
      <c r="G1038" s="1" t="s">
        <v>17</v>
      </c>
      <c r="H1038" s="1">
        <v>15</v>
      </c>
      <c r="I1038" s="1" t="s">
        <v>125</v>
      </c>
      <c r="J1038" s="3">
        <v>0.49999999999999994</v>
      </c>
      <c r="K1038" s="4">
        <v>500</v>
      </c>
      <c r="L1038" s="5">
        <f t="shared" si="8"/>
        <v>249.99999999999997</v>
      </c>
      <c r="M1038" s="5">
        <f t="shared" si="9"/>
        <v>87.499999999999986</v>
      </c>
      <c r="N1038" s="6">
        <v>0.35</v>
      </c>
    </row>
    <row r="1039" spans="1:14" ht="15.75" customHeight="1" x14ac:dyDescent="0.45">
      <c r="A1039" s="1" t="s">
        <v>119</v>
      </c>
      <c r="B1039" s="1">
        <v>1185732</v>
      </c>
      <c r="C1039" s="2">
        <v>44693</v>
      </c>
      <c r="D1039" s="1" t="s">
        <v>26</v>
      </c>
      <c r="E1039" s="1" t="s">
        <v>47</v>
      </c>
      <c r="F1039" s="1" t="s">
        <v>48</v>
      </c>
      <c r="G1039" s="1" t="s">
        <v>18</v>
      </c>
      <c r="H1039" s="1">
        <v>15</v>
      </c>
      <c r="I1039" s="1" t="s">
        <v>125</v>
      </c>
      <c r="J1039" s="3">
        <v>0.54999999999999993</v>
      </c>
      <c r="K1039" s="4">
        <v>1500</v>
      </c>
      <c r="L1039" s="5">
        <f t="shared" si="8"/>
        <v>824.99999999999989</v>
      </c>
      <c r="M1039" s="5">
        <f t="shared" si="9"/>
        <v>412.49999999999994</v>
      </c>
      <c r="N1039" s="6">
        <v>0.5</v>
      </c>
    </row>
    <row r="1040" spans="1:14" ht="15.75" customHeight="1" x14ac:dyDescent="0.45">
      <c r="A1040" s="1" t="s">
        <v>119</v>
      </c>
      <c r="B1040" s="1">
        <v>1185732</v>
      </c>
      <c r="C1040" s="2">
        <v>44723</v>
      </c>
      <c r="D1040" s="1" t="s">
        <v>26</v>
      </c>
      <c r="E1040" s="1" t="s">
        <v>47</v>
      </c>
      <c r="F1040" s="1" t="s">
        <v>48</v>
      </c>
      <c r="G1040" s="1" t="s">
        <v>13</v>
      </c>
      <c r="H1040" s="1">
        <v>39</v>
      </c>
      <c r="I1040" s="1" t="s">
        <v>125</v>
      </c>
      <c r="J1040" s="3">
        <v>0.4</v>
      </c>
      <c r="K1040" s="4">
        <v>4000</v>
      </c>
      <c r="L1040" s="5">
        <f t="shared" si="8"/>
        <v>1600</v>
      </c>
      <c r="M1040" s="5">
        <f t="shared" si="9"/>
        <v>640</v>
      </c>
      <c r="N1040" s="6">
        <v>0.4</v>
      </c>
    </row>
    <row r="1041" spans="1:14" ht="15.75" customHeight="1" x14ac:dyDescent="0.45">
      <c r="A1041" s="1" t="s">
        <v>119</v>
      </c>
      <c r="B1041" s="1">
        <v>1185732</v>
      </c>
      <c r="C1041" s="2">
        <v>44723</v>
      </c>
      <c r="D1041" s="1" t="s">
        <v>26</v>
      </c>
      <c r="E1041" s="1" t="s">
        <v>47</v>
      </c>
      <c r="F1041" s="1" t="s">
        <v>48</v>
      </c>
      <c r="G1041" s="1" t="s">
        <v>14</v>
      </c>
      <c r="H1041" s="1">
        <v>34</v>
      </c>
      <c r="I1041" s="1" t="s">
        <v>124</v>
      </c>
      <c r="J1041" s="3">
        <v>0.35000000000000009</v>
      </c>
      <c r="K1041" s="4">
        <v>1500</v>
      </c>
      <c r="L1041" s="5">
        <f t="shared" si="8"/>
        <v>525.00000000000011</v>
      </c>
      <c r="M1041" s="5">
        <f t="shared" si="9"/>
        <v>183.75000000000003</v>
      </c>
      <c r="N1041" s="6">
        <v>0.35</v>
      </c>
    </row>
    <row r="1042" spans="1:14" ht="15.75" customHeight="1" x14ac:dyDescent="0.45">
      <c r="A1042" s="1" t="s">
        <v>119</v>
      </c>
      <c r="B1042" s="1">
        <v>1185732</v>
      </c>
      <c r="C1042" s="2">
        <v>44723</v>
      </c>
      <c r="D1042" s="1" t="s">
        <v>26</v>
      </c>
      <c r="E1042" s="1" t="s">
        <v>47</v>
      </c>
      <c r="F1042" s="1" t="s">
        <v>48</v>
      </c>
      <c r="G1042" s="1" t="s">
        <v>15</v>
      </c>
      <c r="H1042" s="1">
        <v>50</v>
      </c>
      <c r="I1042" s="1" t="s">
        <v>126</v>
      </c>
      <c r="J1042" s="3">
        <v>0.30000000000000004</v>
      </c>
      <c r="K1042" s="4">
        <v>1750</v>
      </c>
      <c r="L1042" s="5">
        <f t="shared" si="8"/>
        <v>525.00000000000011</v>
      </c>
      <c r="M1042" s="5">
        <f t="shared" si="9"/>
        <v>183.75000000000003</v>
      </c>
      <c r="N1042" s="6">
        <v>0.35</v>
      </c>
    </row>
    <row r="1043" spans="1:14" ht="15.75" customHeight="1" x14ac:dyDescent="0.45">
      <c r="A1043" s="1" t="s">
        <v>119</v>
      </c>
      <c r="B1043" s="1">
        <v>1185732</v>
      </c>
      <c r="C1043" s="2">
        <v>44723</v>
      </c>
      <c r="D1043" s="1" t="s">
        <v>26</v>
      </c>
      <c r="E1043" s="1" t="s">
        <v>47</v>
      </c>
      <c r="F1043" s="1" t="s">
        <v>48</v>
      </c>
      <c r="G1043" s="1" t="s">
        <v>16</v>
      </c>
      <c r="H1043" s="1">
        <v>47</v>
      </c>
      <c r="I1043" s="1" t="s">
        <v>126</v>
      </c>
      <c r="J1043" s="3">
        <v>0.30000000000000004</v>
      </c>
      <c r="K1043" s="4">
        <v>1500</v>
      </c>
      <c r="L1043" s="5">
        <f t="shared" si="8"/>
        <v>450.00000000000006</v>
      </c>
      <c r="M1043" s="5">
        <f t="shared" si="9"/>
        <v>180.00000000000003</v>
      </c>
      <c r="N1043" s="6">
        <v>0.4</v>
      </c>
    </row>
    <row r="1044" spans="1:14" ht="15.75" customHeight="1" x14ac:dyDescent="0.45">
      <c r="A1044" s="1" t="s">
        <v>119</v>
      </c>
      <c r="B1044" s="1">
        <v>1185732</v>
      </c>
      <c r="C1044" s="2">
        <v>44723</v>
      </c>
      <c r="D1044" s="1" t="s">
        <v>26</v>
      </c>
      <c r="E1044" s="1" t="s">
        <v>47</v>
      </c>
      <c r="F1044" s="1" t="s">
        <v>48</v>
      </c>
      <c r="G1044" s="1" t="s">
        <v>17</v>
      </c>
      <c r="H1044" s="1">
        <v>51</v>
      </c>
      <c r="I1044" s="1" t="s">
        <v>125</v>
      </c>
      <c r="J1044" s="3">
        <v>0.45</v>
      </c>
      <c r="K1044" s="4">
        <v>1500</v>
      </c>
      <c r="L1044" s="5">
        <f t="shared" si="8"/>
        <v>675</v>
      </c>
      <c r="M1044" s="5">
        <f t="shared" si="9"/>
        <v>236.24999999999997</v>
      </c>
      <c r="N1044" s="6">
        <v>0.35</v>
      </c>
    </row>
    <row r="1045" spans="1:14" ht="15.75" customHeight="1" x14ac:dyDescent="0.45">
      <c r="A1045" s="1" t="s">
        <v>119</v>
      </c>
      <c r="B1045" s="1">
        <v>1185732</v>
      </c>
      <c r="C1045" s="2">
        <v>44723</v>
      </c>
      <c r="D1045" s="1" t="s">
        <v>26</v>
      </c>
      <c r="E1045" s="1" t="s">
        <v>47</v>
      </c>
      <c r="F1045" s="1" t="s">
        <v>48</v>
      </c>
      <c r="G1045" s="1" t="s">
        <v>18</v>
      </c>
      <c r="H1045" s="1">
        <v>33</v>
      </c>
      <c r="I1045" s="1" t="s">
        <v>125</v>
      </c>
      <c r="J1045" s="3">
        <v>0.5</v>
      </c>
      <c r="K1045" s="4">
        <v>3250</v>
      </c>
      <c r="L1045" s="5">
        <f t="shared" si="8"/>
        <v>1625</v>
      </c>
      <c r="M1045" s="5">
        <f t="shared" si="9"/>
        <v>812.5</v>
      </c>
      <c r="N1045" s="6">
        <v>0.5</v>
      </c>
    </row>
    <row r="1046" spans="1:14" ht="15.75" customHeight="1" x14ac:dyDescent="0.45">
      <c r="A1046" s="1" t="s">
        <v>119</v>
      </c>
      <c r="B1046" s="1">
        <v>1185732</v>
      </c>
      <c r="C1046" s="2">
        <v>44752</v>
      </c>
      <c r="D1046" s="1" t="s">
        <v>26</v>
      </c>
      <c r="E1046" s="1" t="s">
        <v>47</v>
      </c>
      <c r="F1046" s="1" t="s">
        <v>48</v>
      </c>
      <c r="G1046" s="1" t="s">
        <v>13</v>
      </c>
      <c r="H1046" s="1">
        <v>23</v>
      </c>
      <c r="I1046" s="1" t="s">
        <v>126</v>
      </c>
      <c r="J1046" s="3">
        <v>0.45</v>
      </c>
      <c r="K1046" s="4">
        <v>5500</v>
      </c>
      <c r="L1046" s="5">
        <f t="shared" si="8"/>
        <v>2475</v>
      </c>
      <c r="M1046" s="5">
        <f t="shared" si="9"/>
        <v>990</v>
      </c>
      <c r="N1046" s="6">
        <v>0.4</v>
      </c>
    </row>
    <row r="1047" spans="1:14" ht="15.75" customHeight="1" x14ac:dyDescent="0.45">
      <c r="A1047" s="1" t="s">
        <v>119</v>
      </c>
      <c r="B1047" s="1">
        <v>1185732</v>
      </c>
      <c r="C1047" s="2">
        <v>44752</v>
      </c>
      <c r="D1047" s="1" t="s">
        <v>26</v>
      </c>
      <c r="E1047" s="1" t="s">
        <v>47</v>
      </c>
      <c r="F1047" s="1" t="s">
        <v>48</v>
      </c>
      <c r="G1047" s="1" t="s">
        <v>14</v>
      </c>
      <c r="H1047" s="1">
        <v>33</v>
      </c>
      <c r="I1047" s="1" t="s">
        <v>123</v>
      </c>
      <c r="J1047" s="3">
        <v>0.40000000000000008</v>
      </c>
      <c r="K1047" s="4">
        <v>3000</v>
      </c>
      <c r="L1047" s="5">
        <f t="shared" si="8"/>
        <v>1200.0000000000002</v>
      </c>
      <c r="M1047" s="5">
        <f t="shared" si="9"/>
        <v>420.00000000000006</v>
      </c>
      <c r="N1047" s="6">
        <v>0.35</v>
      </c>
    </row>
    <row r="1048" spans="1:14" ht="15.75" customHeight="1" x14ac:dyDescent="0.45">
      <c r="A1048" s="1" t="s">
        <v>119</v>
      </c>
      <c r="B1048" s="1">
        <v>1185732</v>
      </c>
      <c r="C1048" s="2">
        <v>44752</v>
      </c>
      <c r="D1048" s="1" t="s">
        <v>26</v>
      </c>
      <c r="E1048" s="1" t="s">
        <v>47</v>
      </c>
      <c r="F1048" s="1" t="s">
        <v>48</v>
      </c>
      <c r="G1048" s="1" t="s">
        <v>15</v>
      </c>
      <c r="H1048" s="1">
        <v>54</v>
      </c>
      <c r="I1048" s="1" t="s">
        <v>126</v>
      </c>
      <c r="J1048" s="3">
        <v>0.35000000000000003</v>
      </c>
      <c r="K1048" s="4">
        <v>2250</v>
      </c>
      <c r="L1048" s="5">
        <f t="shared" si="8"/>
        <v>787.50000000000011</v>
      </c>
      <c r="M1048" s="5">
        <f t="shared" si="9"/>
        <v>275.625</v>
      </c>
      <c r="N1048" s="6">
        <v>0.35</v>
      </c>
    </row>
    <row r="1049" spans="1:14" ht="15.75" customHeight="1" x14ac:dyDescent="0.45">
      <c r="A1049" s="1" t="s">
        <v>119</v>
      </c>
      <c r="B1049" s="1">
        <v>1185732</v>
      </c>
      <c r="C1049" s="2">
        <v>44752</v>
      </c>
      <c r="D1049" s="1" t="s">
        <v>26</v>
      </c>
      <c r="E1049" s="1" t="s">
        <v>47</v>
      </c>
      <c r="F1049" s="1" t="s">
        <v>48</v>
      </c>
      <c r="G1049" s="1" t="s">
        <v>16</v>
      </c>
      <c r="H1049" s="1">
        <v>47</v>
      </c>
      <c r="I1049" s="1" t="s">
        <v>124</v>
      </c>
      <c r="J1049" s="3">
        <v>0.35000000000000003</v>
      </c>
      <c r="K1049" s="4">
        <v>1750</v>
      </c>
      <c r="L1049" s="5">
        <f t="shared" si="8"/>
        <v>612.50000000000011</v>
      </c>
      <c r="M1049" s="5">
        <f t="shared" si="9"/>
        <v>245.00000000000006</v>
      </c>
      <c r="N1049" s="6">
        <v>0.4</v>
      </c>
    </row>
    <row r="1050" spans="1:14" ht="15.75" customHeight="1" x14ac:dyDescent="0.45">
      <c r="A1050" s="1" t="s">
        <v>119</v>
      </c>
      <c r="B1050" s="1">
        <v>1185732</v>
      </c>
      <c r="C1050" s="2">
        <v>44752</v>
      </c>
      <c r="D1050" s="1" t="s">
        <v>26</v>
      </c>
      <c r="E1050" s="1" t="s">
        <v>47</v>
      </c>
      <c r="F1050" s="1" t="s">
        <v>48</v>
      </c>
      <c r="G1050" s="1" t="s">
        <v>17</v>
      </c>
      <c r="H1050" s="1">
        <v>37</v>
      </c>
      <c r="I1050" s="1" t="s">
        <v>126</v>
      </c>
      <c r="J1050" s="3">
        <v>0.45</v>
      </c>
      <c r="K1050" s="4">
        <v>1750</v>
      </c>
      <c r="L1050" s="5">
        <f t="shared" si="8"/>
        <v>787.5</v>
      </c>
      <c r="M1050" s="5">
        <f t="shared" si="9"/>
        <v>275.625</v>
      </c>
      <c r="N1050" s="6">
        <v>0.35</v>
      </c>
    </row>
    <row r="1051" spans="1:14" ht="15.75" customHeight="1" x14ac:dyDescent="0.45">
      <c r="A1051" s="1" t="s">
        <v>119</v>
      </c>
      <c r="B1051" s="1">
        <v>1185732</v>
      </c>
      <c r="C1051" s="2">
        <v>44752</v>
      </c>
      <c r="D1051" s="1" t="s">
        <v>26</v>
      </c>
      <c r="E1051" s="1" t="s">
        <v>47</v>
      </c>
      <c r="F1051" s="1" t="s">
        <v>48</v>
      </c>
      <c r="G1051" s="1" t="s">
        <v>18</v>
      </c>
      <c r="H1051" s="1">
        <v>30</v>
      </c>
      <c r="I1051" s="1" t="s">
        <v>124</v>
      </c>
      <c r="J1051" s="3">
        <v>0.5</v>
      </c>
      <c r="K1051" s="4">
        <v>3500</v>
      </c>
      <c r="L1051" s="5">
        <f t="shared" si="8"/>
        <v>1750</v>
      </c>
      <c r="M1051" s="5">
        <f t="shared" si="9"/>
        <v>875</v>
      </c>
      <c r="N1051" s="6">
        <v>0.5</v>
      </c>
    </row>
    <row r="1052" spans="1:14" ht="15.75" customHeight="1" x14ac:dyDescent="0.45">
      <c r="A1052" s="1" t="s">
        <v>119</v>
      </c>
      <c r="B1052" s="1">
        <v>1185732</v>
      </c>
      <c r="C1052" s="2">
        <v>44784</v>
      </c>
      <c r="D1052" s="1" t="s">
        <v>26</v>
      </c>
      <c r="E1052" s="1" t="s">
        <v>47</v>
      </c>
      <c r="F1052" s="1" t="s">
        <v>48</v>
      </c>
      <c r="G1052" s="1" t="s">
        <v>13</v>
      </c>
      <c r="H1052" s="1">
        <v>42</v>
      </c>
      <c r="I1052" s="1" t="s">
        <v>123</v>
      </c>
      <c r="J1052" s="3">
        <v>0.45</v>
      </c>
      <c r="K1052" s="4">
        <v>5000</v>
      </c>
      <c r="L1052" s="5">
        <f t="shared" si="8"/>
        <v>2250</v>
      </c>
      <c r="M1052" s="5">
        <f t="shared" si="9"/>
        <v>900</v>
      </c>
      <c r="N1052" s="6">
        <v>0.4</v>
      </c>
    </row>
    <row r="1053" spans="1:14" ht="15.75" customHeight="1" x14ac:dyDescent="0.45">
      <c r="A1053" s="1" t="s">
        <v>119</v>
      </c>
      <c r="B1053" s="1">
        <v>1185732</v>
      </c>
      <c r="C1053" s="2">
        <v>44784</v>
      </c>
      <c r="D1053" s="1" t="s">
        <v>26</v>
      </c>
      <c r="E1053" s="1" t="s">
        <v>47</v>
      </c>
      <c r="F1053" s="1" t="s">
        <v>48</v>
      </c>
      <c r="G1053" s="1" t="s">
        <v>14</v>
      </c>
      <c r="H1053" s="1">
        <v>21</v>
      </c>
      <c r="I1053" s="1" t="s">
        <v>125</v>
      </c>
      <c r="J1053" s="3">
        <v>0.45000000000000007</v>
      </c>
      <c r="K1053" s="4">
        <v>2750</v>
      </c>
      <c r="L1053" s="5">
        <f t="shared" si="8"/>
        <v>1237.5000000000002</v>
      </c>
      <c r="M1053" s="5">
        <f t="shared" si="9"/>
        <v>433.12500000000006</v>
      </c>
      <c r="N1053" s="6">
        <v>0.35</v>
      </c>
    </row>
    <row r="1054" spans="1:14" ht="15.75" customHeight="1" x14ac:dyDescent="0.45">
      <c r="A1054" s="1" t="s">
        <v>119</v>
      </c>
      <c r="B1054" s="1">
        <v>1185732</v>
      </c>
      <c r="C1054" s="2">
        <v>44784</v>
      </c>
      <c r="D1054" s="1" t="s">
        <v>26</v>
      </c>
      <c r="E1054" s="1" t="s">
        <v>47</v>
      </c>
      <c r="F1054" s="1" t="s">
        <v>48</v>
      </c>
      <c r="G1054" s="1" t="s">
        <v>15</v>
      </c>
      <c r="H1054" s="1">
        <v>41</v>
      </c>
      <c r="I1054" s="1" t="s">
        <v>126</v>
      </c>
      <c r="J1054" s="3">
        <v>0.4</v>
      </c>
      <c r="K1054" s="4">
        <v>2000</v>
      </c>
      <c r="L1054" s="5">
        <f t="shared" si="8"/>
        <v>800</v>
      </c>
      <c r="M1054" s="5">
        <f t="shared" si="9"/>
        <v>280</v>
      </c>
      <c r="N1054" s="6">
        <v>0.35</v>
      </c>
    </row>
    <row r="1055" spans="1:14" ht="15.75" customHeight="1" x14ac:dyDescent="0.45">
      <c r="A1055" s="1" t="s">
        <v>119</v>
      </c>
      <c r="B1055" s="1">
        <v>1185732</v>
      </c>
      <c r="C1055" s="2">
        <v>44784</v>
      </c>
      <c r="D1055" s="1" t="s">
        <v>26</v>
      </c>
      <c r="E1055" s="1" t="s">
        <v>47</v>
      </c>
      <c r="F1055" s="1" t="s">
        <v>48</v>
      </c>
      <c r="G1055" s="1" t="s">
        <v>16</v>
      </c>
      <c r="H1055" s="1">
        <v>34</v>
      </c>
      <c r="I1055" s="1" t="s">
        <v>123</v>
      </c>
      <c r="J1055" s="3">
        <v>0.30000000000000004</v>
      </c>
      <c r="K1055" s="4">
        <v>1250</v>
      </c>
      <c r="L1055" s="5">
        <f t="shared" si="8"/>
        <v>375.00000000000006</v>
      </c>
      <c r="M1055" s="5">
        <f t="shared" si="9"/>
        <v>150.00000000000003</v>
      </c>
      <c r="N1055" s="6">
        <v>0.4</v>
      </c>
    </row>
    <row r="1056" spans="1:14" ht="15.75" customHeight="1" x14ac:dyDescent="0.45">
      <c r="A1056" s="1" t="s">
        <v>119</v>
      </c>
      <c r="B1056" s="1">
        <v>1185732</v>
      </c>
      <c r="C1056" s="2">
        <v>44784</v>
      </c>
      <c r="D1056" s="1" t="s">
        <v>26</v>
      </c>
      <c r="E1056" s="1" t="s">
        <v>47</v>
      </c>
      <c r="F1056" s="1" t="s">
        <v>48</v>
      </c>
      <c r="G1056" s="1" t="s">
        <v>17</v>
      </c>
      <c r="H1056" s="1">
        <v>18</v>
      </c>
      <c r="I1056" s="1" t="s">
        <v>125</v>
      </c>
      <c r="J1056" s="3">
        <v>0.4</v>
      </c>
      <c r="K1056" s="4">
        <v>1000</v>
      </c>
      <c r="L1056" s="5">
        <f t="shared" si="8"/>
        <v>400</v>
      </c>
      <c r="M1056" s="5">
        <f t="shared" si="9"/>
        <v>140</v>
      </c>
      <c r="N1056" s="6">
        <v>0.35</v>
      </c>
    </row>
    <row r="1057" spans="1:14" ht="15.75" customHeight="1" x14ac:dyDescent="0.45">
      <c r="A1057" s="1" t="s">
        <v>119</v>
      </c>
      <c r="B1057" s="1">
        <v>1185732</v>
      </c>
      <c r="C1057" s="2">
        <v>44784</v>
      </c>
      <c r="D1057" s="1" t="s">
        <v>26</v>
      </c>
      <c r="E1057" s="1" t="s">
        <v>47</v>
      </c>
      <c r="F1057" s="1" t="s">
        <v>48</v>
      </c>
      <c r="G1057" s="1" t="s">
        <v>18</v>
      </c>
      <c r="H1057" s="1">
        <v>47</v>
      </c>
      <c r="I1057" s="1" t="s">
        <v>124</v>
      </c>
      <c r="J1057" s="3">
        <v>0.45</v>
      </c>
      <c r="K1057" s="4">
        <v>2750</v>
      </c>
      <c r="L1057" s="5">
        <f t="shared" si="8"/>
        <v>1237.5</v>
      </c>
      <c r="M1057" s="5">
        <f t="shared" si="9"/>
        <v>618.75</v>
      </c>
      <c r="N1057" s="6">
        <v>0.5</v>
      </c>
    </row>
    <row r="1058" spans="1:14" ht="15.75" customHeight="1" x14ac:dyDescent="0.45">
      <c r="A1058" s="1" t="s">
        <v>119</v>
      </c>
      <c r="B1058" s="1">
        <v>1185732</v>
      </c>
      <c r="C1058" s="2">
        <v>44816</v>
      </c>
      <c r="D1058" s="1" t="s">
        <v>26</v>
      </c>
      <c r="E1058" s="1" t="s">
        <v>47</v>
      </c>
      <c r="F1058" s="1" t="s">
        <v>48</v>
      </c>
      <c r="G1058" s="1" t="s">
        <v>13</v>
      </c>
      <c r="H1058" s="1">
        <v>39</v>
      </c>
      <c r="I1058" s="1" t="s">
        <v>125</v>
      </c>
      <c r="J1058" s="3">
        <v>0.4</v>
      </c>
      <c r="K1058" s="4">
        <v>4000</v>
      </c>
      <c r="L1058" s="5">
        <f t="shared" si="8"/>
        <v>1600</v>
      </c>
      <c r="M1058" s="5">
        <f t="shared" si="9"/>
        <v>640</v>
      </c>
      <c r="N1058" s="6">
        <v>0.4</v>
      </c>
    </row>
    <row r="1059" spans="1:14" ht="15.75" customHeight="1" x14ac:dyDescent="0.45">
      <c r="A1059" s="1" t="s">
        <v>119</v>
      </c>
      <c r="B1059" s="1">
        <v>1185732</v>
      </c>
      <c r="C1059" s="2">
        <v>44816</v>
      </c>
      <c r="D1059" s="1" t="s">
        <v>26</v>
      </c>
      <c r="E1059" s="1" t="s">
        <v>47</v>
      </c>
      <c r="F1059" s="1" t="s">
        <v>48</v>
      </c>
      <c r="G1059" s="1" t="s">
        <v>14</v>
      </c>
      <c r="H1059" s="1">
        <v>39</v>
      </c>
      <c r="I1059" s="1" t="s">
        <v>123</v>
      </c>
      <c r="J1059" s="3">
        <v>0.35000000000000009</v>
      </c>
      <c r="K1059" s="4">
        <v>2000</v>
      </c>
      <c r="L1059" s="5">
        <f t="shared" si="8"/>
        <v>700.00000000000023</v>
      </c>
      <c r="M1059" s="5">
        <f t="shared" si="9"/>
        <v>245.00000000000006</v>
      </c>
      <c r="N1059" s="6">
        <v>0.35</v>
      </c>
    </row>
    <row r="1060" spans="1:14" ht="15.75" customHeight="1" x14ac:dyDescent="0.45">
      <c r="A1060" s="1" t="s">
        <v>119</v>
      </c>
      <c r="B1060" s="1">
        <v>1185732</v>
      </c>
      <c r="C1060" s="2">
        <v>44816</v>
      </c>
      <c r="D1060" s="1" t="s">
        <v>26</v>
      </c>
      <c r="E1060" s="1" t="s">
        <v>47</v>
      </c>
      <c r="F1060" s="1" t="s">
        <v>48</v>
      </c>
      <c r="G1060" s="1" t="s">
        <v>15</v>
      </c>
      <c r="H1060" s="1">
        <v>45</v>
      </c>
      <c r="I1060" s="1" t="s">
        <v>126</v>
      </c>
      <c r="J1060" s="3">
        <v>0.2</v>
      </c>
      <c r="K1060" s="4">
        <v>1000</v>
      </c>
      <c r="L1060" s="5">
        <f t="shared" si="8"/>
        <v>200</v>
      </c>
      <c r="M1060" s="5">
        <f t="shared" si="9"/>
        <v>70</v>
      </c>
      <c r="N1060" s="6">
        <v>0.35</v>
      </c>
    </row>
    <row r="1061" spans="1:14" ht="15.75" customHeight="1" x14ac:dyDescent="0.45">
      <c r="A1061" s="1" t="s">
        <v>119</v>
      </c>
      <c r="B1061" s="1">
        <v>1185732</v>
      </c>
      <c r="C1061" s="2">
        <v>44816</v>
      </c>
      <c r="D1061" s="1" t="s">
        <v>26</v>
      </c>
      <c r="E1061" s="1" t="s">
        <v>47</v>
      </c>
      <c r="F1061" s="1" t="s">
        <v>48</v>
      </c>
      <c r="G1061" s="1" t="s">
        <v>16</v>
      </c>
      <c r="H1061" s="1">
        <v>27</v>
      </c>
      <c r="I1061" s="1" t="s">
        <v>123</v>
      </c>
      <c r="J1061" s="3">
        <v>0.2</v>
      </c>
      <c r="K1061" s="4">
        <v>750</v>
      </c>
      <c r="L1061" s="5">
        <f t="shared" si="8"/>
        <v>150</v>
      </c>
      <c r="M1061" s="5">
        <f t="shared" si="9"/>
        <v>60</v>
      </c>
      <c r="N1061" s="6">
        <v>0.4</v>
      </c>
    </row>
    <row r="1062" spans="1:14" ht="15.75" customHeight="1" x14ac:dyDescent="0.45">
      <c r="A1062" s="1" t="s">
        <v>119</v>
      </c>
      <c r="B1062" s="1">
        <v>1185732</v>
      </c>
      <c r="C1062" s="2">
        <v>44816</v>
      </c>
      <c r="D1062" s="1" t="s">
        <v>26</v>
      </c>
      <c r="E1062" s="1" t="s">
        <v>47</v>
      </c>
      <c r="F1062" s="1" t="s">
        <v>48</v>
      </c>
      <c r="G1062" s="1" t="s">
        <v>17</v>
      </c>
      <c r="H1062" s="1">
        <v>32</v>
      </c>
      <c r="I1062" s="1" t="s">
        <v>125</v>
      </c>
      <c r="J1062" s="3">
        <v>0.3</v>
      </c>
      <c r="K1062" s="4">
        <v>750</v>
      </c>
      <c r="L1062" s="5">
        <f t="shared" si="8"/>
        <v>225</v>
      </c>
      <c r="M1062" s="5">
        <f t="shared" si="9"/>
        <v>78.75</v>
      </c>
      <c r="N1062" s="6">
        <v>0.35</v>
      </c>
    </row>
    <row r="1063" spans="1:14" ht="15.75" customHeight="1" x14ac:dyDescent="0.45">
      <c r="A1063" s="1" t="s">
        <v>119</v>
      </c>
      <c r="B1063" s="1">
        <v>1185732</v>
      </c>
      <c r="C1063" s="2">
        <v>44816</v>
      </c>
      <c r="D1063" s="1" t="s">
        <v>26</v>
      </c>
      <c r="E1063" s="1" t="s">
        <v>47</v>
      </c>
      <c r="F1063" s="1" t="s">
        <v>48</v>
      </c>
      <c r="G1063" s="1" t="s">
        <v>18</v>
      </c>
      <c r="H1063" s="1">
        <v>36</v>
      </c>
      <c r="I1063" s="1" t="s">
        <v>125</v>
      </c>
      <c r="J1063" s="3">
        <v>0.35000000000000003</v>
      </c>
      <c r="K1063" s="4">
        <v>1500</v>
      </c>
      <c r="L1063" s="5">
        <f t="shared" si="8"/>
        <v>525</v>
      </c>
      <c r="M1063" s="5">
        <f t="shared" si="9"/>
        <v>262.5</v>
      </c>
      <c r="N1063" s="6">
        <v>0.5</v>
      </c>
    </row>
    <row r="1064" spans="1:14" ht="15.75" customHeight="1" x14ac:dyDescent="0.45">
      <c r="A1064" s="1" t="s">
        <v>119</v>
      </c>
      <c r="B1064" s="1">
        <v>1185732</v>
      </c>
      <c r="C1064" s="2">
        <v>44845</v>
      </c>
      <c r="D1064" s="1" t="s">
        <v>26</v>
      </c>
      <c r="E1064" s="1" t="s">
        <v>47</v>
      </c>
      <c r="F1064" s="1" t="s">
        <v>48</v>
      </c>
      <c r="G1064" s="1" t="s">
        <v>13</v>
      </c>
      <c r="H1064" s="1">
        <v>45</v>
      </c>
      <c r="I1064" s="1" t="s">
        <v>125</v>
      </c>
      <c r="J1064" s="3">
        <v>0.39999999999999997</v>
      </c>
      <c r="K1064" s="4">
        <v>3250</v>
      </c>
      <c r="L1064" s="5">
        <f t="shared" si="8"/>
        <v>1300</v>
      </c>
      <c r="M1064" s="5">
        <f t="shared" si="9"/>
        <v>520</v>
      </c>
      <c r="N1064" s="6">
        <v>0.4</v>
      </c>
    </row>
    <row r="1065" spans="1:14" ht="15.75" customHeight="1" x14ac:dyDescent="0.45">
      <c r="A1065" s="1" t="s">
        <v>119</v>
      </c>
      <c r="B1065" s="1">
        <v>1185732</v>
      </c>
      <c r="C1065" s="2">
        <v>44845</v>
      </c>
      <c r="D1065" s="1" t="s">
        <v>26</v>
      </c>
      <c r="E1065" s="1" t="s">
        <v>47</v>
      </c>
      <c r="F1065" s="1" t="s">
        <v>48</v>
      </c>
      <c r="G1065" s="1" t="s">
        <v>14</v>
      </c>
      <c r="H1065" s="1">
        <v>31</v>
      </c>
      <c r="I1065" s="1" t="s">
        <v>123</v>
      </c>
      <c r="J1065" s="3">
        <v>0.3</v>
      </c>
      <c r="K1065" s="4">
        <v>1500</v>
      </c>
      <c r="L1065" s="5">
        <f t="shared" si="8"/>
        <v>450</v>
      </c>
      <c r="M1065" s="5">
        <f t="shared" si="9"/>
        <v>157.5</v>
      </c>
      <c r="N1065" s="6">
        <v>0.35</v>
      </c>
    </row>
    <row r="1066" spans="1:14" ht="15.75" customHeight="1" x14ac:dyDescent="0.45">
      <c r="A1066" s="1" t="s">
        <v>119</v>
      </c>
      <c r="B1066" s="1">
        <v>1185732</v>
      </c>
      <c r="C1066" s="2">
        <v>44845</v>
      </c>
      <c r="D1066" s="1" t="s">
        <v>26</v>
      </c>
      <c r="E1066" s="1" t="s">
        <v>47</v>
      </c>
      <c r="F1066" s="1" t="s">
        <v>48</v>
      </c>
      <c r="G1066" s="1" t="s">
        <v>15</v>
      </c>
      <c r="H1066" s="1">
        <v>60</v>
      </c>
      <c r="I1066" s="1" t="s">
        <v>125</v>
      </c>
      <c r="J1066" s="3">
        <v>0.3</v>
      </c>
      <c r="K1066" s="4">
        <v>500</v>
      </c>
      <c r="L1066" s="5">
        <f t="shared" si="8"/>
        <v>150</v>
      </c>
      <c r="M1066" s="5">
        <f t="shared" si="9"/>
        <v>52.5</v>
      </c>
      <c r="N1066" s="6">
        <v>0.35</v>
      </c>
    </row>
    <row r="1067" spans="1:14" ht="15.75" customHeight="1" x14ac:dyDescent="0.45">
      <c r="A1067" s="1" t="s">
        <v>119</v>
      </c>
      <c r="B1067" s="1">
        <v>1185732</v>
      </c>
      <c r="C1067" s="2">
        <v>44845</v>
      </c>
      <c r="D1067" s="1" t="s">
        <v>26</v>
      </c>
      <c r="E1067" s="1" t="s">
        <v>47</v>
      </c>
      <c r="F1067" s="1" t="s">
        <v>48</v>
      </c>
      <c r="G1067" s="1" t="s">
        <v>16</v>
      </c>
      <c r="H1067" s="1">
        <v>49</v>
      </c>
      <c r="I1067" s="1" t="s">
        <v>126</v>
      </c>
      <c r="J1067" s="3">
        <v>0.3</v>
      </c>
      <c r="K1067" s="4">
        <v>250</v>
      </c>
      <c r="L1067" s="5">
        <f t="shared" si="8"/>
        <v>75</v>
      </c>
      <c r="M1067" s="5">
        <f t="shared" si="9"/>
        <v>30</v>
      </c>
      <c r="N1067" s="6">
        <v>0.4</v>
      </c>
    </row>
    <row r="1068" spans="1:14" ht="15.75" customHeight="1" x14ac:dyDescent="0.45">
      <c r="A1068" s="1" t="s">
        <v>119</v>
      </c>
      <c r="B1068" s="1">
        <v>1185732</v>
      </c>
      <c r="C1068" s="2">
        <v>44845</v>
      </c>
      <c r="D1068" s="1" t="s">
        <v>26</v>
      </c>
      <c r="E1068" s="1" t="s">
        <v>47</v>
      </c>
      <c r="F1068" s="1" t="s">
        <v>48</v>
      </c>
      <c r="G1068" s="1" t="s">
        <v>17</v>
      </c>
      <c r="H1068" s="1">
        <v>41</v>
      </c>
      <c r="I1068" s="1" t="s">
        <v>125</v>
      </c>
      <c r="J1068" s="3">
        <v>0.39999999999999997</v>
      </c>
      <c r="K1068" s="4">
        <v>250</v>
      </c>
      <c r="L1068" s="5">
        <f t="shared" si="8"/>
        <v>99.999999999999986</v>
      </c>
      <c r="M1068" s="5">
        <f t="shared" si="9"/>
        <v>34.999999999999993</v>
      </c>
      <c r="N1068" s="6">
        <v>0.35</v>
      </c>
    </row>
    <row r="1069" spans="1:14" ht="15.75" customHeight="1" x14ac:dyDescent="0.45">
      <c r="A1069" s="1" t="s">
        <v>119</v>
      </c>
      <c r="B1069" s="1">
        <v>1185732</v>
      </c>
      <c r="C1069" s="2">
        <v>44845</v>
      </c>
      <c r="D1069" s="1" t="s">
        <v>26</v>
      </c>
      <c r="E1069" s="1" t="s">
        <v>47</v>
      </c>
      <c r="F1069" s="1" t="s">
        <v>48</v>
      </c>
      <c r="G1069" s="1" t="s">
        <v>18</v>
      </c>
      <c r="H1069" s="1">
        <v>58</v>
      </c>
      <c r="I1069" s="1" t="s">
        <v>125</v>
      </c>
      <c r="J1069" s="3">
        <v>0.4499999999999999</v>
      </c>
      <c r="K1069" s="4">
        <v>1500</v>
      </c>
      <c r="L1069" s="5">
        <f t="shared" si="8"/>
        <v>674.99999999999989</v>
      </c>
      <c r="M1069" s="5">
        <f t="shared" si="9"/>
        <v>337.49999999999994</v>
      </c>
      <c r="N1069" s="6">
        <v>0.5</v>
      </c>
    </row>
    <row r="1070" spans="1:14" ht="15.75" customHeight="1" x14ac:dyDescent="0.45">
      <c r="A1070" s="1" t="s">
        <v>119</v>
      </c>
      <c r="B1070" s="1">
        <v>1185732</v>
      </c>
      <c r="C1070" s="2">
        <v>44876</v>
      </c>
      <c r="D1070" s="1" t="s">
        <v>26</v>
      </c>
      <c r="E1070" s="1" t="s">
        <v>47</v>
      </c>
      <c r="F1070" s="1" t="s">
        <v>48</v>
      </c>
      <c r="G1070" s="1" t="s">
        <v>13</v>
      </c>
      <c r="H1070" s="1">
        <v>28</v>
      </c>
      <c r="I1070" s="1" t="s">
        <v>125</v>
      </c>
      <c r="J1070" s="3">
        <v>0.4</v>
      </c>
      <c r="K1070" s="4">
        <v>3000</v>
      </c>
      <c r="L1070" s="5">
        <f t="shared" si="8"/>
        <v>1200</v>
      </c>
      <c r="M1070" s="5">
        <f t="shared" si="9"/>
        <v>480</v>
      </c>
      <c r="N1070" s="6">
        <v>0.4</v>
      </c>
    </row>
    <row r="1071" spans="1:14" ht="15.75" customHeight="1" x14ac:dyDescent="0.45">
      <c r="A1071" s="1" t="s">
        <v>119</v>
      </c>
      <c r="B1071" s="1">
        <v>1185732</v>
      </c>
      <c r="C1071" s="2">
        <v>44876</v>
      </c>
      <c r="D1071" s="1" t="s">
        <v>26</v>
      </c>
      <c r="E1071" s="1" t="s">
        <v>47</v>
      </c>
      <c r="F1071" s="1" t="s">
        <v>48</v>
      </c>
      <c r="G1071" s="1" t="s">
        <v>14</v>
      </c>
      <c r="H1071" s="1">
        <v>50</v>
      </c>
      <c r="I1071" s="1" t="s">
        <v>123</v>
      </c>
      <c r="J1071" s="3">
        <v>0.30000000000000004</v>
      </c>
      <c r="K1071" s="4">
        <v>1500</v>
      </c>
      <c r="L1071" s="5">
        <f t="shared" si="8"/>
        <v>450.00000000000006</v>
      </c>
      <c r="M1071" s="5">
        <f t="shared" si="9"/>
        <v>157.5</v>
      </c>
      <c r="N1071" s="6">
        <v>0.35</v>
      </c>
    </row>
    <row r="1072" spans="1:14" ht="15.75" customHeight="1" x14ac:dyDescent="0.45">
      <c r="A1072" s="1" t="s">
        <v>119</v>
      </c>
      <c r="B1072" s="1">
        <v>1185732</v>
      </c>
      <c r="C1072" s="2">
        <v>44876</v>
      </c>
      <c r="D1072" s="1" t="s">
        <v>26</v>
      </c>
      <c r="E1072" s="1" t="s">
        <v>47</v>
      </c>
      <c r="F1072" s="1" t="s">
        <v>48</v>
      </c>
      <c r="G1072" s="1" t="s">
        <v>15</v>
      </c>
      <c r="H1072" s="1">
        <v>24</v>
      </c>
      <c r="I1072" s="1" t="s">
        <v>123</v>
      </c>
      <c r="J1072" s="3">
        <v>0.30000000000000004</v>
      </c>
      <c r="K1072" s="4">
        <v>950</v>
      </c>
      <c r="L1072" s="5">
        <f t="shared" si="8"/>
        <v>285.00000000000006</v>
      </c>
      <c r="M1072" s="5">
        <f t="shared" si="9"/>
        <v>99.750000000000014</v>
      </c>
      <c r="N1072" s="6">
        <v>0.35</v>
      </c>
    </row>
    <row r="1073" spans="1:14" ht="15.75" customHeight="1" x14ac:dyDescent="0.45">
      <c r="A1073" s="1" t="s">
        <v>119</v>
      </c>
      <c r="B1073" s="1">
        <v>1185732</v>
      </c>
      <c r="C1073" s="2">
        <v>44876</v>
      </c>
      <c r="D1073" s="1" t="s">
        <v>26</v>
      </c>
      <c r="E1073" s="1" t="s">
        <v>47</v>
      </c>
      <c r="F1073" s="1" t="s">
        <v>48</v>
      </c>
      <c r="G1073" s="1" t="s">
        <v>16</v>
      </c>
      <c r="H1073" s="1">
        <v>49</v>
      </c>
      <c r="I1073" s="1" t="s">
        <v>123</v>
      </c>
      <c r="J1073" s="3">
        <v>0.30000000000000004</v>
      </c>
      <c r="K1073" s="4">
        <v>1250</v>
      </c>
      <c r="L1073" s="5">
        <f t="shared" si="8"/>
        <v>375.00000000000006</v>
      </c>
      <c r="M1073" s="5">
        <f t="shared" si="9"/>
        <v>150.00000000000003</v>
      </c>
      <c r="N1073" s="6">
        <v>0.4</v>
      </c>
    </row>
    <row r="1074" spans="1:14" ht="15.75" customHeight="1" x14ac:dyDescent="0.45">
      <c r="A1074" s="1" t="s">
        <v>119</v>
      </c>
      <c r="B1074" s="1">
        <v>1185732</v>
      </c>
      <c r="C1074" s="2">
        <v>44876</v>
      </c>
      <c r="D1074" s="1" t="s">
        <v>26</v>
      </c>
      <c r="E1074" s="1" t="s">
        <v>47</v>
      </c>
      <c r="F1074" s="1" t="s">
        <v>48</v>
      </c>
      <c r="G1074" s="1" t="s">
        <v>17</v>
      </c>
      <c r="H1074" s="1">
        <v>59</v>
      </c>
      <c r="I1074" s="1" t="s">
        <v>126</v>
      </c>
      <c r="J1074" s="3">
        <v>0.49999999999999994</v>
      </c>
      <c r="K1074" s="4">
        <v>1000</v>
      </c>
      <c r="L1074" s="5">
        <f t="shared" si="8"/>
        <v>499.99999999999994</v>
      </c>
      <c r="M1074" s="5">
        <f t="shared" si="9"/>
        <v>174.99999999999997</v>
      </c>
      <c r="N1074" s="6">
        <v>0.35</v>
      </c>
    </row>
    <row r="1075" spans="1:14" ht="15.75" customHeight="1" x14ac:dyDescent="0.45">
      <c r="A1075" s="1" t="s">
        <v>119</v>
      </c>
      <c r="B1075" s="1">
        <v>1185732</v>
      </c>
      <c r="C1075" s="2">
        <v>44876</v>
      </c>
      <c r="D1075" s="1" t="s">
        <v>26</v>
      </c>
      <c r="E1075" s="1" t="s">
        <v>47</v>
      </c>
      <c r="F1075" s="1" t="s">
        <v>48</v>
      </c>
      <c r="G1075" s="1" t="s">
        <v>18</v>
      </c>
      <c r="H1075" s="1">
        <v>35</v>
      </c>
      <c r="I1075" s="1" t="s">
        <v>123</v>
      </c>
      <c r="J1075" s="3">
        <v>0.54999999999999982</v>
      </c>
      <c r="K1075" s="4">
        <v>2000</v>
      </c>
      <c r="L1075" s="5">
        <f t="shared" si="8"/>
        <v>1099.9999999999995</v>
      </c>
      <c r="M1075" s="5">
        <f t="shared" si="9"/>
        <v>549.99999999999977</v>
      </c>
      <c r="N1075" s="6">
        <v>0.5</v>
      </c>
    </row>
    <row r="1076" spans="1:14" ht="15.75" customHeight="1" x14ac:dyDescent="0.45">
      <c r="A1076" s="1" t="s">
        <v>119</v>
      </c>
      <c r="B1076" s="1">
        <v>1185732</v>
      </c>
      <c r="C1076" s="2">
        <v>44905</v>
      </c>
      <c r="D1076" s="1" t="s">
        <v>26</v>
      </c>
      <c r="E1076" s="1" t="s">
        <v>47</v>
      </c>
      <c r="F1076" s="1" t="s">
        <v>48</v>
      </c>
      <c r="G1076" s="1" t="s">
        <v>13</v>
      </c>
      <c r="H1076" s="1">
        <v>45</v>
      </c>
      <c r="I1076" s="1" t="s">
        <v>125</v>
      </c>
      <c r="J1076" s="3">
        <v>0.49999999999999994</v>
      </c>
      <c r="K1076" s="4">
        <v>4500</v>
      </c>
      <c r="L1076" s="5">
        <f t="shared" si="8"/>
        <v>2249.9999999999995</v>
      </c>
      <c r="M1076" s="5">
        <f t="shared" si="9"/>
        <v>899.99999999999989</v>
      </c>
      <c r="N1076" s="6">
        <v>0.4</v>
      </c>
    </row>
    <row r="1077" spans="1:14" ht="15.75" customHeight="1" x14ac:dyDescent="0.45">
      <c r="A1077" s="1" t="s">
        <v>119</v>
      </c>
      <c r="B1077" s="1">
        <v>1185732</v>
      </c>
      <c r="C1077" s="2">
        <v>44905</v>
      </c>
      <c r="D1077" s="1" t="s">
        <v>26</v>
      </c>
      <c r="E1077" s="1" t="s">
        <v>47</v>
      </c>
      <c r="F1077" s="1" t="s">
        <v>48</v>
      </c>
      <c r="G1077" s="1" t="s">
        <v>14</v>
      </c>
      <c r="H1077" s="1">
        <v>34</v>
      </c>
      <c r="I1077" s="1" t="s">
        <v>123</v>
      </c>
      <c r="J1077" s="3">
        <v>0.4</v>
      </c>
      <c r="K1077" s="4">
        <v>2500</v>
      </c>
      <c r="L1077" s="5">
        <f t="shared" si="8"/>
        <v>1000</v>
      </c>
      <c r="M1077" s="5">
        <f t="shared" si="9"/>
        <v>350</v>
      </c>
      <c r="N1077" s="6">
        <v>0.35</v>
      </c>
    </row>
    <row r="1078" spans="1:14" ht="15.75" customHeight="1" x14ac:dyDescent="0.45">
      <c r="A1078" s="1" t="s">
        <v>119</v>
      </c>
      <c r="B1078" s="1">
        <v>1185732</v>
      </c>
      <c r="C1078" s="2">
        <v>44905</v>
      </c>
      <c r="D1078" s="1" t="s">
        <v>26</v>
      </c>
      <c r="E1078" s="1" t="s">
        <v>47</v>
      </c>
      <c r="F1078" s="1" t="s">
        <v>48</v>
      </c>
      <c r="G1078" s="1" t="s">
        <v>15</v>
      </c>
      <c r="H1078" s="1">
        <v>20</v>
      </c>
      <c r="I1078" s="1" t="s">
        <v>126</v>
      </c>
      <c r="J1078" s="3">
        <v>0.4</v>
      </c>
      <c r="K1078" s="4">
        <v>2000</v>
      </c>
      <c r="L1078" s="5">
        <f t="shared" si="8"/>
        <v>800</v>
      </c>
      <c r="M1078" s="5">
        <f t="shared" si="9"/>
        <v>280</v>
      </c>
      <c r="N1078" s="6">
        <v>0.35</v>
      </c>
    </row>
    <row r="1079" spans="1:14" ht="15.75" customHeight="1" x14ac:dyDescent="0.45">
      <c r="A1079" s="1" t="s">
        <v>119</v>
      </c>
      <c r="B1079" s="1">
        <v>1185732</v>
      </c>
      <c r="C1079" s="2">
        <v>44905</v>
      </c>
      <c r="D1079" s="1" t="s">
        <v>26</v>
      </c>
      <c r="E1079" s="1" t="s">
        <v>47</v>
      </c>
      <c r="F1079" s="1" t="s">
        <v>48</v>
      </c>
      <c r="G1079" s="1" t="s">
        <v>16</v>
      </c>
      <c r="H1079" s="1">
        <v>29</v>
      </c>
      <c r="I1079" s="1" t="s">
        <v>126</v>
      </c>
      <c r="J1079" s="3">
        <v>0.4</v>
      </c>
      <c r="K1079" s="4">
        <v>1500</v>
      </c>
      <c r="L1079" s="5">
        <f t="shared" si="8"/>
        <v>600</v>
      </c>
      <c r="M1079" s="5">
        <f t="shared" si="9"/>
        <v>240</v>
      </c>
      <c r="N1079" s="6">
        <v>0.4</v>
      </c>
    </row>
    <row r="1080" spans="1:14" ht="15.75" customHeight="1" x14ac:dyDescent="0.45">
      <c r="A1080" s="1" t="s">
        <v>119</v>
      </c>
      <c r="B1080" s="1">
        <v>1185732</v>
      </c>
      <c r="C1080" s="2">
        <v>44905</v>
      </c>
      <c r="D1080" s="1" t="s">
        <v>26</v>
      </c>
      <c r="E1080" s="1" t="s">
        <v>47</v>
      </c>
      <c r="F1080" s="1" t="s">
        <v>48</v>
      </c>
      <c r="G1080" s="1" t="s">
        <v>17</v>
      </c>
      <c r="H1080" s="1">
        <v>28</v>
      </c>
      <c r="I1080" s="1" t="s">
        <v>123</v>
      </c>
      <c r="J1080" s="3">
        <v>0.49999999999999994</v>
      </c>
      <c r="K1080" s="4">
        <v>1500</v>
      </c>
      <c r="L1080" s="5">
        <f t="shared" si="8"/>
        <v>749.99999999999989</v>
      </c>
      <c r="M1080" s="5">
        <f t="shared" si="9"/>
        <v>262.49999999999994</v>
      </c>
      <c r="N1080" s="6">
        <v>0.35</v>
      </c>
    </row>
    <row r="1081" spans="1:14" ht="15.75" customHeight="1" x14ac:dyDescent="0.45">
      <c r="A1081" s="1" t="s">
        <v>119</v>
      </c>
      <c r="B1081" s="1">
        <v>1185732</v>
      </c>
      <c r="C1081" s="2">
        <v>44905</v>
      </c>
      <c r="D1081" s="1" t="s">
        <v>26</v>
      </c>
      <c r="E1081" s="1" t="s">
        <v>47</v>
      </c>
      <c r="F1081" s="1" t="s">
        <v>48</v>
      </c>
      <c r="G1081" s="1" t="s">
        <v>18</v>
      </c>
      <c r="H1081" s="1">
        <v>15</v>
      </c>
      <c r="I1081" s="1" t="s">
        <v>125</v>
      </c>
      <c r="J1081" s="3">
        <v>0.54999999999999982</v>
      </c>
      <c r="K1081" s="4">
        <v>2500</v>
      </c>
      <c r="L1081" s="5">
        <f t="shared" si="8"/>
        <v>1374.9999999999995</v>
      </c>
      <c r="M1081" s="5">
        <f t="shared" si="9"/>
        <v>687.49999999999977</v>
      </c>
      <c r="N1081" s="6">
        <v>0.5</v>
      </c>
    </row>
    <row r="1082" spans="1:14" ht="15.75" customHeight="1" x14ac:dyDescent="0.45">
      <c r="A1082" s="1" t="s">
        <v>120</v>
      </c>
      <c r="B1082" s="1">
        <v>1197831</v>
      </c>
      <c r="C1082" s="2">
        <v>44563</v>
      </c>
      <c r="D1082" s="1" t="s">
        <v>19</v>
      </c>
      <c r="E1082" s="1" t="s">
        <v>49</v>
      </c>
      <c r="F1082" s="1" t="s">
        <v>50</v>
      </c>
      <c r="G1082" s="1" t="s">
        <v>13</v>
      </c>
      <c r="H1082" s="1">
        <v>60</v>
      </c>
      <c r="I1082" s="1" t="s">
        <v>125</v>
      </c>
      <c r="J1082" s="3">
        <v>0.2</v>
      </c>
      <c r="K1082" s="4">
        <v>6750</v>
      </c>
      <c r="L1082" s="5">
        <f t="shared" si="8"/>
        <v>1350</v>
      </c>
      <c r="M1082" s="5">
        <f t="shared" si="9"/>
        <v>540</v>
      </c>
      <c r="N1082" s="6">
        <v>0.39999999999999997</v>
      </c>
    </row>
    <row r="1083" spans="1:14" ht="15.75" customHeight="1" x14ac:dyDescent="0.45">
      <c r="A1083" s="1" t="s">
        <v>120</v>
      </c>
      <c r="B1083" s="1">
        <v>1197831</v>
      </c>
      <c r="C1083" s="2">
        <v>44563</v>
      </c>
      <c r="D1083" s="1" t="s">
        <v>19</v>
      </c>
      <c r="E1083" s="1" t="s">
        <v>49</v>
      </c>
      <c r="F1083" s="1" t="s">
        <v>50</v>
      </c>
      <c r="G1083" s="1" t="s">
        <v>14</v>
      </c>
      <c r="H1083" s="1">
        <v>57</v>
      </c>
      <c r="I1083" s="1" t="s">
        <v>124</v>
      </c>
      <c r="J1083" s="3">
        <v>0.3</v>
      </c>
      <c r="K1083" s="4">
        <v>6750</v>
      </c>
      <c r="L1083" s="5">
        <f t="shared" si="8"/>
        <v>2025</v>
      </c>
      <c r="M1083" s="5">
        <f t="shared" si="9"/>
        <v>809.99999999999989</v>
      </c>
      <c r="N1083" s="6">
        <v>0.39999999999999997</v>
      </c>
    </row>
    <row r="1084" spans="1:14" ht="15.75" customHeight="1" x14ac:dyDescent="0.45">
      <c r="A1084" s="1" t="s">
        <v>120</v>
      </c>
      <c r="B1084" s="1">
        <v>1197831</v>
      </c>
      <c r="C1084" s="2">
        <v>44563</v>
      </c>
      <c r="D1084" s="1" t="s">
        <v>19</v>
      </c>
      <c r="E1084" s="1" t="s">
        <v>49</v>
      </c>
      <c r="F1084" s="1" t="s">
        <v>50</v>
      </c>
      <c r="G1084" s="1" t="s">
        <v>15</v>
      </c>
      <c r="H1084" s="1">
        <v>60</v>
      </c>
      <c r="I1084" s="1" t="s">
        <v>123</v>
      </c>
      <c r="J1084" s="3">
        <v>0.3</v>
      </c>
      <c r="K1084" s="4">
        <v>4750</v>
      </c>
      <c r="L1084" s="5">
        <f t="shared" si="8"/>
        <v>1425</v>
      </c>
      <c r="M1084" s="5">
        <f t="shared" si="9"/>
        <v>570</v>
      </c>
      <c r="N1084" s="6">
        <v>0.39999999999999997</v>
      </c>
    </row>
    <row r="1085" spans="1:14" ht="15.75" customHeight="1" x14ac:dyDescent="0.45">
      <c r="A1085" s="1" t="s">
        <v>120</v>
      </c>
      <c r="B1085" s="1">
        <v>1197831</v>
      </c>
      <c r="C1085" s="2">
        <v>44563</v>
      </c>
      <c r="D1085" s="1" t="s">
        <v>19</v>
      </c>
      <c r="E1085" s="1" t="s">
        <v>49</v>
      </c>
      <c r="F1085" s="1" t="s">
        <v>50</v>
      </c>
      <c r="G1085" s="1" t="s">
        <v>16</v>
      </c>
      <c r="H1085" s="1">
        <v>16</v>
      </c>
      <c r="I1085" s="1" t="s">
        <v>125</v>
      </c>
      <c r="J1085" s="3">
        <v>0.35</v>
      </c>
      <c r="K1085" s="4">
        <v>4750</v>
      </c>
      <c r="L1085" s="5">
        <f t="shared" si="8"/>
        <v>1662.5</v>
      </c>
      <c r="M1085" s="5">
        <f t="shared" si="9"/>
        <v>831.25</v>
      </c>
      <c r="N1085" s="6">
        <v>0.5</v>
      </c>
    </row>
    <row r="1086" spans="1:14" ht="15.75" customHeight="1" x14ac:dyDescent="0.45">
      <c r="A1086" s="1" t="s">
        <v>120</v>
      </c>
      <c r="B1086" s="1">
        <v>1197831</v>
      </c>
      <c r="C1086" s="2">
        <v>44563</v>
      </c>
      <c r="D1086" s="1" t="s">
        <v>19</v>
      </c>
      <c r="E1086" s="1" t="s">
        <v>49</v>
      </c>
      <c r="F1086" s="1" t="s">
        <v>50</v>
      </c>
      <c r="G1086" s="1" t="s">
        <v>17</v>
      </c>
      <c r="H1086" s="1">
        <v>49</v>
      </c>
      <c r="I1086" s="1" t="s">
        <v>126</v>
      </c>
      <c r="J1086" s="3">
        <v>0.4</v>
      </c>
      <c r="K1086" s="4">
        <v>3250</v>
      </c>
      <c r="L1086" s="5">
        <f t="shared" si="8"/>
        <v>1300</v>
      </c>
      <c r="M1086" s="5">
        <f t="shared" si="9"/>
        <v>454.99999999999994</v>
      </c>
      <c r="N1086" s="6">
        <v>0.35</v>
      </c>
    </row>
    <row r="1087" spans="1:14" ht="15.75" customHeight="1" x14ac:dyDescent="0.45">
      <c r="A1087" s="1" t="s">
        <v>120</v>
      </c>
      <c r="B1087" s="1">
        <v>1197831</v>
      </c>
      <c r="C1087" s="2">
        <v>44563</v>
      </c>
      <c r="D1087" s="1" t="s">
        <v>19</v>
      </c>
      <c r="E1087" s="1" t="s">
        <v>49</v>
      </c>
      <c r="F1087" s="1" t="s">
        <v>50</v>
      </c>
      <c r="G1087" s="1" t="s">
        <v>18</v>
      </c>
      <c r="H1087" s="1">
        <v>23</v>
      </c>
      <c r="I1087" s="1" t="s">
        <v>125</v>
      </c>
      <c r="J1087" s="3">
        <v>0.35</v>
      </c>
      <c r="K1087" s="4">
        <v>4750</v>
      </c>
      <c r="L1087" s="5">
        <f t="shared" si="8"/>
        <v>1662.5</v>
      </c>
      <c r="M1087" s="5">
        <f t="shared" si="9"/>
        <v>914.37500000000011</v>
      </c>
      <c r="N1087" s="6">
        <v>0.55000000000000004</v>
      </c>
    </row>
    <row r="1088" spans="1:14" ht="15.75" customHeight="1" x14ac:dyDescent="0.45">
      <c r="A1088" s="1" t="s">
        <v>120</v>
      </c>
      <c r="B1088" s="1">
        <v>1197831</v>
      </c>
      <c r="C1088" s="2">
        <v>44593</v>
      </c>
      <c r="D1088" s="1" t="s">
        <v>19</v>
      </c>
      <c r="E1088" s="1" t="s">
        <v>49</v>
      </c>
      <c r="F1088" s="1" t="s">
        <v>50</v>
      </c>
      <c r="G1088" s="1" t="s">
        <v>13</v>
      </c>
      <c r="H1088" s="1">
        <v>49</v>
      </c>
      <c r="I1088" s="1" t="s">
        <v>126</v>
      </c>
      <c r="J1088" s="3">
        <v>0.25</v>
      </c>
      <c r="K1088" s="4">
        <v>6250</v>
      </c>
      <c r="L1088" s="5">
        <f t="shared" si="8"/>
        <v>1562.5</v>
      </c>
      <c r="M1088" s="5">
        <f t="shared" si="9"/>
        <v>625</v>
      </c>
      <c r="N1088" s="6">
        <v>0.39999999999999997</v>
      </c>
    </row>
    <row r="1089" spans="1:14" ht="15.75" customHeight="1" x14ac:dyDescent="0.45">
      <c r="A1089" s="1" t="s">
        <v>120</v>
      </c>
      <c r="B1089" s="1">
        <v>1197831</v>
      </c>
      <c r="C1089" s="2">
        <v>44593</v>
      </c>
      <c r="D1089" s="1" t="s">
        <v>19</v>
      </c>
      <c r="E1089" s="1" t="s">
        <v>49</v>
      </c>
      <c r="F1089" s="1" t="s">
        <v>50</v>
      </c>
      <c r="G1089" s="1" t="s">
        <v>14</v>
      </c>
      <c r="H1089" s="1">
        <v>21</v>
      </c>
      <c r="I1089" s="1" t="s">
        <v>125</v>
      </c>
      <c r="J1089" s="3">
        <v>0.35</v>
      </c>
      <c r="K1089" s="4">
        <v>6000</v>
      </c>
      <c r="L1089" s="5">
        <f t="shared" si="8"/>
        <v>2100</v>
      </c>
      <c r="M1089" s="5">
        <f t="shared" si="9"/>
        <v>839.99999999999989</v>
      </c>
      <c r="N1089" s="6">
        <v>0.39999999999999997</v>
      </c>
    </row>
    <row r="1090" spans="1:14" ht="15.75" customHeight="1" x14ac:dyDescent="0.45">
      <c r="A1090" s="1" t="s">
        <v>120</v>
      </c>
      <c r="B1090" s="1">
        <v>1197831</v>
      </c>
      <c r="C1090" s="2">
        <v>44593</v>
      </c>
      <c r="D1090" s="1" t="s">
        <v>19</v>
      </c>
      <c r="E1090" s="1" t="s">
        <v>49</v>
      </c>
      <c r="F1090" s="1" t="s">
        <v>50</v>
      </c>
      <c r="G1090" s="1" t="s">
        <v>15</v>
      </c>
      <c r="H1090" s="1">
        <v>48</v>
      </c>
      <c r="I1090" s="1" t="s">
        <v>125</v>
      </c>
      <c r="J1090" s="3">
        <v>0.35</v>
      </c>
      <c r="K1090" s="4">
        <v>4250</v>
      </c>
      <c r="L1090" s="5">
        <f t="shared" si="8"/>
        <v>1487.5</v>
      </c>
      <c r="M1090" s="5">
        <f t="shared" si="9"/>
        <v>595</v>
      </c>
      <c r="N1090" s="6">
        <v>0.39999999999999997</v>
      </c>
    </row>
    <row r="1091" spans="1:14" ht="15.75" customHeight="1" x14ac:dyDescent="0.45">
      <c r="A1091" s="1" t="s">
        <v>120</v>
      </c>
      <c r="B1091" s="1">
        <v>1197831</v>
      </c>
      <c r="C1091" s="2">
        <v>44593</v>
      </c>
      <c r="D1091" s="1" t="s">
        <v>19</v>
      </c>
      <c r="E1091" s="1" t="s">
        <v>49</v>
      </c>
      <c r="F1091" s="1" t="s">
        <v>50</v>
      </c>
      <c r="G1091" s="1" t="s">
        <v>16</v>
      </c>
      <c r="H1091" s="1">
        <v>36</v>
      </c>
      <c r="I1091" s="1" t="s">
        <v>125</v>
      </c>
      <c r="J1091" s="3">
        <v>0.35</v>
      </c>
      <c r="K1091" s="4">
        <v>3750</v>
      </c>
      <c r="L1091" s="5">
        <f t="shared" si="8"/>
        <v>1312.5</v>
      </c>
      <c r="M1091" s="5">
        <f t="shared" si="9"/>
        <v>656.25</v>
      </c>
      <c r="N1091" s="6">
        <v>0.5</v>
      </c>
    </row>
    <row r="1092" spans="1:14" ht="15.75" customHeight="1" x14ac:dyDescent="0.45">
      <c r="A1092" s="1" t="s">
        <v>120</v>
      </c>
      <c r="B1092" s="1">
        <v>1197831</v>
      </c>
      <c r="C1092" s="2">
        <v>44593</v>
      </c>
      <c r="D1092" s="1" t="s">
        <v>19</v>
      </c>
      <c r="E1092" s="1" t="s">
        <v>49</v>
      </c>
      <c r="F1092" s="1" t="s">
        <v>50</v>
      </c>
      <c r="G1092" s="1" t="s">
        <v>17</v>
      </c>
      <c r="H1092" s="1">
        <v>16</v>
      </c>
      <c r="I1092" s="1" t="s">
        <v>125</v>
      </c>
      <c r="J1092" s="3">
        <v>0.4</v>
      </c>
      <c r="K1092" s="4">
        <v>2500</v>
      </c>
      <c r="L1092" s="5">
        <f t="shared" si="8"/>
        <v>1000</v>
      </c>
      <c r="M1092" s="5">
        <f t="shared" si="9"/>
        <v>350</v>
      </c>
      <c r="N1092" s="6">
        <v>0.35</v>
      </c>
    </row>
    <row r="1093" spans="1:14" ht="15.75" customHeight="1" x14ac:dyDescent="0.45">
      <c r="A1093" s="1" t="s">
        <v>120</v>
      </c>
      <c r="B1093" s="1">
        <v>1197831</v>
      </c>
      <c r="C1093" s="2">
        <v>44593</v>
      </c>
      <c r="D1093" s="1" t="s">
        <v>19</v>
      </c>
      <c r="E1093" s="1" t="s">
        <v>49</v>
      </c>
      <c r="F1093" s="1" t="s">
        <v>50</v>
      </c>
      <c r="G1093" s="1" t="s">
        <v>18</v>
      </c>
      <c r="H1093" s="1">
        <v>56</v>
      </c>
      <c r="I1093" s="1" t="s">
        <v>126</v>
      </c>
      <c r="J1093" s="3">
        <v>0.35</v>
      </c>
      <c r="K1093" s="4">
        <v>4500</v>
      </c>
      <c r="L1093" s="5">
        <f t="shared" si="8"/>
        <v>1575</v>
      </c>
      <c r="M1093" s="5">
        <f t="shared" si="9"/>
        <v>866.25000000000011</v>
      </c>
      <c r="N1093" s="6">
        <v>0.55000000000000004</v>
      </c>
    </row>
    <row r="1094" spans="1:14" ht="15.75" customHeight="1" x14ac:dyDescent="0.45">
      <c r="A1094" s="1" t="s">
        <v>120</v>
      </c>
      <c r="B1094" s="1">
        <v>1197831</v>
      </c>
      <c r="C1094" s="2">
        <v>44623</v>
      </c>
      <c r="D1094" s="1" t="s">
        <v>19</v>
      </c>
      <c r="E1094" s="1" t="s">
        <v>49</v>
      </c>
      <c r="F1094" s="1" t="s">
        <v>50</v>
      </c>
      <c r="G1094" s="1" t="s">
        <v>13</v>
      </c>
      <c r="H1094" s="1">
        <v>19</v>
      </c>
      <c r="I1094" s="1" t="s">
        <v>124</v>
      </c>
      <c r="J1094" s="3">
        <v>0.3</v>
      </c>
      <c r="K1094" s="4">
        <v>6250</v>
      </c>
      <c r="L1094" s="5">
        <f t="shared" si="8"/>
        <v>1875</v>
      </c>
      <c r="M1094" s="5">
        <f t="shared" si="9"/>
        <v>843.74999999999989</v>
      </c>
      <c r="N1094" s="6">
        <v>0.44999999999999996</v>
      </c>
    </row>
    <row r="1095" spans="1:14" ht="15.75" customHeight="1" x14ac:dyDescent="0.45">
      <c r="A1095" s="1" t="s">
        <v>120</v>
      </c>
      <c r="B1095" s="1">
        <v>1197831</v>
      </c>
      <c r="C1095" s="2">
        <v>44623</v>
      </c>
      <c r="D1095" s="1" t="s">
        <v>19</v>
      </c>
      <c r="E1095" s="1" t="s">
        <v>49</v>
      </c>
      <c r="F1095" s="1" t="s">
        <v>50</v>
      </c>
      <c r="G1095" s="1" t="s">
        <v>14</v>
      </c>
      <c r="H1095" s="1">
        <v>51</v>
      </c>
      <c r="I1095" s="1" t="s">
        <v>124</v>
      </c>
      <c r="J1095" s="3">
        <v>0.4</v>
      </c>
      <c r="K1095" s="4">
        <v>6250</v>
      </c>
      <c r="L1095" s="5">
        <f t="shared" si="8"/>
        <v>2500</v>
      </c>
      <c r="M1095" s="5">
        <f t="shared" si="9"/>
        <v>1125</v>
      </c>
      <c r="N1095" s="6">
        <v>0.44999999999999996</v>
      </c>
    </row>
    <row r="1096" spans="1:14" ht="15.75" customHeight="1" x14ac:dyDescent="0.45">
      <c r="A1096" s="1" t="s">
        <v>120</v>
      </c>
      <c r="B1096" s="1">
        <v>1197831</v>
      </c>
      <c r="C1096" s="2">
        <v>44623</v>
      </c>
      <c r="D1096" s="1" t="s">
        <v>19</v>
      </c>
      <c r="E1096" s="1" t="s">
        <v>49</v>
      </c>
      <c r="F1096" s="1" t="s">
        <v>50</v>
      </c>
      <c r="G1096" s="1" t="s">
        <v>15</v>
      </c>
      <c r="H1096" s="1">
        <v>32</v>
      </c>
      <c r="I1096" s="1" t="s">
        <v>125</v>
      </c>
      <c r="J1096" s="3">
        <v>0.3</v>
      </c>
      <c r="K1096" s="4">
        <v>4500</v>
      </c>
      <c r="L1096" s="5">
        <f t="shared" si="8"/>
        <v>1350</v>
      </c>
      <c r="M1096" s="5">
        <f t="shared" si="9"/>
        <v>607.49999999999989</v>
      </c>
      <c r="N1096" s="6">
        <v>0.44999999999999996</v>
      </c>
    </row>
    <row r="1097" spans="1:14" ht="15.75" customHeight="1" x14ac:dyDescent="0.45">
      <c r="A1097" s="1" t="s">
        <v>120</v>
      </c>
      <c r="B1097" s="1">
        <v>1197831</v>
      </c>
      <c r="C1097" s="2">
        <v>44623</v>
      </c>
      <c r="D1097" s="1" t="s">
        <v>19</v>
      </c>
      <c r="E1097" s="1" t="s">
        <v>49</v>
      </c>
      <c r="F1097" s="1" t="s">
        <v>50</v>
      </c>
      <c r="G1097" s="1" t="s">
        <v>16</v>
      </c>
      <c r="H1097" s="1">
        <v>47</v>
      </c>
      <c r="I1097" s="1" t="s">
        <v>125</v>
      </c>
      <c r="J1097" s="3">
        <v>0.35000000000000003</v>
      </c>
      <c r="K1097" s="4">
        <v>3500</v>
      </c>
      <c r="L1097" s="5">
        <f t="shared" si="8"/>
        <v>1225.0000000000002</v>
      </c>
      <c r="M1097" s="5">
        <f t="shared" si="9"/>
        <v>673.75000000000023</v>
      </c>
      <c r="N1097" s="6">
        <v>0.55000000000000004</v>
      </c>
    </row>
    <row r="1098" spans="1:14" ht="15.75" customHeight="1" x14ac:dyDescent="0.45">
      <c r="A1098" s="1" t="s">
        <v>120</v>
      </c>
      <c r="B1098" s="1">
        <v>1197831</v>
      </c>
      <c r="C1098" s="2">
        <v>44623</v>
      </c>
      <c r="D1098" s="1" t="s">
        <v>19</v>
      </c>
      <c r="E1098" s="1" t="s">
        <v>49</v>
      </c>
      <c r="F1098" s="1" t="s">
        <v>50</v>
      </c>
      <c r="G1098" s="1" t="s">
        <v>17</v>
      </c>
      <c r="H1098" s="1">
        <v>45</v>
      </c>
      <c r="I1098" s="1" t="s">
        <v>125</v>
      </c>
      <c r="J1098" s="3">
        <v>0.4</v>
      </c>
      <c r="K1098" s="4">
        <v>2500</v>
      </c>
      <c r="L1098" s="5">
        <f t="shared" si="8"/>
        <v>1000</v>
      </c>
      <c r="M1098" s="5">
        <f t="shared" si="9"/>
        <v>399.99999999999994</v>
      </c>
      <c r="N1098" s="6">
        <v>0.39999999999999997</v>
      </c>
    </row>
    <row r="1099" spans="1:14" ht="15.75" customHeight="1" x14ac:dyDescent="0.45">
      <c r="A1099" s="1" t="s">
        <v>120</v>
      </c>
      <c r="B1099" s="1">
        <v>1197831</v>
      </c>
      <c r="C1099" s="2">
        <v>44623</v>
      </c>
      <c r="D1099" s="1" t="s">
        <v>19</v>
      </c>
      <c r="E1099" s="1" t="s">
        <v>49</v>
      </c>
      <c r="F1099" s="1" t="s">
        <v>50</v>
      </c>
      <c r="G1099" s="1" t="s">
        <v>18</v>
      </c>
      <c r="H1099" s="1">
        <v>25</v>
      </c>
      <c r="I1099" s="1" t="s">
        <v>123</v>
      </c>
      <c r="J1099" s="3">
        <v>0.35000000000000003</v>
      </c>
      <c r="K1099" s="4">
        <v>4000</v>
      </c>
      <c r="L1099" s="5">
        <f t="shared" si="8"/>
        <v>1400.0000000000002</v>
      </c>
      <c r="M1099" s="5">
        <f t="shared" si="9"/>
        <v>840.00000000000023</v>
      </c>
      <c r="N1099" s="6">
        <v>0.60000000000000009</v>
      </c>
    </row>
    <row r="1100" spans="1:14" ht="15.75" customHeight="1" x14ac:dyDescent="0.45">
      <c r="A1100" s="1" t="s">
        <v>120</v>
      </c>
      <c r="B1100" s="1">
        <v>1197831</v>
      </c>
      <c r="C1100" s="2">
        <v>44653</v>
      </c>
      <c r="D1100" s="1" t="s">
        <v>19</v>
      </c>
      <c r="E1100" s="1" t="s">
        <v>49</v>
      </c>
      <c r="F1100" s="1" t="s">
        <v>50</v>
      </c>
      <c r="G1100" s="1" t="s">
        <v>13</v>
      </c>
      <c r="H1100" s="1">
        <v>55</v>
      </c>
      <c r="I1100" s="1" t="s">
        <v>123</v>
      </c>
      <c r="J1100" s="3">
        <v>0.19999999999999998</v>
      </c>
      <c r="K1100" s="4">
        <v>6500</v>
      </c>
      <c r="L1100" s="5">
        <f t="shared" si="8"/>
        <v>1300</v>
      </c>
      <c r="M1100" s="5">
        <f t="shared" si="9"/>
        <v>584.99999999999989</v>
      </c>
      <c r="N1100" s="6">
        <v>0.44999999999999996</v>
      </c>
    </row>
    <row r="1101" spans="1:14" ht="15.75" customHeight="1" x14ac:dyDescent="0.45">
      <c r="A1101" s="1" t="s">
        <v>120</v>
      </c>
      <c r="B1101" s="1">
        <v>1197831</v>
      </c>
      <c r="C1101" s="2">
        <v>44653</v>
      </c>
      <c r="D1101" s="1" t="s">
        <v>19</v>
      </c>
      <c r="E1101" s="1" t="s">
        <v>49</v>
      </c>
      <c r="F1101" s="1" t="s">
        <v>50</v>
      </c>
      <c r="G1101" s="1" t="s">
        <v>14</v>
      </c>
      <c r="H1101" s="1">
        <v>39</v>
      </c>
      <c r="I1101" s="1" t="s">
        <v>126</v>
      </c>
      <c r="J1101" s="3">
        <v>0.20000000000000007</v>
      </c>
      <c r="K1101" s="4">
        <v>6500</v>
      </c>
      <c r="L1101" s="5">
        <f t="shared" si="8"/>
        <v>1300.0000000000005</v>
      </c>
      <c r="M1101" s="5">
        <f t="shared" si="9"/>
        <v>585.00000000000011</v>
      </c>
      <c r="N1101" s="6">
        <v>0.44999999999999996</v>
      </c>
    </row>
    <row r="1102" spans="1:14" ht="15.75" customHeight="1" x14ac:dyDescent="0.45">
      <c r="A1102" s="1" t="s">
        <v>120</v>
      </c>
      <c r="B1102" s="1">
        <v>1197831</v>
      </c>
      <c r="C1102" s="2">
        <v>44653</v>
      </c>
      <c r="D1102" s="1" t="s">
        <v>19</v>
      </c>
      <c r="E1102" s="1" t="s">
        <v>49</v>
      </c>
      <c r="F1102" s="1" t="s">
        <v>50</v>
      </c>
      <c r="G1102" s="1" t="s">
        <v>15</v>
      </c>
      <c r="H1102" s="1">
        <v>36</v>
      </c>
      <c r="I1102" s="1" t="s">
        <v>125</v>
      </c>
      <c r="J1102" s="3">
        <v>0.14999999999999997</v>
      </c>
      <c r="K1102" s="4">
        <v>4750</v>
      </c>
      <c r="L1102" s="5">
        <f t="shared" si="8"/>
        <v>712.49999999999989</v>
      </c>
      <c r="M1102" s="5">
        <f t="shared" si="9"/>
        <v>320.62499999999994</v>
      </c>
      <c r="N1102" s="6">
        <v>0.44999999999999996</v>
      </c>
    </row>
    <row r="1103" spans="1:14" ht="15.75" customHeight="1" x14ac:dyDescent="0.45">
      <c r="A1103" s="1" t="s">
        <v>120</v>
      </c>
      <c r="B1103" s="1">
        <v>1197831</v>
      </c>
      <c r="C1103" s="2">
        <v>44653</v>
      </c>
      <c r="D1103" s="1" t="s">
        <v>19</v>
      </c>
      <c r="E1103" s="1" t="s">
        <v>49</v>
      </c>
      <c r="F1103" s="1" t="s">
        <v>50</v>
      </c>
      <c r="G1103" s="1" t="s">
        <v>16</v>
      </c>
      <c r="H1103" s="1">
        <v>41</v>
      </c>
      <c r="I1103" s="1" t="s">
        <v>123</v>
      </c>
      <c r="J1103" s="3">
        <v>0.20000000000000007</v>
      </c>
      <c r="K1103" s="4">
        <v>3750</v>
      </c>
      <c r="L1103" s="5">
        <f t="shared" si="8"/>
        <v>750.00000000000023</v>
      </c>
      <c r="M1103" s="5">
        <f t="shared" si="9"/>
        <v>412.50000000000017</v>
      </c>
      <c r="N1103" s="6">
        <v>0.55000000000000004</v>
      </c>
    </row>
    <row r="1104" spans="1:14" ht="15.75" customHeight="1" x14ac:dyDescent="0.45">
      <c r="A1104" s="1" t="s">
        <v>120</v>
      </c>
      <c r="B1104" s="1">
        <v>1197831</v>
      </c>
      <c r="C1104" s="2">
        <v>44653</v>
      </c>
      <c r="D1104" s="1" t="s">
        <v>19</v>
      </c>
      <c r="E1104" s="1" t="s">
        <v>49</v>
      </c>
      <c r="F1104" s="1" t="s">
        <v>50</v>
      </c>
      <c r="G1104" s="1" t="s">
        <v>17</v>
      </c>
      <c r="H1104" s="1">
        <v>54</v>
      </c>
      <c r="I1104" s="1" t="s">
        <v>124</v>
      </c>
      <c r="J1104" s="3">
        <v>0.25</v>
      </c>
      <c r="K1104" s="4">
        <v>2750</v>
      </c>
      <c r="L1104" s="5">
        <f t="shared" si="8"/>
        <v>687.5</v>
      </c>
      <c r="M1104" s="5">
        <f t="shared" si="9"/>
        <v>275</v>
      </c>
      <c r="N1104" s="6">
        <v>0.39999999999999997</v>
      </c>
    </row>
    <row r="1105" spans="1:14" ht="15.75" customHeight="1" x14ac:dyDescent="0.45">
      <c r="A1105" s="1" t="s">
        <v>120</v>
      </c>
      <c r="B1105" s="1">
        <v>1197831</v>
      </c>
      <c r="C1105" s="2">
        <v>44653</v>
      </c>
      <c r="D1105" s="1" t="s">
        <v>19</v>
      </c>
      <c r="E1105" s="1" t="s">
        <v>49</v>
      </c>
      <c r="F1105" s="1" t="s">
        <v>50</v>
      </c>
      <c r="G1105" s="1" t="s">
        <v>18</v>
      </c>
      <c r="H1105" s="1">
        <v>46</v>
      </c>
      <c r="I1105" s="1" t="s">
        <v>124</v>
      </c>
      <c r="J1105" s="3">
        <v>0.20000000000000007</v>
      </c>
      <c r="K1105" s="4">
        <v>5500</v>
      </c>
      <c r="L1105" s="5">
        <f t="shared" si="8"/>
        <v>1100.0000000000005</v>
      </c>
      <c r="M1105" s="5">
        <f t="shared" si="9"/>
        <v>660.00000000000034</v>
      </c>
      <c r="N1105" s="6">
        <v>0.60000000000000009</v>
      </c>
    </row>
    <row r="1106" spans="1:14" ht="15.75" customHeight="1" x14ac:dyDescent="0.45">
      <c r="A1106" s="1" t="s">
        <v>120</v>
      </c>
      <c r="B1106" s="1">
        <v>1197831</v>
      </c>
      <c r="C1106" s="2">
        <v>44683</v>
      </c>
      <c r="D1106" s="1" t="s">
        <v>19</v>
      </c>
      <c r="E1106" s="1" t="s">
        <v>49</v>
      </c>
      <c r="F1106" s="1" t="s">
        <v>50</v>
      </c>
      <c r="G1106" s="1" t="s">
        <v>13</v>
      </c>
      <c r="H1106" s="1">
        <v>40</v>
      </c>
      <c r="I1106" s="1" t="s">
        <v>124</v>
      </c>
      <c r="J1106" s="3">
        <v>9.9999999999999964E-2</v>
      </c>
      <c r="K1106" s="4">
        <v>7000</v>
      </c>
      <c r="L1106" s="5">
        <f t="shared" si="8"/>
        <v>699.99999999999977</v>
      </c>
      <c r="M1106" s="5">
        <f t="shared" si="9"/>
        <v>314.99999999999989</v>
      </c>
      <c r="N1106" s="6">
        <v>0.44999999999999996</v>
      </c>
    </row>
    <row r="1107" spans="1:14" ht="15.75" customHeight="1" x14ac:dyDescent="0.45">
      <c r="A1107" s="1" t="s">
        <v>120</v>
      </c>
      <c r="B1107" s="1">
        <v>1197831</v>
      </c>
      <c r="C1107" s="2">
        <v>44683</v>
      </c>
      <c r="D1107" s="1" t="s">
        <v>19</v>
      </c>
      <c r="E1107" s="1" t="s">
        <v>49</v>
      </c>
      <c r="F1107" s="1" t="s">
        <v>50</v>
      </c>
      <c r="G1107" s="1" t="s">
        <v>14</v>
      </c>
      <c r="H1107" s="1">
        <v>58</v>
      </c>
      <c r="I1107" s="1" t="s">
        <v>124</v>
      </c>
      <c r="J1107" s="3">
        <v>0.20000000000000007</v>
      </c>
      <c r="K1107" s="4">
        <v>7250</v>
      </c>
      <c r="L1107" s="5">
        <f t="shared" si="8"/>
        <v>1450.0000000000005</v>
      </c>
      <c r="M1107" s="5">
        <f t="shared" si="9"/>
        <v>652.50000000000011</v>
      </c>
      <c r="N1107" s="6">
        <v>0.44999999999999996</v>
      </c>
    </row>
    <row r="1108" spans="1:14" ht="15.75" customHeight="1" x14ac:dyDescent="0.45">
      <c r="A1108" s="1" t="s">
        <v>120</v>
      </c>
      <c r="B1108" s="1">
        <v>1197831</v>
      </c>
      <c r="C1108" s="2">
        <v>44683</v>
      </c>
      <c r="D1108" s="1" t="s">
        <v>19</v>
      </c>
      <c r="E1108" s="1" t="s">
        <v>49</v>
      </c>
      <c r="F1108" s="1" t="s">
        <v>50</v>
      </c>
      <c r="G1108" s="1" t="s">
        <v>15</v>
      </c>
      <c r="H1108" s="1">
        <v>43</v>
      </c>
      <c r="I1108" s="1" t="s">
        <v>125</v>
      </c>
      <c r="J1108" s="3">
        <v>0.14999999999999997</v>
      </c>
      <c r="K1108" s="4">
        <v>5750</v>
      </c>
      <c r="L1108" s="5">
        <f t="shared" si="8"/>
        <v>862.49999999999977</v>
      </c>
      <c r="M1108" s="5">
        <f t="shared" si="9"/>
        <v>388.12499999999989</v>
      </c>
      <c r="N1108" s="6">
        <v>0.44999999999999996</v>
      </c>
    </row>
    <row r="1109" spans="1:14" ht="15.75" customHeight="1" x14ac:dyDescent="0.45">
      <c r="A1109" s="1" t="s">
        <v>120</v>
      </c>
      <c r="B1109" s="1">
        <v>1197831</v>
      </c>
      <c r="C1109" s="2">
        <v>44683</v>
      </c>
      <c r="D1109" s="1" t="s">
        <v>19</v>
      </c>
      <c r="E1109" s="1" t="s">
        <v>49</v>
      </c>
      <c r="F1109" s="1" t="s">
        <v>50</v>
      </c>
      <c r="G1109" s="1" t="s">
        <v>16</v>
      </c>
      <c r="H1109" s="1">
        <v>17</v>
      </c>
      <c r="I1109" s="1" t="s">
        <v>125</v>
      </c>
      <c r="J1109" s="3">
        <v>0.35000000000000003</v>
      </c>
      <c r="K1109" s="4">
        <v>5000</v>
      </c>
      <c r="L1109" s="5">
        <f t="shared" si="8"/>
        <v>1750.0000000000002</v>
      </c>
      <c r="M1109" s="5">
        <f t="shared" si="9"/>
        <v>962.50000000000023</v>
      </c>
      <c r="N1109" s="6">
        <v>0.55000000000000004</v>
      </c>
    </row>
    <row r="1110" spans="1:14" ht="15.75" customHeight="1" x14ac:dyDescent="0.45">
      <c r="A1110" s="1" t="s">
        <v>120</v>
      </c>
      <c r="B1110" s="1">
        <v>1197831</v>
      </c>
      <c r="C1110" s="2">
        <v>44683</v>
      </c>
      <c r="D1110" s="1" t="s">
        <v>19</v>
      </c>
      <c r="E1110" s="1" t="s">
        <v>49</v>
      </c>
      <c r="F1110" s="1" t="s">
        <v>50</v>
      </c>
      <c r="G1110" s="1" t="s">
        <v>17</v>
      </c>
      <c r="H1110" s="1">
        <v>18</v>
      </c>
      <c r="I1110" s="1" t="s">
        <v>124</v>
      </c>
      <c r="J1110" s="3">
        <v>0.5</v>
      </c>
      <c r="K1110" s="4">
        <v>4000</v>
      </c>
      <c r="L1110" s="5">
        <f t="shared" si="8"/>
        <v>2000</v>
      </c>
      <c r="M1110" s="5">
        <f t="shared" si="9"/>
        <v>799.99999999999989</v>
      </c>
      <c r="N1110" s="6">
        <v>0.39999999999999997</v>
      </c>
    </row>
    <row r="1111" spans="1:14" ht="15.75" customHeight="1" x14ac:dyDescent="0.45">
      <c r="A1111" s="1" t="s">
        <v>120</v>
      </c>
      <c r="B1111" s="1">
        <v>1197831</v>
      </c>
      <c r="C1111" s="2">
        <v>44683</v>
      </c>
      <c r="D1111" s="1" t="s">
        <v>19</v>
      </c>
      <c r="E1111" s="1" t="s">
        <v>49</v>
      </c>
      <c r="F1111" s="1" t="s">
        <v>50</v>
      </c>
      <c r="G1111" s="1" t="s">
        <v>18</v>
      </c>
      <c r="H1111" s="1">
        <v>30</v>
      </c>
      <c r="I1111" s="1" t="s">
        <v>125</v>
      </c>
      <c r="J1111" s="3">
        <v>0.45</v>
      </c>
      <c r="K1111" s="4">
        <v>7500</v>
      </c>
      <c r="L1111" s="5">
        <f t="shared" si="8"/>
        <v>3375</v>
      </c>
      <c r="M1111" s="5">
        <f t="shared" si="9"/>
        <v>2025.0000000000002</v>
      </c>
      <c r="N1111" s="6">
        <v>0.60000000000000009</v>
      </c>
    </row>
    <row r="1112" spans="1:14" ht="15.75" customHeight="1" x14ac:dyDescent="0.45">
      <c r="A1112" s="1" t="s">
        <v>120</v>
      </c>
      <c r="B1112" s="1">
        <v>1197831</v>
      </c>
      <c r="C1112" s="2">
        <v>44713</v>
      </c>
      <c r="D1112" s="1" t="s">
        <v>19</v>
      </c>
      <c r="E1112" s="1" t="s">
        <v>49</v>
      </c>
      <c r="F1112" s="1" t="s">
        <v>50</v>
      </c>
      <c r="G1112" s="1" t="s">
        <v>13</v>
      </c>
      <c r="H1112" s="1">
        <v>43</v>
      </c>
      <c r="I1112" s="1" t="s">
        <v>123</v>
      </c>
      <c r="J1112" s="3">
        <v>0.45</v>
      </c>
      <c r="K1112" s="4">
        <v>7500</v>
      </c>
      <c r="L1112" s="5">
        <f t="shared" si="8"/>
        <v>3375</v>
      </c>
      <c r="M1112" s="5">
        <f t="shared" si="9"/>
        <v>1518.7499999999998</v>
      </c>
      <c r="N1112" s="6">
        <v>0.44999999999999996</v>
      </c>
    </row>
    <row r="1113" spans="1:14" ht="15.75" customHeight="1" x14ac:dyDescent="0.45">
      <c r="A1113" s="1" t="s">
        <v>120</v>
      </c>
      <c r="B1113" s="1">
        <v>1197831</v>
      </c>
      <c r="C1113" s="2">
        <v>44713</v>
      </c>
      <c r="D1113" s="1" t="s">
        <v>19</v>
      </c>
      <c r="E1113" s="1" t="s">
        <v>49</v>
      </c>
      <c r="F1113" s="1" t="s">
        <v>50</v>
      </c>
      <c r="G1113" s="1" t="s">
        <v>14</v>
      </c>
      <c r="H1113" s="1">
        <v>36</v>
      </c>
      <c r="I1113" s="1" t="s">
        <v>125</v>
      </c>
      <c r="J1113" s="3">
        <v>0.5</v>
      </c>
      <c r="K1113" s="4">
        <v>7500</v>
      </c>
      <c r="L1113" s="5">
        <f t="shared" si="8"/>
        <v>3750</v>
      </c>
      <c r="M1113" s="5">
        <f t="shared" si="9"/>
        <v>1687.4999999999998</v>
      </c>
      <c r="N1113" s="6">
        <v>0.44999999999999996</v>
      </c>
    </row>
    <row r="1114" spans="1:14" ht="15.75" customHeight="1" x14ac:dyDescent="0.45">
      <c r="A1114" s="1" t="s">
        <v>120</v>
      </c>
      <c r="B1114" s="1">
        <v>1197831</v>
      </c>
      <c r="C1114" s="2">
        <v>44713</v>
      </c>
      <c r="D1114" s="1" t="s">
        <v>19</v>
      </c>
      <c r="E1114" s="1" t="s">
        <v>49</v>
      </c>
      <c r="F1114" s="1" t="s">
        <v>50</v>
      </c>
      <c r="G1114" s="1" t="s">
        <v>15</v>
      </c>
      <c r="H1114" s="1">
        <v>26</v>
      </c>
      <c r="I1114" s="1" t="s">
        <v>124</v>
      </c>
      <c r="J1114" s="3">
        <v>0.45</v>
      </c>
      <c r="K1114" s="4">
        <v>6500</v>
      </c>
      <c r="L1114" s="5">
        <f t="shared" si="8"/>
        <v>2925</v>
      </c>
      <c r="M1114" s="5">
        <f t="shared" si="9"/>
        <v>1316.2499999999998</v>
      </c>
      <c r="N1114" s="6">
        <v>0.44999999999999996</v>
      </c>
    </row>
    <row r="1115" spans="1:14" ht="15.75" customHeight="1" x14ac:dyDescent="0.45">
      <c r="A1115" s="1" t="s">
        <v>120</v>
      </c>
      <c r="B1115" s="1">
        <v>1197831</v>
      </c>
      <c r="C1115" s="2">
        <v>44713</v>
      </c>
      <c r="D1115" s="1" t="s">
        <v>19</v>
      </c>
      <c r="E1115" s="1" t="s">
        <v>49</v>
      </c>
      <c r="F1115" s="1" t="s">
        <v>50</v>
      </c>
      <c r="G1115" s="1" t="s">
        <v>16</v>
      </c>
      <c r="H1115" s="1">
        <v>58</v>
      </c>
      <c r="I1115" s="1" t="s">
        <v>124</v>
      </c>
      <c r="J1115" s="3">
        <v>0.45</v>
      </c>
      <c r="K1115" s="4">
        <v>6000</v>
      </c>
      <c r="L1115" s="5">
        <f t="shared" si="8"/>
        <v>2700</v>
      </c>
      <c r="M1115" s="5">
        <f t="shared" si="9"/>
        <v>1485.0000000000002</v>
      </c>
      <c r="N1115" s="6">
        <v>0.55000000000000004</v>
      </c>
    </row>
    <row r="1116" spans="1:14" ht="15.75" customHeight="1" x14ac:dyDescent="0.45">
      <c r="A1116" s="1" t="s">
        <v>120</v>
      </c>
      <c r="B1116" s="1">
        <v>1197831</v>
      </c>
      <c r="C1116" s="2">
        <v>44713</v>
      </c>
      <c r="D1116" s="1" t="s">
        <v>19</v>
      </c>
      <c r="E1116" s="1" t="s">
        <v>49</v>
      </c>
      <c r="F1116" s="1" t="s">
        <v>50</v>
      </c>
      <c r="G1116" s="1" t="s">
        <v>17</v>
      </c>
      <c r="H1116" s="1">
        <v>57</v>
      </c>
      <c r="I1116" s="1" t="s">
        <v>125</v>
      </c>
      <c r="J1116" s="3">
        <v>0.5</v>
      </c>
      <c r="K1116" s="4">
        <v>5000</v>
      </c>
      <c r="L1116" s="5">
        <f t="shared" si="8"/>
        <v>2500</v>
      </c>
      <c r="M1116" s="5">
        <f t="shared" si="9"/>
        <v>999.99999999999989</v>
      </c>
      <c r="N1116" s="6">
        <v>0.39999999999999997</v>
      </c>
    </row>
    <row r="1117" spans="1:14" ht="15.75" customHeight="1" x14ac:dyDescent="0.45">
      <c r="A1117" s="1" t="s">
        <v>120</v>
      </c>
      <c r="B1117" s="1">
        <v>1197831</v>
      </c>
      <c r="C1117" s="2">
        <v>44713</v>
      </c>
      <c r="D1117" s="1" t="s">
        <v>19</v>
      </c>
      <c r="E1117" s="1" t="s">
        <v>49</v>
      </c>
      <c r="F1117" s="1" t="s">
        <v>50</v>
      </c>
      <c r="G1117" s="1" t="s">
        <v>18</v>
      </c>
      <c r="H1117" s="1">
        <v>16</v>
      </c>
      <c r="I1117" s="1" t="s">
        <v>126</v>
      </c>
      <c r="J1117" s="3">
        <v>0.55000000000000004</v>
      </c>
      <c r="K1117" s="4">
        <v>8750</v>
      </c>
      <c r="L1117" s="5">
        <f t="shared" si="8"/>
        <v>4812.5</v>
      </c>
      <c r="M1117" s="5">
        <f t="shared" si="9"/>
        <v>2887.5000000000005</v>
      </c>
      <c r="N1117" s="6">
        <v>0.60000000000000009</v>
      </c>
    </row>
    <row r="1118" spans="1:14" ht="15.75" customHeight="1" x14ac:dyDescent="0.45">
      <c r="A1118" s="1" t="s">
        <v>120</v>
      </c>
      <c r="B1118" s="1">
        <v>1197831</v>
      </c>
      <c r="C1118" s="2">
        <v>44745</v>
      </c>
      <c r="D1118" s="1" t="s">
        <v>19</v>
      </c>
      <c r="E1118" s="1" t="s">
        <v>49</v>
      </c>
      <c r="F1118" s="1" t="s">
        <v>50</v>
      </c>
      <c r="G1118" s="1" t="s">
        <v>13</v>
      </c>
      <c r="H1118" s="1">
        <v>41</v>
      </c>
      <c r="I1118" s="1" t="s">
        <v>124</v>
      </c>
      <c r="J1118" s="3">
        <v>0.45</v>
      </c>
      <c r="K1118" s="4">
        <v>8250</v>
      </c>
      <c r="L1118" s="5">
        <f t="shared" si="8"/>
        <v>3712.5</v>
      </c>
      <c r="M1118" s="5">
        <f t="shared" si="9"/>
        <v>1856.2499999999998</v>
      </c>
      <c r="N1118" s="6">
        <v>0.49999999999999994</v>
      </c>
    </row>
    <row r="1119" spans="1:14" ht="15.75" customHeight="1" x14ac:dyDescent="0.45">
      <c r="A1119" s="1" t="s">
        <v>120</v>
      </c>
      <c r="B1119" s="1">
        <v>1197831</v>
      </c>
      <c r="C1119" s="2">
        <v>44745</v>
      </c>
      <c r="D1119" s="1" t="s">
        <v>19</v>
      </c>
      <c r="E1119" s="1" t="s">
        <v>49</v>
      </c>
      <c r="F1119" s="1" t="s">
        <v>50</v>
      </c>
      <c r="G1119" s="1" t="s">
        <v>14</v>
      </c>
      <c r="H1119" s="1">
        <v>29</v>
      </c>
      <c r="I1119" s="1" t="s">
        <v>125</v>
      </c>
      <c r="J1119" s="3">
        <v>0.5</v>
      </c>
      <c r="K1119" s="4">
        <v>8250</v>
      </c>
      <c r="L1119" s="5">
        <f t="shared" si="8"/>
        <v>4125</v>
      </c>
      <c r="M1119" s="5">
        <f t="shared" si="9"/>
        <v>2062.4999999999995</v>
      </c>
      <c r="N1119" s="6">
        <v>0.49999999999999994</v>
      </c>
    </row>
    <row r="1120" spans="1:14" ht="15.75" customHeight="1" x14ac:dyDescent="0.45">
      <c r="A1120" s="1" t="s">
        <v>120</v>
      </c>
      <c r="B1120" s="1">
        <v>1197831</v>
      </c>
      <c r="C1120" s="2">
        <v>44745</v>
      </c>
      <c r="D1120" s="1" t="s">
        <v>19</v>
      </c>
      <c r="E1120" s="1" t="s">
        <v>49</v>
      </c>
      <c r="F1120" s="1" t="s">
        <v>50</v>
      </c>
      <c r="G1120" s="1" t="s">
        <v>15</v>
      </c>
      <c r="H1120" s="1">
        <v>38</v>
      </c>
      <c r="I1120" s="1" t="s">
        <v>124</v>
      </c>
      <c r="J1120" s="3">
        <v>0.45</v>
      </c>
      <c r="K1120" s="4">
        <v>9750</v>
      </c>
      <c r="L1120" s="5">
        <f t="shared" si="8"/>
        <v>4387.5</v>
      </c>
      <c r="M1120" s="5">
        <f t="shared" si="9"/>
        <v>2193.7499999999995</v>
      </c>
      <c r="N1120" s="6">
        <v>0.49999999999999994</v>
      </c>
    </row>
    <row r="1121" spans="1:14" ht="15.75" customHeight="1" x14ac:dyDescent="0.45">
      <c r="A1121" s="1" t="s">
        <v>120</v>
      </c>
      <c r="B1121" s="1">
        <v>1197831</v>
      </c>
      <c r="C1121" s="2">
        <v>44745</v>
      </c>
      <c r="D1121" s="1" t="s">
        <v>19</v>
      </c>
      <c r="E1121" s="1" t="s">
        <v>49</v>
      </c>
      <c r="F1121" s="1" t="s">
        <v>50</v>
      </c>
      <c r="G1121" s="1" t="s">
        <v>16</v>
      </c>
      <c r="H1121" s="1">
        <v>54</v>
      </c>
      <c r="I1121" s="1" t="s">
        <v>125</v>
      </c>
      <c r="J1121" s="3">
        <v>0.45</v>
      </c>
      <c r="K1121" s="4">
        <v>5750</v>
      </c>
      <c r="L1121" s="5">
        <f t="shared" si="8"/>
        <v>2587.5</v>
      </c>
      <c r="M1121" s="5">
        <f t="shared" si="9"/>
        <v>1552.5000000000002</v>
      </c>
      <c r="N1121" s="6">
        <v>0.60000000000000009</v>
      </c>
    </row>
    <row r="1122" spans="1:14" ht="15.75" customHeight="1" x14ac:dyDescent="0.45">
      <c r="A1122" s="1" t="s">
        <v>120</v>
      </c>
      <c r="B1122" s="1">
        <v>1197831</v>
      </c>
      <c r="C1122" s="2">
        <v>44745</v>
      </c>
      <c r="D1122" s="1" t="s">
        <v>19</v>
      </c>
      <c r="E1122" s="1" t="s">
        <v>49</v>
      </c>
      <c r="F1122" s="1" t="s">
        <v>50</v>
      </c>
      <c r="G1122" s="1" t="s">
        <v>17</v>
      </c>
      <c r="H1122" s="1">
        <v>17</v>
      </c>
      <c r="I1122" s="1" t="s">
        <v>123</v>
      </c>
      <c r="J1122" s="3">
        <v>0.5</v>
      </c>
      <c r="K1122" s="4">
        <v>5250</v>
      </c>
      <c r="L1122" s="5">
        <f t="shared" si="8"/>
        <v>2625</v>
      </c>
      <c r="M1122" s="5">
        <f t="shared" si="9"/>
        <v>1181.2499999999998</v>
      </c>
      <c r="N1122" s="6">
        <v>0.44999999999999996</v>
      </c>
    </row>
    <row r="1123" spans="1:14" ht="15.75" customHeight="1" x14ac:dyDescent="0.45">
      <c r="A1123" s="1" t="s">
        <v>120</v>
      </c>
      <c r="B1123" s="1">
        <v>1197831</v>
      </c>
      <c r="C1123" s="2">
        <v>44745</v>
      </c>
      <c r="D1123" s="1" t="s">
        <v>19</v>
      </c>
      <c r="E1123" s="1" t="s">
        <v>49</v>
      </c>
      <c r="F1123" s="1" t="s">
        <v>50</v>
      </c>
      <c r="G1123" s="1" t="s">
        <v>18</v>
      </c>
      <c r="H1123" s="1">
        <v>18</v>
      </c>
      <c r="I1123" s="1" t="s">
        <v>126</v>
      </c>
      <c r="J1123" s="3">
        <v>0.6</v>
      </c>
      <c r="K1123" s="4">
        <v>8000</v>
      </c>
      <c r="L1123" s="5">
        <f t="shared" si="8"/>
        <v>4800</v>
      </c>
      <c r="M1123" s="5">
        <f t="shared" si="9"/>
        <v>3120.0000000000005</v>
      </c>
      <c r="N1123" s="6">
        <v>0.65000000000000013</v>
      </c>
    </row>
    <row r="1124" spans="1:14" ht="15.75" customHeight="1" x14ac:dyDescent="0.45">
      <c r="A1124" s="1" t="s">
        <v>120</v>
      </c>
      <c r="B1124" s="1">
        <v>1197831</v>
      </c>
      <c r="C1124" s="2">
        <v>44778</v>
      </c>
      <c r="D1124" s="1" t="s">
        <v>19</v>
      </c>
      <c r="E1124" s="1" t="s">
        <v>49</v>
      </c>
      <c r="F1124" s="1" t="s">
        <v>50</v>
      </c>
      <c r="G1124" s="1" t="s">
        <v>13</v>
      </c>
      <c r="H1124" s="1">
        <v>47</v>
      </c>
      <c r="I1124" s="1" t="s">
        <v>123</v>
      </c>
      <c r="J1124" s="3">
        <v>0.4</v>
      </c>
      <c r="K1124" s="4">
        <v>7500</v>
      </c>
      <c r="L1124" s="5">
        <f t="shared" si="8"/>
        <v>3000</v>
      </c>
      <c r="M1124" s="5">
        <f t="shared" si="9"/>
        <v>1499.9999999999998</v>
      </c>
      <c r="N1124" s="6">
        <v>0.49999999999999994</v>
      </c>
    </row>
    <row r="1125" spans="1:14" ht="15.75" customHeight="1" x14ac:dyDescent="0.45">
      <c r="A1125" s="1" t="s">
        <v>120</v>
      </c>
      <c r="B1125" s="1">
        <v>1197831</v>
      </c>
      <c r="C1125" s="2">
        <v>44778</v>
      </c>
      <c r="D1125" s="1" t="s">
        <v>19</v>
      </c>
      <c r="E1125" s="1" t="s">
        <v>49</v>
      </c>
      <c r="F1125" s="1" t="s">
        <v>50</v>
      </c>
      <c r="G1125" s="1" t="s">
        <v>14</v>
      </c>
      <c r="H1125" s="1">
        <v>24</v>
      </c>
      <c r="I1125" s="1" t="s">
        <v>123</v>
      </c>
      <c r="J1125" s="3">
        <v>0.55000000000000004</v>
      </c>
      <c r="K1125" s="4">
        <v>7500</v>
      </c>
      <c r="L1125" s="5">
        <f t="shared" si="8"/>
        <v>4125</v>
      </c>
      <c r="M1125" s="5">
        <f t="shared" si="9"/>
        <v>2062.4999999999995</v>
      </c>
      <c r="N1125" s="6">
        <v>0.49999999999999994</v>
      </c>
    </row>
    <row r="1126" spans="1:14" ht="15.75" customHeight="1" x14ac:dyDescent="0.45">
      <c r="A1126" s="1" t="s">
        <v>120</v>
      </c>
      <c r="B1126" s="1">
        <v>1197831</v>
      </c>
      <c r="C1126" s="2">
        <v>44778</v>
      </c>
      <c r="D1126" s="1" t="s">
        <v>19</v>
      </c>
      <c r="E1126" s="1" t="s">
        <v>49</v>
      </c>
      <c r="F1126" s="1" t="s">
        <v>50</v>
      </c>
      <c r="G1126" s="1" t="s">
        <v>15</v>
      </c>
      <c r="H1126" s="1">
        <v>48</v>
      </c>
      <c r="I1126" s="1" t="s">
        <v>124</v>
      </c>
      <c r="J1126" s="3">
        <v>0.55000000000000004</v>
      </c>
      <c r="K1126" s="4">
        <v>9250</v>
      </c>
      <c r="L1126" s="5">
        <f t="shared" si="8"/>
        <v>5087.5</v>
      </c>
      <c r="M1126" s="5">
        <f t="shared" si="9"/>
        <v>2543.7499999999995</v>
      </c>
      <c r="N1126" s="6">
        <v>0.49999999999999994</v>
      </c>
    </row>
    <row r="1127" spans="1:14" ht="15.75" customHeight="1" x14ac:dyDescent="0.45">
      <c r="A1127" s="1" t="s">
        <v>120</v>
      </c>
      <c r="B1127" s="1">
        <v>1197831</v>
      </c>
      <c r="C1127" s="2">
        <v>44778</v>
      </c>
      <c r="D1127" s="1" t="s">
        <v>19</v>
      </c>
      <c r="E1127" s="1" t="s">
        <v>49</v>
      </c>
      <c r="F1127" s="1" t="s">
        <v>50</v>
      </c>
      <c r="G1127" s="1" t="s">
        <v>16</v>
      </c>
      <c r="H1127" s="1">
        <v>35</v>
      </c>
      <c r="I1127" s="1" t="s">
        <v>124</v>
      </c>
      <c r="J1127" s="3">
        <v>0.5</v>
      </c>
      <c r="K1127" s="4">
        <v>4250</v>
      </c>
      <c r="L1127" s="5">
        <f t="shared" si="8"/>
        <v>2125</v>
      </c>
      <c r="M1127" s="5">
        <f t="shared" si="9"/>
        <v>1275.0000000000002</v>
      </c>
      <c r="N1127" s="6">
        <v>0.60000000000000009</v>
      </c>
    </row>
    <row r="1128" spans="1:14" ht="15.75" customHeight="1" x14ac:dyDescent="0.45">
      <c r="A1128" s="1" t="s">
        <v>120</v>
      </c>
      <c r="B1128" s="1">
        <v>1197831</v>
      </c>
      <c r="C1128" s="2">
        <v>44778</v>
      </c>
      <c r="D1128" s="1" t="s">
        <v>19</v>
      </c>
      <c r="E1128" s="1" t="s">
        <v>49</v>
      </c>
      <c r="F1128" s="1" t="s">
        <v>50</v>
      </c>
      <c r="G1128" s="1" t="s">
        <v>17</v>
      </c>
      <c r="H1128" s="1">
        <v>32</v>
      </c>
      <c r="I1128" s="1" t="s">
        <v>124</v>
      </c>
      <c r="J1128" s="3">
        <v>0.55000000000000004</v>
      </c>
      <c r="K1128" s="4">
        <v>4250</v>
      </c>
      <c r="L1128" s="5">
        <f t="shared" si="8"/>
        <v>2337.5</v>
      </c>
      <c r="M1128" s="5">
        <f t="shared" si="9"/>
        <v>1051.875</v>
      </c>
      <c r="N1128" s="6">
        <v>0.44999999999999996</v>
      </c>
    </row>
    <row r="1129" spans="1:14" ht="15.75" customHeight="1" x14ac:dyDescent="0.45">
      <c r="A1129" s="1" t="s">
        <v>120</v>
      </c>
      <c r="B1129" s="1">
        <v>1197831</v>
      </c>
      <c r="C1129" s="2">
        <v>44778</v>
      </c>
      <c r="D1129" s="1" t="s">
        <v>19</v>
      </c>
      <c r="E1129" s="1" t="s">
        <v>49</v>
      </c>
      <c r="F1129" s="1" t="s">
        <v>50</v>
      </c>
      <c r="G1129" s="1" t="s">
        <v>18</v>
      </c>
      <c r="H1129" s="1">
        <v>50</v>
      </c>
      <c r="I1129" s="1" t="s">
        <v>124</v>
      </c>
      <c r="J1129" s="3">
        <v>0.6</v>
      </c>
      <c r="K1129" s="4">
        <v>6750</v>
      </c>
      <c r="L1129" s="5">
        <f t="shared" si="8"/>
        <v>4050</v>
      </c>
      <c r="M1129" s="5">
        <f t="shared" si="9"/>
        <v>2632.5000000000005</v>
      </c>
      <c r="N1129" s="6">
        <v>0.65000000000000013</v>
      </c>
    </row>
    <row r="1130" spans="1:14" ht="15.75" customHeight="1" x14ac:dyDescent="0.45">
      <c r="A1130" s="1" t="s">
        <v>120</v>
      </c>
      <c r="B1130" s="1">
        <v>1197831</v>
      </c>
      <c r="C1130" s="2">
        <v>44806</v>
      </c>
      <c r="D1130" s="1" t="s">
        <v>19</v>
      </c>
      <c r="E1130" s="1" t="s">
        <v>49</v>
      </c>
      <c r="F1130" s="1" t="s">
        <v>50</v>
      </c>
      <c r="G1130" s="1" t="s">
        <v>13</v>
      </c>
      <c r="H1130" s="1">
        <v>53</v>
      </c>
      <c r="I1130" s="1" t="s">
        <v>123</v>
      </c>
      <c r="J1130" s="3">
        <v>0.55000000000000004</v>
      </c>
      <c r="K1130" s="4">
        <v>6250</v>
      </c>
      <c r="L1130" s="5">
        <f t="shared" si="8"/>
        <v>3437.5000000000005</v>
      </c>
      <c r="M1130" s="5">
        <f t="shared" si="9"/>
        <v>1718.75</v>
      </c>
      <c r="N1130" s="6">
        <v>0.49999999999999994</v>
      </c>
    </row>
    <row r="1131" spans="1:14" ht="15.75" customHeight="1" x14ac:dyDescent="0.45">
      <c r="A1131" s="1" t="s">
        <v>120</v>
      </c>
      <c r="B1131" s="1">
        <v>1197831</v>
      </c>
      <c r="C1131" s="2">
        <v>44806</v>
      </c>
      <c r="D1131" s="1" t="s">
        <v>19</v>
      </c>
      <c r="E1131" s="1" t="s">
        <v>49</v>
      </c>
      <c r="F1131" s="1" t="s">
        <v>50</v>
      </c>
      <c r="G1131" s="1" t="s">
        <v>14</v>
      </c>
      <c r="H1131" s="1">
        <v>39</v>
      </c>
      <c r="I1131" s="1" t="s">
        <v>125</v>
      </c>
      <c r="J1131" s="3">
        <v>0.55000000000000004</v>
      </c>
      <c r="K1131" s="4">
        <v>5750</v>
      </c>
      <c r="L1131" s="5">
        <f t="shared" si="8"/>
        <v>3162.5000000000005</v>
      </c>
      <c r="M1131" s="5">
        <f t="shared" si="9"/>
        <v>1581.25</v>
      </c>
      <c r="N1131" s="6">
        <v>0.49999999999999994</v>
      </c>
    </row>
    <row r="1132" spans="1:14" ht="15.75" customHeight="1" x14ac:dyDescent="0.45">
      <c r="A1132" s="1" t="s">
        <v>120</v>
      </c>
      <c r="B1132" s="1">
        <v>1197831</v>
      </c>
      <c r="C1132" s="2">
        <v>44806</v>
      </c>
      <c r="D1132" s="1" t="s">
        <v>19</v>
      </c>
      <c r="E1132" s="1" t="s">
        <v>49</v>
      </c>
      <c r="F1132" s="1" t="s">
        <v>50</v>
      </c>
      <c r="G1132" s="1" t="s">
        <v>15</v>
      </c>
      <c r="H1132" s="1">
        <v>46</v>
      </c>
      <c r="I1132" s="1" t="s">
        <v>125</v>
      </c>
      <c r="J1132" s="3">
        <v>0.6</v>
      </c>
      <c r="K1132" s="4">
        <v>6250</v>
      </c>
      <c r="L1132" s="5">
        <f t="shared" si="8"/>
        <v>3750</v>
      </c>
      <c r="M1132" s="5">
        <f t="shared" si="9"/>
        <v>1874.9999999999998</v>
      </c>
      <c r="N1132" s="6">
        <v>0.49999999999999994</v>
      </c>
    </row>
    <row r="1133" spans="1:14" ht="15.75" customHeight="1" x14ac:dyDescent="0.45">
      <c r="A1133" s="1" t="s">
        <v>120</v>
      </c>
      <c r="B1133" s="1">
        <v>1197831</v>
      </c>
      <c r="C1133" s="2">
        <v>44806</v>
      </c>
      <c r="D1133" s="1" t="s">
        <v>19</v>
      </c>
      <c r="E1133" s="1" t="s">
        <v>49</v>
      </c>
      <c r="F1133" s="1" t="s">
        <v>50</v>
      </c>
      <c r="G1133" s="1" t="s">
        <v>16</v>
      </c>
      <c r="H1133" s="1">
        <v>58</v>
      </c>
      <c r="I1133" s="1" t="s">
        <v>123</v>
      </c>
      <c r="J1133" s="3">
        <v>0.6</v>
      </c>
      <c r="K1133" s="4">
        <v>3500</v>
      </c>
      <c r="L1133" s="5">
        <f t="shared" si="8"/>
        <v>2100</v>
      </c>
      <c r="M1133" s="5">
        <f t="shared" si="9"/>
        <v>1260.0000000000002</v>
      </c>
      <c r="N1133" s="6">
        <v>0.60000000000000009</v>
      </c>
    </row>
    <row r="1134" spans="1:14" ht="15.75" customHeight="1" x14ac:dyDescent="0.45">
      <c r="A1134" s="1" t="s">
        <v>120</v>
      </c>
      <c r="B1134" s="1">
        <v>1197831</v>
      </c>
      <c r="C1134" s="2">
        <v>44806</v>
      </c>
      <c r="D1134" s="1" t="s">
        <v>19</v>
      </c>
      <c r="E1134" s="1" t="s">
        <v>49</v>
      </c>
      <c r="F1134" s="1" t="s">
        <v>50</v>
      </c>
      <c r="G1134" s="1" t="s">
        <v>17</v>
      </c>
      <c r="H1134" s="1">
        <v>38</v>
      </c>
      <c r="I1134" s="1" t="s">
        <v>126</v>
      </c>
      <c r="J1134" s="3">
        <v>0.45</v>
      </c>
      <c r="K1134" s="4">
        <v>3500</v>
      </c>
      <c r="L1134" s="5">
        <f t="shared" si="8"/>
        <v>1575</v>
      </c>
      <c r="M1134" s="5">
        <f t="shared" si="9"/>
        <v>708.74999999999989</v>
      </c>
      <c r="N1134" s="6">
        <v>0.44999999999999996</v>
      </c>
    </row>
    <row r="1135" spans="1:14" ht="15.75" customHeight="1" x14ac:dyDescent="0.45">
      <c r="A1135" s="1" t="s">
        <v>120</v>
      </c>
      <c r="B1135" s="1">
        <v>1197831</v>
      </c>
      <c r="C1135" s="2">
        <v>44806</v>
      </c>
      <c r="D1135" s="1" t="s">
        <v>19</v>
      </c>
      <c r="E1135" s="1" t="s">
        <v>49</v>
      </c>
      <c r="F1135" s="1" t="s">
        <v>50</v>
      </c>
      <c r="G1135" s="1" t="s">
        <v>18</v>
      </c>
      <c r="H1135" s="1">
        <v>21</v>
      </c>
      <c r="I1135" s="1" t="s">
        <v>126</v>
      </c>
      <c r="J1135" s="3">
        <v>0.4</v>
      </c>
      <c r="K1135" s="4">
        <v>5750</v>
      </c>
      <c r="L1135" s="5">
        <f t="shared" si="8"/>
        <v>2300</v>
      </c>
      <c r="M1135" s="5">
        <f t="shared" si="9"/>
        <v>1495.0000000000002</v>
      </c>
      <c r="N1135" s="6">
        <v>0.65000000000000013</v>
      </c>
    </row>
    <row r="1136" spans="1:14" ht="15.75" customHeight="1" x14ac:dyDescent="0.45">
      <c r="A1136" s="1" t="s">
        <v>120</v>
      </c>
      <c r="B1136" s="1">
        <v>1197831</v>
      </c>
      <c r="C1136" s="2">
        <v>44835</v>
      </c>
      <c r="D1136" s="1" t="s">
        <v>19</v>
      </c>
      <c r="E1136" s="1" t="s">
        <v>49</v>
      </c>
      <c r="F1136" s="1" t="s">
        <v>50</v>
      </c>
      <c r="G1136" s="1" t="s">
        <v>13</v>
      </c>
      <c r="H1136" s="1">
        <v>50</v>
      </c>
      <c r="I1136" s="1" t="s">
        <v>124</v>
      </c>
      <c r="J1136" s="3">
        <v>0.30000000000000004</v>
      </c>
      <c r="K1136" s="4">
        <v>5250</v>
      </c>
      <c r="L1136" s="5">
        <f t="shared" si="8"/>
        <v>1575.0000000000002</v>
      </c>
      <c r="M1136" s="5">
        <f t="shared" si="9"/>
        <v>787.5</v>
      </c>
      <c r="N1136" s="6">
        <v>0.49999999999999994</v>
      </c>
    </row>
    <row r="1137" spans="1:14" ht="15.75" customHeight="1" x14ac:dyDescent="0.45">
      <c r="A1137" s="1" t="s">
        <v>120</v>
      </c>
      <c r="B1137" s="1">
        <v>1197831</v>
      </c>
      <c r="C1137" s="2">
        <v>44835</v>
      </c>
      <c r="D1137" s="1" t="s">
        <v>19</v>
      </c>
      <c r="E1137" s="1" t="s">
        <v>49</v>
      </c>
      <c r="F1137" s="1" t="s">
        <v>50</v>
      </c>
      <c r="G1137" s="1" t="s">
        <v>14</v>
      </c>
      <c r="H1137" s="1">
        <v>18</v>
      </c>
      <c r="I1137" s="1" t="s">
        <v>124</v>
      </c>
      <c r="J1137" s="3">
        <v>0.30000000000000004</v>
      </c>
      <c r="K1137" s="4">
        <v>5250</v>
      </c>
      <c r="L1137" s="5">
        <f t="shared" si="8"/>
        <v>1575.0000000000002</v>
      </c>
      <c r="M1137" s="5">
        <f t="shared" si="9"/>
        <v>787.5</v>
      </c>
      <c r="N1137" s="6">
        <v>0.49999999999999994</v>
      </c>
    </row>
    <row r="1138" spans="1:14" ht="15.75" customHeight="1" x14ac:dyDescent="0.45">
      <c r="A1138" s="1" t="s">
        <v>120</v>
      </c>
      <c r="B1138" s="1">
        <v>1197831</v>
      </c>
      <c r="C1138" s="2">
        <v>44835</v>
      </c>
      <c r="D1138" s="1" t="s">
        <v>19</v>
      </c>
      <c r="E1138" s="1" t="s">
        <v>49</v>
      </c>
      <c r="F1138" s="1" t="s">
        <v>50</v>
      </c>
      <c r="G1138" s="1" t="s">
        <v>15</v>
      </c>
      <c r="H1138" s="1">
        <v>59</v>
      </c>
      <c r="I1138" s="1" t="s">
        <v>126</v>
      </c>
      <c r="J1138" s="3">
        <v>0.35000000000000003</v>
      </c>
      <c r="K1138" s="4">
        <v>4750</v>
      </c>
      <c r="L1138" s="5">
        <f t="shared" si="8"/>
        <v>1662.5000000000002</v>
      </c>
      <c r="M1138" s="5">
        <f t="shared" si="9"/>
        <v>831.25</v>
      </c>
      <c r="N1138" s="6">
        <v>0.49999999999999994</v>
      </c>
    </row>
    <row r="1139" spans="1:14" ht="15.75" customHeight="1" x14ac:dyDescent="0.45">
      <c r="A1139" s="1" t="s">
        <v>120</v>
      </c>
      <c r="B1139" s="1">
        <v>1197831</v>
      </c>
      <c r="C1139" s="2">
        <v>44835</v>
      </c>
      <c r="D1139" s="1" t="s">
        <v>19</v>
      </c>
      <c r="E1139" s="1" t="s">
        <v>49</v>
      </c>
      <c r="F1139" s="1" t="s">
        <v>50</v>
      </c>
      <c r="G1139" s="1" t="s">
        <v>16</v>
      </c>
      <c r="H1139" s="1">
        <v>45</v>
      </c>
      <c r="I1139" s="1" t="s">
        <v>124</v>
      </c>
      <c r="J1139" s="3">
        <v>0.35000000000000003</v>
      </c>
      <c r="K1139" s="4">
        <v>3250</v>
      </c>
      <c r="L1139" s="5">
        <f t="shared" si="8"/>
        <v>1137.5</v>
      </c>
      <c r="M1139" s="5">
        <f t="shared" si="9"/>
        <v>682.50000000000011</v>
      </c>
      <c r="N1139" s="6">
        <v>0.60000000000000009</v>
      </c>
    </row>
    <row r="1140" spans="1:14" ht="15.75" customHeight="1" x14ac:dyDescent="0.45">
      <c r="A1140" s="1" t="s">
        <v>120</v>
      </c>
      <c r="B1140" s="1">
        <v>1197831</v>
      </c>
      <c r="C1140" s="2">
        <v>44835</v>
      </c>
      <c r="D1140" s="1" t="s">
        <v>19</v>
      </c>
      <c r="E1140" s="1" t="s">
        <v>49</v>
      </c>
      <c r="F1140" s="1" t="s">
        <v>50</v>
      </c>
      <c r="G1140" s="1" t="s">
        <v>17</v>
      </c>
      <c r="H1140" s="1">
        <v>50</v>
      </c>
      <c r="I1140" s="1" t="s">
        <v>123</v>
      </c>
      <c r="J1140" s="3">
        <v>0.30000000000000004</v>
      </c>
      <c r="K1140" s="4">
        <v>3000</v>
      </c>
      <c r="L1140" s="5">
        <f t="shared" si="8"/>
        <v>900.00000000000011</v>
      </c>
      <c r="M1140" s="5">
        <f t="shared" si="9"/>
        <v>405</v>
      </c>
      <c r="N1140" s="6">
        <v>0.44999999999999996</v>
      </c>
    </row>
    <row r="1141" spans="1:14" ht="15.75" customHeight="1" x14ac:dyDescent="0.45">
      <c r="A1141" s="1" t="s">
        <v>120</v>
      </c>
      <c r="B1141" s="1">
        <v>1197831</v>
      </c>
      <c r="C1141" s="2">
        <v>44835</v>
      </c>
      <c r="D1141" s="1" t="s">
        <v>19</v>
      </c>
      <c r="E1141" s="1" t="s">
        <v>49</v>
      </c>
      <c r="F1141" s="1" t="s">
        <v>50</v>
      </c>
      <c r="G1141" s="1" t="s">
        <v>18</v>
      </c>
      <c r="H1141" s="1">
        <v>29</v>
      </c>
      <c r="I1141" s="1" t="s">
        <v>123</v>
      </c>
      <c r="J1141" s="3">
        <v>0.4</v>
      </c>
      <c r="K1141" s="4">
        <v>4750</v>
      </c>
      <c r="L1141" s="5">
        <f t="shared" si="8"/>
        <v>1900</v>
      </c>
      <c r="M1141" s="5">
        <f t="shared" si="9"/>
        <v>1235.0000000000002</v>
      </c>
      <c r="N1141" s="6">
        <v>0.65000000000000013</v>
      </c>
    </row>
    <row r="1142" spans="1:14" ht="15.75" customHeight="1" x14ac:dyDescent="0.45">
      <c r="A1142" s="1" t="s">
        <v>120</v>
      </c>
      <c r="B1142" s="1">
        <v>1197831</v>
      </c>
      <c r="C1142" s="2">
        <v>44867</v>
      </c>
      <c r="D1142" s="1" t="s">
        <v>19</v>
      </c>
      <c r="E1142" s="1" t="s">
        <v>49</v>
      </c>
      <c r="F1142" s="1" t="s">
        <v>50</v>
      </c>
      <c r="G1142" s="1" t="s">
        <v>13</v>
      </c>
      <c r="H1142" s="1">
        <v>54</v>
      </c>
      <c r="I1142" s="1" t="s">
        <v>125</v>
      </c>
      <c r="J1142" s="3">
        <v>0.20000000000000004</v>
      </c>
      <c r="K1142" s="4">
        <v>6250</v>
      </c>
      <c r="L1142" s="5">
        <f t="shared" si="8"/>
        <v>1250.0000000000002</v>
      </c>
      <c r="M1142" s="5">
        <f t="shared" si="9"/>
        <v>625</v>
      </c>
      <c r="N1142" s="6">
        <v>0.49999999999999994</v>
      </c>
    </row>
    <row r="1143" spans="1:14" ht="15.75" customHeight="1" x14ac:dyDescent="0.45">
      <c r="A1143" s="1" t="s">
        <v>120</v>
      </c>
      <c r="B1143" s="1">
        <v>1197831</v>
      </c>
      <c r="C1143" s="2">
        <v>44867</v>
      </c>
      <c r="D1143" s="1" t="s">
        <v>19</v>
      </c>
      <c r="E1143" s="1" t="s">
        <v>49</v>
      </c>
      <c r="F1143" s="1" t="s">
        <v>50</v>
      </c>
      <c r="G1143" s="1" t="s">
        <v>14</v>
      </c>
      <c r="H1143" s="1">
        <v>30</v>
      </c>
      <c r="I1143" s="1" t="s">
        <v>126</v>
      </c>
      <c r="J1143" s="3">
        <v>0.20000000000000004</v>
      </c>
      <c r="K1143" s="4">
        <v>6250</v>
      </c>
      <c r="L1143" s="5">
        <f t="shared" si="8"/>
        <v>1250.0000000000002</v>
      </c>
      <c r="M1143" s="5">
        <f t="shared" si="9"/>
        <v>625</v>
      </c>
      <c r="N1143" s="6">
        <v>0.49999999999999994</v>
      </c>
    </row>
    <row r="1144" spans="1:14" ht="15.75" customHeight="1" x14ac:dyDescent="0.45">
      <c r="A1144" s="1" t="s">
        <v>120</v>
      </c>
      <c r="B1144" s="1">
        <v>1197831</v>
      </c>
      <c r="C1144" s="2">
        <v>44867</v>
      </c>
      <c r="D1144" s="1" t="s">
        <v>19</v>
      </c>
      <c r="E1144" s="1" t="s">
        <v>49</v>
      </c>
      <c r="F1144" s="1" t="s">
        <v>50</v>
      </c>
      <c r="G1144" s="1" t="s">
        <v>15</v>
      </c>
      <c r="H1144" s="1">
        <v>29</v>
      </c>
      <c r="I1144" s="1" t="s">
        <v>126</v>
      </c>
      <c r="J1144" s="3">
        <v>0.45000000000000007</v>
      </c>
      <c r="K1144" s="4">
        <v>5750</v>
      </c>
      <c r="L1144" s="5">
        <f t="shared" si="8"/>
        <v>2587.5000000000005</v>
      </c>
      <c r="M1144" s="5">
        <f t="shared" si="9"/>
        <v>1293.75</v>
      </c>
      <c r="N1144" s="6">
        <v>0.49999999999999994</v>
      </c>
    </row>
    <row r="1145" spans="1:14" ht="15.75" customHeight="1" x14ac:dyDescent="0.45">
      <c r="A1145" s="1" t="s">
        <v>120</v>
      </c>
      <c r="B1145" s="1">
        <v>1197831</v>
      </c>
      <c r="C1145" s="2">
        <v>44867</v>
      </c>
      <c r="D1145" s="1" t="s">
        <v>19</v>
      </c>
      <c r="E1145" s="1" t="s">
        <v>49</v>
      </c>
      <c r="F1145" s="1" t="s">
        <v>50</v>
      </c>
      <c r="G1145" s="1" t="s">
        <v>16</v>
      </c>
      <c r="H1145" s="1">
        <v>49</v>
      </c>
      <c r="I1145" s="1" t="s">
        <v>124</v>
      </c>
      <c r="J1145" s="3">
        <v>0.45000000000000007</v>
      </c>
      <c r="K1145" s="4">
        <v>4500</v>
      </c>
      <c r="L1145" s="5">
        <f t="shared" si="8"/>
        <v>2025.0000000000002</v>
      </c>
      <c r="M1145" s="5">
        <f t="shared" si="9"/>
        <v>1215.0000000000002</v>
      </c>
      <c r="N1145" s="6">
        <v>0.60000000000000009</v>
      </c>
    </row>
    <row r="1146" spans="1:14" ht="15.75" customHeight="1" x14ac:dyDescent="0.45">
      <c r="A1146" s="1" t="s">
        <v>120</v>
      </c>
      <c r="B1146" s="1">
        <v>1197831</v>
      </c>
      <c r="C1146" s="2">
        <v>44867</v>
      </c>
      <c r="D1146" s="1" t="s">
        <v>19</v>
      </c>
      <c r="E1146" s="1" t="s">
        <v>49</v>
      </c>
      <c r="F1146" s="1" t="s">
        <v>50</v>
      </c>
      <c r="G1146" s="1" t="s">
        <v>17</v>
      </c>
      <c r="H1146" s="1">
        <v>44</v>
      </c>
      <c r="I1146" s="1" t="s">
        <v>123</v>
      </c>
      <c r="J1146" s="3">
        <v>0.49999999999999994</v>
      </c>
      <c r="K1146" s="4">
        <v>4250</v>
      </c>
      <c r="L1146" s="5">
        <f t="shared" si="8"/>
        <v>2124.9999999999995</v>
      </c>
      <c r="M1146" s="5">
        <f t="shared" si="9"/>
        <v>956.24999999999966</v>
      </c>
      <c r="N1146" s="6">
        <v>0.44999999999999996</v>
      </c>
    </row>
    <row r="1147" spans="1:14" ht="15.75" customHeight="1" x14ac:dyDescent="0.45">
      <c r="A1147" s="1" t="s">
        <v>120</v>
      </c>
      <c r="B1147" s="1">
        <v>1197831</v>
      </c>
      <c r="C1147" s="2">
        <v>44867</v>
      </c>
      <c r="D1147" s="1" t="s">
        <v>19</v>
      </c>
      <c r="E1147" s="1" t="s">
        <v>49</v>
      </c>
      <c r="F1147" s="1" t="s">
        <v>50</v>
      </c>
      <c r="G1147" s="1" t="s">
        <v>18</v>
      </c>
      <c r="H1147" s="1">
        <v>46</v>
      </c>
      <c r="I1147" s="1" t="s">
        <v>126</v>
      </c>
      <c r="J1147" s="3">
        <v>0.6</v>
      </c>
      <c r="K1147" s="4">
        <v>6250</v>
      </c>
      <c r="L1147" s="5">
        <f t="shared" si="8"/>
        <v>3750</v>
      </c>
      <c r="M1147" s="5">
        <f t="shared" si="9"/>
        <v>2437.5000000000005</v>
      </c>
      <c r="N1147" s="6">
        <v>0.65000000000000013</v>
      </c>
    </row>
    <row r="1148" spans="1:14" ht="15.75" customHeight="1" x14ac:dyDescent="0.45">
      <c r="A1148" s="1" t="s">
        <v>120</v>
      </c>
      <c r="B1148" s="1">
        <v>1197831</v>
      </c>
      <c r="C1148" s="2">
        <v>44896</v>
      </c>
      <c r="D1148" s="1" t="s">
        <v>19</v>
      </c>
      <c r="E1148" s="1" t="s">
        <v>49</v>
      </c>
      <c r="F1148" s="1" t="s">
        <v>50</v>
      </c>
      <c r="G1148" s="1" t="s">
        <v>13</v>
      </c>
      <c r="H1148" s="1">
        <v>22</v>
      </c>
      <c r="I1148" s="1" t="s">
        <v>125</v>
      </c>
      <c r="J1148" s="3">
        <v>0.6</v>
      </c>
      <c r="K1148" s="4">
        <v>7750</v>
      </c>
      <c r="L1148" s="5">
        <f t="shared" si="8"/>
        <v>4650</v>
      </c>
      <c r="M1148" s="5">
        <f t="shared" si="9"/>
        <v>2324.9999999999995</v>
      </c>
      <c r="N1148" s="6">
        <v>0.49999999999999994</v>
      </c>
    </row>
    <row r="1149" spans="1:14" ht="15.75" customHeight="1" x14ac:dyDescent="0.45">
      <c r="A1149" s="1" t="s">
        <v>120</v>
      </c>
      <c r="B1149" s="1">
        <v>1197831</v>
      </c>
      <c r="C1149" s="2">
        <v>44896</v>
      </c>
      <c r="D1149" s="1" t="s">
        <v>19</v>
      </c>
      <c r="E1149" s="1" t="s">
        <v>49</v>
      </c>
      <c r="F1149" s="1" t="s">
        <v>50</v>
      </c>
      <c r="G1149" s="1" t="s">
        <v>14</v>
      </c>
      <c r="H1149" s="1">
        <v>36</v>
      </c>
      <c r="I1149" s="1" t="s">
        <v>124</v>
      </c>
      <c r="J1149" s="3">
        <v>0.6</v>
      </c>
      <c r="K1149" s="4">
        <v>7750</v>
      </c>
      <c r="L1149" s="5">
        <f t="shared" si="8"/>
        <v>4650</v>
      </c>
      <c r="M1149" s="5">
        <f t="shared" si="9"/>
        <v>2324.9999999999995</v>
      </c>
      <c r="N1149" s="6">
        <v>0.49999999999999994</v>
      </c>
    </row>
    <row r="1150" spans="1:14" ht="15.75" customHeight="1" x14ac:dyDescent="0.45">
      <c r="A1150" s="1" t="s">
        <v>120</v>
      </c>
      <c r="B1150" s="1">
        <v>1197831</v>
      </c>
      <c r="C1150" s="2">
        <v>44896</v>
      </c>
      <c r="D1150" s="1" t="s">
        <v>19</v>
      </c>
      <c r="E1150" s="1" t="s">
        <v>49</v>
      </c>
      <c r="F1150" s="1" t="s">
        <v>50</v>
      </c>
      <c r="G1150" s="1" t="s">
        <v>15</v>
      </c>
      <c r="H1150" s="1">
        <v>58</v>
      </c>
      <c r="I1150" s="1" t="s">
        <v>124</v>
      </c>
      <c r="J1150" s="3">
        <v>0.65</v>
      </c>
      <c r="K1150" s="4">
        <v>7000</v>
      </c>
      <c r="L1150" s="5">
        <f t="shared" si="8"/>
        <v>4550</v>
      </c>
      <c r="M1150" s="5">
        <f t="shared" si="9"/>
        <v>2274.9999999999995</v>
      </c>
      <c r="N1150" s="6">
        <v>0.49999999999999994</v>
      </c>
    </row>
    <row r="1151" spans="1:14" ht="15.75" customHeight="1" x14ac:dyDescent="0.45">
      <c r="A1151" s="1" t="s">
        <v>120</v>
      </c>
      <c r="B1151" s="1">
        <v>1197831</v>
      </c>
      <c r="C1151" s="2">
        <v>44896</v>
      </c>
      <c r="D1151" s="1" t="s">
        <v>19</v>
      </c>
      <c r="E1151" s="1" t="s">
        <v>49</v>
      </c>
      <c r="F1151" s="1" t="s">
        <v>50</v>
      </c>
      <c r="G1151" s="1" t="s">
        <v>16</v>
      </c>
      <c r="H1151" s="1">
        <v>26</v>
      </c>
      <c r="I1151" s="1" t="s">
        <v>124</v>
      </c>
      <c r="J1151" s="3">
        <v>0.65</v>
      </c>
      <c r="K1151" s="4">
        <v>5500</v>
      </c>
      <c r="L1151" s="5">
        <f t="shared" si="8"/>
        <v>3575</v>
      </c>
      <c r="M1151" s="5">
        <f t="shared" si="9"/>
        <v>2145.0000000000005</v>
      </c>
      <c r="N1151" s="6">
        <v>0.60000000000000009</v>
      </c>
    </row>
    <row r="1152" spans="1:14" ht="15.75" customHeight="1" x14ac:dyDescent="0.45">
      <c r="A1152" s="1" t="s">
        <v>120</v>
      </c>
      <c r="B1152" s="1">
        <v>1197831</v>
      </c>
      <c r="C1152" s="2">
        <v>44896</v>
      </c>
      <c r="D1152" s="1" t="s">
        <v>19</v>
      </c>
      <c r="E1152" s="1" t="s">
        <v>49</v>
      </c>
      <c r="F1152" s="1" t="s">
        <v>50</v>
      </c>
      <c r="G1152" s="1" t="s">
        <v>17</v>
      </c>
      <c r="H1152" s="1">
        <v>18</v>
      </c>
      <c r="I1152" s="1" t="s">
        <v>123</v>
      </c>
      <c r="J1152" s="3">
        <v>0.6</v>
      </c>
      <c r="K1152" s="4">
        <v>5000</v>
      </c>
      <c r="L1152" s="5">
        <f t="shared" si="8"/>
        <v>3000</v>
      </c>
      <c r="M1152" s="5">
        <f t="shared" si="9"/>
        <v>1349.9999999999998</v>
      </c>
      <c r="N1152" s="6">
        <v>0.44999999999999996</v>
      </c>
    </row>
    <row r="1153" spans="1:14" ht="15.75" customHeight="1" x14ac:dyDescent="0.45">
      <c r="A1153" s="1" t="s">
        <v>120</v>
      </c>
      <c r="B1153" s="1">
        <v>1197831</v>
      </c>
      <c r="C1153" s="2">
        <v>44896</v>
      </c>
      <c r="D1153" s="1" t="s">
        <v>19</v>
      </c>
      <c r="E1153" s="1" t="s">
        <v>49</v>
      </c>
      <c r="F1153" s="1" t="s">
        <v>50</v>
      </c>
      <c r="G1153" s="1" t="s">
        <v>18</v>
      </c>
      <c r="H1153" s="1">
        <v>35</v>
      </c>
      <c r="I1153" s="1" t="s">
        <v>123</v>
      </c>
      <c r="J1153" s="3">
        <v>0.70000000000000007</v>
      </c>
      <c r="K1153" s="4">
        <v>7500</v>
      </c>
      <c r="L1153" s="5">
        <f t="shared" si="8"/>
        <v>5250.0000000000009</v>
      </c>
      <c r="M1153" s="5">
        <f t="shared" si="9"/>
        <v>3412.5000000000014</v>
      </c>
      <c r="N1153" s="6">
        <v>0.65000000000000013</v>
      </c>
    </row>
    <row r="1154" spans="1:14" ht="15.75" customHeight="1" x14ac:dyDescent="0.45">
      <c r="A1154" s="1" t="s">
        <v>119</v>
      </c>
      <c r="B1154" s="1">
        <v>1185732</v>
      </c>
      <c r="C1154" s="2">
        <v>44582</v>
      </c>
      <c r="D1154" s="1" t="s">
        <v>11</v>
      </c>
      <c r="E1154" s="1" t="s">
        <v>51</v>
      </c>
      <c r="F1154" s="1" t="s">
        <v>52</v>
      </c>
      <c r="G1154" s="1" t="s">
        <v>13</v>
      </c>
      <c r="H1154" s="1">
        <v>18</v>
      </c>
      <c r="I1154" s="1" t="s">
        <v>124</v>
      </c>
      <c r="J1154" s="3">
        <v>0.4</v>
      </c>
      <c r="K1154" s="4">
        <v>4500</v>
      </c>
      <c r="L1154" s="5">
        <f t="shared" si="8"/>
        <v>1800</v>
      </c>
      <c r="M1154" s="5">
        <f t="shared" si="9"/>
        <v>630</v>
      </c>
      <c r="N1154" s="6">
        <v>0.35</v>
      </c>
    </row>
    <row r="1155" spans="1:14" ht="15.75" customHeight="1" x14ac:dyDescent="0.45">
      <c r="A1155" s="1" t="s">
        <v>119</v>
      </c>
      <c r="B1155" s="1">
        <v>1185732</v>
      </c>
      <c r="C1155" s="2">
        <v>44582</v>
      </c>
      <c r="D1155" s="1" t="s">
        <v>11</v>
      </c>
      <c r="E1155" s="1" t="s">
        <v>51</v>
      </c>
      <c r="F1155" s="1" t="s">
        <v>52</v>
      </c>
      <c r="G1155" s="1" t="s">
        <v>14</v>
      </c>
      <c r="H1155" s="1">
        <v>30</v>
      </c>
      <c r="I1155" s="1" t="s">
        <v>123</v>
      </c>
      <c r="J1155" s="3">
        <v>0.4</v>
      </c>
      <c r="K1155" s="4">
        <v>2500</v>
      </c>
      <c r="L1155" s="5">
        <f t="shared" si="8"/>
        <v>1000</v>
      </c>
      <c r="M1155" s="5">
        <f t="shared" si="9"/>
        <v>350</v>
      </c>
      <c r="N1155" s="6">
        <v>0.35</v>
      </c>
    </row>
    <row r="1156" spans="1:14" ht="15.75" customHeight="1" x14ac:dyDescent="0.45">
      <c r="A1156" s="1" t="s">
        <v>119</v>
      </c>
      <c r="B1156" s="1">
        <v>1185732</v>
      </c>
      <c r="C1156" s="2">
        <v>44582</v>
      </c>
      <c r="D1156" s="1" t="s">
        <v>11</v>
      </c>
      <c r="E1156" s="1" t="s">
        <v>51</v>
      </c>
      <c r="F1156" s="1" t="s">
        <v>52</v>
      </c>
      <c r="G1156" s="1" t="s">
        <v>15</v>
      </c>
      <c r="H1156" s="1">
        <v>15</v>
      </c>
      <c r="I1156" s="1" t="s">
        <v>123</v>
      </c>
      <c r="J1156" s="3">
        <v>0.30000000000000004</v>
      </c>
      <c r="K1156" s="4">
        <v>2500</v>
      </c>
      <c r="L1156" s="5">
        <f t="shared" si="8"/>
        <v>750.00000000000011</v>
      </c>
      <c r="M1156" s="5">
        <f t="shared" si="9"/>
        <v>300</v>
      </c>
      <c r="N1156" s="6">
        <v>0.39999999999999997</v>
      </c>
    </row>
    <row r="1157" spans="1:14" ht="15.75" customHeight="1" x14ac:dyDescent="0.45">
      <c r="A1157" s="1" t="s">
        <v>119</v>
      </c>
      <c r="B1157" s="1">
        <v>1185732</v>
      </c>
      <c r="C1157" s="2">
        <v>44582</v>
      </c>
      <c r="D1157" s="1" t="s">
        <v>11</v>
      </c>
      <c r="E1157" s="1" t="s">
        <v>51</v>
      </c>
      <c r="F1157" s="1" t="s">
        <v>52</v>
      </c>
      <c r="G1157" s="1" t="s">
        <v>16</v>
      </c>
      <c r="H1157" s="1">
        <v>53</v>
      </c>
      <c r="I1157" s="1" t="s">
        <v>123</v>
      </c>
      <c r="J1157" s="3">
        <v>0.35</v>
      </c>
      <c r="K1157" s="4">
        <v>1000</v>
      </c>
      <c r="L1157" s="5">
        <f t="shared" si="8"/>
        <v>350</v>
      </c>
      <c r="M1157" s="5">
        <f t="shared" si="9"/>
        <v>105</v>
      </c>
      <c r="N1157" s="6">
        <v>0.3</v>
      </c>
    </row>
    <row r="1158" spans="1:14" ht="15.75" customHeight="1" x14ac:dyDescent="0.45">
      <c r="A1158" s="1" t="s">
        <v>119</v>
      </c>
      <c r="B1158" s="1">
        <v>1185732</v>
      </c>
      <c r="C1158" s="2">
        <v>44582</v>
      </c>
      <c r="D1158" s="1" t="s">
        <v>11</v>
      </c>
      <c r="E1158" s="1" t="s">
        <v>51</v>
      </c>
      <c r="F1158" s="1" t="s">
        <v>52</v>
      </c>
      <c r="G1158" s="1" t="s">
        <v>17</v>
      </c>
      <c r="H1158" s="1">
        <v>19</v>
      </c>
      <c r="I1158" s="1" t="s">
        <v>126</v>
      </c>
      <c r="J1158" s="3">
        <v>0.5</v>
      </c>
      <c r="K1158" s="4">
        <v>1500</v>
      </c>
      <c r="L1158" s="5">
        <f t="shared" si="8"/>
        <v>750</v>
      </c>
      <c r="M1158" s="5">
        <f t="shared" si="9"/>
        <v>187.5</v>
      </c>
      <c r="N1158" s="6">
        <v>0.25</v>
      </c>
    </row>
    <row r="1159" spans="1:14" ht="15.75" customHeight="1" x14ac:dyDescent="0.45">
      <c r="A1159" s="1" t="s">
        <v>119</v>
      </c>
      <c r="B1159" s="1">
        <v>1185732</v>
      </c>
      <c r="C1159" s="2">
        <v>44582</v>
      </c>
      <c r="D1159" s="1" t="s">
        <v>11</v>
      </c>
      <c r="E1159" s="1" t="s">
        <v>51</v>
      </c>
      <c r="F1159" s="1" t="s">
        <v>52</v>
      </c>
      <c r="G1159" s="1" t="s">
        <v>18</v>
      </c>
      <c r="H1159" s="1">
        <v>29</v>
      </c>
      <c r="I1159" s="1" t="s">
        <v>125</v>
      </c>
      <c r="J1159" s="3">
        <v>0.4</v>
      </c>
      <c r="K1159" s="4">
        <v>2500</v>
      </c>
      <c r="L1159" s="5">
        <f t="shared" si="8"/>
        <v>1000</v>
      </c>
      <c r="M1159" s="5">
        <f t="shared" si="9"/>
        <v>400</v>
      </c>
      <c r="N1159" s="6">
        <v>0.4</v>
      </c>
    </row>
    <row r="1160" spans="1:14" ht="15.75" customHeight="1" x14ac:dyDescent="0.45">
      <c r="A1160" s="1" t="s">
        <v>119</v>
      </c>
      <c r="B1160" s="1">
        <v>1185732</v>
      </c>
      <c r="C1160" s="2">
        <v>44611</v>
      </c>
      <c r="D1160" s="1" t="s">
        <v>11</v>
      </c>
      <c r="E1160" s="1" t="s">
        <v>51</v>
      </c>
      <c r="F1160" s="1" t="s">
        <v>52</v>
      </c>
      <c r="G1160" s="1" t="s">
        <v>13</v>
      </c>
      <c r="H1160" s="1">
        <v>17</v>
      </c>
      <c r="I1160" s="1" t="s">
        <v>126</v>
      </c>
      <c r="J1160" s="3">
        <v>0.4</v>
      </c>
      <c r="K1160" s="4">
        <v>5000</v>
      </c>
      <c r="L1160" s="5">
        <f t="shared" si="8"/>
        <v>2000</v>
      </c>
      <c r="M1160" s="5">
        <f t="shared" si="9"/>
        <v>700</v>
      </c>
      <c r="N1160" s="6">
        <v>0.35</v>
      </c>
    </row>
    <row r="1161" spans="1:14" ht="15.75" customHeight="1" x14ac:dyDescent="0.45">
      <c r="A1161" s="1" t="s">
        <v>119</v>
      </c>
      <c r="B1161" s="1">
        <v>1185732</v>
      </c>
      <c r="C1161" s="2">
        <v>44611</v>
      </c>
      <c r="D1161" s="1" t="s">
        <v>11</v>
      </c>
      <c r="E1161" s="1" t="s">
        <v>51</v>
      </c>
      <c r="F1161" s="1" t="s">
        <v>52</v>
      </c>
      <c r="G1161" s="1" t="s">
        <v>14</v>
      </c>
      <c r="H1161" s="1">
        <v>51</v>
      </c>
      <c r="I1161" s="1" t="s">
        <v>126</v>
      </c>
      <c r="J1161" s="3">
        <v>0.4</v>
      </c>
      <c r="K1161" s="4">
        <v>1500</v>
      </c>
      <c r="L1161" s="5">
        <f t="shared" si="8"/>
        <v>600</v>
      </c>
      <c r="M1161" s="5">
        <f t="shared" si="9"/>
        <v>210</v>
      </c>
      <c r="N1161" s="6">
        <v>0.35</v>
      </c>
    </row>
    <row r="1162" spans="1:14" ht="15.75" customHeight="1" x14ac:dyDescent="0.45">
      <c r="A1162" s="1" t="s">
        <v>119</v>
      </c>
      <c r="B1162" s="1">
        <v>1185732</v>
      </c>
      <c r="C1162" s="2">
        <v>44611</v>
      </c>
      <c r="D1162" s="1" t="s">
        <v>11</v>
      </c>
      <c r="E1162" s="1" t="s">
        <v>51</v>
      </c>
      <c r="F1162" s="1" t="s">
        <v>52</v>
      </c>
      <c r="G1162" s="1" t="s">
        <v>15</v>
      </c>
      <c r="H1162" s="1">
        <v>29</v>
      </c>
      <c r="I1162" s="1" t="s">
        <v>123</v>
      </c>
      <c r="J1162" s="3">
        <v>0.30000000000000004</v>
      </c>
      <c r="K1162" s="4">
        <v>2000</v>
      </c>
      <c r="L1162" s="5">
        <f t="shared" si="8"/>
        <v>600.00000000000011</v>
      </c>
      <c r="M1162" s="5">
        <f t="shared" si="9"/>
        <v>240.00000000000003</v>
      </c>
      <c r="N1162" s="6">
        <v>0.39999999999999997</v>
      </c>
    </row>
    <row r="1163" spans="1:14" ht="15.75" customHeight="1" x14ac:dyDescent="0.45">
      <c r="A1163" s="1" t="s">
        <v>119</v>
      </c>
      <c r="B1163" s="1">
        <v>1185732</v>
      </c>
      <c r="C1163" s="2">
        <v>44611</v>
      </c>
      <c r="D1163" s="1" t="s">
        <v>11</v>
      </c>
      <c r="E1163" s="1" t="s">
        <v>51</v>
      </c>
      <c r="F1163" s="1" t="s">
        <v>52</v>
      </c>
      <c r="G1163" s="1" t="s">
        <v>16</v>
      </c>
      <c r="H1163" s="1">
        <v>21</v>
      </c>
      <c r="I1163" s="1" t="s">
        <v>126</v>
      </c>
      <c r="J1163" s="3">
        <v>0.35</v>
      </c>
      <c r="K1163" s="4">
        <v>750</v>
      </c>
      <c r="L1163" s="5">
        <f t="shared" si="8"/>
        <v>262.5</v>
      </c>
      <c r="M1163" s="5">
        <f t="shared" si="9"/>
        <v>78.75</v>
      </c>
      <c r="N1163" s="6">
        <v>0.3</v>
      </c>
    </row>
    <row r="1164" spans="1:14" ht="15.75" customHeight="1" x14ac:dyDescent="0.45">
      <c r="A1164" s="1" t="s">
        <v>119</v>
      </c>
      <c r="B1164" s="1">
        <v>1185732</v>
      </c>
      <c r="C1164" s="2">
        <v>44611</v>
      </c>
      <c r="D1164" s="1" t="s">
        <v>11</v>
      </c>
      <c r="E1164" s="1" t="s">
        <v>51</v>
      </c>
      <c r="F1164" s="1" t="s">
        <v>52</v>
      </c>
      <c r="G1164" s="1" t="s">
        <v>17</v>
      </c>
      <c r="H1164" s="1">
        <v>59</v>
      </c>
      <c r="I1164" s="1" t="s">
        <v>123</v>
      </c>
      <c r="J1164" s="3">
        <v>0.5</v>
      </c>
      <c r="K1164" s="4">
        <v>1500</v>
      </c>
      <c r="L1164" s="5">
        <f t="shared" si="8"/>
        <v>750</v>
      </c>
      <c r="M1164" s="5">
        <f t="shared" si="9"/>
        <v>187.5</v>
      </c>
      <c r="N1164" s="6">
        <v>0.25</v>
      </c>
    </row>
    <row r="1165" spans="1:14" ht="15.75" customHeight="1" x14ac:dyDescent="0.45">
      <c r="A1165" s="1" t="s">
        <v>119</v>
      </c>
      <c r="B1165" s="1">
        <v>1185732</v>
      </c>
      <c r="C1165" s="2">
        <v>44611</v>
      </c>
      <c r="D1165" s="1" t="s">
        <v>11</v>
      </c>
      <c r="E1165" s="1" t="s">
        <v>51</v>
      </c>
      <c r="F1165" s="1" t="s">
        <v>52</v>
      </c>
      <c r="G1165" s="1" t="s">
        <v>18</v>
      </c>
      <c r="H1165" s="1">
        <v>42</v>
      </c>
      <c r="I1165" s="1" t="s">
        <v>123</v>
      </c>
      <c r="J1165" s="3">
        <v>0.4</v>
      </c>
      <c r="K1165" s="4">
        <v>2500</v>
      </c>
      <c r="L1165" s="5">
        <f t="shared" si="8"/>
        <v>1000</v>
      </c>
      <c r="M1165" s="5">
        <f t="shared" si="9"/>
        <v>400</v>
      </c>
      <c r="N1165" s="6">
        <v>0.4</v>
      </c>
    </row>
    <row r="1166" spans="1:14" ht="15.75" customHeight="1" x14ac:dyDescent="0.45">
      <c r="A1166" s="1" t="s">
        <v>119</v>
      </c>
      <c r="B1166" s="1">
        <v>1185732</v>
      </c>
      <c r="C1166" s="2">
        <v>44637</v>
      </c>
      <c r="D1166" s="1" t="s">
        <v>11</v>
      </c>
      <c r="E1166" s="1" t="s">
        <v>51</v>
      </c>
      <c r="F1166" s="1" t="s">
        <v>52</v>
      </c>
      <c r="G1166" s="1" t="s">
        <v>13</v>
      </c>
      <c r="H1166" s="1">
        <v>48</v>
      </c>
      <c r="I1166" s="1" t="s">
        <v>126</v>
      </c>
      <c r="J1166" s="3">
        <v>0.4</v>
      </c>
      <c r="K1166" s="4">
        <v>4700</v>
      </c>
      <c r="L1166" s="5">
        <f t="shared" si="8"/>
        <v>1880</v>
      </c>
      <c r="M1166" s="5">
        <f t="shared" si="9"/>
        <v>658</v>
      </c>
      <c r="N1166" s="6">
        <v>0.35</v>
      </c>
    </row>
    <row r="1167" spans="1:14" ht="15.75" customHeight="1" x14ac:dyDescent="0.45">
      <c r="A1167" s="1" t="s">
        <v>119</v>
      </c>
      <c r="B1167" s="1">
        <v>1185732</v>
      </c>
      <c r="C1167" s="2">
        <v>44637</v>
      </c>
      <c r="D1167" s="1" t="s">
        <v>11</v>
      </c>
      <c r="E1167" s="1" t="s">
        <v>51</v>
      </c>
      <c r="F1167" s="1" t="s">
        <v>52</v>
      </c>
      <c r="G1167" s="1" t="s">
        <v>14</v>
      </c>
      <c r="H1167" s="1">
        <v>54</v>
      </c>
      <c r="I1167" s="1" t="s">
        <v>126</v>
      </c>
      <c r="J1167" s="3">
        <v>0.4</v>
      </c>
      <c r="K1167" s="4">
        <v>1750</v>
      </c>
      <c r="L1167" s="5">
        <f t="shared" si="8"/>
        <v>700</v>
      </c>
      <c r="M1167" s="5">
        <f t="shared" si="9"/>
        <v>244.99999999999997</v>
      </c>
      <c r="N1167" s="6">
        <v>0.35</v>
      </c>
    </row>
    <row r="1168" spans="1:14" ht="15.75" customHeight="1" x14ac:dyDescent="0.45">
      <c r="A1168" s="1" t="s">
        <v>119</v>
      </c>
      <c r="B1168" s="1">
        <v>1185732</v>
      </c>
      <c r="C1168" s="2">
        <v>44637</v>
      </c>
      <c r="D1168" s="1" t="s">
        <v>11</v>
      </c>
      <c r="E1168" s="1" t="s">
        <v>51</v>
      </c>
      <c r="F1168" s="1" t="s">
        <v>52</v>
      </c>
      <c r="G1168" s="1" t="s">
        <v>15</v>
      </c>
      <c r="H1168" s="1">
        <v>58</v>
      </c>
      <c r="I1168" s="1" t="s">
        <v>126</v>
      </c>
      <c r="J1168" s="3">
        <v>0.30000000000000004</v>
      </c>
      <c r="K1168" s="4">
        <v>2000</v>
      </c>
      <c r="L1168" s="5">
        <f t="shared" si="8"/>
        <v>600.00000000000011</v>
      </c>
      <c r="M1168" s="5">
        <f t="shared" si="9"/>
        <v>240.00000000000003</v>
      </c>
      <c r="N1168" s="6">
        <v>0.39999999999999997</v>
      </c>
    </row>
    <row r="1169" spans="1:14" ht="15.75" customHeight="1" x14ac:dyDescent="0.45">
      <c r="A1169" s="1" t="s">
        <v>119</v>
      </c>
      <c r="B1169" s="1">
        <v>1185732</v>
      </c>
      <c r="C1169" s="2">
        <v>44637</v>
      </c>
      <c r="D1169" s="1" t="s">
        <v>11</v>
      </c>
      <c r="E1169" s="1" t="s">
        <v>51</v>
      </c>
      <c r="F1169" s="1" t="s">
        <v>52</v>
      </c>
      <c r="G1169" s="1" t="s">
        <v>16</v>
      </c>
      <c r="H1169" s="1">
        <v>24</v>
      </c>
      <c r="I1169" s="1" t="s">
        <v>124</v>
      </c>
      <c r="J1169" s="3">
        <v>0.35</v>
      </c>
      <c r="K1169" s="4">
        <v>500</v>
      </c>
      <c r="L1169" s="5">
        <f t="shared" si="8"/>
        <v>175</v>
      </c>
      <c r="M1169" s="5">
        <f t="shared" si="9"/>
        <v>52.5</v>
      </c>
      <c r="N1169" s="6">
        <v>0.3</v>
      </c>
    </row>
    <row r="1170" spans="1:14" ht="15.75" customHeight="1" x14ac:dyDescent="0.45">
      <c r="A1170" s="1" t="s">
        <v>119</v>
      </c>
      <c r="B1170" s="1">
        <v>1185732</v>
      </c>
      <c r="C1170" s="2">
        <v>44637</v>
      </c>
      <c r="D1170" s="1" t="s">
        <v>11</v>
      </c>
      <c r="E1170" s="1" t="s">
        <v>51</v>
      </c>
      <c r="F1170" s="1" t="s">
        <v>52</v>
      </c>
      <c r="G1170" s="1" t="s">
        <v>17</v>
      </c>
      <c r="H1170" s="1">
        <v>38</v>
      </c>
      <c r="I1170" s="1" t="s">
        <v>124</v>
      </c>
      <c r="J1170" s="3">
        <v>0.5</v>
      </c>
      <c r="K1170" s="4">
        <v>1000</v>
      </c>
      <c r="L1170" s="5">
        <f t="shared" si="8"/>
        <v>500</v>
      </c>
      <c r="M1170" s="5">
        <f t="shared" si="9"/>
        <v>125</v>
      </c>
      <c r="N1170" s="6">
        <v>0.25</v>
      </c>
    </row>
    <row r="1171" spans="1:14" ht="15.75" customHeight="1" x14ac:dyDescent="0.45">
      <c r="A1171" s="1" t="s">
        <v>119</v>
      </c>
      <c r="B1171" s="1">
        <v>1185732</v>
      </c>
      <c r="C1171" s="2">
        <v>44637</v>
      </c>
      <c r="D1171" s="1" t="s">
        <v>11</v>
      </c>
      <c r="E1171" s="1" t="s">
        <v>51</v>
      </c>
      <c r="F1171" s="1" t="s">
        <v>52</v>
      </c>
      <c r="G1171" s="1" t="s">
        <v>18</v>
      </c>
      <c r="H1171" s="1">
        <v>18</v>
      </c>
      <c r="I1171" s="1" t="s">
        <v>125</v>
      </c>
      <c r="J1171" s="3">
        <v>0.4</v>
      </c>
      <c r="K1171" s="4">
        <v>2000</v>
      </c>
      <c r="L1171" s="5">
        <f t="shared" si="8"/>
        <v>800</v>
      </c>
      <c r="M1171" s="5">
        <f t="shared" si="9"/>
        <v>320</v>
      </c>
      <c r="N1171" s="6">
        <v>0.4</v>
      </c>
    </row>
    <row r="1172" spans="1:14" ht="15.75" customHeight="1" x14ac:dyDescent="0.45">
      <c r="A1172" s="1" t="s">
        <v>119</v>
      </c>
      <c r="B1172" s="1">
        <v>1185732</v>
      </c>
      <c r="C1172" s="2">
        <v>44669</v>
      </c>
      <c r="D1172" s="1" t="s">
        <v>11</v>
      </c>
      <c r="E1172" s="1" t="s">
        <v>51</v>
      </c>
      <c r="F1172" s="1" t="s">
        <v>52</v>
      </c>
      <c r="G1172" s="1" t="s">
        <v>13</v>
      </c>
      <c r="H1172" s="1">
        <v>49</v>
      </c>
      <c r="I1172" s="1" t="s">
        <v>123</v>
      </c>
      <c r="J1172" s="3">
        <v>0.4</v>
      </c>
      <c r="K1172" s="4">
        <v>4500</v>
      </c>
      <c r="L1172" s="5">
        <f t="shared" si="8"/>
        <v>1800</v>
      </c>
      <c r="M1172" s="5">
        <f t="shared" si="9"/>
        <v>630</v>
      </c>
      <c r="N1172" s="6">
        <v>0.35</v>
      </c>
    </row>
    <row r="1173" spans="1:14" ht="15.75" customHeight="1" x14ac:dyDescent="0.45">
      <c r="A1173" s="1" t="s">
        <v>119</v>
      </c>
      <c r="B1173" s="1">
        <v>1185732</v>
      </c>
      <c r="C1173" s="2">
        <v>44669</v>
      </c>
      <c r="D1173" s="1" t="s">
        <v>11</v>
      </c>
      <c r="E1173" s="1" t="s">
        <v>51</v>
      </c>
      <c r="F1173" s="1" t="s">
        <v>52</v>
      </c>
      <c r="G1173" s="1" t="s">
        <v>14</v>
      </c>
      <c r="H1173" s="1">
        <v>17</v>
      </c>
      <c r="I1173" s="1" t="s">
        <v>123</v>
      </c>
      <c r="J1173" s="3">
        <v>0.4</v>
      </c>
      <c r="K1173" s="4">
        <v>1500</v>
      </c>
      <c r="L1173" s="5">
        <f t="shared" si="8"/>
        <v>600</v>
      </c>
      <c r="M1173" s="5">
        <f t="shared" si="9"/>
        <v>210</v>
      </c>
      <c r="N1173" s="6">
        <v>0.35</v>
      </c>
    </row>
    <row r="1174" spans="1:14" ht="15.75" customHeight="1" x14ac:dyDescent="0.45">
      <c r="A1174" s="1" t="s">
        <v>119</v>
      </c>
      <c r="B1174" s="1">
        <v>1185732</v>
      </c>
      <c r="C1174" s="2">
        <v>44669</v>
      </c>
      <c r="D1174" s="1" t="s">
        <v>11</v>
      </c>
      <c r="E1174" s="1" t="s">
        <v>51</v>
      </c>
      <c r="F1174" s="1" t="s">
        <v>52</v>
      </c>
      <c r="G1174" s="1" t="s">
        <v>15</v>
      </c>
      <c r="H1174" s="1">
        <v>39</v>
      </c>
      <c r="I1174" s="1" t="s">
        <v>126</v>
      </c>
      <c r="J1174" s="3">
        <v>0.30000000000000004</v>
      </c>
      <c r="K1174" s="4">
        <v>1500</v>
      </c>
      <c r="L1174" s="5">
        <f t="shared" si="8"/>
        <v>450.00000000000006</v>
      </c>
      <c r="M1174" s="5">
        <f t="shared" si="9"/>
        <v>180</v>
      </c>
      <c r="N1174" s="6">
        <v>0.39999999999999997</v>
      </c>
    </row>
    <row r="1175" spans="1:14" ht="15.75" customHeight="1" x14ac:dyDescent="0.45">
      <c r="A1175" s="1" t="s">
        <v>119</v>
      </c>
      <c r="B1175" s="1">
        <v>1185732</v>
      </c>
      <c r="C1175" s="2">
        <v>44669</v>
      </c>
      <c r="D1175" s="1" t="s">
        <v>11</v>
      </c>
      <c r="E1175" s="1" t="s">
        <v>51</v>
      </c>
      <c r="F1175" s="1" t="s">
        <v>52</v>
      </c>
      <c r="G1175" s="1" t="s">
        <v>16</v>
      </c>
      <c r="H1175" s="1">
        <v>51</v>
      </c>
      <c r="I1175" s="1" t="s">
        <v>126</v>
      </c>
      <c r="J1175" s="3">
        <v>0.35</v>
      </c>
      <c r="K1175" s="4">
        <v>750</v>
      </c>
      <c r="L1175" s="5">
        <f t="shared" si="8"/>
        <v>262.5</v>
      </c>
      <c r="M1175" s="5">
        <f t="shared" si="9"/>
        <v>78.75</v>
      </c>
      <c r="N1175" s="6">
        <v>0.3</v>
      </c>
    </row>
    <row r="1176" spans="1:14" ht="15.75" customHeight="1" x14ac:dyDescent="0.45">
      <c r="A1176" s="1" t="s">
        <v>119</v>
      </c>
      <c r="B1176" s="1">
        <v>1185732</v>
      </c>
      <c r="C1176" s="2">
        <v>44669</v>
      </c>
      <c r="D1176" s="1" t="s">
        <v>11</v>
      </c>
      <c r="E1176" s="1" t="s">
        <v>51</v>
      </c>
      <c r="F1176" s="1" t="s">
        <v>52</v>
      </c>
      <c r="G1176" s="1" t="s">
        <v>17</v>
      </c>
      <c r="H1176" s="1">
        <v>16</v>
      </c>
      <c r="I1176" s="1" t="s">
        <v>123</v>
      </c>
      <c r="J1176" s="3">
        <v>0.5</v>
      </c>
      <c r="K1176" s="4">
        <v>750</v>
      </c>
      <c r="L1176" s="5">
        <f t="shared" si="8"/>
        <v>375</v>
      </c>
      <c r="M1176" s="5">
        <f t="shared" si="9"/>
        <v>93.75</v>
      </c>
      <c r="N1176" s="6">
        <v>0.25</v>
      </c>
    </row>
    <row r="1177" spans="1:14" ht="15.75" customHeight="1" x14ac:dyDescent="0.45">
      <c r="A1177" s="1" t="s">
        <v>119</v>
      </c>
      <c r="B1177" s="1">
        <v>1185732</v>
      </c>
      <c r="C1177" s="2">
        <v>44669</v>
      </c>
      <c r="D1177" s="1" t="s">
        <v>11</v>
      </c>
      <c r="E1177" s="1" t="s">
        <v>51</v>
      </c>
      <c r="F1177" s="1" t="s">
        <v>52</v>
      </c>
      <c r="G1177" s="1" t="s">
        <v>18</v>
      </c>
      <c r="H1177" s="1">
        <v>25</v>
      </c>
      <c r="I1177" s="1" t="s">
        <v>125</v>
      </c>
      <c r="J1177" s="3">
        <v>0.4</v>
      </c>
      <c r="K1177" s="4">
        <v>2250</v>
      </c>
      <c r="L1177" s="5">
        <f t="shared" si="8"/>
        <v>900</v>
      </c>
      <c r="M1177" s="5">
        <f t="shared" si="9"/>
        <v>360</v>
      </c>
      <c r="N1177" s="6">
        <v>0.4</v>
      </c>
    </row>
    <row r="1178" spans="1:14" ht="15.75" customHeight="1" x14ac:dyDescent="0.45">
      <c r="A1178" s="1" t="s">
        <v>119</v>
      </c>
      <c r="B1178" s="1">
        <v>1185732</v>
      </c>
      <c r="C1178" s="2">
        <v>44698</v>
      </c>
      <c r="D1178" s="1" t="s">
        <v>11</v>
      </c>
      <c r="E1178" s="1" t="s">
        <v>51</v>
      </c>
      <c r="F1178" s="1" t="s">
        <v>52</v>
      </c>
      <c r="G1178" s="1" t="s">
        <v>13</v>
      </c>
      <c r="H1178" s="1">
        <v>41</v>
      </c>
      <c r="I1178" s="1" t="s">
        <v>124</v>
      </c>
      <c r="J1178" s="3">
        <v>0.54999999999999993</v>
      </c>
      <c r="K1178" s="4">
        <v>4950</v>
      </c>
      <c r="L1178" s="5">
        <f t="shared" si="8"/>
        <v>2722.4999999999995</v>
      </c>
      <c r="M1178" s="5">
        <f t="shared" si="9"/>
        <v>952.87499999999977</v>
      </c>
      <c r="N1178" s="6">
        <v>0.35</v>
      </c>
    </row>
    <row r="1179" spans="1:14" ht="15.75" customHeight="1" x14ac:dyDescent="0.45">
      <c r="A1179" s="1" t="s">
        <v>119</v>
      </c>
      <c r="B1179" s="1">
        <v>1185732</v>
      </c>
      <c r="C1179" s="2">
        <v>44698</v>
      </c>
      <c r="D1179" s="1" t="s">
        <v>11</v>
      </c>
      <c r="E1179" s="1" t="s">
        <v>51</v>
      </c>
      <c r="F1179" s="1" t="s">
        <v>52</v>
      </c>
      <c r="G1179" s="1" t="s">
        <v>14</v>
      </c>
      <c r="H1179" s="1">
        <v>36</v>
      </c>
      <c r="I1179" s="1" t="s">
        <v>126</v>
      </c>
      <c r="J1179" s="3">
        <v>0.5</v>
      </c>
      <c r="K1179" s="4">
        <v>2000</v>
      </c>
      <c r="L1179" s="5">
        <f t="shared" si="8"/>
        <v>1000</v>
      </c>
      <c r="M1179" s="5">
        <f t="shared" si="9"/>
        <v>350</v>
      </c>
      <c r="N1179" s="6">
        <v>0.35</v>
      </c>
    </row>
    <row r="1180" spans="1:14" ht="15.75" customHeight="1" x14ac:dyDescent="0.45">
      <c r="A1180" s="1" t="s">
        <v>119</v>
      </c>
      <c r="B1180" s="1">
        <v>1185732</v>
      </c>
      <c r="C1180" s="2">
        <v>44698</v>
      </c>
      <c r="D1180" s="1" t="s">
        <v>11</v>
      </c>
      <c r="E1180" s="1" t="s">
        <v>51</v>
      </c>
      <c r="F1180" s="1" t="s">
        <v>52</v>
      </c>
      <c r="G1180" s="1" t="s">
        <v>15</v>
      </c>
      <c r="H1180" s="1">
        <v>17</v>
      </c>
      <c r="I1180" s="1" t="s">
        <v>126</v>
      </c>
      <c r="J1180" s="3">
        <v>0.45</v>
      </c>
      <c r="K1180" s="4">
        <v>1750</v>
      </c>
      <c r="L1180" s="5">
        <f t="shared" si="8"/>
        <v>787.5</v>
      </c>
      <c r="M1180" s="5">
        <f t="shared" si="9"/>
        <v>315</v>
      </c>
      <c r="N1180" s="6">
        <v>0.39999999999999997</v>
      </c>
    </row>
    <row r="1181" spans="1:14" ht="15.75" customHeight="1" x14ac:dyDescent="0.45">
      <c r="A1181" s="1" t="s">
        <v>119</v>
      </c>
      <c r="B1181" s="1">
        <v>1185732</v>
      </c>
      <c r="C1181" s="2">
        <v>44698</v>
      </c>
      <c r="D1181" s="1" t="s">
        <v>11</v>
      </c>
      <c r="E1181" s="1" t="s">
        <v>51</v>
      </c>
      <c r="F1181" s="1" t="s">
        <v>52</v>
      </c>
      <c r="G1181" s="1" t="s">
        <v>16</v>
      </c>
      <c r="H1181" s="1">
        <v>44</v>
      </c>
      <c r="I1181" s="1" t="s">
        <v>125</v>
      </c>
      <c r="J1181" s="3">
        <v>0.45</v>
      </c>
      <c r="K1181" s="4">
        <v>1250</v>
      </c>
      <c r="L1181" s="5">
        <f t="shared" si="8"/>
        <v>562.5</v>
      </c>
      <c r="M1181" s="5">
        <f t="shared" si="9"/>
        <v>168.75</v>
      </c>
      <c r="N1181" s="6">
        <v>0.3</v>
      </c>
    </row>
    <row r="1182" spans="1:14" ht="15.75" customHeight="1" x14ac:dyDescent="0.45">
      <c r="A1182" s="1" t="s">
        <v>119</v>
      </c>
      <c r="B1182" s="1">
        <v>1185732</v>
      </c>
      <c r="C1182" s="2">
        <v>44698</v>
      </c>
      <c r="D1182" s="1" t="s">
        <v>11</v>
      </c>
      <c r="E1182" s="1" t="s">
        <v>51</v>
      </c>
      <c r="F1182" s="1" t="s">
        <v>52</v>
      </c>
      <c r="G1182" s="1" t="s">
        <v>17</v>
      </c>
      <c r="H1182" s="1">
        <v>55</v>
      </c>
      <c r="I1182" s="1" t="s">
        <v>126</v>
      </c>
      <c r="J1182" s="3">
        <v>0.54999999999999993</v>
      </c>
      <c r="K1182" s="4">
        <v>1500</v>
      </c>
      <c r="L1182" s="5">
        <f t="shared" si="8"/>
        <v>824.99999999999989</v>
      </c>
      <c r="M1182" s="5">
        <f t="shared" si="9"/>
        <v>206.24999999999997</v>
      </c>
      <c r="N1182" s="6">
        <v>0.25</v>
      </c>
    </row>
    <row r="1183" spans="1:14" ht="15.75" customHeight="1" x14ac:dyDescent="0.45">
      <c r="A1183" s="1" t="s">
        <v>119</v>
      </c>
      <c r="B1183" s="1">
        <v>1185732</v>
      </c>
      <c r="C1183" s="2">
        <v>44698</v>
      </c>
      <c r="D1183" s="1" t="s">
        <v>11</v>
      </c>
      <c r="E1183" s="1" t="s">
        <v>51</v>
      </c>
      <c r="F1183" s="1" t="s">
        <v>52</v>
      </c>
      <c r="G1183" s="1" t="s">
        <v>18</v>
      </c>
      <c r="H1183" s="1">
        <v>49</v>
      </c>
      <c r="I1183" s="1" t="s">
        <v>126</v>
      </c>
      <c r="J1183" s="3">
        <v>0.6</v>
      </c>
      <c r="K1183" s="4">
        <v>2750</v>
      </c>
      <c r="L1183" s="5">
        <f t="shared" si="8"/>
        <v>1650</v>
      </c>
      <c r="M1183" s="5">
        <f t="shared" si="9"/>
        <v>660</v>
      </c>
      <c r="N1183" s="6">
        <v>0.4</v>
      </c>
    </row>
    <row r="1184" spans="1:14" ht="15.75" customHeight="1" x14ac:dyDescent="0.45">
      <c r="A1184" s="1" t="s">
        <v>119</v>
      </c>
      <c r="B1184" s="1">
        <v>1185732</v>
      </c>
      <c r="C1184" s="2">
        <v>44731</v>
      </c>
      <c r="D1184" s="1" t="s">
        <v>11</v>
      </c>
      <c r="E1184" s="1" t="s">
        <v>51</v>
      </c>
      <c r="F1184" s="1" t="s">
        <v>52</v>
      </c>
      <c r="G1184" s="1" t="s">
        <v>13</v>
      </c>
      <c r="H1184" s="1">
        <v>45</v>
      </c>
      <c r="I1184" s="1" t="s">
        <v>124</v>
      </c>
      <c r="J1184" s="3">
        <v>0.54999999999999993</v>
      </c>
      <c r="K1184" s="4">
        <v>5250</v>
      </c>
      <c r="L1184" s="5">
        <f t="shared" si="8"/>
        <v>2887.4999999999995</v>
      </c>
      <c r="M1184" s="5">
        <f t="shared" si="9"/>
        <v>1010.6249999999998</v>
      </c>
      <c r="N1184" s="6">
        <v>0.35</v>
      </c>
    </row>
    <row r="1185" spans="1:14" ht="15.75" customHeight="1" x14ac:dyDescent="0.45">
      <c r="A1185" s="1" t="s">
        <v>119</v>
      </c>
      <c r="B1185" s="1">
        <v>1185732</v>
      </c>
      <c r="C1185" s="2">
        <v>44731</v>
      </c>
      <c r="D1185" s="1" t="s">
        <v>11</v>
      </c>
      <c r="E1185" s="1" t="s">
        <v>51</v>
      </c>
      <c r="F1185" s="1" t="s">
        <v>52</v>
      </c>
      <c r="G1185" s="1" t="s">
        <v>14</v>
      </c>
      <c r="H1185" s="1">
        <v>20</v>
      </c>
      <c r="I1185" s="1" t="s">
        <v>123</v>
      </c>
      <c r="J1185" s="3">
        <v>0.5</v>
      </c>
      <c r="K1185" s="4">
        <v>2750</v>
      </c>
      <c r="L1185" s="5">
        <f t="shared" si="8"/>
        <v>1375</v>
      </c>
      <c r="M1185" s="5">
        <f t="shared" si="9"/>
        <v>481.24999999999994</v>
      </c>
      <c r="N1185" s="6">
        <v>0.35</v>
      </c>
    </row>
    <row r="1186" spans="1:14" ht="15.75" customHeight="1" x14ac:dyDescent="0.45">
      <c r="A1186" s="1" t="s">
        <v>119</v>
      </c>
      <c r="B1186" s="1">
        <v>1185732</v>
      </c>
      <c r="C1186" s="2">
        <v>44731</v>
      </c>
      <c r="D1186" s="1" t="s">
        <v>11</v>
      </c>
      <c r="E1186" s="1" t="s">
        <v>51</v>
      </c>
      <c r="F1186" s="1" t="s">
        <v>52</v>
      </c>
      <c r="G1186" s="1" t="s">
        <v>15</v>
      </c>
      <c r="H1186" s="1">
        <v>24</v>
      </c>
      <c r="I1186" s="1" t="s">
        <v>126</v>
      </c>
      <c r="J1186" s="3">
        <v>0.45</v>
      </c>
      <c r="K1186" s="4">
        <v>2000</v>
      </c>
      <c r="L1186" s="5">
        <f t="shared" si="8"/>
        <v>900</v>
      </c>
      <c r="M1186" s="5">
        <f t="shared" si="9"/>
        <v>359.99999999999994</v>
      </c>
      <c r="N1186" s="6">
        <v>0.39999999999999997</v>
      </c>
    </row>
    <row r="1187" spans="1:14" ht="15.75" customHeight="1" x14ac:dyDescent="0.45">
      <c r="A1187" s="1" t="s">
        <v>119</v>
      </c>
      <c r="B1187" s="1">
        <v>1185732</v>
      </c>
      <c r="C1187" s="2">
        <v>44731</v>
      </c>
      <c r="D1187" s="1" t="s">
        <v>11</v>
      </c>
      <c r="E1187" s="1" t="s">
        <v>51</v>
      </c>
      <c r="F1187" s="1" t="s">
        <v>52</v>
      </c>
      <c r="G1187" s="1" t="s">
        <v>16</v>
      </c>
      <c r="H1187" s="1">
        <v>36</v>
      </c>
      <c r="I1187" s="1" t="s">
        <v>124</v>
      </c>
      <c r="J1187" s="3">
        <v>0.45</v>
      </c>
      <c r="K1187" s="4">
        <v>1750</v>
      </c>
      <c r="L1187" s="5">
        <f t="shared" si="8"/>
        <v>787.5</v>
      </c>
      <c r="M1187" s="5">
        <f t="shared" si="9"/>
        <v>236.25</v>
      </c>
      <c r="N1187" s="6">
        <v>0.3</v>
      </c>
    </row>
    <row r="1188" spans="1:14" ht="15.75" customHeight="1" x14ac:dyDescent="0.45">
      <c r="A1188" s="1" t="s">
        <v>119</v>
      </c>
      <c r="B1188" s="1">
        <v>1185732</v>
      </c>
      <c r="C1188" s="2">
        <v>44731</v>
      </c>
      <c r="D1188" s="1" t="s">
        <v>11</v>
      </c>
      <c r="E1188" s="1" t="s">
        <v>51</v>
      </c>
      <c r="F1188" s="1" t="s">
        <v>52</v>
      </c>
      <c r="G1188" s="1" t="s">
        <v>17</v>
      </c>
      <c r="H1188" s="1">
        <v>58</v>
      </c>
      <c r="I1188" s="1" t="s">
        <v>125</v>
      </c>
      <c r="J1188" s="3">
        <v>0.54999999999999993</v>
      </c>
      <c r="K1188" s="4">
        <v>1750</v>
      </c>
      <c r="L1188" s="5">
        <f t="shared" si="8"/>
        <v>962.49999999999989</v>
      </c>
      <c r="M1188" s="5">
        <f t="shared" si="9"/>
        <v>240.62499999999997</v>
      </c>
      <c r="N1188" s="6">
        <v>0.25</v>
      </c>
    </row>
    <row r="1189" spans="1:14" ht="15.75" customHeight="1" x14ac:dyDescent="0.45">
      <c r="A1189" s="1" t="s">
        <v>119</v>
      </c>
      <c r="B1189" s="1">
        <v>1185732</v>
      </c>
      <c r="C1189" s="2">
        <v>44731</v>
      </c>
      <c r="D1189" s="1" t="s">
        <v>11</v>
      </c>
      <c r="E1189" s="1" t="s">
        <v>51</v>
      </c>
      <c r="F1189" s="1" t="s">
        <v>52</v>
      </c>
      <c r="G1189" s="1" t="s">
        <v>18</v>
      </c>
      <c r="H1189" s="1">
        <v>48</v>
      </c>
      <c r="I1189" s="1" t="s">
        <v>126</v>
      </c>
      <c r="J1189" s="3">
        <v>0.6</v>
      </c>
      <c r="K1189" s="4">
        <v>3250</v>
      </c>
      <c r="L1189" s="5">
        <f t="shared" si="8"/>
        <v>1950</v>
      </c>
      <c r="M1189" s="5">
        <f t="shared" si="9"/>
        <v>780</v>
      </c>
      <c r="N1189" s="6">
        <v>0.4</v>
      </c>
    </row>
    <row r="1190" spans="1:14" ht="15.75" customHeight="1" x14ac:dyDescent="0.45">
      <c r="A1190" s="1" t="s">
        <v>119</v>
      </c>
      <c r="B1190" s="1">
        <v>1185732</v>
      </c>
      <c r="C1190" s="2">
        <v>44759</v>
      </c>
      <c r="D1190" s="1" t="s">
        <v>11</v>
      </c>
      <c r="E1190" s="1" t="s">
        <v>51</v>
      </c>
      <c r="F1190" s="1" t="s">
        <v>52</v>
      </c>
      <c r="G1190" s="1" t="s">
        <v>13</v>
      </c>
      <c r="H1190" s="1">
        <v>20</v>
      </c>
      <c r="I1190" s="1" t="s">
        <v>123</v>
      </c>
      <c r="J1190" s="3">
        <v>0.54999999999999993</v>
      </c>
      <c r="K1190" s="4">
        <v>5500</v>
      </c>
      <c r="L1190" s="5">
        <f t="shared" si="8"/>
        <v>3024.9999999999995</v>
      </c>
      <c r="M1190" s="5">
        <f t="shared" si="9"/>
        <v>1058.7499999999998</v>
      </c>
      <c r="N1190" s="6">
        <v>0.35</v>
      </c>
    </row>
    <row r="1191" spans="1:14" ht="15.75" customHeight="1" x14ac:dyDescent="0.45">
      <c r="A1191" s="1" t="s">
        <v>119</v>
      </c>
      <c r="B1191" s="1">
        <v>1185732</v>
      </c>
      <c r="C1191" s="2">
        <v>44759</v>
      </c>
      <c r="D1191" s="1" t="s">
        <v>11</v>
      </c>
      <c r="E1191" s="1" t="s">
        <v>51</v>
      </c>
      <c r="F1191" s="1" t="s">
        <v>52</v>
      </c>
      <c r="G1191" s="1" t="s">
        <v>14</v>
      </c>
      <c r="H1191" s="1">
        <v>26</v>
      </c>
      <c r="I1191" s="1" t="s">
        <v>126</v>
      </c>
      <c r="J1191" s="3">
        <v>0.5</v>
      </c>
      <c r="K1191" s="4">
        <v>3000</v>
      </c>
      <c r="L1191" s="5">
        <f t="shared" si="8"/>
        <v>1500</v>
      </c>
      <c r="M1191" s="5">
        <f t="shared" si="9"/>
        <v>525</v>
      </c>
      <c r="N1191" s="6">
        <v>0.35</v>
      </c>
    </row>
    <row r="1192" spans="1:14" ht="15.75" customHeight="1" x14ac:dyDescent="0.45">
      <c r="A1192" s="1" t="s">
        <v>119</v>
      </c>
      <c r="B1192" s="1">
        <v>1185732</v>
      </c>
      <c r="C1192" s="2">
        <v>44759</v>
      </c>
      <c r="D1192" s="1" t="s">
        <v>11</v>
      </c>
      <c r="E1192" s="1" t="s">
        <v>51</v>
      </c>
      <c r="F1192" s="1" t="s">
        <v>52</v>
      </c>
      <c r="G1192" s="1" t="s">
        <v>15</v>
      </c>
      <c r="H1192" s="1">
        <v>35</v>
      </c>
      <c r="I1192" s="1" t="s">
        <v>125</v>
      </c>
      <c r="J1192" s="3">
        <v>0.45</v>
      </c>
      <c r="K1192" s="4">
        <v>2250</v>
      </c>
      <c r="L1192" s="5">
        <f t="shared" si="8"/>
        <v>1012.5</v>
      </c>
      <c r="M1192" s="5">
        <f t="shared" si="9"/>
        <v>404.99999999999994</v>
      </c>
      <c r="N1192" s="6">
        <v>0.39999999999999997</v>
      </c>
    </row>
    <row r="1193" spans="1:14" ht="15.75" customHeight="1" x14ac:dyDescent="0.45">
      <c r="A1193" s="1" t="s">
        <v>119</v>
      </c>
      <c r="B1193" s="1">
        <v>1185732</v>
      </c>
      <c r="C1193" s="2">
        <v>44759</v>
      </c>
      <c r="D1193" s="1" t="s">
        <v>11</v>
      </c>
      <c r="E1193" s="1" t="s">
        <v>51</v>
      </c>
      <c r="F1193" s="1" t="s">
        <v>52</v>
      </c>
      <c r="G1193" s="1" t="s">
        <v>16</v>
      </c>
      <c r="H1193" s="1">
        <v>16</v>
      </c>
      <c r="I1193" s="1" t="s">
        <v>126</v>
      </c>
      <c r="J1193" s="3">
        <v>0.45</v>
      </c>
      <c r="K1193" s="4">
        <v>1750</v>
      </c>
      <c r="L1193" s="5">
        <f t="shared" si="8"/>
        <v>787.5</v>
      </c>
      <c r="M1193" s="5">
        <f t="shared" si="9"/>
        <v>236.25</v>
      </c>
      <c r="N1193" s="6">
        <v>0.3</v>
      </c>
    </row>
    <row r="1194" spans="1:14" ht="15.75" customHeight="1" x14ac:dyDescent="0.45">
      <c r="A1194" s="1" t="s">
        <v>119</v>
      </c>
      <c r="B1194" s="1">
        <v>1185732</v>
      </c>
      <c r="C1194" s="2">
        <v>44759</v>
      </c>
      <c r="D1194" s="1" t="s">
        <v>11</v>
      </c>
      <c r="E1194" s="1" t="s">
        <v>51</v>
      </c>
      <c r="F1194" s="1" t="s">
        <v>52</v>
      </c>
      <c r="G1194" s="1" t="s">
        <v>17</v>
      </c>
      <c r="H1194" s="1">
        <v>42</v>
      </c>
      <c r="I1194" s="1" t="s">
        <v>125</v>
      </c>
      <c r="J1194" s="3">
        <v>0.54999999999999993</v>
      </c>
      <c r="K1194" s="4">
        <v>2000</v>
      </c>
      <c r="L1194" s="5">
        <f t="shared" si="8"/>
        <v>1099.9999999999998</v>
      </c>
      <c r="M1194" s="5">
        <f t="shared" si="9"/>
        <v>274.99999999999994</v>
      </c>
      <c r="N1194" s="6">
        <v>0.25</v>
      </c>
    </row>
    <row r="1195" spans="1:14" ht="15.75" customHeight="1" x14ac:dyDescent="0.45">
      <c r="A1195" s="1" t="s">
        <v>119</v>
      </c>
      <c r="B1195" s="1">
        <v>1185732</v>
      </c>
      <c r="C1195" s="2">
        <v>44759</v>
      </c>
      <c r="D1195" s="1" t="s">
        <v>11</v>
      </c>
      <c r="E1195" s="1" t="s">
        <v>51</v>
      </c>
      <c r="F1195" s="1" t="s">
        <v>52</v>
      </c>
      <c r="G1195" s="1" t="s">
        <v>18</v>
      </c>
      <c r="H1195" s="1">
        <v>17</v>
      </c>
      <c r="I1195" s="1" t="s">
        <v>125</v>
      </c>
      <c r="J1195" s="3">
        <v>0.6</v>
      </c>
      <c r="K1195" s="4">
        <v>3750</v>
      </c>
      <c r="L1195" s="5">
        <f t="shared" si="8"/>
        <v>2250</v>
      </c>
      <c r="M1195" s="5">
        <f t="shared" si="9"/>
        <v>900</v>
      </c>
      <c r="N1195" s="6">
        <v>0.4</v>
      </c>
    </row>
    <row r="1196" spans="1:14" ht="15.75" customHeight="1" x14ac:dyDescent="0.45">
      <c r="A1196" s="1" t="s">
        <v>119</v>
      </c>
      <c r="B1196" s="1">
        <v>1185732</v>
      </c>
      <c r="C1196" s="2">
        <v>44791</v>
      </c>
      <c r="D1196" s="1" t="s">
        <v>11</v>
      </c>
      <c r="E1196" s="1" t="s">
        <v>51</v>
      </c>
      <c r="F1196" s="1" t="s">
        <v>52</v>
      </c>
      <c r="G1196" s="1" t="s">
        <v>13</v>
      </c>
      <c r="H1196" s="1">
        <v>40</v>
      </c>
      <c r="I1196" s="1" t="s">
        <v>126</v>
      </c>
      <c r="J1196" s="3">
        <v>0.54999999999999993</v>
      </c>
      <c r="K1196" s="4">
        <v>5250</v>
      </c>
      <c r="L1196" s="5">
        <f t="shared" si="8"/>
        <v>2887.4999999999995</v>
      </c>
      <c r="M1196" s="5">
        <f t="shared" si="9"/>
        <v>1010.6249999999998</v>
      </c>
      <c r="N1196" s="6">
        <v>0.35</v>
      </c>
    </row>
    <row r="1197" spans="1:14" ht="15.75" customHeight="1" x14ac:dyDescent="0.45">
      <c r="A1197" s="1" t="s">
        <v>119</v>
      </c>
      <c r="B1197" s="1">
        <v>1185732</v>
      </c>
      <c r="C1197" s="2">
        <v>44791</v>
      </c>
      <c r="D1197" s="1" t="s">
        <v>11</v>
      </c>
      <c r="E1197" s="1" t="s">
        <v>51</v>
      </c>
      <c r="F1197" s="1" t="s">
        <v>52</v>
      </c>
      <c r="G1197" s="1" t="s">
        <v>14</v>
      </c>
      <c r="H1197" s="1">
        <v>25</v>
      </c>
      <c r="I1197" s="1" t="s">
        <v>124</v>
      </c>
      <c r="J1197" s="3">
        <v>0.5</v>
      </c>
      <c r="K1197" s="4">
        <v>3000</v>
      </c>
      <c r="L1197" s="5">
        <f t="shared" si="8"/>
        <v>1500</v>
      </c>
      <c r="M1197" s="5">
        <f t="shared" si="9"/>
        <v>525</v>
      </c>
      <c r="N1197" s="6">
        <v>0.35</v>
      </c>
    </row>
    <row r="1198" spans="1:14" ht="15.75" customHeight="1" x14ac:dyDescent="0.45">
      <c r="A1198" s="1" t="s">
        <v>119</v>
      </c>
      <c r="B1198" s="1">
        <v>1185732</v>
      </c>
      <c r="C1198" s="2">
        <v>44791</v>
      </c>
      <c r="D1198" s="1" t="s">
        <v>11</v>
      </c>
      <c r="E1198" s="1" t="s">
        <v>51</v>
      </c>
      <c r="F1198" s="1" t="s">
        <v>52</v>
      </c>
      <c r="G1198" s="1" t="s">
        <v>15</v>
      </c>
      <c r="H1198" s="1">
        <v>16</v>
      </c>
      <c r="I1198" s="1" t="s">
        <v>125</v>
      </c>
      <c r="J1198" s="3">
        <v>0.45</v>
      </c>
      <c r="K1198" s="4">
        <v>2250</v>
      </c>
      <c r="L1198" s="5">
        <f t="shared" si="8"/>
        <v>1012.5</v>
      </c>
      <c r="M1198" s="5">
        <f t="shared" si="9"/>
        <v>404.99999999999994</v>
      </c>
      <c r="N1198" s="6">
        <v>0.39999999999999997</v>
      </c>
    </row>
    <row r="1199" spans="1:14" ht="15.75" customHeight="1" x14ac:dyDescent="0.45">
      <c r="A1199" s="1" t="s">
        <v>119</v>
      </c>
      <c r="B1199" s="1">
        <v>1185732</v>
      </c>
      <c r="C1199" s="2">
        <v>44791</v>
      </c>
      <c r="D1199" s="1" t="s">
        <v>11</v>
      </c>
      <c r="E1199" s="1" t="s">
        <v>51</v>
      </c>
      <c r="F1199" s="1" t="s">
        <v>52</v>
      </c>
      <c r="G1199" s="1" t="s">
        <v>16</v>
      </c>
      <c r="H1199" s="1">
        <v>27</v>
      </c>
      <c r="I1199" s="1" t="s">
        <v>123</v>
      </c>
      <c r="J1199" s="3">
        <v>0.45</v>
      </c>
      <c r="K1199" s="4">
        <v>1750</v>
      </c>
      <c r="L1199" s="5">
        <f t="shared" si="8"/>
        <v>787.5</v>
      </c>
      <c r="M1199" s="5">
        <f t="shared" si="9"/>
        <v>236.25</v>
      </c>
      <c r="N1199" s="6">
        <v>0.3</v>
      </c>
    </row>
    <row r="1200" spans="1:14" ht="15.75" customHeight="1" x14ac:dyDescent="0.45">
      <c r="A1200" s="1" t="s">
        <v>119</v>
      </c>
      <c r="B1200" s="1">
        <v>1185732</v>
      </c>
      <c r="C1200" s="2">
        <v>44791</v>
      </c>
      <c r="D1200" s="1" t="s">
        <v>11</v>
      </c>
      <c r="E1200" s="1" t="s">
        <v>51</v>
      </c>
      <c r="F1200" s="1" t="s">
        <v>52</v>
      </c>
      <c r="G1200" s="1" t="s">
        <v>17</v>
      </c>
      <c r="H1200" s="1">
        <v>41</v>
      </c>
      <c r="I1200" s="1" t="s">
        <v>123</v>
      </c>
      <c r="J1200" s="3">
        <v>0.54999999999999993</v>
      </c>
      <c r="K1200" s="4">
        <v>1500</v>
      </c>
      <c r="L1200" s="5">
        <f t="shared" si="8"/>
        <v>824.99999999999989</v>
      </c>
      <c r="M1200" s="5">
        <f t="shared" si="9"/>
        <v>206.24999999999997</v>
      </c>
      <c r="N1200" s="6">
        <v>0.25</v>
      </c>
    </row>
    <row r="1201" spans="1:14" ht="15.75" customHeight="1" x14ac:dyDescent="0.45">
      <c r="A1201" s="1" t="s">
        <v>119</v>
      </c>
      <c r="B1201" s="1">
        <v>1185732</v>
      </c>
      <c r="C1201" s="2">
        <v>44791</v>
      </c>
      <c r="D1201" s="1" t="s">
        <v>11</v>
      </c>
      <c r="E1201" s="1" t="s">
        <v>51</v>
      </c>
      <c r="F1201" s="1" t="s">
        <v>52</v>
      </c>
      <c r="G1201" s="1" t="s">
        <v>18</v>
      </c>
      <c r="H1201" s="1">
        <v>27</v>
      </c>
      <c r="I1201" s="1" t="s">
        <v>123</v>
      </c>
      <c r="J1201" s="3">
        <v>0.6</v>
      </c>
      <c r="K1201" s="4">
        <v>3250</v>
      </c>
      <c r="L1201" s="5">
        <f t="shared" si="8"/>
        <v>1950</v>
      </c>
      <c r="M1201" s="5">
        <f t="shared" si="9"/>
        <v>780</v>
      </c>
      <c r="N1201" s="6">
        <v>0.4</v>
      </c>
    </row>
    <row r="1202" spans="1:14" ht="15.75" customHeight="1" x14ac:dyDescent="0.45">
      <c r="A1202" s="1" t="s">
        <v>119</v>
      </c>
      <c r="B1202" s="1">
        <v>1185732</v>
      </c>
      <c r="C1202" s="2">
        <v>44821</v>
      </c>
      <c r="D1202" s="1" t="s">
        <v>11</v>
      </c>
      <c r="E1202" s="1" t="s">
        <v>51</v>
      </c>
      <c r="F1202" s="1" t="s">
        <v>52</v>
      </c>
      <c r="G1202" s="1" t="s">
        <v>13</v>
      </c>
      <c r="H1202" s="1">
        <v>42</v>
      </c>
      <c r="I1202" s="1" t="s">
        <v>124</v>
      </c>
      <c r="J1202" s="3">
        <v>0.54999999999999993</v>
      </c>
      <c r="K1202" s="4">
        <v>4500</v>
      </c>
      <c r="L1202" s="5">
        <f t="shared" si="8"/>
        <v>2474.9999999999995</v>
      </c>
      <c r="M1202" s="5">
        <f t="shared" si="9"/>
        <v>866.24999999999977</v>
      </c>
      <c r="N1202" s="6">
        <v>0.35</v>
      </c>
    </row>
    <row r="1203" spans="1:14" ht="15.75" customHeight="1" x14ac:dyDescent="0.45">
      <c r="A1203" s="1" t="s">
        <v>119</v>
      </c>
      <c r="B1203" s="1">
        <v>1185732</v>
      </c>
      <c r="C1203" s="2">
        <v>44821</v>
      </c>
      <c r="D1203" s="1" t="s">
        <v>11</v>
      </c>
      <c r="E1203" s="1" t="s">
        <v>51</v>
      </c>
      <c r="F1203" s="1" t="s">
        <v>52</v>
      </c>
      <c r="G1203" s="1" t="s">
        <v>14</v>
      </c>
      <c r="H1203" s="1">
        <v>54</v>
      </c>
      <c r="I1203" s="1" t="s">
        <v>125</v>
      </c>
      <c r="J1203" s="3">
        <v>0.5</v>
      </c>
      <c r="K1203" s="4">
        <v>2500</v>
      </c>
      <c r="L1203" s="5">
        <f t="shared" si="8"/>
        <v>1250</v>
      </c>
      <c r="M1203" s="5">
        <f t="shared" si="9"/>
        <v>437.5</v>
      </c>
      <c r="N1203" s="6">
        <v>0.35</v>
      </c>
    </row>
    <row r="1204" spans="1:14" ht="15.75" customHeight="1" x14ac:dyDescent="0.45">
      <c r="A1204" s="1" t="s">
        <v>119</v>
      </c>
      <c r="B1204" s="1">
        <v>1185732</v>
      </c>
      <c r="C1204" s="2">
        <v>44821</v>
      </c>
      <c r="D1204" s="1" t="s">
        <v>11</v>
      </c>
      <c r="E1204" s="1" t="s">
        <v>51</v>
      </c>
      <c r="F1204" s="1" t="s">
        <v>52</v>
      </c>
      <c r="G1204" s="1" t="s">
        <v>15</v>
      </c>
      <c r="H1204" s="1">
        <v>19</v>
      </c>
      <c r="I1204" s="1" t="s">
        <v>123</v>
      </c>
      <c r="J1204" s="3">
        <v>0.45</v>
      </c>
      <c r="K1204" s="4">
        <v>1500</v>
      </c>
      <c r="L1204" s="5">
        <f t="shared" si="8"/>
        <v>675</v>
      </c>
      <c r="M1204" s="5">
        <f t="shared" si="9"/>
        <v>270</v>
      </c>
      <c r="N1204" s="6">
        <v>0.39999999999999997</v>
      </c>
    </row>
    <row r="1205" spans="1:14" ht="15.75" customHeight="1" x14ac:dyDescent="0.45">
      <c r="A1205" s="1" t="s">
        <v>119</v>
      </c>
      <c r="B1205" s="1">
        <v>1185732</v>
      </c>
      <c r="C1205" s="2">
        <v>44821</v>
      </c>
      <c r="D1205" s="1" t="s">
        <v>11</v>
      </c>
      <c r="E1205" s="1" t="s">
        <v>51</v>
      </c>
      <c r="F1205" s="1" t="s">
        <v>52</v>
      </c>
      <c r="G1205" s="1" t="s">
        <v>16</v>
      </c>
      <c r="H1205" s="1">
        <v>47</v>
      </c>
      <c r="I1205" s="1" t="s">
        <v>125</v>
      </c>
      <c r="J1205" s="3">
        <v>0.45</v>
      </c>
      <c r="K1205" s="4">
        <v>1250</v>
      </c>
      <c r="L1205" s="5">
        <f t="shared" si="8"/>
        <v>562.5</v>
      </c>
      <c r="M1205" s="5">
        <f t="shared" si="9"/>
        <v>168.75</v>
      </c>
      <c r="N1205" s="6">
        <v>0.3</v>
      </c>
    </row>
    <row r="1206" spans="1:14" ht="15.75" customHeight="1" x14ac:dyDescent="0.45">
      <c r="A1206" s="1" t="s">
        <v>119</v>
      </c>
      <c r="B1206" s="1">
        <v>1185732</v>
      </c>
      <c r="C1206" s="2">
        <v>44821</v>
      </c>
      <c r="D1206" s="1" t="s">
        <v>11</v>
      </c>
      <c r="E1206" s="1" t="s">
        <v>51</v>
      </c>
      <c r="F1206" s="1" t="s">
        <v>52</v>
      </c>
      <c r="G1206" s="1" t="s">
        <v>17</v>
      </c>
      <c r="H1206" s="1">
        <v>33</v>
      </c>
      <c r="I1206" s="1" t="s">
        <v>124</v>
      </c>
      <c r="J1206" s="3">
        <v>0.54999999999999993</v>
      </c>
      <c r="K1206" s="4">
        <v>1250</v>
      </c>
      <c r="L1206" s="5">
        <f t="shared" si="8"/>
        <v>687.49999999999989</v>
      </c>
      <c r="M1206" s="5">
        <f t="shared" si="9"/>
        <v>171.87499999999997</v>
      </c>
      <c r="N1206" s="6">
        <v>0.25</v>
      </c>
    </row>
    <row r="1207" spans="1:14" ht="15.75" customHeight="1" x14ac:dyDescent="0.45">
      <c r="A1207" s="1" t="s">
        <v>119</v>
      </c>
      <c r="B1207" s="1">
        <v>1185732</v>
      </c>
      <c r="C1207" s="2">
        <v>44821</v>
      </c>
      <c r="D1207" s="1" t="s">
        <v>11</v>
      </c>
      <c r="E1207" s="1" t="s">
        <v>51</v>
      </c>
      <c r="F1207" s="1" t="s">
        <v>52</v>
      </c>
      <c r="G1207" s="1" t="s">
        <v>18</v>
      </c>
      <c r="H1207" s="1">
        <v>38</v>
      </c>
      <c r="I1207" s="1" t="s">
        <v>125</v>
      </c>
      <c r="J1207" s="3">
        <v>0.6</v>
      </c>
      <c r="K1207" s="4">
        <v>2250</v>
      </c>
      <c r="L1207" s="5">
        <f t="shared" si="8"/>
        <v>1350</v>
      </c>
      <c r="M1207" s="5">
        <f t="shared" si="9"/>
        <v>540</v>
      </c>
      <c r="N1207" s="6">
        <v>0.4</v>
      </c>
    </row>
    <row r="1208" spans="1:14" ht="15.75" customHeight="1" x14ac:dyDescent="0.45">
      <c r="A1208" s="1" t="s">
        <v>119</v>
      </c>
      <c r="B1208" s="1">
        <v>1185732</v>
      </c>
      <c r="C1208" s="2">
        <v>44853</v>
      </c>
      <c r="D1208" s="1" t="s">
        <v>11</v>
      </c>
      <c r="E1208" s="1" t="s">
        <v>51</v>
      </c>
      <c r="F1208" s="1" t="s">
        <v>52</v>
      </c>
      <c r="G1208" s="1" t="s">
        <v>13</v>
      </c>
      <c r="H1208" s="1">
        <v>44</v>
      </c>
      <c r="I1208" s="1" t="s">
        <v>123</v>
      </c>
      <c r="J1208" s="3">
        <v>0.6</v>
      </c>
      <c r="K1208" s="4">
        <v>4000</v>
      </c>
      <c r="L1208" s="5">
        <f t="shared" si="8"/>
        <v>2400</v>
      </c>
      <c r="M1208" s="5">
        <f t="shared" si="9"/>
        <v>840</v>
      </c>
      <c r="N1208" s="6">
        <v>0.35</v>
      </c>
    </row>
    <row r="1209" spans="1:14" ht="15.75" customHeight="1" x14ac:dyDescent="0.45">
      <c r="A1209" s="1" t="s">
        <v>119</v>
      </c>
      <c r="B1209" s="1">
        <v>1185732</v>
      </c>
      <c r="C1209" s="2">
        <v>44853</v>
      </c>
      <c r="D1209" s="1" t="s">
        <v>11</v>
      </c>
      <c r="E1209" s="1" t="s">
        <v>51</v>
      </c>
      <c r="F1209" s="1" t="s">
        <v>52</v>
      </c>
      <c r="G1209" s="1" t="s">
        <v>14</v>
      </c>
      <c r="H1209" s="1">
        <v>44</v>
      </c>
      <c r="I1209" s="1" t="s">
        <v>124</v>
      </c>
      <c r="J1209" s="3">
        <v>0.55000000000000004</v>
      </c>
      <c r="K1209" s="4">
        <v>2250</v>
      </c>
      <c r="L1209" s="5">
        <f t="shared" si="8"/>
        <v>1237.5</v>
      </c>
      <c r="M1209" s="5">
        <f t="shared" si="9"/>
        <v>433.125</v>
      </c>
      <c r="N1209" s="6">
        <v>0.35</v>
      </c>
    </row>
    <row r="1210" spans="1:14" ht="15.75" customHeight="1" x14ac:dyDescent="0.45">
      <c r="A1210" s="1" t="s">
        <v>119</v>
      </c>
      <c r="B1210" s="1">
        <v>1185732</v>
      </c>
      <c r="C1210" s="2">
        <v>44853</v>
      </c>
      <c r="D1210" s="1" t="s">
        <v>11</v>
      </c>
      <c r="E1210" s="1" t="s">
        <v>51</v>
      </c>
      <c r="F1210" s="1" t="s">
        <v>52</v>
      </c>
      <c r="G1210" s="1" t="s">
        <v>15</v>
      </c>
      <c r="H1210" s="1">
        <v>18</v>
      </c>
      <c r="I1210" s="1" t="s">
        <v>125</v>
      </c>
      <c r="J1210" s="3">
        <v>0.55000000000000004</v>
      </c>
      <c r="K1210" s="4">
        <v>1250</v>
      </c>
      <c r="L1210" s="5">
        <f t="shared" si="8"/>
        <v>687.5</v>
      </c>
      <c r="M1210" s="5">
        <f t="shared" si="9"/>
        <v>275</v>
      </c>
      <c r="N1210" s="6">
        <v>0.39999999999999997</v>
      </c>
    </row>
    <row r="1211" spans="1:14" ht="15.75" customHeight="1" x14ac:dyDescent="0.45">
      <c r="A1211" s="1" t="s">
        <v>119</v>
      </c>
      <c r="B1211" s="1">
        <v>1185732</v>
      </c>
      <c r="C1211" s="2">
        <v>44853</v>
      </c>
      <c r="D1211" s="1" t="s">
        <v>11</v>
      </c>
      <c r="E1211" s="1" t="s">
        <v>51</v>
      </c>
      <c r="F1211" s="1" t="s">
        <v>52</v>
      </c>
      <c r="G1211" s="1" t="s">
        <v>16</v>
      </c>
      <c r="H1211" s="1">
        <v>56</v>
      </c>
      <c r="I1211" s="1" t="s">
        <v>126</v>
      </c>
      <c r="J1211" s="3">
        <v>0.55000000000000004</v>
      </c>
      <c r="K1211" s="4">
        <v>1000</v>
      </c>
      <c r="L1211" s="5">
        <f t="shared" si="8"/>
        <v>550</v>
      </c>
      <c r="M1211" s="5">
        <f t="shared" si="9"/>
        <v>165</v>
      </c>
      <c r="N1211" s="6">
        <v>0.3</v>
      </c>
    </row>
    <row r="1212" spans="1:14" ht="15.75" customHeight="1" x14ac:dyDescent="0.45">
      <c r="A1212" s="1" t="s">
        <v>119</v>
      </c>
      <c r="B1212" s="1">
        <v>1185732</v>
      </c>
      <c r="C1212" s="2">
        <v>44853</v>
      </c>
      <c r="D1212" s="1" t="s">
        <v>11</v>
      </c>
      <c r="E1212" s="1" t="s">
        <v>51</v>
      </c>
      <c r="F1212" s="1" t="s">
        <v>52</v>
      </c>
      <c r="G1212" s="1" t="s">
        <v>17</v>
      </c>
      <c r="H1212" s="1">
        <v>22</v>
      </c>
      <c r="I1212" s="1" t="s">
        <v>125</v>
      </c>
      <c r="J1212" s="3">
        <v>0.65</v>
      </c>
      <c r="K1212" s="4">
        <v>1000</v>
      </c>
      <c r="L1212" s="5">
        <f t="shared" si="8"/>
        <v>650</v>
      </c>
      <c r="M1212" s="5">
        <f t="shared" si="9"/>
        <v>162.5</v>
      </c>
      <c r="N1212" s="6">
        <v>0.25</v>
      </c>
    </row>
    <row r="1213" spans="1:14" ht="15.75" customHeight="1" x14ac:dyDescent="0.45">
      <c r="A1213" s="1" t="s">
        <v>119</v>
      </c>
      <c r="B1213" s="1">
        <v>1185732</v>
      </c>
      <c r="C1213" s="2">
        <v>44853</v>
      </c>
      <c r="D1213" s="1" t="s">
        <v>11</v>
      </c>
      <c r="E1213" s="1" t="s">
        <v>51</v>
      </c>
      <c r="F1213" s="1" t="s">
        <v>52</v>
      </c>
      <c r="G1213" s="1" t="s">
        <v>18</v>
      </c>
      <c r="H1213" s="1">
        <v>30</v>
      </c>
      <c r="I1213" s="1" t="s">
        <v>124</v>
      </c>
      <c r="J1213" s="3">
        <v>0.7</v>
      </c>
      <c r="K1213" s="4">
        <v>2250</v>
      </c>
      <c r="L1213" s="5">
        <f t="shared" si="8"/>
        <v>1575</v>
      </c>
      <c r="M1213" s="5">
        <f t="shared" si="9"/>
        <v>630</v>
      </c>
      <c r="N1213" s="6">
        <v>0.4</v>
      </c>
    </row>
    <row r="1214" spans="1:14" ht="15.75" customHeight="1" x14ac:dyDescent="0.45">
      <c r="A1214" s="1" t="s">
        <v>119</v>
      </c>
      <c r="B1214" s="1">
        <v>1185732</v>
      </c>
      <c r="C1214" s="2">
        <v>44883</v>
      </c>
      <c r="D1214" s="1" t="s">
        <v>11</v>
      </c>
      <c r="E1214" s="1" t="s">
        <v>51</v>
      </c>
      <c r="F1214" s="1" t="s">
        <v>52</v>
      </c>
      <c r="G1214" s="1" t="s">
        <v>13</v>
      </c>
      <c r="H1214" s="1">
        <v>23</v>
      </c>
      <c r="I1214" s="1" t="s">
        <v>125</v>
      </c>
      <c r="J1214" s="3">
        <v>0.65</v>
      </c>
      <c r="K1214" s="4">
        <v>3750</v>
      </c>
      <c r="L1214" s="5">
        <f t="shared" si="8"/>
        <v>2437.5</v>
      </c>
      <c r="M1214" s="5">
        <f t="shared" si="9"/>
        <v>853.125</v>
      </c>
      <c r="N1214" s="6">
        <v>0.35</v>
      </c>
    </row>
    <row r="1215" spans="1:14" ht="15.75" customHeight="1" x14ac:dyDescent="0.45">
      <c r="A1215" s="1" t="s">
        <v>119</v>
      </c>
      <c r="B1215" s="1">
        <v>1185732</v>
      </c>
      <c r="C1215" s="2">
        <v>44883</v>
      </c>
      <c r="D1215" s="1" t="s">
        <v>11</v>
      </c>
      <c r="E1215" s="1" t="s">
        <v>51</v>
      </c>
      <c r="F1215" s="1" t="s">
        <v>52</v>
      </c>
      <c r="G1215" s="1" t="s">
        <v>14</v>
      </c>
      <c r="H1215" s="1">
        <v>54</v>
      </c>
      <c r="I1215" s="1" t="s">
        <v>126</v>
      </c>
      <c r="J1215" s="3">
        <v>0.55000000000000004</v>
      </c>
      <c r="K1215" s="4">
        <v>2000</v>
      </c>
      <c r="L1215" s="5">
        <f t="shared" si="8"/>
        <v>1100</v>
      </c>
      <c r="M1215" s="5">
        <f t="shared" si="9"/>
        <v>385</v>
      </c>
      <c r="N1215" s="6">
        <v>0.35</v>
      </c>
    </row>
    <row r="1216" spans="1:14" ht="15.75" customHeight="1" x14ac:dyDescent="0.45">
      <c r="A1216" s="1" t="s">
        <v>119</v>
      </c>
      <c r="B1216" s="1">
        <v>1185732</v>
      </c>
      <c r="C1216" s="2">
        <v>44883</v>
      </c>
      <c r="D1216" s="1" t="s">
        <v>11</v>
      </c>
      <c r="E1216" s="1" t="s">
        <v>51</v>
      </c>
      <c r="F1216" s="1" t="s">
        <v>52</v>
      </c>
      <c r="G1216" s="1" t="s">
        <v>15</v>
      </c>
      <c r="H1216" s="1">
        <v>39</v>
      </c>
      <c r="I1216" s="1" t="s">
        <v>123</v>
      </c>
      <c r="J1216" s="3">
        <v>0.55000000000000004</v>
      </c>
      <c r="K1216" s="4">
        <v>1950</v>
      </c>
      <c r="L1216" s="5">
        <f t="shared" si="8"/>
        <v>1072.5</v>
      </c>
      <c r="M1216" s="5">
        <f t="shared" si="9"/>
        <v>428.99999999999994</v>
      </c>
      <c r="N1216" s="6">
        <v>0.39999999999999997</v>
      </c>
    </row>
    <row r="1217" spans="1:14" ht="15.75" customHeight="1" x14ac:dyDescent="0.45">
      <c r="A1217" s="1" t="s">
        <v>119</v>
      </c>
      <c r="B1217" s="1">
        <v>1185732</v>
      </c>
      <c r="C1217" s="2">
        <v>44883</v>
      </c>
      <c r="D1217" s="1" t="s">
        <v>11</v>
      </c>
      <c r="E1217" s="1" t="s">
        <v>51</v>
      </c>
      <c r="F1217" s="1" t="s">
        <v>52</v>
      </c>
      <c r="G1217" s="1" t="s">
        <v>16</v>
      </c>
      <c r="H1217" s="1">
        <v>53</v>
      </c>
      <c r="I1217" s="1" t="s">
        <v>125</v>
      </c>
      <c r="J1217" s="3">
        <v>0.55000000000000004</v>
      </c>
      <c r="K1217" s="4">
        <v>1750</v>
      </c>
      <c r="L1217" s="5">
        <f t="shared" si="8"/>
        <v>962.50000000000011</v>
      </c>
      <c r="M1217" s="5">
        <f t="shared" si="9"/>
        <v>288.75</v>
      </c>
      <c r="N1217" s="6">
        <v>0.3</v>
      </c>
    </row>
    <row r="1218" spans="1:14" ht="15.75" customHeight="1" x14ac:dyDescent="0.45">
      <c r="A1218" s="1" t="s">
        <v>119</v>
      </c>
      <c r="B1218" s="1">
        <v>1185732</v>
      </c>
      <c r="C1218" s="2">
        <v>44883</v>
      </c>
      <c r="D1218" s="1" t="s">
        <v>11</v>
      </c>
      <c r="E1218" s="1" t="s">
        <v>51</v>
      </c>
      <c r="F1218" s="1" t="s">
        <v>52</v>
      </c>
      <c r="G1218" s="1" t="s">
        <v>17</v>
      </c>
      <c r="H1218" s="1">
        <v>58</v>
      </c>
      <c r="I1218" s="1" t="s">
        <v>124</v>
      </c>
      <c r="J1218" s="3">
        <v>0.65</v>
      </c>
      <c r="K1218" s="4">
        <v>1500</v>
      </c>
      <c r="L1218" s="5">
        <f t="shared" si="8"/>
        <v>975</v>
      </c>
      <c r="M1218" s="5">
        <f t="shared" si="9"/>
        <v>243.75</v>
      </c>
      <c r="N1218" s="6">
        <v>0.25</v>
      </c>
    </row>
    <row r="1219" spans="1:14" ht="15.75" customHeight="1" x14ac:dyDescent="0.45">
      <c r="A1219" s="1" t="s">
        <v>119</v>
      </c>
      <c r="B1219" s="1">
        <v>1185732</v>
      </c>
      <c r="C1219" s="2">
        <v>44883</v>
      </c>
      <c r="D1219" s="1" t="s">
        <v>11</v>
      </c>
      <c r="E1219" s="1" t="s">
        <v>51</v>
      </c>
      <c r="F1219" s="1" t="s">
        <v>52</v>
      </c>
      <c r="G1219" s="1" t="s">
        <v>18</v>
      </c>
      <c r="H1219" s="1">
        <v>38</v>
      </c>
      <c r="I1219" s="1" t="s">
        <v>124</v>
      </c>
      <c r="J1219" s="3">
        <v>0.7</v>
      </c>
      <c r="K1219" s="4">
        <v>2500</v>
      </c>
      <c r="L1219" s="5">
        <f t="shared" si="8"/>
        <v>1750</v>
      </c>
      <c r="M1219" s="5">
        <f t="shared" si="9"/>
        <v>700</v>
      </c>
      <c r="N1219" s="6">
        <v>0.4</v>
      </c>
    </row>
    <row r="1220" spans="1:14" ht="15.75" customHeight="1" x14ac:dyDescent="0.45">
      <c r="A1220" s="1" t="s">
        <v>119</v>
      </c>
      <c r="B1220" s="1">
        <v>1185732</v>
      </c>
      <c r="C1220" s="2">
        <v>44912</v>
      </c>
      <c r="D1220" s="1" t="s">
        <v>11</v>
      </c>
      <c r="E1220" s="1" t="s">
        <v>51</v>
      </c>
      <c r="F1220" s="1" t="s">
        <v>52</v>
      </c>
      <c r="G1220" s="1" t="s">
        <v>13</v>
      </c>
      <c r="H1220" s="1">
        <v>55</v>
      </c>
      <c r="I1220" s="1" t="s">
        <v>123</v>
      </c>
      <c r="J1220" s="3">
        <v>0.65</v>
      </c>
      <c r="K1220" s="4">
        <v>4750</v>
      </c>
      <c r="L1220" s="5">
        <f t="shared" si="8"/>
        <v>3087.5</v>
      </c>
      <c r="M1220" s="5">
        <f t="shared" si="9"/>
        <v>1080.625</v>
      </c>
      <c r="N1220" s="6">
        <v>0.35</v>
      </c>
    </row>
    <row r="1221" spans="1:14" ht="15.75" customHeight="1" x14ac:dyDescent="0.45">
      <c r="A1221" s="1" t="s">
        <v>119</v>
      </c>
      <c r="B1221" s="1">
        <v>1185732</v>
      </c>
      <c r="C1221" s="2">
        <v>44912</v>
      </c>
      <c r="D1221" s="1" t="s">
        <v>11</v>
      </c>
      <c r="E1221" s="1" t="s">
        <v>51</v>
      </c>
      <c r="F1221" s="1" t="s">
        <v>52</v>
      </c>
      <c r="G1221" s="1" t="s">
        <v>14</v>
      </c>
      <c r="H1221" s="1">
        <v>32</v>
      </c>
      <c r="I1221" s="1" t="s">
        <v>125</v>
      </c>
      <c r="J1221" s="3">
        <v>0.55000000000000004</v>
      </c>
      <c r="K1221" s="4">
        <v>2750</v>
      </c>
      <c r="L1221" s="5">
        <f t="shared" si="8"/>
        <v>1512.5000000000002</v>
      </c>
      <c r="M1221" s="5">
        <f t="shared" si="9"/>
        <v>529.375</v>
      </c>
      <c r="N1221" s="6">
        <v>0.35</v>
      </c>
    </row>
    <row r="1222" spans="1:14" ht="15.75" customHeight="1" x14ac:dyDescent="0.45">
      <c r="A1222" s="1" t="s">
        <v>119</v>
      </c>
      <c r="B1222" s="1">
        <v>1185732</v>
      </c>
      <c r="C1222" s="2">
        <v>44912</v>
      </c>
      <c r="D1222" s="1" t="s">
        <v>11</v>
      </c>
      <c r="E1222" s="1" t="s">
        <v>51</v>
      </c>
      <c r="F1222" s="1" t="s">
        <v>52</v>
      </c>
      <c r="G1222" s="1" t="s">
        <v>15</v>
      </c>
      <c r="H1222" s="1">
        <v>34</v>
      </c>
      <c r="I1222" s="1" t="s">
        <v>124</v>
      </c>
      <c r="J1222" s="3">
        <v>0.55000000000000004</v>
      </c>
      <c r="K1222" s="4">
        <v>2500</v>
      </c>
      <c r="L1222" s="5">
        <f t="shared" si="8"/>
        <v>1375</v>
      </c>
      <c r="M1222" s="5">
        <f t="shared" si="9"/>
        <v>550</v>
      </c>
      <c r="N1222" s="6">
        <v>0.39999999999999997</v>
      </c>
    </row>
    <row r="1223" spans="1:14" ht="15.75" customHeight="1" x14ac:dyDescent="0.45">
      <c r="A1223" s="1" t="s">
        <v>119</v>
      </c>
      <c r="B1223" s="1">
        <v>1185732</v>
      </c>
      <c r="C1223" s="2">
        <v>44912</v>
      </c>
      <c r="D1223" s="1" t="s">
        <v>11</v>
      </c>
      <c r="E1223" s="1" t="s">
        <v>51</v>
      </c>
      <c r="F1223" s="1" t="s">
        <v>52</v>
      </c>
      <c r="G1223" s="1" t="s">
        <v>16</v>
      </c>
      <c r="H1223" s="1">
        <v>41</v>
      </c>
      <c r="I1223" s="1" t="s">
        <v>125</v>
      </c>
      <c r="J1223" s="3">
        <v>0.55000000000000004</v>
      </c>
      <c r="K1223" s="4">
        <v>2000</v>
      </c>
      <c r="L1223" s="5">
        <f t="shared" si="8"/>
        <v>1100</v>
      </c>
      <c r="M1223" s="5">
        <f t="shared" si="9"/>
        <v>330</v>
      </c>
      <c r="N1223" s="6">
        <v>0.3</v>
      </c>
    </row>
    <row r="1224" spans="1:14" ht="15.75" customHeight="1" x14ac:dyDescent="0.45">
      <c r="A1224" s="1" t="s">
        <v>119</v>
      </c>
      <c r="B1224" s="1">
        <v>1185732</v>
      </c>
      <c r="C1224" s="2">
        <v>44912</v>
      </c>
      <c r="D1224" s="1" t="s">
        <v>11</v>
      </c>
      <c r="E1224" s="1" t="s">
        <v>51</v>
      </c>
      <c r="F1224" s="1" t="s">
        <v>52</v>
      </c>
      <c r="G1224" s="1" t="s">
        <v>17</v>
      </c>
      <c r="H1224" s="1">
        <v>55</v>
      </c>
      <c r="I1224" s="1" t="s">
        <v>124</v>
      </c>
      <c r="J1224" s="3">
        <v>0.65</v>
      </c>
      <c r="K1224" s="4">
        <v>2000</v>
      </c>
      <c r="L1224" s="5">
        <f t="shared" si="8"/>
        <v>1300</v>
      </c>
      <c r="M1224" s="5">
        <f t="shared" si="9"/>
        <v>325</v>
      </c>
      <c r="N1224" s="6">
        <v>0.25</v>
      </c>
    </row>
    <row r="1225" spans="1:14" ht="15.75" customHeight="1" x14ac:dyDescent="0.45">
      <c r="A1225" s="1" t="s">
        <v>119</v>
      </c>
      <c r="B1225" s="1">
        <v>1185732</v>
      </c>
      <c r="C1225" s="2">
        <v>44912</v>
      </c>
      <c r="D1225" s="1" t="s">
        <v>11</v>
      </c>
      <c r="E1225" s="1" t="s">
        <v>51</v>
      </c>
      <c r="F1225" s="1" t="s">
        <v>52</v>
      </c>
      <c r="G1225" s="1" t="s">
        <v>18</v>
      </c>
      <c r="H1225" s="1">
        <v>17</v>
      </c>
      <c r="I1225" s="1" t="s">
        <v>126</v>
      </c>
      <c r="J1225" s="3">
        <v>0.7</v>
      </c>
      <c r="K1225" s="4">
        <v>3000</v>
      </c>
      <c r="L1225" s="5">
        <f t="shared" si="8"/>
        <v>2100</v>
      </c>
      <c r="M1225" s="5">
        <f t="shared" si="9"/>
        <v>840</v>
      </c>
      <c r="N1225" s="6">
        <v>0.4</v>
      </c>
    </row>
    <row r="1226" spans="1:14" ht="15.75" customHeight="1" x14ac:dyDescent="0.45">
      <c r="A1226" s="1" t="s">
        <v>119</v>
      </c>
      <c r="B1226" s="1">
        <v>1185732</v>
      </c>
      <c r="C1226" s="2">
        <v>44573</v>
      </c>
      <c r="D1226" s="1" t="s">
        <v>38</v>
      </c>
      <c r="E1226" s="1" t="s">
        <v>39</v>
      </c>
      <c r="F1226" s="1" t="s">
        <v>53</v>
      </c>
      <c r="G1226" s="1" t="s">
        <v>13</v>
      </c>
      <c r="H1226" s="1">
        <v>32</v>
      </c>
      <c r="I1226" s="1" t="s">
        <v>124</v>
      </c>
      <c r="J1226" s="3">
        <v>0.45</v>
      </c>
      <c r="K1226" s="4">
        <v>8500</v>
      </c>
      <c r="L1226" s="5">
        <f t="shared" ref="L1226:L1387" si="10">J1226*K1226</f>
        <v>3825</v>
      </c>
      <c r="M1226" s="5">
        <f t="shared" ref="M1226:M1387" si="11">L1226*N1226</f>
        <v>1721.25</v>
      </c>
      <c r="N1226" s="6">
        <v>0.45</v>
      </c>
    </row>
    <row r="1227" spans="1:14" ht="15.75" customHeight="1" x14ac:dyDescent="0.45">
      <c r="A1227" s="1" t="s">
        <v>119</v>
      </c>
      <c r="B1227" s="1">
        <v>1185732</v>
      </c>
      <c r="C1227" s="2">
        <v>44573</v>
      </c>
      <c r="D1227" s="1" t="s">
        <v>38</v>
      </c>
      <c r="E1227" s="1" t="s">
        <v>39</v>
      </c>
      <c r="F1227" s="1" t="s">
        <v>53</v>
      </c>
      <c r="G1227" s="1" t="s">
        <v>14</v>
      </c>
      <c r="H1227" s="1">
        <v>21</v>
      </c>
      <c r="I1227" s="1" t="s">
        <v>123</v>
      </c>
      <c r="J1227" s="3">
        <v>0.45</v>
      </c>
      <c r="K1227" s="4">
        <v>6500</v>
      </c>
      <c r="L1227" s="5">
        <f t="shared" si="10"/>
        <v>2925</v>
      </c>
      <c r="M1227" s="5">
        <f t="shared" si="11"/>
        <v>1023.7499999999999</v>
      </c>
      <c r="N1227" s="6">
        <v>0.35</v>
      </c>
    </row>
    <row r="1228" spans="1:14" ht="15.75" customHeight="1" x14ac:dyDescent="0.45">
      <c r="A1228" s="1" t="s">
        <v>119</v>
      </c>
      <c r="B1228" s="1">
        <v>1185732</v>
      </c>
      <c r="C1228" s="2">
        <v>44573</v>
      </c>
      <c r="D1228" s="1" t="s">
        <v>38</v>
      </c>
      <c r="E1228" s="1" t="s">
        <v>39</v>
      </c>
      <c r="F1228" s="1" t="s">
        <v>53</v>
      </c>
      <c r="G1228" s="1" t="s">
        <v>15</v>
      </c>
      <c r="H1228" s="1">
        <v>37</v>
      </c>
      <c r="I1228" s="1" t="s">
        <v>124</v>
      </c>
      <c r="J1228" s="3">
        <v>0.35000000000000003</v>
      </c>
      <c r="K1228" s="4">
        <v>6500</v>
      </c>
      <c r="L1228" s="5">
        <f t="shared" si="10"/>
        <v>2275</v>
      </c>
      <c r="M1228" s="5">
        <f t="shared" si="11"/>
        <v>568.75</v>
      </c>
      <c r="N1228" s="6">
        <v>0.25</v>
      </c>
    </row>
    <row r="1229" spans="1:14" ht="15.75" customHeight="1" x14ac:dyDescent="0.45">
      <c r="A1229" s="1" t="s">
        <v>119</v>
      </c>
      <c r="B1229" s="1">
        <v>1185732</v>
      </c>
      <c r="C1229" s="2">
        <v>44573</v>
      </c>
      <c r="D1229" s="1" t="s">
        <v>38</v>
      </c>
      <c r="E1229" s="1" t="s">
        <v>39</v>
      </c>
      <c r="F1229" s="1" t="s">
        <v>53</v>
      </c>
      <c r="G1229" s="1" t="s">
        <v>16</v>
      </c>
      <c r="H1229" s="1">
        <v>21</v>
      </c>
      <c r="I1229" s="1" t="s">
        <v>123</v>
      </c>
      <c r="J1229" s="3">
        <v>0.39999999999999997</v>
      </c>
      <c r="K1229" s="4">
        <v>5000</v>
      </c>
      <c r="L1229" s="5">
        <f t="shared" si="10"/>
        <v>1999.9999999999998</v>
      </c>
      <c r="M1229" s="5">
        <f t="shared" si="11"/>
        <v>599.99999999999989</v>
      </c>
      <c r="N1229" s="6">
        <v>0.3</v>
      </c>
    </row>
    <row r="1230" spans="1:14" ht="15.75" customHeight="1" x14ac:dyDescent="0.45">
      <c r="A1230" s="1" t="s">
        <v>119</v>
      </c>
      <c r="B1230" s="1">
        <v>1185732</v>
      </c>
      <c r="C1230" s="2">
        <v>44573</v>
      </c>
      <c r="D1230" s="1" t="s">
        <v>38</v>
      </c>
      <c r="E1230" s="1" t="s">
        <v>39</v>
      </c>
      <c r="F1230" s="1" t="s">
        <v>53</v>
      </c>
      <c r="G1230" s="1" t="s">
        <v>17</v>
      </c>
      <c r="H1230" s="1">
        <v>21</v>
      </c>
      <c r="I1230" s="1" t="s">
        <v>123</v>
      </c>
      <c r="J1230" s="3">
        <v>0.55000000000000004</v>
      </c>
      <c r="K1230" s="4">
        <v>5500</v>
      </c>
      <c r="L1230" s="5">
        <f t="shared" si="10"/>
        <v>3025.0000000000005</v>
      </c>
      <c r="M1230" s="5">
        <f t="shared" si="11"/>
        <v>1058.75</v>
      </c>
      <c r="N1230" s="6">
        <v>0.35</v>
      </c>
    </row>
    <row r="1231" spans="1:14" ht="15.75" customHeight="1" x14ac:dyDescent="0.45">
      <c r="A1231" s="1" t="s">
        <v>119</v>
      </c>
      <c r="B1231" s="1">
        <v>1185732</v>
      </c>
      <c r="C1231" s="2">
        <v>44573</v>
      </c>
      <c r="D1231" s="1" t="s">
        <v>38</v>
      </c>
      <c r="E1231" s="1" t="s">
        <v>39</v>
      </c>
      <c r="F1231" s="1" t="s">
        <v>53</v>
      </c>
      <c r="G1231" s="1" t="s">
        <v>18</v>
      </c>
      <c r="H1231" s="1">
        <v>26</v>
      </c>
      <c r="I1231" s="1" t="s">
        <v>126</v>
      </c>
      <c r="J1231" s="3">
        <v>0.45</v>
      </c>
      <c r="K1231" s="4">
        <v>6500</v>
      </c>
      <c r="L1231" s="5">
        <f t="shared" si="10"/>
        <v>2925</v>
      </c>
      <c r="M1231" s="5">
        <f t="shared" si="11"/>
        <v>1462.5</v>
      </c>
      <c r="N1231" s="6">
        <v>0.5</v>
      </c>
    </row>
    <row r="1232" spans="1:14" ht="15.75" customHeight="1" x14ac:dyDescent="0.45">
      <c r="A1232" s="1" t="s">
        <v>119</v>
      </c>
      <c r="B1232" s="1">
        <v>1185732</v>
      </c>
      <c r="C1232" s="2">
        <v>44602</v>
      </c>
      <c r="D1232" s="1" t="s">
        <v>38</v>
      </c>
      <c r="E1232" s="1" t="s">
        <v>39</v>
      </c>
      <c r="F1232" s="1" t="s">
        <v>53</v>
      </c>
      <c r="G1232" s="1" t="s">
        <v>13</v>
      </c>
      <c r="H1232" s="1">
        <v>24</v>
      </c>
      <c r="I1232" s="1" t="s">
        <v>126</v>
      </c>
      <c r="J1232" s="3">
        <v>0.45</v>
      </c>
      <c r="K1232" s="4">
        <v>9000</v>
      </c>
      <c r="L1232" s="5">
        <f t="shared" si="10"/>
        <v>4050</v>
      </c>
      <c r="M1232" s="5">
        <f t="shared" si="11"/>
        <v>1822.5</v>
      </c>
      <c r="N1232" s="6">
        <v>0.45</v>
      </c>
    </row>
    <row r="1233" spans="1:14" ht="15.75" customHeight="1" x14ac:dyDescent="0.45">
      <c r="A1233" s="1" t="s">
        <v>119</v>
      </c>
      <c r="B1233" s="1">
        <v>1185732</v>
      </c>
      <c r="C1233" s="2">
        <v>44602</v>
      </c>
      <c r="D1233" s="1" t="s">
        <v>38</v>
      </c>
      <c r="E1233" s="1" t="s">
        <v>39</v>
      </c>
      <c r="F1233" s="1" t="s">
        <v>53</v>
      </c>
      <c r="G1233" s="1" t="s">
        <v>14</v>
      </c>
      <c r="H1233" s="1">
        <v>54</v>
      </c>
      <c r="I1233" s="1" t="s">
        <v>125</v>
      </c>
      <c r="J1233" s="3">
        <v>0.45</v>
      </c>
      <c r="K1233" s="4">
        <v>5500</v>
      </c>
      <c r="L1233" s="5">
        <f t="shared" si="10"/>
        <v>2475</v>
      </c>
      <c r="M1233" s="5">
        <f t="shared" si="11"/>
        <v>866.25</v>
      </c>
      <c r="N1233" s="6">
        <v>0.35</v>
      </c>
    </row>
    <row r="1234" spans="1:14" ht="15.75" customHeight="1" x14ac:dyDescent="0.45">
      <c r="A1234" s="1" t="s">
        <v>119</v>
      </c>
      <c r="B1234" s="1">
        <v>1185732</v>
      </c>
      <c r="C1234" s="2">
        <v>44602</v>
      </c>
      <c r="D1234" s="1" t="s">
        <v>38</v>
      </c>
      <c r="E1234" s="1" t="s">
        <v>39</v>
      </c>
      <c r="F1234" s="1" t="s">
        <v>53</v>
      </c>
      <c r="G1234" s="1" t="s">
        <v>15</v>
      </c>
      <c r="H1234" s="1">
        <v>34</v>
      </c>
      <c r="I1234" s="1" t="s">
        <v>124</v>
      </c>
      <c r="J1234" s="3">
        <v>0.35000000000000003</v>
      </c>
      <c r="K1234" s="4">
        <v>6000</v>
      </c>
      <c r="L1234" s="5">
        <f t="shared" si="10"/>
        <v>2100</v>
      </c>
      <c r="M1234" s="5">
        <f t="shared" si="11"/>
        <v>525</v>
      </c>
      <c r="N1234" s="6">
        <v>0.25</v>
      </c>
    </row>
    <row r="1235" spans="1:14" ht="15.75" customHeight="1" x14ac:dyDescent="0.45">
      <c r="A1235" s="1" t="s">
        <v>119</v>
      </c>
      <c r="B1235" s="1">
        <v>1185732</v>
      </c>
      <c r="C1235" s="2">
        <v>44602</v>
      </c>
      <c r="D1235" s="1" t="s">
        <v>38</v>
      </c>
      <c r="E1235" s="1" t="s">
        <v>39</v>
      </c>
      <c r="F1235" s="1" t="s">
        <v>53</v>
      </c>
      <c r="G1235" s="1" t="s">
        <v>16</v>
      </c>
      <c r="H1235" s="1">
        <v>51</v>
      </c>
      <c r="I1235" s="1" t="s">
        <v>123</v>
      </c>
      <c r="J1235" s="3">
        <v>0.39999999999999997</v>
      </c>
      <c r="K1235" s="4">
        <v>4750</v>
      </c>
      <c r="L1235" s="5">
        <f t="shared" si="10"/>
        <v>1899.9999999999998</v>
      </c>
      <c r="M1235" s="5">
        <f t="shared" si="11"/>
        <v>569.99999999999989</v>
      </c>
      <c r="N1235" s="6">
        <v>0.3</v>
      </c>
    </row>
    <row r="1236" spans="1:14" ht="15.75" customHeight="1" x14ac:dyDescent="0.45">
      <c r="A1236" s="1" t="s">
        <v>119</v>
      </c>
      <c r="B1236" s="1">
        <v>1185732</v>
      </c>
      <c r="C1236" s="2">
        <v>44602</v>
      </c>
      <c r="D1236" s="1" t="s">
        <v>38</v>
      </c>
      <c r="E1236" s="1" t="s">
        <v>39</v>
      </c>
      <c r="F1236" s="1" t="s">
        <v>53</v>
      </c>
      <c r="G1236" s="1" t="s">
        <v>17</v>
      </c>
      <c r="H1236" s="1">
        <v>54</v>
      </c>
      <c r="I1236" s="1" t="s">
        <v>126</v>
      </c>
      <c r="J1236" s="3">
        <v>0.55000000000000004</v>
      </c>
      <c r="K1236" s="4">
        <v>5500</v>
      </c>
      <c r="L1236" s="5">
        <f t="shared" si="10"/>
        <v>3025.0000000000005</v>
      </c>
      <c r="M1236" s="5">
        <f t="shared" si="11"/>
        <v>1058.75</v>
      </c>
      <c r="N1236" s="6">
        <v>0.35</v>
      </c>
    </row>
    <row r="1237" spans="1:14" ht="15.75" customHeight="1" x14ac:dyDescent="0.45">
      <c r="A1237" s="1" t="s">
        <v>119</v>
      </c>
      <c r="B1237" s="1">
        <v>1185732</v>
      </c>
      <c r="C1237" s="2">
        <v>44602</v>
      </c>
      <c r="D1237" s="1" t="s">
        <v>38</v>
      </c>
      <c r="E1237" s="1" t="s">
        <v>39</v>
      </c>
      <c r="F1237" s="1" t="s">
        <v>53</v>
      </c>
      <c r="G1237" s="1" t="s">
        <v>18</v>
      </c>
      <c r="H1237" s="1">
        <v>36</v>
      </c>
      <c r="I1237" s="1" t="s">
        <v>126</v>
      </c>
      <c r="J1237" s="3">
        <v>0.45</v>
      </c>
      <c r="K1237" s="4">
        <v>6500</v>
      </c>
      <c r="L1237" s="5">
        <f t="shared" si="10"/>
        <v>2925</v>
      </c>
      <c r="M1237" s="5">
        <f t="shared" si="11"/>
        <v>1462.5</v>
      </c>
      <c r="N1237" s="6">
        <v>0.5</v>
      </c>
    </row>
    <row r="1238" spans="1:14" ht="15.75" customHeight="1" x14ac:dyDescent="0.45">
      <c r="A1238" s="1" t="s">
        <v>119</v>
      </c>
      <c r="B1238" s="1">
        <v>1185732</v>
      </c>
      <c r="C1238" s="2">
        <v>44628</v>
      </c>
      <c r="D1238" s="1" t="s">
        <v>38</v>
      </c>
      <c r="E1238" s="1" t="s">
        <v>39</v>
      </c>
      <c r="F1238" s="1" t="s">
        <v>53</v>
      </c>
      <c r="G1238" s="1" t="s">
        <v>13</v>
      </c>
      <c r="H1238" s="1">
        <v>28</v>
      </c>
      <c r="I1238" s="1" t="s">
        <v>126</v>
      </c>
      <c r="J1238" s="3">
        <v>0.45</v>
      </c>
      <c r="K1238" s="4">
        <v>8700</v>
      </c>
      <c r="L1238" s="5">
        <f t="shared" si="10"/>
        <v>3915</v>
      </c>
      <c r="M1238" s="5">
        <f t="shared" si="11"/>
        <v>1761.75</v>
      </c>
      <c r="N1238" s="6">
        <v>0.45</v>
      </c>
    </row>
    <row r="1239" spans="1:14" ht="15.75" customHeight="1" x14ac:dyDescent="0.45">
      <c r="A1239" s="1" t="s">
        <v>119</v>
      </c>
      <c r="B1239" s="1">
        <v>1185732</v>
      </c>
      <c r="C1239" s="2">
        <v>44628</v>
      </c>
      <c r="D1239" s="1" t="s">
        <v>38</v>
      </c>
      <c r="E1239" s="1" t="s">
        <v>39</v>
      </c>
      <c r="F1239" s="1" t="s">
        <v>53</v>
      </c>
      <c r="G1239" s="1" t="s">
        <v>14</v>
      </c>
      <c r="H1239" s="1">
        <v>45</v>
      </c>
      <c r="I1239" s="1" t="s">
        <v>124</v>
      </c>
      <c r="J1239" s="3">
        <v>0.45</v>
      </c>
      <c r="K1239" s="4">
        <v>5500</v>
      </c>
      <c r="L1239" s="5">
        <f t="shared" si="10"/>
        <v>2475</v>
      </c>
      <c r="M1239" s="5">
        <f t="shared" si="11"/>
        <v>866.25</v>
      </c>
      <c r="N1239" s="6">
        <v>0.35</v>
      </c>
    </row>
    <row r="1240" spans="1:14" ht="15.75" customHeight="1" x14ac:dyDescent="0.45">
      <c r="A1240" s="1" t="s">
        <v>119</v>
      </c>
      <c r="B1240" s="1">
        <v>1185732</v>
      </c>
      <c r="C1240" s="2">
        <v>44628</v>
      </c>
      <c r="D1240" s="1" t="s">
        <v>38</v>
      </c>
      <c r="E1240" s="1" t="s">
        <v>39</v>
      </c>
      <c r="F1240" s="1" t="s">
        <v>53</v>
      </c>
      <c r="G1240" s="1" t="s">
        <v>15</v>
      </c>
      <c r="H1240" s="1">
        <v>56</v>
      </c>
      <c r="I1240" s="1" t="s">
        <v>126</v>
      </c>
      <c r="J1240" s="3">
        <v>0.35000000000000003</v>
      </c>
      <c r="K1240" s="4">
        <v>5750</v>
      </c>
      <c r="L1240" s="5">
        <f t="shared" si="10"/>
        <v>2012.5000000000002</v>
      </c>
      <c r="M1240" s="5">
        <f t="shared" si="11"/>
        <v>503.12500000000006</v>
      </c>
      <c r="N1240" s="6">
        <v>0.25</v>
      </c>
    </row>
    <row r="1241" spans="1:14" ht="15.75" customHeight="1" x14ac:dyDescent="0.45">
      <c r="A1241" s="1" t="s">
        <v>119</v>
      </c>
      <c r="B1241" s="1">
        <v>1185732</v>
      </c>
      <c r="C1241" s="2">
        <v>44628</v>
      </c>
      <c r="D1241" s="1" t="s">
        <v>38</v>
      </c>
      <c r="E1241" s="1" t="s">
        <v>39</v>
      </c>
      <c r="F1241" s="1" t="s">
        <v>53</v>
      </c>
      <c r="G1241" s="1" t="s">
        <v>16</v>
      </c>
      <c r="H1241" s="1">
        <v>57</v>
      </c>
      <c r="I1241" s="1" t="s">
        <v>126</v>
      </c>
      <c r="J1241" s="3">
        <v>0.39999999999999997</v>
      </c>
      <c r="K1241" s="4">
        <v>4250</v>
      </c>
      <c r="L1241" s="5">
        <f t="shared" si="10"/>
        <v>1699.9999999999998</v>
      </c>
      <c r="M1241" s="5">
        <f t="shared" si="11"/>
        <v>509.99999999999989</v>
      </c>
      <c r="N1241" s="6">
        <v>0.3</v>
      </c>
    </row>
    <row r="1242" spans="1:14" ht="15.75" customHeight="1" x14ac:dyDescent="0.45">
      <c r="A1242" s="1" t="s">
        <v>119</v>
      </c>
      <c r="B1242" s="1">
        <v>1185732</v>
      </c>
      <c r="C1242" s="2">
        <v>44628</v>
      </c>
      <c r="D1242" s="1" t="s">
        <v>38</v>
      </c>
      <c r="E1242" s="1" t="s">
        <v>39</v>
      </c>
      <c r="F1242" s="1" t="s">
        <v>53</v>
      </c>
      <c r="G1242" s="1" t="s">
        <v>17</v>
      </c>
      <c r="H1242" s="1">
        <v>34</v>
      </c>
      <c r="I1242" s="1" t="s">
        <v>124</v>
      </c>
      <c r="J1242" s="3">
        <v>0.55000000000000004</v>
      </c>
      <c r="K1242" s="4">
        <v>4750</v>
      </c>
      <c r="L1242" s="5">
        <f t="shared" si="10"/>
        <v>2612.5</v>
      </c>
      <c r="M1242" s="5">
        <f t="shared" si="11"/>
        <v>914.37499999999989</v>
      </c>
      <c r="N1242" s="6">
        <v>0.35</v>
      </c>
    </row>
    <row r="1243" spans="1:14" ht="15.75" customHeight="1" x14ac:dyDescent="0.45">
      <c r="A1243" s="1" t="s">
        <v>119</v>
      </c>
      <c r="B1243" s="1">
        <v>1185732</v>
      </c>
      <c r="C1243" s="2">
        <v>44628</v>
      </c>
      <c r="D1243" s="1" t="s">
        <v>38</v>
      </c>
      <c r="E1243" s="1" t="s">
        <v>39</v>
      </c>
      <c r="F1243" s="1" t="s">
        <v>53</v>
      </c>
      <c r="G1243" s="1" t="s">
        <v>18</v>
      </c>
      <c r="H1243" s="1">
        <v>28</v>
      </c>
      <c r="I1243" s="1" t="s">
        <v>126</v>
      </c>
      <c r="J1243" s="3">
        <v>0.45</v>
      </c>
      <c r="K1243" s="4">
        <v>5750</v>
      </c>
      <c r="L1243" s="5">
        <f t="shared" si="10"/>
        <v>2587.5</v>
      </c>
      <c r="M1243" s="5">
        <f t="shared" si="11"/>
        <v>1293.75</v>
      </c>
      <c r="N1243" s="6">
        <v>0.5</v>
      </c>
    </row>
    <row r="1244" spans="1:14" ht="15.75" customHeight="1" x14ac:dyDescent="0.45">
      <c r="A1244" s="1" t="s">
        <v>119</v>
      </c>
      <c r="B1244" s="1">
        <v>1185732</v>
      </c>
      <c r="C1244" s="2">
        <v>44660</v>
      </c>
      <c r="D1244" s="1" t="s">
        <v>38</v>
      </c>
      <c r="E1244" s="1" t="s">
        <v>39</v>
      </c>
      <c r="F1244" s="1" t="s">
        <v>53</v>
      </c>
      <c r="G1244" s="1" t="s">
        <v>13</v>
      </c>
      <c r="H1244" s="1">
        <v>20</v>
      </c>
      <c r="I1244" s="1" t="s">
        <v>124</v>
      </c>
      <c r="J1244" s="3">
        <v>0.45</v>
      </c>
      <c r="K1244" s="4">
        <v>8250</v>
      </c>
      <c r="L1244" s="5">
        <f t="shared" si="10"/>
        <v>3712.5</v>
      </c>
      <c r="M1244" s="5">
        <f t="shared" si="11"/>
        <v>1670.625</v>
      </c>
      <c r="N1244" s="6">
        <v>0.45</v>
      </c>
    </row>
    <row r="1245" spans="1:14" ht="15.75" customHeight="1" x14ac:dyDescent="0.45">
      <c r="A1245" s="1" t="s">
        <v>119</v>
      </c>
      <c r="B1245" s="1">
        <v>1185732</v>
      </c>
      <c r="C1245" s="2">
        <v>44660</v>
      </c>
      <c r="D1245" s="1" t="s">
        <v>38</v>
      </c>
      <c r="E1245" s="1" t="s">
        <v>39</v>
      </c>
      <c r="F1245" s="1" t="s">
        <v>53</v>
      </c>
      <c r="G1245" s="1" t="s">
        <v>14</v>
      </c>
      <c r="H1245" s="1">
        <v>57</v>
      </c>
      <c r="I1245" s="1" t="s">
        <v>126</v>
      </c>
      <c r="J1245" s="3">
        <v>0.45</v>
      </c>
      <c r="K1245" s="4">
        <v>5250</v>
      </c>
      <c r="L1245" s="5">
        <f t="shared" si="10"/>
        <v>2362.5</v>
      </c>
      <c r="M1245" s="5">
        <f t="shared" si="11"/>
        <v>826.875</v>
      </c>
      <c r="N1245" s="6">
        <v>0.35</v>
      </c>
    </row>
    <row r="1246" spans="1:14" ht="15.75" customHeight="1" x14ac:dyDescent="0.45">
      <c r="A1246" s="1" t="s">
        <v>119</v>
      </c>
      <c r="B1246" s="1">
        <v>1185732</v>
      </c>
      <c r="C1246" s="2">
        <v>44660</v>
      </c>
      <c r="D1246" s="1" t="s">
        <v>38</v>
      </c>
      <c r="E1246" s="1" t="s">
        <v>39</v>
      </c>
      <c r="F1246" s="1" t="s">
        <v>53</v>
      </c>
      <c r="G1246" s="1" t="s">
        <v>15</v>
      </c>
      <c r="H1246" s="1">
        <v>17</v>
      </c>
      <c r="I1246" s="1" t="s">
        <v>124</v>
      </c>
      <c r="J1246" s="3">
        <v>0.35000000000000003</v>
      </c>
      <c r="K1246" s="4">
        <v>5250</v>
      </c>
      <c r="L1246" s="5">
        <f t="shared" si="10"/>
        <v>1837.5000000000002</v>
      </c>
      <c r="M1246" s="5">
        <f t="shared" si="11"/>
        <v>459.37500000000006</v>
      </c>
      <c r="N1246" s="6">
        <v>0.25</v>
      </c>
    </row>
    <row r="1247" spans="1:14" ht="15.75" customHeight="1" x14ac:dyDescent="0.45">
      <c r="A1247" s="1" t="s">
        <v>119</v>
      </c>
      <c r="B1247" s="1">
        <v>1185732</v>
      </c>
      <c r="C1247" s="2">
        <v>44660</v>
      </c>
      <c r="D1247" s="1" t="s">
        <v>38</v>
      </c>
      <c r="E1247" s="1" t="s">
        <v>39</v>
      </c>
      <c r="F1247" s="1" t="s">
        <v>53</v>
      </c>
      <c r="G1247" s="1" t="s">
        <v>16</v>
      </c>
      <c r="H1247" s="1">
        <v>49</v>
      </c>
      <c r="I1247" s="1" t="s">
        <v>124</v>
      </c>
      <c r="J1247" s="3">
        <v>0.39999999999999997</v>
      </c>
      <c r="K1247" s="4">
        <v>4500</v>
      </c>
      <c r="L1247" s="5">
        <f t="shared" si="10"/>
        <v>1799.9999999999998</v>
      </c>
      <c r="M1247" s="5">
        <f t="shared" si="11"/>
        <v>539.99999999999989</v>
      </c>
      <c r="N1247" s="6">
        <v>0.3</v>
      </c>
    </row>
    <row r="1248" spans="1:14" ht="15.75" customHeight="1" x14ac:dyDescent="0.45">
      <c r="A1248" s="1" t="s">
        <v>119</v>
      </c>
      <c r="B1248" s="1">
        <v>1185732</v>
      </c>
      <c r="C1248" s="2">
        <v>44660</v>
      </c>
      <c r="D1248" s="1" t="s">
        <v>38</v>
      </c>
      <c r="E1248" s="1" t="s">
        <v>39</v>
      </c>
      <c r="F1248" s="1" t="s">
        <v>53</v>
      </c>
      <c r="G1248" s="1" t="s">
        <v>17</v>
      </c>
      <c r="H1248" s="1">
        <v>17</v>
      </c>
      <c r="I1248" s="1" t="s">
        <v>126</v>
      </c>
      <c r="J1248" s="3">
        <v>0.55000000000000004</v>
      </c>
      <c r="K1248" s="4">
        <v>4750</v>
      </c>
      <c r="L1248" s="5">
        <f t="shared" si="10"/>
        <v>2612.5</v>
      </c>
      <c r="M1248" s="5">
        <f t="shared" si="11"/>
        <v>914.37499999999989</v>
      </c>
      <c r="N1248" s="6">
        <v>0.35</v>
      </c>
    </row>
    <row r="1249" spans="1:14" ht="15.75" customHeight="1" x14ac:dyDescent="0.45">
      <c r="A1249" s="1" t="s">
        <v>119</v>
      </c>
      <c r="B1249" s="1">
        <v>1185732</v>
      </c>
      <c r="C1249" s="2">
        <v>44660</v>
      </c>
      <c r="D1249" s="1" t="s">
        <v>38</v>
      </c>
      <c r="E1249" s="1" t="s">
        <v>39</v>
      </c>
      <c r="F1249" s="1" t="s">
        <v>53</v>
      </c>
      <c r="G1249" s="1" t="s">
        <v>18</v>
      </c>
      <c r="H1249" s="1">
        <v>33</v>
      </c>
      <c r="I1249" s="1" t="s">
        <v>125</v>
      </c>
      <c r="J1249" s="3">
        <v>0.45</v>
      </c>
      <c r="K1249" s="4">
        <v>6000</v>
      </c>
      <c r="L1249" s="5">
        <f t="shared" si="10"/>
        <v>2700</v>
      </c>
      <c r="M1249" s="5">
        <f t="shared" si="11"/>
        <v>1350</v>
      </c>
      <c r="N1249" s="6">
        <v>0.5</v>
      </c>
    </row>
    <row r="1250" spans="1:14" ht="15.75" customHeight="1" x14ac:dyDescent="0.45">
      <c r="A1250" s="1" t="s">
        <v>119</v>
      </c>
      <c r="B1250" s="1">
        <v>1185732</v>
      </c>
      <c r="C1250" s="2">
        <v>44689</v>
      </c>
      <c r="D1250" s="1" t="s">
        <v>38</v>
      </c>
      <c r="E1250" s="1" t="s">
        <v>39</v>
      </c>
      <c r="F1250" s="1" t="s">
        <v>53</v>
      </c>
      <c r="G1250" s="1" t="s">
        <v>13</v>
      </c>
      <c r="H1250" s="1">
        <v>53</v>
      </c>
      <c r="I1250" s="1" t="s">
        <v>126</v>
      </c>
      <c r="J1250" s="3">
        <v>0.55000000000000004</v>
      </c>
      <c r="K1250" s="4">
        <v>8700</v>
      </c>
      <c r="L1250" s="5">
        <f t="shared" si="10"/>
        <v>4785</v>
      </c>
      <c r="M1250" s="5">
        <f t="shared" si="11"/>
        <v>2153.25</v>
      </c>
      <c r="N1250" s="6">
        <v>0.45</v>
      </c>
    </row>
    <row r="1251" spans="1:14" ht="15.75" customHeight="1" x14ac:dyDescent="0.45">
      <c r="A1251" s="1" t="s">
        <v>119</v>
      </c>
      <c r="B1251" s="1">
        <v>1185732</v>
      </c>
      <c r="C1251" s="2">
        <v>44689</v>
      </c>
      <c r="D1251" s="1" t="s">
        <v>38</v>
      </c>
      <c r="E1251" s="1" t="s">
        <v>39</v>
      </c>
      <c r="F1251" s="1" t="s">
        <v>53</v>
      </c>
      <c r="G1251" s="1" t="s">
        <v>14</v>
      </c>
      <c r="H1251" s="1">
        <v>23</v>
      </c>
      <c r="I1251" s="1" t="s">
        <v>125</v>
      </c>
      <c r="J1251" s="3">
        <v>0.55000000000000004</v>
      </c>
      <c r="K1251" s="4">
        <v>5750</v>
      </c>
      <c r="L1251" s="5">
        <f t="shared" si="10"/>
        <v>3162.5000000000005</v>
      </c>
      <c r="M1251" s="5">
        <f t="shared" si="11"/>
        <v>1106.875</v>
      </c>
      <c r="N1251" s="6">
        <v>0.35</v>
      </c>
    </row>
    <row r="1252" spans="1:14" ht="15.75" customHeight="1" x14ac:dyDescent="0.45">
      <c r="A1252" s="1" t="s">
        <v>119</v>
      </c>
      <c r="B1252" s="1">
        <v>1185732</v>
      </c>
      <c r="C1252" s="2">
        <v>44689</v>
      </c>
      <c r="D1252" s="1" t="s">
        <v>38</v>
      </c>
      <c r="E1252" s="1" t="s">
        <v>39</v>
      </c>
      <c r="F1252" s="1" t="s">
        <v>53</v>
      </c>
      <c r="G1252" s="1" t="s">
        <v>15</v>
      </c>
      <c r="H1252" s="1">
        <v>39</v>
      </c>
      <c r="I1252" s="1" t="s">
        <v>125</v>
      </c>
      <c r="J1252" s="3">
        <v>0.5</v>
      </c>
      <c r="K1252" s="4">
        <v>5500</v>
      </c>
      <c r="L1252" s="5">
        <f t="shared" si="10"/>
        <v>2750</v>
      </c>
      <c r="M1252" s="5">
        <f t="shared" si="11"/>
        <v>687.5</v>
      </c>
      <c r="N1252" s="6">
        <v>0.25</v>
      </c>
    </row>
    <row r="1253" spans="1:14" ht="15.75" customHeight="1" x14ac:dyDescent="0.45">
      <c r="A1253" s="1" t="s">
        <v>119</v>
      </c>
      <c r="B1253" s="1">
        <v>1185732</v>
      </c>
      <c r="C1253" s="2">
        <v>44689</v>
      </c>
      <c r="D1253" s="1" t="s">
        <v>38</v>
      </c>
      <c r="E1253" s="1" t="s">
        <v>39</v>
      </c>
      <c r="F1253" s="1" t="s">
        <v>53</v>
      </c>
      <c r="G1253" s="1" t="s">
        <v>16</v>
      </c>
      <c r="H1253" s="1">
        <v>25</v>
      </c>
      <c r="I1253" s="1" t="s">
        <v>123</v>
      </c>
      <c r="J1253" s="3">
        <v>0.5</v>
      </c>
      <c r="K1253" s="4">
        <v>5000</v>
      </c>
      <c r="L1253" s="5">
        <f t="shared" si="10"/>
        <v>2500</v>
      </c>
      <c r="M1253" s="5">
        <f t="shared" si="11"/>
        <v>750</v>
      </c>
      <c r="N1253" s="6">
        <v>0.3</v>
      </c>
    </row>
    <row r="1254" spans="1:14" ht="15.75" customHeight="1" x14ac:dyDescent="0.45">
      <c r="A1254" s="1" t="s">
        <v>119</v>
      </c>
      <c r="B1254" s="1">
        <v>1185732</v>
      </c>
      <c r="C1254" s="2">
        <v>44689</v>
      </c>
      <c r="D1254" s="1" t="s">
        <v>38</v>
      </c>
      <c r="E1254" s="1" t="s">
        <v>39</v>
      </c>
      <c r="F1254" s="1" t="s">
        <v>53</v>
      </c>
      <c r="G1254" s="1" t="s">
        <v>17</v>
      </c>
      <c r="H1254" s="1">
        <v>53</v>
      </c>
      <c r="I1254" s="1" t="s">
        <v>124</v>
      </c>
      <c r="J1254" s="3">
        <v>0.6</v>
      </c>
      <c r="K1254" s="4">
        <v>5250</v>
      </c>
      <c r="L1254" s="5">
        <f t="shared" si="10"/>
        <v>3150</v>
      </c>
      <c r="M1254" s="5">
        <f t="shared" si="11"/>
        <v>1102.5</v>
      </c>
      <c r="N1254" s="6">
        <v>0.35</v>
      </c>
    </row>
    <row r="1255" spans="1:14" ht="15.75" customHeight="1" x14ac:dyDescent="0.45">
      <c r="A1255" s="1" t="s">
        <v>119</v>
      </c>
      <c r="B1255" s="1">
        <v>1185732</v>
      </c>
      <c r="C1255" s="2">
        <v>44689</v>
      </c>
      <c r="D1255" s="1" t="s">
        <v>38</v>
      </c>
      <c r="E1255" s="1" t="s">
        <v>39</v>
      </c>
      <c r="F1255" s="1" t="s">
        <v>53</v>
      </c>
      <c r="G1255" s="1" t="s">
        <v>18</v>
      </c>
      <c r="H1255" s="1">
        <v>44</v>
      </c>
      <c r="I1255" s="1" t="s">
        <v>126</v>
      </c>
      <c r="J1255" s="3">
        <v>0.65</v>
      </c>
      <c r="K1255" s="4">
        <v>6250</v>
      </c>
      <c r="L1255" s="5">
        <f t="shared" si="10"/>
        <v>4062.5</v>
      </c>
      <c r="M1255" s="5">
        <f t="shared" si="11"/>
        <v>2031.25</v>
      </c>
      <c r="N1255" s="6">
        <v>0.5</v>
      </c>
    </row>
    <row r="1256" spans="1:14" ht="15.75" customHeight="1" x14ac:dyDescent="0.45">
      <c r="A1256" s="1" t="s">
        <v>119</v>
      </c>
      <c r="B1256" s="1">
        <v>1185732</v>
      </c>
      <c r="C1256" s="2">
        <v>44722</v>
      </c>
      <c r="D1256" s="1" t="s">
        <v>38</v>
      </c>
      <c r="E1256" s="1" t="s">
        <v>39</v>
      </c>
      <c r="F1256" s="1" t="s">
        <v>53</v>
      </c>
      <c r="G1256" s="1" t="s">
        <v>13</v>
      </c>
      <c r="H1256" s="1">
        <v>59</v>
      </c>
      <c r="I1256" s="1" t="s">
        <v>123</v>
      </c>
      <c r="J1256" s="3">
        <v>0.6</v>
      </c>
      <c r="K1256" s="4">
        <v>8750</v>
      </c>
      <c r="L1256" s="5">
        <f t="shared" si="10"/>
        <v>5250</v>
      </c>
      <c r="M1256" s="5">
        <f t="shared" si="11"/>
        <v>2362.5</v>
      </c>
      <c r="N1256" s="6">
        <v>0.45</v>
      </c>
    </row>
    <row r="1257" spans="1:14" ht="15.75" customHeight="1" x14ac:dyDescent="0.45">
      <c r="A1257" s="1" t="s">
        <v>119</v>
      </c>
      <c r="B1257" s="1">
        <v>1185732</v>
      </c>
      <c r="C1257" s="2">
        <v>44722</v>
      </c>
      <c r="D1257" s="1" t="s">
        <v>38</v>
      </c>
      <c r="E1257" s="1" t="s">
        <v>39</v>
      </c>
      <c r="F1257" s="1" t="s">
        <v>53</v>
      </c>
      <c r="G1257" s="1" t="s">
        <v>14</v>
      </c>
      <c r="H1257" s="1">
        <v>42</v>
      </c>
      <c r="I1257" s="1" t="s">
        <v>125</v>
      </c>
      <c r="J1257" s="3">
        <v>0.55000000000000004</v>
      </c>
      <c r="K1257" s="4">
        <v>6250</v>
      </c>
      <c r="L1257" s="5">
        <f t="shared" si="10"/>
        <v>3437.5000000000005</v>
      </c>
      <c r="M1257" s="5">
        <f t="shared" si="11"/>
        <v>1203.125</v>
      </c>
      <c r="N1257" s="6">
        <v>0.35</v>
      </c>
    </row>
    <row r="1258" spans="1:14" ht="15.75" customHeight="1" x14ac:dyDescent="0.45">
      <c r="A1258" s="1" t="s">
        <v>119</v>
      </c>
      <c r="B1258" s="1">
        <v>1185732</v>
      </c>
      <c r="C1258" s="2">
        <v>44722</v>
      </c>
      <c r="D1258" s="1" t="s">
        <v>38</v>
      </c>
      <c r="E1258" s="1" t="s">
        <v>39</v>
      </c>
      <c r="F1258" s="1" t="s">
        <v>53</v>
      </c>
      <c r="G1258" s="1" t="s">
        <v>15</v>
      </c>
      <c r="H1258" s="1">
        <v>27</v>
      </c>
      <c r="I1258" s="1" t="s">
        <v>123</v>
      </c>
      <c r="J1258" s="3">
        <v>0.5</v>
      </c>
      <c r="K1258" s="4">
        <v>6000</v>
      </c>
      <c r="L1258" s="5">
        <f t="shared" si="10"/>
        <v>3000</v>
      </c>
      <c r="M1258" s="5">
        <f t="shared" si="11"/>
        <v>750</v>
      </c>
      <c r="N1258" s="6">
        <v>0.25</v>
      </c>
    </row>
    <row r="1259" spans="1:14" ht="15.75" customHeight="1" x14ac:dyDescent="0.45">
      <c r="A1259" s="1" t="s">
        <v>119</v>
      </c>
      <c r="B1259" s="1">
        <v>1185732</v>
      </c>
      <c r="C1259" s="2">
        <v>44722</v>
      </c>
      <c r="D1259" s="1" t="s">
        <v>38</v>
      </c>
      <c r="E1259" s="1" t="s">
        <v>39</v>
      </c>
      <c r="F1259" s="1" t="s">
        <v>53</v>
      </c>
      <c r="G1259" s="1" t="s">
        <v>16</v>
      </c>
      <c r="H1259" s="1">
        <v>33</v>
      </c>
      <c r="I1259" s="1" t="s">
        <v>123</v>
      </c>
      <c r="J1259" s="3">
        <v>0.5</v>
      </c>
      <c r="K1259" s="4">
        <v>5750</v>
      </c>
      <c r="L1259" s="5">
        <f t="shared" si="10"/>
        <v>2875</v>
      </c>
      <c r="M1259" s="5">
        <f t="shared" si="11"/>
        <v>862.5</v>
      </c>
      <c r="N1259" s="6">
        <v>0.3</v>
      </c>
    </row>
    <row r="1260" spans="1:14" ht="15.75" customHeight="1" x14ac:dyDescent="0.45">
      <c r="A1260" s="1" t="s">
        <v>119</v>
      </c>
      <c r="B1260" s="1">
        <v>1185732</v>
      </c>
      <c r="C1260" s="2">
        <v>44722</v>
      </c>
      <c r="D1260" s="1" t="s">
        <v>38</v>
      </c>
      <c r="E1260" s="1" t="s">
        <v>39</v>
      </c>
      <c r="F1260" s="1" t="s">
        <v>53</v>
      </c>
      <c r="G1260" s="1" t="s">
        <v>17</v>
      </c>
      <c r="H1260" s="1">
        <v>55</v>
      </c>
      <c r="I1260" s="1" t="s">
        <v>125</v>
      </c>
      <c r="J1260" s="3">
        <v>0.65</v>
      </c>
      <c r="K1260" s="4">
        <v>5750</v>
      </c>
      <c r="L1260" s="5">
        <f t="shared" si="10"/>
        <v>3737.5</v>
      </c>
      <c r="M1260" s="5">
        <f t="shared" si="11"/>
        <v>1308.125</v>
      </c>
      <c r="N1260" s="6">
        <v>0.35</v>
      </c>
    </row>
    <row r="1261" spans="1:14" ht="15.75" customHeight="1" x14ac:dyDescent="0.45">
      <c r="A1261" s="1" t="s">
        <v>119</v>
      </c>
      <c r="B1261" s="1">
        <v>1185732</v>
      </c>
      <c r="C1261" s="2">
        <v>44722</v>
      </c>
      <c r="D1261" s="1" t="s">
        <v>38</v>
      </c>
      <c r="E1261" s="1" t="s">
        <v>39</v>
      </c>
      <c r="F1261" s="1" t="s">
        <v>53</v>
      </c>
      <c r="G1261" s="1" t="s">
        <v>18</v>
      </c>
      <c r="H1261" s="1">
        <v>25</v>
      </c>
      <c r="I1261" s="1" t="s">
        <v>126</v>
      </c>
      <c r="J1261" s="3">
        <v>0.70000000000000007</v>
      </c>
      <c r="K1261" s="4">
        <v>7250</v>
      </c>
      <c r="L1261" s="5">
        <f t="shared" si="10"/>
        <v>5075.0000000000009</v>
      </c>
      <c r="M1261" s="5">
        <f t="shared" si="11"/>
        <v>2537.5000000000005</v>
      </c>
      <c r="N1261" s="6">
        <v>0.5</v>
      </c>
    </row>
    <row r="1262" spans="1:14" ht="15.75" customHeight="1" x14ac:dyDescent="0.45">
      <c r="A1262" s="1" t="s">
        <v>119</v>
      </c>
      <c r="B1262" s="1">
        <v>1185732</v>
      </c>
      <c r="C1262" s="2">
        <v>44750</v>
      </c>
      <c r="D1262" s="1" t="s">
        <v>38</v>
      </c>
      <c r="E1262" s="1" t="s">
        <v>39</v>
      </c>
      <c r="F1262" s="1" t="s">
        <v>53</v>
      </c>
      <c r="G1262" s="1" t="s">
        <v>13</v>
      </c>
      <c r="H1262" s="1">
        <v>57</v>
      </c>
      <c r="I1262" s="1" t="s">
        <v>125</v>
      </c>
      <c r="J1262" s="3">
        <v>0.65</v>
      </c>
      <c r="K1262" s="4">
        <v>9500</v>
      </c>
      <c r="L1262" s="5">
        <f t="shared" si="10"/>
        <v>6175</v>
      </c>
      <c r="M1262" s="5">
        <f t="shared" si="11"/>
        <v>2778.75</v>
      </c>
      <c r="N1262" s="6">
        <v>0.45</v>
      </c>
    </row>
    <row r="1263" spans="1:14" ht="15.75" customHeight="1" x14ac:dyDescent="0.45">
      <c r="A1263" s="1" t="s">
        <v>119</v>
      </c>
      <c r="B1263" s="1">
        <v>1185732</v>
      </c>
      <c r="C1263" s="2">
        <v>44750</v>
      </c>
      <c r="D1263" s="1" t="s">
        <v>38</v>
      </c>
      <c r="E1263" s="1" t="s">
        <v>39</v>
      </c>
      <c r="F1263" s="1" t="s">
        <v>53</v>
      </c>
      <c r="G1263" s="1" t="s">
        <v>14</v>
      </c>
      <c r="H1263" s="1">
        <v>17</v>
      </c>
      <c r="I1263" s="1" t="s">
        <v>123</v>
      </c>
      <c r="J1263" s="3">
        <v>0.60000000000000009</v>
      </c>
      <c r="K1263" s="4">
        <v>7000</v>
      </c>
      <c r="L1263" s="5">
        <f t="shared" si="10"/>
        <v>4200.0000000000009</v>
      </c>
      <c r="M1263" s="5">
        <f t="shared" si="11"/>
        <v>1470.0000000000002</v>
      </c>
      <c r="N1263" s="6">
        <v>0.35</v>
      </c>
    </row>
    <row r="1264" spans="1:14" ht="15.75" customHeight="1" x14ac:dyDescent="0.45">
      <c r="A1264" s="1" t="s">
        <v>119</v>
      </c>
      <c r="B1264" s="1">
        <v>1185732</v>
      </c>
      <c r="C1264" s="2">
        <v>44750</v>
      </c>
      <c r="D1264" s="1" t="s">
        <v>38</v>
      </c>
      <c r="E1264" s="1" t="s">
        <v>39</v>
      </c>
      <c r="F1264" s="1" t="s">
        <v>53</v>
      </c>
      <c r="G1264" s="1" t="s">
        <v>15</v>
      </c>
      <c r="H1264" s="1">
        <v>24</v>
      </c>
      <c r="I1264" s="1" t="s">
        <v>126</v>
      </c>
      <c r="J1264" s="3">
        <v>0.55000000000000004</v>
      </c>
      <c r="K1264" s="4">
        <v>6250</v>
      </c>
      <c r="L1264" s="5">
        <f t="shared" si="10"/>
        <v>3437.5000000000005</v>
      </c>
      <c r="M1264" s="5">
        <f t="shared" si="11"/>
        <v>859.37500000000011</v>
      </c>
      <c r="N1264" s="6">
        <v>0.25</v>
      </c>
    </row>
    <row r="1265" spans="1:14" ht="15.75" customHeight="1" x14ac:dyDescent="0.45">
      <c r="A1265" s="1" t="s">
        <v>119</v>
      </c>
      <c r="B1265" s="1">
        <v>1185732</v>
      </c>
      <c r="C1265" s="2">
        <v>44750</v>
      </c>
      <c r="D1265" s="1" t="s">
        <v>38</v>
      </c>
      <c r="E1265" s="1" t="s">
        <v>39</v>
      </c>
      <c r="F1265" s="1" t="s">
        <v>53</v>
      </c>
      <c r="G1265" s="1" t="s">
        <v>16</v>
      </c>
      <c r="H1265" s="1">
        <v>37</v>
      </c>
      <c r="I1265" s="1" t="s">
        <v>123</v>
      </c>
      <c r="J1265" s="3">
        <v>0.55000000000000004</v>
      </c>
      <c r="K1265" s="4">
        <v>5750</v>
      </c>
      <c r="L1265" s="5">
        <f t="shared" si="10"/>
        <v>3162.5000000000005</v>
      </c>
      <c r="M1265" s="5">
        <f t="shared" si="11"/>
        <v>948.75000000000011</v>
      </c>
      <c r="N1265" s="6">
        <v>0.3</v>
      </c>
    </row>
    <row r="1266" spans="1:14" ht="15.75" customHeight="1" x14ac:dyDescent="0.45">
      <c r="A1266" s="1" t="s">
        <v>119</v>
      </c>
      <c r="B1266" s="1">
        <v>1185732</v>
      </c>
      <c r="C1266" s="2">
        <v>44750</v>
      </c>
      <c r="D1266" s="1" t="s">
        <v>38</v>
      </c>
      <c r="E1266" s="1" t="s">
        <v>39</v>
      </c>
      <c r="F1266" s="1" t="s">
        <v>53</v>
      </c>
      <c r="G1266" s="1" t="s">
        <v>17</v>
      </c>
      <c r="H1266" s="1">
        <v>26</v>
      </c>
      <c r="I1266" s="1" t="s">
        <v>126</v>
      </c>
      <c r="J1266" s="3">
        <v>0.65</v>
      </c>
      <c r="K1266" s="4">
        <v>6000</v>
      </c>
      <c r="L1266" s="5">
        <f t="shared" si="10"/>
        <v>3900</v>
      </c>
      <c r="M1266" s="5">
        <f t="shared" si="11"/>
        <v>1365</v>
      </c>
      <c r="N1266" s="6">
        <v>0.35</v>
      </c>
    </row>
    <row r="1267" spans="1:14" ht="15.75" customHeight="1" x14ac:dyDescent="0.45">
      <c r="A1267" s="1" t="s">
        <v>119</v>
      </c>
      <c r="B1267" s="1">
        <v>1185732</v>
      </c>
      <c r="C1267" s="2">
        <v>44750</v>
      </c>
      <c r="D1267" s="1" t="s">
        <v>38</v>
      </c>
      <c r="E1267" s="1" t="s">
        <v>39</v>
      </c>
      <c r="F1267" s="1" t="s">
        <v>53</v>
      </c>
      <c r="G1267" s="1" t="s">
        <v>18</v>
      </c>
      <c r="H1267" s="1">
        <v>15</v>
      </c>
      <c r="I1267" s="1" t="s">
        <v>125</v>
      </c>
      <c r="J1267" s="3">
        <v>0.70000000000000007</v>
      </c>
      <c r="K1267" s="4">
        <v>7750</v>
      </c>
      <c r="L1267" s="5">
        <f t="shared" si="10"/>
        <v>5425.0000000000009</v>
      </c>
      <c r="M1267" s="5">
        <f t="shared" si="11"/>
        <v>2712.5000000000005</v>
      </c>
      <c r="N1267" s="6">
        <v>0.5</v>
      </c>
    </row>
    <row r="1268" spans="1:14" ht="15.75" customHeight="1" x14ac:dyDescent="0.45">
      <c r="A1268" s="1" t="s">
        <v>119</v>
      </c>
      <c r="B1268" s="1">
        <v>1185732</v>
      </c>
      <c r="C1268" s="2">
        <v>44782</v>
      </c>
      <c r="D1268" s="1" t="s">
        <v>38</v>
      </c>
      <c r="E1268" s="1" t="s">
        <v>39</v>
      </c>
      <c r="F1268" s="1" t="s">
        <v>53</v>
      </c>
      <c r="G1268" s="1" t="s">
        <v>13</v>
      </c>
      <c r="H1268" s="1">
        <v>23</v>
      </c>
      <c r="I1268" s="1" t="s">
        <v>124</v>
      </c>
      <c r="J1268" s="3">
        <v>0.65</v>
      </c>
      <c r="K1268" s="4">
        <v>9250</v>
      </c>
      <c r="L1268" s="5">
        <f t="shared" si="10"/>
        <v>6012.5</v>
      </c>
      <c r="M1268" s="5">
        <f t="shared" si="11"/>
        <v>2705.625</v>
      </c>
      <c r="N1268" s="6">
        <v>0.45</v>
      </c>
    </row>
    <row r="1269" spans="1:14" ht="15.75" customHeight="1" x14ac:dyDescent="0.45">
      <c r="A1269" s="1" t="s">
        <v>119</v>
      </c>
      <c r="B1269" s="1">
        <v>1185732</v>
      </c>
      <c r="C1269" s="2">
        <v>44782</v>
      </c>
      <c r="D1269" s="1" t="s">
        <v>38</v>
      </c>
      <c r="E1269" s="1" t="s">
        <v>39</v>
      </c>
      <c r="F1269" s="1" t="s">
        <v>53</v>
      </c>
      <c r="G1269" s="1" t="s">
        <v>14</v>
      </c>
      <c r="H1269" s="1">
        <v>57</v>
      </c>
      <c r="I1269" s="1" t="s">
        <v>123</v>
      </c>
      <c r="J1269" s="3">
        <v>0.60000000000000009</v>
      </c>
      <c r="K1269" s="4">
        <v>7000</v>
      </c>
      <c r="L1269" s="5">
        <f t="shared" si="10"/>
        <v>4200.0000000000009</v>
      </c>
      <c r="M1269" s="5">
        <f t="shared" si="11"/>
        <v>1470.0000000000002</v>
      </c>
      <c r="N1269" s="6">
        <v>0.35</v>
      </c>
    </row>
    <row r="1270" spans="1:14" ht="15.75" customHeight="1" x14ac:dyDescent="0.45">
      <c r="A1270" s="1" t="s">
        <v>119</v>
      </c>
      <c r="B1270" s="1">
        <v>1185732</v>
      </c>
      <c r="C1270" s="2">
        <v>44782</v>
      </c>
      <c r="D1270" s="1" t="s">
        <v>38</v>
      </c>
      <c r="E1270" s="1" t="s">
        <v>39</v>
      </c>
      <c r="F1270" s="1" t="s">
        <v>53</v>
      </c>
      <c r="G1270" s="1" t="s">
        <v>15</v>
      </c>
      <c r="H1270" s="1">
        <v>47</v>
      </c>
      <c r="I1270" s="1" t="s">
        <v>124</v>
      </c>
      <c r="J1270" s="3">
        <v>0.55000000000000004</v>
      </c>
      <c r="K1270" s="4">
        <v>6250</v>
      </c>
      <c r="L1270" s="5">
        <f t="shared" si="10"/>
        <v>3437.5000000000005</v>
      </c>
      <c r="M1270" s="5">
        <f t="shared" si="11"/>
        <v>859.37500000000011</v>
      </c>
      <c r="N1270" s="6">
        <v>0.25</v>
      </c>
    </row>
    <row r="1271" spans="1:14" ht="15.75" customHeight="1" x14ac:dyDescent="0.45">
      <c r="A1271" s="1" t="s">
        <v>119</v>
      </c>
      <c r="B1271" s="1">
        <v>1185732</v>
      </c>
      <c r="C1271" s="2">
        <v>44782</v>
      </c>
      <c r="D1271" s="1" t="s">
        <v>38</v>
      </c>
      <c r="E1271" s="1" t="s">
        <v>39</v>
      </c>
      <c r="F1271" s="1" t="s">
        <v>53</v>
      </c>
      <c r="G1271" s="1" t="s">
        <v>16</v>
      </c>
      <c r="H1271" s="1">
        <v>33</v>
      </c>
      <c r="I1271" s="1" t="s">
        <v>123</v>
      </c>
      <c r="J1271" s="3">
        <v>0.45</v>
      </c>
      <c r="K1271" s="4">
        <v>5750</v>
      </c>
      <c r="L1271" s="5">
        <f t="shared" si="10"/>
        <v>2587.5</v>
      </c>
      <c r="M1271" s="5">
        <f t="shared" si="11"/>
        <v>776.25</v>
      </c>
      <c r="N1271" s="6">
        <v>0.3</v>
      </c>
    </row>
    <row r="1272" spans="1:14" ht="15.75" customHeight="1" x14ac:dyDescent="0.45">
      <c r="A1272" s="1" t="s">
        <v>119</v>
      </c>
      <c r="B1272" s="1">
        <v>1185732</v>
      </c>
      <c r="C1272" s="2">
        <v>44782</v>
      </c>
      <c r="D1272" s="1" t="s">
        <v>38</v>
      </c>
      <c r="E1272" s="1" t="s">
        <v>39</v>
      </c>
      <c r="F1272" s="1" t="s">
        <v>53</v>
      </c>
      <c r="G1272" s="1" t="s">
        <v>17</v>
      </c>
      <c r="H1272" s="1">
        <v>58</v>
      </c>
      <c r="I1272" s="1" t="s">
        <v>126</v>
      </c>
      <c r="J1272" s="3">
        <v>0.55000000000000004</v>
      </c>
      <c r="K1272" s="4">
        <v>5500</v>
      </c>
      <c r="L1272" s="5">
        <f t="shared" si="10"/>
        <v>3025.0000000000005</v>
      </c>
      <c r="M1272" s="5">
        <f t="shared" si="11"/>
        <v>1058.75</v>
      </c>
      <c r="N1272" s="6">
        <v>0.35</v>
      </c>
    </row>
    <row r="1273" spans="1:14" ht="15.75" customHeight="1" x14ac:dyDescent="0.45">
      <c r="A1273" s="1" t="s">
        <v>119</v>
      </c>
      <c r="B1273" s="1">
        <v>1185732</v>
      </c>
      <c r="C1273" s="2">
        <v>44782</v>
      </c>
      <c r="D1273" s="1" t="s">
        <v>38</v>
      </c>
      <c r="E1273" s="1" t="s">
        <v>39</v>
      </c>
      <c r="F1273" s="1" t="s">
        <v>53</v>
      </c>
      <c r="G1273" s="1" t="s">
        <v>18</v>
      </c>
      <c r="H1273" s="1">
        <v>19</v>
      </c>
      <c r="I1273" s="1" t="s">
        <v>124</v>
      </c>
      <c r="J1273" s="3">
        <v>0.60000000000000009</v>
      </c>
      <c r="K1273" s="4">
        <v>7250</v>
      </c>
      <c r="L1273" s="5">
        <f t="shared" si="10"/>
        <v>4350.0000000000009</v>
      </c>
      <c r="M1273" s="5">
        <f t="shared" si="11"/>
        <v>2175.0000000000005</v>
      </c>
      <c r="N1273" s="6">
        <v>0.5</v>
      </c>
    </row>
    <row r="1274" spans="1:14" ht="15.75" customHeight="1" x14ac:dyDescent="0.45">
      <c r="A1274" s="1" t="s">
        <v>119</v>
      </c>
      <c r="B1274" s="1">
        <v>1185732</v>
      </c>
      <c r="C1274" s="2">
        <v>44812</v>
      </c>
      <c r="D1274" s="1" t="s">
        <v>38</v>
      </c>
      <c r="E1274" s="1" t="s">
        <v>39</v>
      </c>
      <c r="F1274" s="1" t="s">
        <v>53</v>
      </c>
      <c r="G1274" s="1" t="s">
        <v>13</v>
      </c>
      <c r="H1274" s="1">
        <v>31</v>
      </c>
      <c r="I1274" s="1" t="s">
        <v>125</v>
      </c>
      <c r="J1274" s="3">
        <v>0.55000000000000004</v>
      </c>
      <c r="K1274" s="4">
        <v>8500</v>
      </c>
      <c r="L1274" s="5">
        <f t="shared" si="10"/>
        <v>4675</v>
      </c>
      <c r="M1274" s="5">
        <f t="shared" si="11"/>
        <v>2103.75</v>
      </c>
      <c r="N1274" s="6">
        <v>0.45</v>
      </c>
    </row>
    <row r="1275" spans="1:14" ht="15.75" customHeight="1" x14ac:dyDescent="0.45">
      <c r="A1275" s="1" t="s">
        <v>119</v>
      </c>
      <c r="B1275" s="1">
        <v>1185732</v>
      </c>
      <c r="C1275" s="2">
        <v>44812</v>
      </c>
      <c r="D1275" s="1" t="s">
        <v>38</v>
      </c>
      <c r="E1275" s="1" t="s">
        <v>39</v>
      </c>
      <c r="F1275" s="1" t="s">
        <v>53</v>
      </c>
      <c r="G1275" s="1" t="s">
        <v>14</v>
      </c>
      <c r="H1275" s="1">
        <v>44</v>
      </c>
      <c r="I1275" s="1" t="s">
        <v>123</v>
      </c>
      <c r="J1275" s="3">
        <v>0.50000000000000011</v>
      </c>
      <c r="K1275" s="4">
        <v>6500</v>
      </c>
      <c r="L1275" s="5">
        <f t="shared" si="10"/>
        <v>3250.0000000000009</v>
      </c>
      <c r="M1275" s="5">
        <f t="shared" si="11"/>
        <v>1137.5000000000002</v>
      </c>
      <c r="N1275" s="6">
        <v>0.35</v>
      </c>
    </row>
    <row r="1276" spans="1:14" ht="15.75" customHeight="1" x14ac:dyDescent="0.45">
      <c r="A1276" s="1" t="s">
        <v>119</v>
      </c>
      <c r="B1276" s="1">
        <v>1185732</v>
      </c>
      <c r="C1276" s="2">
        <v>44812</v>
      </c>
      <c r="D1276" s="1" t="s">
        <v>38</v>
      </c>
      <c r="E1276" s="1" t="s">
        <v>39</v>
      </c>
      <c r="F1276" s="1" t="s">
        <v>53</v>
      </c>
      <c r="G1276" s="1" t="s">
        <v>15</v>
      </c>
      <c r="H1276" s="1">
        <v>49</v>
      </c>
      <c r="I1276" s="1" t="s">
        <v>124</v>
      </c>
      <c r="J1276" s="3">
        <v>0.45</v>
      </c>
      <c r="K1276" s="4">
        <v>5500</v>
      </c>
      <c r="L1276" s="5">
        <f t="shared" si="10"/>
        <v>2475</v>
      </c>
      <c r="M1276" s="5">
        <f t="shared" si="11"/>
        <v>618.75</v>
      </c>
      <c r="N1276" s="6">
        <v>0.25</v>
      </c>
    </row>
    <row r="1277" spans="1:14" ht="15.75" customHeight="1" x14ac:dyDescent="0.45">
      <c r="A1277" s="1" t="s">
        <v>119</v>
      </c>
      <c r="B1277" s="1">
        <v>1185732</v>
      </c>
      <c r="C1277" s="2">
        <v>44812</v>
      </c>
      <c r="D1277" s="1" t="s">
        <v>38</v>
      </c>
      <c r="E1277" s="1" t="s">
        <v>39</v>
      </c>
      <c r="F1277" s="1" t="s">
        <v>53</v>
      </c>
      <c r="G1277" s="1" t="s">
        <v>16</v>
      </c>
      <c r="H1277" s="1">
        <v>50</v>
      </c>
      <c r="I1277" s="1" t="s">
        <v>124</v>
      </c>
      <c r="J1277" s="3">
        <v>0.45</v>
      </c>
      <c r="K1277" s="4">
        <v>5250</v>
      </c>
      <c r="L1277" s="5">
        <f t="shared" si="10"/>
        <v>2362.5</v>
      </c>
      <c r="M1277" s="5">
        <f t="shared" si="11"/>
        <v>708.75</v>
      </c>
      <c r="N1277" s="6">
        <v>0.3</v>
      </c>
    </row>
    <row r="1278" spans="1:14" ht="15.75" customHeight="1" x14ac:dyDescent="0.45">
      <c r="A1278" s="1" t="s">
        <v>119</v>
      </c>
      <c r="B1278" s="1">
        <v>1185732</v>
      </c>
      <c r="C1278" s="2">
        <v>44812</v>
      </c>
      <c r="D1278" s="1" t="s">
        <v>38</v>
      </c>
      <c r="E1278" s="1" t="s">
        <v>39</v>
      </c>
      <c r="F1278" s="1" t="s">
        <v>53</v>
      </c>
      <c r="G1278" s="1" t="s">
        <v>17</v>
      </c>
      <c r="H1278" s="1">
        <v>59</v>
      </c>
      <c r="I1278" s="1" t="s">
        <v>125</v>
      </c>
      <c r="J1278" s="3">
        <v>0.55000000000000004</v>
      </c>
      <c r="K1278" s="4">
        <v>5250</v>
      </c>
      <c r="L1278" s="5">
        <f t="shared" si="10"/>
        <v>2887.5000000000005</v>
      </c>
      <c r="M1278" s="5">
        <f t="shared" si="11"/>
        <v>1010.6250000000001</v>
      </c>
      <c r="N1278" s="6">
        <v>0.35</v>
      </c>
    </row>
    <row r="1279" spans="1:14" ht="15.75" customHeight="1" x14ac:dyDescent="0.45">
      <c r="A1279" s="1" t="s">
        <v>119</v>
      </c>
      <c r="B1279" s="1">
        <v>1185732</v>
      </c>
      <c r="C1279" s="2">
        <v>44812</v>
      </c>
      <c r="D1279" s="1" t="s">
        <v>38</v>
      </c>
      <c r="E1279" s="1" t="s">
        <v>39</v>
      </c>
      <c r="F1279" s="1" t="s">
        <v>53</v>
      </c>
      <c r="G1279" s="1" t="s">
        <v>18</v>
      </c>
      <c r="H1279" s="1">
        <v>27</v>
      </c>
      <c r="I1279" s="1" t="s">
        <v>126</v>
      </c>
      <c r="J1279" s="3">
        <v>0.60000000000000009</v>
      </c>
      <c r="K1279" s="4">
        <v>6250</v>
      </c>
      <c r="L1279" s="5">
        <f t="shared" si="10"/>
        <v>3750.0000000000005</v>
      </c>
      <c r="M1279" s="5">
        <f t="shared" si="11"/>
        <v>1875.0000000000002</v>
      </c>
      <c r="N1279" s="6">
        <v>0.5</v>
      </c>
    </row>
    <row r="1280" spans="1:14" ht="15.75" customHeight="1" x14ac:dyDescent="0.45">
      <c r="A1280" s="1" t="s">
        <v>119</v>
      </c>
      <c r="B1280" s="1">
        <v>1185732</v>
      </c>
      <c r="C1280" s="2">
        <v>44844</v>
      </c>
      <c r="D1280" s="1" t="s">
        <v>38</v>
      </c>
      <c r="E1280" s="1" t="s">
        <v>39</v>
      </c>
      <c r="F1280" s="1" t="s">
        <v>53</v>
      </c>
      <c r="G1280" s="1" t="s">
        <v>13</v>
      </c>
      <c r="H1280" s="1">
        <v>35</v>
      </c>
      <c r="I1280" s="1" t="s">
        <v>126</v>
      </c>
      <c r="J1280" s="3">
        <v>0.60000000000000009</v>
      </c>
      <c r="K1280" s="4">
        <v>8000</v>
      </c>
      <c r="L1280" s="5">
        <f t="shared" si="10"/>
        <v>4800.0000000000009</v>
      </c>
      <c r="M1280" s="5">
        <f t="shared" si="11"/>
        <v>2160.0000000000005</v>
      </c>
      <c r="N1280" s="6">
        <v>0.45</v>
      </c>
    </row>
    <row r="1281" spans="1:14" ht="15.75" customHeight="1" x14ac:dyDescent="0.45">
      <c r="A1281" s="1" t="s">
        <v>119</v>
      </c>
      <c r="B1281" s="1">
        <v>1185732</v>
      </c>
      <c r="C1281" s="2">
        <v>44844</v>
      </c>
      <c r="D1281" s="1" t="s">
        <v>38</v>
      </c>
      <c r="E1281" s="1" t="s">
        <v>39</v>
      </c>
      <c r="F1281" s="1" t="s">
        <v>53</v>
      </c>
      <c r="G1281" s="1" t="s">
        <v>14</v>
      </c>
      <c r="H1281" s="1">
        <v>18</v>
      </c>
      <c r="I1281" s="1" t="s">
        <v>126</v>
      </c>
      <c r="J1281" s="3">
        <v>0.50000000000000011</v>
      </c>
      <c r="K1281" s="4">
        <v>6250</v>
      </c>
      <c r="L1281" s="5">
        <f t="shared" si="10"/>
        <v>3125.0000000000009</v>
      </c>
      <c r="M1281" s="5">
        <f t="shared" si="11"/>
        <v>1093.7500000000002</v>
      </c>
      <c r="N1281" s="6">
        <v>0.35</v>
      </c>
    </row>
    <row r="1282" spans="1:14" ht="15.75" customHeight="1" x14ac:dyDescent="0.45">
      <c r="A1282" s="1" t="s">
        <v>119</v>
      </c>
      <c r="B1282" s="1">
        <v>1185732</v>
      </c>
      <c r="C1282" s="2">
        <v>44844</v>
      </c>
      <c r="D1282" s="1" t="s">
        <v>38</v>
      </c>
      <c r="E1282" s="1" t="s">
        <v>39</v>
      </c>
      <c r="F1282" s="1" t="s">
        <v>53</v>
      </c>
      <c r="G1282" s="1" t="s">
        <v>15</v>
      </c>
      <c r="H1282" s="1">
        <v>37</v>
      </c>
      <c r="I1282" s="1" t="s">
        <v>123</v>
      </c>
      <c r="J1282" s="3">
        <v>0.50000000000000011</v>
      </c>
      <c r="K1282" s="4">
        <v>5250</v>
      </c>
      <c r="L1282" s="5">
        <f t="shared" si="10"/>
        <v>2625.0000000000005</v>
      </c>
      <c r="M1282" s="5">
        <f t="shared" si="11"/>
        <v>656.25000000000011</v>
      </c>
      <c r="N1282" s="6">
        <v>0.25</v>
      </c>
    </row>
    <row r="1283" spans="1:14" ht="15.75" customHeight="1" x14ac:dyDescent="0.45">
      <c r="A1283" s="1" t="s">
        <v>119</v>
      </c>
      <c r="B1283" s="1">
        <v>1185732</v>
      </c>
      <c r="C1283" s="2">
        <v>44844</v>
      </c>
      <c r="D1283" s="1" t="s">
        <v>38</v>
      </c>
      <c r="E1283" s="1" t="s">
        <v>39</v>
      </c>
      <c r="F1283" s="1" t="s">
        <v>53</v>
      </c>
      <c r="G1283" s="1" t="s">
        <v>16</v>
      </c>
      <c r="H1283" s="1">
        <v>43</v>
      </c>
      <c r="I1283" s="1" t="s">
        <v>123</v>
      </c>
      <c r="J1283" s="3">
        <v>0.50000000000000011</v>
      </c>
      <c r="K1283" s="4">
        <v>5000</v>
      </c>
      <c r="L1283" s="5">
        <f t="shared" si="10"/>
        <v>2500.0000000000005</v>
      </c>
      <c r="M1283" s="5">
        <f t="shared" si="11"/>
        <v>750.00000000000011</v>
      </c>
      <c r="N1283" s="6">
        <v>0.3</v>
      </c>
    </row>
    <row r="1284" spans="1:14" ht="15.75" customHeight="1" x14ac:dyDescent="0.45">
      <c r="A1284" s="1" t="s">
        <v>119</v>
      </c>
      <c r="B1284" s="1">
        <v>1185732</v>
      </c>
      <c r="C1284" s="2">
        <v>44844</v>
      </c>
      <c r="D1284" s="1" t="s">
        <v>38</v>
      </c>
      <c r="E1284" s="1" t="s">
        <v>39</v>
      </c>
      <c r="F1284" s="1" t="s">
        <v>53</v>
      </c>
      <c r="G1284" s="1" t="s">
        <v>17</v>
      </c>
      <c r="H1284" s="1">
        <v>46</v>
      </c>
      <c r="I1284" s="1" t="s">
        <v>126</v>
      </c>
      <c r="J1284" s="3">
        <v>0.60000000000000009</v>
      </c>
      <c r="K1284" s="4">
        <v>5000</v>
      </c>
      <c r="L1284" s="5">
        <f t="shared" si="10"/>
        <v>3000.0000000000005</v>
      </c>
      <c r="M1284" s="5">
        <f t="shared" si="11"/>
        <v>1050</v>
      </c>
      <c r="N1284" s="6">
        <v>0.35</v>
      </c>
    </row>
    <row r="1285" spans="1:14" ht="15.75" customHeight="1" x14ac:dyDescent="0.45">
      <c r="A1285" s="1" t="s">
        <v>119</v>
      </c>
      <c r="B1285" s="1">
        <v>1185732</v>
      </c>
      <c r="C1285" s="2">
        <v>44844</v>
      </c>
      <c r="D1285" s="1" t="s">
        <v>38</v>
      </c>
      <c r="E1285" s="1" t="s">
        <v>39</v>
      </c>
      <c r="F1285" s="1" t="s">
        <v>53</v>
      </c>
      <c r="G1285" s="1" t="s">
        <v>18</v>
      </c>
      <c r="H1285" s="1">
        <v>33</v>
      </c>
      <c r="I1285" s="1" t="s">
        <v>123</v>
      </c>
      <c r="J1285" s="3">
        <v>0.65</v>
      </c>
      <c r="K1285" s="4">
        <v>6250</v>
      </c>
      <c r="L1285" s="5">
        <f t="shared" si="10"/>
        <v>4062.5</v>
      </c>
      <c r="M1285" s="5">
        <f t="shared" si="11"/>
        <v>2031.25</v>
      </c>
      <c r="N1285" s="6">
        <v>0.5</v>
      </c>
    </row>
    <row r="1286" spans="1:14" ht="15.75" customHeight="1" x14ac:dyDescent="0.45">
      <c r="A1286" s="1" t="s">
        <v>119</v>
      </c>
      <c r="B1286" s="1">
        <v>1185732</v>
      </c>
      <c r="C1286" s="2">
        <v>44874</v>
      </c>
      <c r="D1286" s="1" t="s">
        <v>38</v>
      </c>
      <c r="E1286" s="1" t="s">
        <v>39</v>
      </c>
      <c r="F1286" s="1" t="s">
        <v>53</v>
      </c>
      <c r="G1286" s="1" t="s">
        <v>13</v>
      </c>
      <c r="H1286" s="1">
        <v>38</v>
      </c>
      <c r="I1286" s="1" t="s">
        <v>123</v>
      </c>
      <c r="J1286" s="3">
        <v>0.60000000000000009</v>
      </c>
      <c r="K1286" s="4">
        <v>7750</v>
      </c>
      <c r="L1286" s="5">
        <f t="shared" si="10"/>
        <v>4650.0000000000009</v>
      </c>
      <c r="M1286" s="5">
        <f t="shared" si="11"/>
        <v>2092.5000000000005</v>
      </c>
      <c r="N1286" s="6">
        <v>0.45</v>
      </c>
    </row>
    <row r="1287" spans="1:14" ht="15.75" customHeight="1" x14ac:dyDescent="0.45">
      <c r="A1287" s="1" t="s">
        <v>119</v>
      </c>
      <c r="B1287" s="1">
        <v>1185732</v>
      </c>
      <c r="C1287" s="2">
        <v>44874</v>
      </c>
      <c r="D1287" s="1" t="s">
        <v>38</v>
      </c>
      <c r="E1287" s="1" t="s">
        <v>39</v>
      </c>
      <c r="F1287" s="1" t="s">
        <v>53</v>
      </c>
      <c r="G1287" s="1" t="s">
        <v>14</v>
      </c>
      <c r="H1287" s="1">
        <v>55</v>
      </c>
      <c r="I1287" s="1" t="s">
        <v>123</v>
      </c>
      <c r="J1287" s="3">
        <v>0.50000000000000011</v>
      </c>
      <c r="K1287" s="4">
        <v>6000</v>
      </c>
      <c r="L1287" s="5">
        <f t="shared" si="10"/>
        <v>3000.0000000000005</v>
      </c>
      <c r="M1287" s="5">
        <f t="shared" si="11"/>
        <v>1050</v>
      </c>
      <c r="N1287" s="6">
        <v>0.35</v>
      </c>
    </row>
    <row r="1288" spans="1:14" ht="15.75" customHeight="1" x14ac:dyDescent="0.45">
      <c r="A1288" s="1" t="s">
        <v>119</v>
      </c>
      <c r="B1288" s="1">
        <v>1185732</v>
      </c>
      <c r="C1288" s="2">
        <v>44874</v>
      </c>
      <c r="D1288" s="1" t="s">
        <v>38</v>
      </c>
      <c r="E1288" s="1" t="s">
        <v>39</v>
      </c>
      <c r="F1288" s="1" t="s">
        <v>53</v>
      </c>
      <c r="G1288" s="1" t="s">
        <v>15</v>
      </c>
      <c r="H1288" s="1">
        <v>51</v>
      </c>
      <c r="I1288" s="1" t="s">
        <v>124</v>
      </c>
      <c r="J1288" s="3">
        <v>0.50000000000000011</v>
      </c>
      <c r="K1288" s="4">
        <v>5450</v>
      </c>
      <c r="L1288" s="5">
        <f t="shared" si="10"/>
        <v>2725.0000000000005</v>
      </c>
      <c r="M1288" s="5">
        <f t="shared" si="11"/>
        <v>681.25000000000011</v>
      </c>
      <c r="N1288" s="6">
        <v>0.25</v>
      </c>
    </row>
    <row r="1289" spans="1:14" ht="15.75" customHeight="1" x14ac:dyDescent="0.45">
      <c r="A1289" s="1" t="s">
        <v>119</v>
      </c>
      <c r="B1289" s="1">
        <v>1185732</v>
      </c>
      <c r="C1289" s="2">
        <v>44874</v>
      </c>
      <c r="D1289" s="1" t="s">
        <v>38</v>
      </c>
      <c r="E1289" s="1" t="s">
        <v>39</v>
      </c>
      <c r="F1289" s="1" t="s">
        <v>53</v>
      </c>
      <c r="G1289" s="1" t="s">
        <v>16</v>
      </c>
      <c r="H1289" s="1">
        <v>15</v>
      </c>
      <c r="I1289" s="1" t="s">
        <v>123</v>
      </c>
      <c r="J1289" s="3">
        <v>0.50000000000000011</v>
      </c>
      <c r="K1289" s="4">
        <v>5750</v>
      </c>
      <c r="L1289" s="5">
        <f t="shared" si="10"/>
        <v>2875.0000000000005</v>
      </c>
      <c r="M1289" s="5">
        <f t="shared" si="11"/>
        <v>862.50000000000011</v>
      </c>
      <c r="N1289" s="6">
        <v>0.3</v>
      </c>
    </row>
    <row r="1290" spans="1:14" ht="15.75" customHeight="1" x14ac:dyDescent="0.45">
      <c r="A1290" s="1" t="s">
        <v>119</v>
      </c>
      <c r="B1290" s="1">
        <v>1185732</v>
      </c>
      <c r="C1290" s="2">
        <v>44874</v>
      </c>
      <c r="D1290" s="1" t="s">
        <v>38</v>
      </c>
      <c r="E1290" s="1" t="s">
        <v>39</v>
      </c>
      <c r="F1290" s="1" t="s">
        <v>53</v>
      </c>
      <c r="G1290" s="1" t="s">
        <v>17</v>
      </c>
      <c r="H1290" s="1">
        <v>52</v>
      </c>
      <c r="I1290" s="1" t="s">
        <v>126</v>
      </c>
      <c r="J1290" s="3">
        <v>0.65</v>
      </c>
      <c r="K1290" s="4">
        <v>5500</v>
      </c>
      <c r="L1290" s="5">
        <f t="shared" si="10"/>
        <v>3575</v>
      </c>
      <c r="M1290" s="5">
        <f t="shared" si="11"/>
        <v>1251.25</v>
      </c>
      <c r="N1290" s="6">
        <v>0.35</v>
      </c>
    </row>
    <row r="1291" spans="1:14" ht="15.75" customHeight="1" x14ac:dyDescent="0.45">
      <c r="A1291" s="1" t="s">
        <v>119</v>
      </c>
      <c r="B1291" s="1">
        <v>1185732</v>
      </c>
      <c r="C1291" s="2">
        <v>44874</v>
      </c>
      <c r="D1291" s="1" t="s">
        <v>38</v>
      </c>
      <c r="E1291" s="1" t="s">
        <v>39</v>
      </c>
      <c r="F1291" s="1" t="s">
        <v>53</v>
      </c>
      <c r="G1291" s="1" t="s">
        <v>18</v>
      </c>
      <c r="H1291" s="1">
        <v>21</v>
      </c>
      <c r="I1291" s="1" t="s">
        <v>126</v>
      </c>
      <c r="J1291" s="3">
        <v>0.7</v>
      </c>
      <c r="K1291" s="4">
        <v>6500</v>
      </c>
      <c r="L1291" s="5">
        <f t="shared" si="10"/>
        <v>4550</v>
      </c>
      <c r="M1291" s="5">
        <f t="shared" si="11"/>
        <v>2275</v>
      </c>
      <c r="N1291" s="6">
        <v>0.5</v>
      </c>
    </row>
    <row r="1292" spans="1:14" ht="15.75" customHeight="1" x14ac:dyDescent="0.45">
      <c r="A1292" s="1" t="s">
        <v>119</v>
      </c>
      <c r="B1292" s="1">
        <v>1185732</v>
      </c>
      <c r="C1292" s="2">
        <v>44903</v>
      </c>
      <c r="D1292" s="1" t="s">
        <v>38</v>
      </c>
      <c r="E1292" s="1" t="s">
        <v>39</v>
      </c>
      <c r="F1292" s="1" t="s">
        <v>53</v>
      </c>
      <c r="G1292" s="1" t="s">
        <v>13</v>
      </c>
      <c r="H1292" s="1">
        <v>42</v>
      </c>
      <c r="I1292" s="1" t="s">
        <v>124</v>
      </c>
      <c r="J1292" s="3">
        <v>0.65</v>
      </c>
      <c r="K1292" s="4">
        <v>8750</v>
      </c>
      <c r="L1292" s="5">
        <f t="shared" si="10"/>
        <v>5687.5</v>
      </c>
      <c r="M1292" s="5">
        <f t="shared" si="11"/>
        <v>2559.375</v>
      </c>
      <c r="N1292" s="6">
        <v>0.45</v>
      </c>
    </row>
    <row r="1293" spans="1:14" ht="15.75" customHeight="1" x14ac:dyDescent="0.45">
      <c r="A1293" s="1" t="s">
        <v>119</v>
      </c>
      <c r="B1293" s="1">
        <v>1185732</v>
      </c>
      <c r="C1293" s="2">
        <v>44903</v>
      </c>
      <c r="D1293" s="1" t="s">
        <v>38</v>
      </c>
      <c r="E1293" s="1" t="s">
        <v>39</v>
      </c>
      <c r="F1293" s="1" t="s">
        <v>53</v>
      </c>
      <c r="G1293" s="1" t="s">
        <v>14</v>
      </c>
      <c r="H1293" s="1">
        <v>55</v>
      </c>
      <c r="I1293" s="1" t="s">
        <v>123</v>
      </c>
      <c r="J1293" s="3">
        <v>0.55000000000000004</v>
      </c>
      <c r="K1293" s="4">
        <v>6750</v>
      </c>
      <c r="L1293" s="5">
        <f t="shared" si="10"/>
        <v>3712.5000000000005</v>
      </c>
      <c r="M1293" s="5">
        <f t="shared" si="11"/>
        <v>1299.375</v>
      </c>
      <c r="N1293" s="6">
        <v>0.35</v>
      </c>
    </row>
    <row r="1294" spans="1:14" ht="15.75" customHeight="1" x14ac:dyDescent="0.45">
      <c r="A1294" s="1" t="s">
        <v>119</v>
      </c>
      <c r="B1294" s="1">
        <v>1185732</v>
      </c>
      <c r="C1294" s="2">
        <v>44903</v>
      </c>
      <c r="D1294" s="1" t="s">
        <v>38</v>
      </c>
      <c r="E1294" s="1" t="s">
        <v>39</v>
      </c>
      <c r="F1294" s="1" t="s">
        <v>53</v>
      </c>
      <c r="G1294" s="1" t="s">
        <v>15</v>
      </c>
      <c r="H1294" s="1">
        <v>28</v>
      </c>
      <c r="I1294" s="1" t="s">
        <v>126</v>
      </c>
      <c r="J1294" s="3">
        <v>0.55000000000000004</v>
      </c>
      <c r="K1294" s="4">
        <v>6250</v>
      </c>
      <c r="L1294" s="5">
        <f t="shared" si="10"/>
        <v>3437.5000000000005</v>
      </c>
      <c r="M1294" s="5">
        <f t="shared" si="11"/>
        <v>859.37500000000011</v>
      </c>
      <c r="N1294" s="6">
        <v>0.25</v>
      </c>
    </row>
    <row r="1295" spans="1:14" ht="15.75" customHeight="1" x14ac:dyDescent="0.45">
      <c r="A1295" s="1" t="s">
        <v>119</v>
      </c>
      <c r="B1295" s="1">
        <v>1185732</v>
      </c>
      <c r="C1295" s="2">
        <v>44903</v>
      </c>
      <c r="D1295" s="1" t="s">
        <v>38</v>
      </c>
      <c r="E1295" s="1" t="s">
        <v>39</v>
      </c>
      <c r="F1295" s="1" t="s">
        <v>53</v>
      </c>
      <c r="G1295" s="1" t="s">
        <v>16</v>
      </c>
      <c r="H1295" s="1">
        <v>15</v>
      </c>
      <c r="I1295" s="1" t="s">
        <v>126</v>
      </c>
      <c r="J1295" s="3">
        <v>0.55000000000000004</v>
      </c>
      <c r="K1295" s="4">
        <v>5750</v>
      </c>
      <c r="L1295" s="5">
        <f t="shared" si="10"/>
        <v>3162.5000000000005</v>
      </c>
      <c r="M1295" s="5">
        <f t="shared" si="11"/>
        <v>948.75000000000011</v>
      </c>
      <c r="N1295" s="6">
        <v>0.3</v>
      </c>
    </row>
    <row r="1296" spans="1:14" ht="15.75" customHeight="1" x14ac:dyDescent="0.45">
      <c r="A1296" s="1" t="s">
        <v>119</v>
      </c>
      <c r="B1296" s="1">
        <v>1185732</v>
      </c>
      <c r="C1296" s="2">
        <v>44903</v>
      </c>
      <c r="D1296" s="1" t="s">
        <v>38</v>
      </c>
      <c r="E1296" s="1" t="s">
        <v>39</v>
      </c>
      <c r="F1296" s="1" t="s">
        <v>53</v>
      </c>
      <c r="G1296" s="1" t="s">
        <v>17</v>
      </c>
      <c r="H1296" s="1">
        <v>56</v>
      </c>
      <c r="I1296" s="1" t="s">
        <v>125</v>
      </c>
      <c r="J1296" s="3">
        <v>0.65</v>
      </c>
      <c r="K1296" s="4">
        <v>5750</v>
      </c>
      <c r="L1296" s="5">
        <f t="shared" si="10"/>
        <v>3737.5</v>
      </c>
      <c r="M1296" s="5">
        <f t="shared" si="11"/>
        <v>1308.125</v>
      </c>
      <c r="N1296" s="6">
        <v>0.35</v>
      </c>
    </row>
    <row r="1297" spans="1:14" ht="15.75" customHeight="1" x14ac:dyDescent="0.45">
      <c r="A1297" s="1" t="s">
        <v>119</v>
      </c>
      <c r="B1297" s="1">
        <v>1185732</v>
      </c>
      <c r="C1297" s="2">
        <v>44903</v>
      </c>
      <c r="D1297" s="1" t="s">
        <v>38</v>
      </c>
      <c r="E1297" s="1" t="s">
        <v>39</v>
      </c>
      <c r="F1297" s="1" t="s">
        <v>53</v>
      </c>
      <c r="G1297" s="1" t="s">
        <v>18</v>
      </c>
      <c r="H1297" s="1">
        <v>27</v>
      </c>
      <c r="I1297" s="1" t="s">
        <v>125</v>
      </c>
      <c r="J1297" s="3">
        <v>0.7</v>
      </c>
      <c r="K1297" s="4">
        <v>6750</v>
      </c>
      <c r="L1297" s="5">
        <f t="shared" si="10"/>
        <v>4725</v>
      </c>
      <c r="M1297" s="5">
        <f t="shared" si="11"/>
        <v>2362.5</v>
      </c>
      <c r="N1297" s="6">
        <v>0.5</v>
      </c>
    </row>
    <row r="1298" spans="1:14" ht="15.75" customHeight="1" x14ac:dyDescent="0.45">
      <c r="A1298" s="1" t="s">
        <v>119</v>
      </c>
      <c r="B1298" s="1">
        <v>1185732</v>
      </c>
      <c r="C1298" s="2">
        <v>44575</v>
      </c>
      <c r="D1298" s="1" t="s">
        <v>11</v>
      </c>
      <c r="E1298" s="1" t="s">
        <v>12</v>
      </c>
      <c r="F1298" s="1" t="s">
        <v>54</v>
      </c>
      <c r="G1298" s="1" t="s">
        <v>13</v>
      </c>
      <c r="H1298" s="1">
        <v>57</v>
      </c>
      <c r="I1298" s="1" t="s">
        <v>125</v>
      </c>
      <c r="J1298" s="3">
        <v>0.4</v>
      </c>
      <c r="K1298" s="4">
        <v>8000</v>
      </c>
      <c r="L1298" s="5">
        <f t="shared" si="10"/>
        <v>3200</v>
      </c>
      <c r="M1298" s="5">
        <f t="shared" si="11"/>
        <v>1600</v>
      </c>
      <c r="N1298" s="6">
        <v>0.5</v>
      </c>
    </row>
    <row r="1299" spans="1:14" ht="15.75" customHeight="1" x14ac:dyDescent="0.45">
      <c r="A1299" s="1" t="s">
        <v>119</v>
      </c>
      <c r="B1299" s="1">
        <v>1185732</v>
      </c>
      <c r="C1299" s="2">
        <v>44575</v>
      </c>
      <c r="D1299" s="1" t="s">
        <v>11</v>
      </c>
      <c r="E1299" s="1" t="s">
        <v>12</v>
      </c>
      <c r="F1299" s="1" t="s">
        <v>54</v>
      </c>
      <c r="G1299" s="1" t="s">
        <v>14</v>
      </c>
      <c r="H1299" s="1">
        <v>35</v>
      </c>
      <c r="I1299" s="1" t="s">
        <v>124</v>
      </c>
      <c r="J1299" s="3">
        <v>0.4</v>
      </c>
      <c r="K1299" s="4">
        <v>6000</v>
      </c>
      <c r="L1299" s="5">
        <f t="shared" si="10"/>
        <v>2400</v>
      </c>
      <c r="M1299" s="5">
        <f t="shared" si="11"/>
        <v>720</v>
      </c>
      <c r="N1299" s="6">
        <v>0.3</v>
      </c>
    </row>
    <row r="1300" spans="1:14" ht="15.75" customHeight="1" x14ac:dyDescent="0.45">
      <c r="A1300" s="1" t="s">
        <v>119</v>
      </c>
      <c r="B1300" s="1">
        <v>1185732</v>
      </c>
      <c r="C1300" s="2">
        <v>44575</v>
      </c>
      <c r="D1300" s="1" t="s">
        <v>11</v>
      </c>
      <c r="E1300" s="1" t="s">
        <v>12</v>
      </c>
      <c r="F1300" s="1" t="s">
        <v>54</v>
      </c>
      <c r="G1300" s="1" t="s">
        <v>15</v>
      </c>
      <c r="H1300" s="1">
        <v>42</v>
      </c>
      <c r="I1300" s="1" t="s">
        <v>123</v>
      </c>
      <c r="J1300" s="3">
        <v>0.30000000000000004</v>
      </c>
      <c r="K1300" s="4">
        <v>6000</v>
      </c>
      <c r="L1300" s="5">
        <f t="shared" si="10"/>
        <v>1800.0000000000002</v>
      </c>
      <c r="M1300" s="5">
        <f t="shared" si="11"/>
        <v>630</v>
      </c>
      <c r="N1300" s="6">
        <v>0.35</v>
      </c>
    </row>
    <row r="1301" spans="1:14" ht="15.75" customHeight="1" x14ac:dyDescent="0.45">
      <c r="A1301" s="1" t="s">
        <v>119</v>
      </c>
      <c r="B1301" s="1">
        <v>1185732</v>
      </c>
      <c r="C1301" s="2">
        <v>44575</v>
      </c>
      <c r="D1301" s="1" t="s">
        <v>11</v>
      </c>
      <c r="E1301" s="1" t="s">
        <v>12</v>
      </c>
      <c r="F1301" s="1" t="s">
        <v>54</v>
      </c>
      <c r="G1301" s="1" t="s">
        <v>16</v>
      </c>
      <c r="H1301" s="1">
        <v>36</v>
      </c>
      <c r="I1301" s="1" t="s">
        <v>125</v>
      </c>
      <c r="J1301" s="3">
        <v>0.35</v>
      </c>
      <c r="K1301" s="4">
        <v>4500</v>
      </c>
      <c r="L1301" s="5">
        <f t="shared" si="10"/>
        <v>1575</v>
      </c>
      <c r="M1301" s="5">
        <f t="shared" si="11"/>
        <v>551.25</v>
      </c>
      <c r="N1301" s="6">
        <v>0.35</v>
      </c>
    </row>
    <row r="1302" spans="1:14" ht="15.75" customHeight="1" x14ac:dyDescent="0.45">
      <c r="A1302" s="1" t="s">
        <v>119</v>
      </c>
      <c r="B1302" s="1">
        <v>1185732</v>
      </c>
      <c r="C1302" s="2">
        <v>44575</v>
      </c>
      <c r="D1302" s="1" t="s">
        <v>11</v>
      </c>
      <c r="E1302" s="1" t="s">
        <v>12</v>
      </c>
      <c r="F1302" s="1" t="s">
        <v>54</v>
      </c>
      <c r="G1302" s="1" t="s">
        <v>17</v>
      </c>
      <c r="H1302" s="1">
        <v>46</v>
      </c>
      <c r="I1302" s="1" t="s">
        <v>124</v>
      </c>
      <c r="J1302" s="3">
        <v>0.5</v>
      </c>
      <c r="K1302" s="4">
        <v>5000</v>
      </c>
      <c r="L1302" s="5">
        <f t="shared" si="10"/>
        <v>2500</v>
      </c>
      <c r="M1302" s="5">
        <f t="shared" si="11"/>
        <v>750</v>
      </c>
      <c r="N1302" s="6">
        <v>0.3</v>
      </c>
    </row>
    <row r="1303" spans="1:14" ht="15.75" customHeight="1" x14ac:dyDescent="0.45">
      <c r="A1303" s="1" t="s">
        <v>119</v>
      </c>
      <c r="B1303" s="1">
        <v>1185732</v>
      </c>
      <c r="C1303" s="2">
        <v>44575</v>
      </c>
      <c r="D1303" s="1" t="s">
        <v>11</v>
      </c>
      <c r="E1303" s="1" t="s">
        <v>12</v>
      </c>
      <c r="F1303" s="1" t="s">
        <v>54</v>
      </c>
      <c r="G1303" s="1" t="s">
        <v>18</v>
      </c>
      <c r="H1303" s="1">
        <v>34</v>
      </c>
      <c r="I1303" s="1" t="s">
        <v>126</v>
      </c>
      <c r="J1303" s="3">
        <v>0.4</v>
      </c>
      <c r="K1303" s="4">
        <v>6000</v>
      </c>
      <c r="L1303" s="5">
        <f t="shared" si="10"/>
        <v>2400</v>
      </c>
      <c r="M1303" s="5">
        <f t="shared" si="11"/>
        <v>600</v>
      </c>
      <c r="N1303" s="6">
        <v>0.25</v>
      </c>
    </row>
    <row r="1304" spans="1:14" ht="15.75" customHeight="1" x14ac:dyDescent="0.45">
      <c r="A1304" s="1" t="s">
        <v>119</v>
      </c>
      <c r="B1304" s="1">
        <v>1185732</v>
      </c>
      <c r="C1304" s="2">
        <v>44604</v>
      </c>
      <c r="D1304" s="1" t="s">
        <v>11</v>
      </c>
      <c r="E1304" s="1" t="s">
        <v>12</v>
      </c>
      <c r="F1304" s="1" t="s">
        <v>54</v>
      </c>
      <c r="G1304" s="1" t="s">
        <v>13</v>
      </c>
      <c r="H1304" s="1">
        <v>44</v>
      </c>
      <c r="I1304" s="1" t="s">
        <v>125</v>
      </c>
      <c r="J1304" s="3">
        <v>0.4</v>
      </c>
      <c r="K1304" s="4">
        <v>8500</v>
      </c>
      <c r="L1304" s="5">
        <f t="shared" si="10"/>
        <v>3400</v>
      </c>
      <c r="M1304" s="5">
        <f t="shared" si="11"/>
        <v>1700</v>
      </c>
      <c r="N1304" s="6">
        <v>0.5</v>
      </c>
    </row>
    <row r="1305" spans="1:14" ht="15.75" customHeight="1" x14ac:dyDescent="0.45">
      <c r="A1305" s="1" t="s">
        <v>119</v>
      </c>
      <c r="B1305" s="1">
        <v>1185732</v>
      </c>
      <c r="C1305" s="2">
        <v>44604</v>
      </c>
      <c r="D1305" s="1" t="s">
        <v>11</v>
      </c>
      <c r="E1305" s="1" t="s">
        <v>12</v>
      </c>
      <c r="F1305" s="1" t="s">
        <v>54</v>
      </c>
      <c r="G1305" s="1" t="s">
        <v>14</v>
      </c>
      <c r="H1305" s="1">
        <v>41</v>
      </c>
      <c r="I1305" s="1" t="s">
        <v>123</v>
      </c>
      <c r="J1305" s="3">
        <v>0.4</v>
      </c>
      <c r="K1305" s="4">
        <v>5000</v>
      </c>
      <c r="L1305" s="5">
        <f t="shared" si="10"/>
        <v>2000</v>
      </c>
      <c r="M1305" s="5">
        <f t="shared" si="11"/>
        <v>600</v>
      </c>
      <c r="N1305" s="6">
        <v>0.3</v>
      </c>
    </row>
    <row r="1306" spans="1:14" ht="15.75" customHeight="1" x14ac:dyDescent="0.45">
      <c r="A1306" s="1" t="s">
        <v>119</v>
      </c>
      <c r="B1306" s="1">
        <v>1185732</v>
      </c>
      <c r="C1306" s="2">
        <v>44604</v>
      </c>
      <c r="D1306" s="1" t="s">
        <v>11</v>
      </c>
      <c r="E1306" s="1" t="s">
        <v>12</v>
      </c>
      <c r="F1306" s="1" t="s">
        <v>54</v>
      </c>
      <c r="G1306" s="1" t="s">
        <v>15</v>
      </c>
      <c r="H1306" s="1">
        <v>50</v>
      </c>
      <c r="I1306" s="1" t="s">
        <v>123</v>
      </c>
      <c r="J1306" s="3">
        <v>0.30000000000000004</v>
      </c>
      <c r="K1306" s="4">
        <v>5500</v>
      </c>
      <c r="L1306" s="5">
        <f t="shared" si="10"/>
        <v>1650.0000000000002</v>
      </c>
      <c r="M1306" s="5">
        <f t="shared" si="11"/>
        <v>577.5</v>
      </c>
      <c r="N1306" s="6">
        <v>0.35</v>
      </c>
    </row>
    <row r="1307" spans="1:14" ht="15.75" customHeight="1" x14ac:dyDescent="0.45">
      <c r="A1307" s="1" t="s">
        <v>119</v>
      </c>
      <c r="B1307" s="1">
        <v>1185732</v>
      </c>
      <c r="C1307" s="2">
        <v>44604</v>
      </c>
      <c r="D1307" s="1" t="s">
        <v>11</v>
      </c>
      <c r="E1307" s="1" t="s">
        <v>12</v>
      </c>
      <c r="F1307" s="1" t="s">
        <v>54</v>
      </c>
      <c r="G1307" s="1" t="s">
        <v>16</v>
      </c>
      <c r="H1307" s="1">
        <v>32</v>
      </c>
      <c r="I1307" s="1" t="s">
        <v>124</v>
      </c>
      <c r="J1307" s="3">
        <v>0.35</v>
      </c>
      <c r="K1307" s="4">
        <v>4250</v>
      </c>
      <c r="L1307" s="5">
        <f t="shared" si="10"/>
        <v>1487.5</v>
      </c>
      <c r="M1307" s="5">
        <f t="shared" si="11"/>
        <v>520.625</v>
      </c>
      <c r="N1307" s="6">
        <v>0.35</v>
      </c>
    </row>
    <row r="1308" spans="1:14" ht="15.75" customHeight="1" x14ac:dyDescent="0.45">
      <c r="A1308" s="1" t="s">
        <v>119</v>
      </c>
      <c r="B1308" s="1">
        <v>1185732</v>
      </c>
      <c r="C1308" s="2">
        <v>44604</v>
      </c>
      <c r="D1308" s="1" t="s">
        <v>11</v>
      </c>
      <c r="E1308" s="1" t="s">
        <v>12</v>
      </c>
      <c r="F1308" s="1" t="s">
        <v>54</v>
      </c>
      <c r="G1308" s="1" t="s">
        <v>17</v>
      </c>
      <c r="H1308" s="1">
        <v>34</v>
      </c>
      <c r="I1308" s="1" t="s">
        <v>126</v>
      </c>
      <c r="J1308" s="3">
        <v>0.5</v>
      </c>
      <c r="K1308" s="4">
        <v>5000</v>
      </c>
      <c r="L1308" s="5">
        <f t="shared" si="10"/>
        <v>2500</v>
      </c>
      <c r="M1308" s="5">
        <f t="shared" si="11"/>
        <v>750</v>
      </c>
      <c r="N1308" s="6">
        <v>0.3</v>
      </c>
    </row>
    <row r="1309" spans="1:14" ht="15.75" customHeight="1" x14ac:dyDescent="0.45">
      <c r="A1309" s="1" t="s">
        <v>119</v>
      </c>
      <c r="B1309" s="1">
        <v>1185732</v>
      </c>
      <c r="C1309" s="2">
        <v>44604</v>
      </c>
      <c r="D1309" s="1" t="s">
        <v>11</v>
      </c>
      <c r="E1309" s="1" t="s">
        <v>12</v>
      </c>
      <c r="F1309" s="1" t="s">
        <v>54</v>
      </c>
      <c r="G1309" s="1" t="s">
        <v>18</v>
      </c>
      <c r="H1309" s="1">
        <v>46</v>
      </c>
      <c r="I1309" s="1" t="s">
        <v>124</v>
      </c>
      <c r="J1309" s="3">
        <v>0.4</v>
      </c>
      <c r="K1309" s="4">
        <v>6000</v>
      </c>
      <c r="L1309" s="5">
        <f t="shared" si="10"/>
        <v>2400</v>
      </c>
      <c r="M1309" s="5">
        <f t="shared" si="11"/>
        <v>600</v>
      </c>
      <c r="N1309" s="6">
        <v>0.25</v>
      </c>
    </row>
    <row r="1310" spans="1:14" ht="15.75" customHeight="1" x14ac:dyDescent="0.45">
      <c r="A1310" s="1" t="s">
        <v>119</v>
      </c>
      <c r="B1310" s="1">
        <v>1185732</v>
      </c>
      <c r="C1310" s="2">
        <v>44630</v>
      </c>
      <c r="D1310" s="1" t="s">
        <v>11</v>
      </c>
      <c r="E1310" s="1" t="s">
        <v>12</v>
      </c>
      <c r="F1310" s="1" t="s">
        <v>54</v>
      </c>
      <c r="G1310" s="1" t="s">
        <v>13</v>
      </c>
      <c r="H1310" s="1">
        <v>44</v>
      </c>
      <c r="I1310" s="1" t="s">
        <v>126</v>
      </c>
      <c r="J1310" s="3">
        <v>0.4</v>
      </c>
      <c r="K1310" s="4">
        <v>8200</v>
      </c>
      <c r="L1310" s="5">
        <f t="shared" si="10"/>
        <v>3280</v>
      </c>
      <c r="M1310" s="5">
        <f t="shared" si="11"/>
        <v>1640</v>
      </c>
      <c r="N1310" s="6">
        <v>0.5</v>
      </c>
    </row>
    <row r="1311" spans="1:14" ht="15.75" customHeight="1" x14ac:dyDescent="0.45">
      <c r="A1311" s="1" t="s">
        <v>119</v>
      </c>
      <c r="B1311" s="1">
        <v>1185732</v>
      </c>
      <c r="C1311" s="2">
        <v>44630</v>
      </c>
      <c r="D1311" s="1" t="s">
        <v>11</v>
      </c>
      <c r="E1311" s="1" t="s">
        <v>12</v>
      </c>
      <c r="F1311" s="1" t="s">
        <v>54</v>
      </c>
      <c r="G1311" s="1" t="s">
        <v>14</v>
      </c>
      <c r="H1311" s="1">
        <v>23</v>
      </c>
      <c r="I1311" s="1" t="s">
        <v>125</v>
      </c>
      <c r="J1311" s="3">
        <v>0.4</v>
      </c>
      <c r="K1311" s="4">
        <v>5250</v>
      </c>
      <c r="L1311" s="5">
        <f t="shared" si="10"/>
        <v>2100</v>
      </c>
      <c r="M1311" s="5">
        <f t="shared" si="11"/>
        <v>630</v>
      </c>
      <c r="N1311" s="6">
        <v>0.3</v>
      </c>
    </row>
    <row r="1312" spans="1:14" ht="15.75" customHeight="1" x14ac:dyDescent="0.45">
      <c r="A1312" s="1" t="s">
        <v>119</v>
      </c>
      <c r="B1312" s="1">
        <v>1185732</v>
      </c>
      <c r="C1312" s="2">
        <v>44630</v>
      </c>
      <c r="D1312" s="1" t="s">
        <v>11</v>
      </c>
      <c r="E1312" s="1" t="s">
        <v>12</v>
      </c>
      <c r="F1312" s="1" t="s">
        <v>54</v>
      </c>
      <c r="G1312" s="1" t="s">
        <v>15</v>
      </c>
      <c r="H1312" s="1">
        <v>39</v>
      </c>
      <c r="I1312" s="1" t="s">
        <v>124</v>
      </c>
      <c r="J1312" s="3">
        <v>0.30000000000000004</v>
      </c>
      <c r="K1312" s="4">
        <v>5500</v>
      </c>
      <c r="L1312" s="5">
        <f t="shared" si="10"/>
        <v>1650.0000000000002</v>
      </c>
      <c r="M1312" s="5">
        <f t="shared" si="11"/>
        <v>577.5</v>
      </c>
      <c r="N1312" s="6">
        <v>0.35</v>
      </c>
    </row>
    <row r="1313" spans="1:14" ht="15.75" customHeight="1" x14ac:dyDescent="0.45">
      <c r="A1313" s="1" t="s">
        <v>119</v>
      </c>
      <c r="B1313" s="1">
        <v>1185732</v>
      </c>
      <c r="C1313" s="2">
        <v>44630</v>
      </c>
      <c r="D1313" s="1" t="s">
        <v>11</v>
      </c>
      <c r="E1313" s="1" t="s">
        <v>12</v>
      </c>
      <c r="F1313" s="1" t="s">
        <v>54</v>
      </c>
      <c r="G1313" s="1" t="s">
        <v>16</v>
      </c>
      <c r="H1313" s="1">
        <v>21</v>
      </c>
      <c r="I1313" s="1" t="s">
        <v>126</v>
      </c>
      <c r="J1313" s="3">
        <v>0.35</v>
      </c>
      <c r="K1313" s="4">
        <v>4000</v>
      </c>
      <c r="L1313" s="5">
        <f t="shared" si="10"/>
        <v>1400</v>
      </c>
      <c r="M1313" s="5">
        <f t="shared" si="11"/>
        <v>489.99999999999994</v>
      </c>
      <c r="N1313" s="6">
        <v>0.35</v>
      </c>
    </row>
    <row r="1314" spans="1:14" ht="15.75" customHeight="1" x14ac:dyDescent="0.45">
      <c r="A1314" s="1" t="s">
        <v>119</v>
      </c>
      <c r="B1314" s="1">
        <v>1185732</v>
      </c>
      <c r="C1314" s="2">
        <v>44630</v>
      </c>
      <c r="D1314" s="1" t="s">
        <v>11</v>
      </c>
      <c r="E1314" s="1" t="s">
        <v>12</v>
      </c>
      <c r="F1314" s="1" t="s">
        <v>54</v>
      </c>
      <c r="G1314" s="1" t="s">
        <v>17</v>
      </c>
      <c r="H1314" s="1">
        <v>23</v>
      </c>
      <c r="I1314" s="1" t="s">
        <v>126</v>
      </c>
      <c r="J1314" s="3">
        <v>0.5</v>
      </c>
      <c r="K1314" s="4">
        <v>4500</v>
      </c>
      <c r="L1314" s="5">
        <f t="shared" si="10"/>
        <v>2250</v>
      </c>
      <c r="M1314" s="5">
        <f t="shared" si="11"/>
        <v>675</v>
      </c>
      <c r="N1314" s="6">
        <v>0.3</v>
      </c>
    </row>
    <row r="1315" spans="1:14" ht="15.75" customHeight="1" x14ac:dyDescent="0.45">
      <c r="A1315" s="1" t="s">
        <v>119</v>
      </c>
      <c r="B1315" s="1">
        <v>1185732</v>
      </c>
      <c r="C1315" s="2">
        <v>44630</v>
      </c>
      <c r="D1315" s="1" t="s">
        <v>11</v>
      </c>
      <c r="E1315" s="1" t="s">
        <v>12</v>
      </c>
      <c r="F1315" s="1" t="s">
        <v>54</v>
      </c>
      <c r="G1315" s="1" t="s">
        <v>18</v>
      </c>
      <c r="H1315" s="1">
        <v>42</v>
      </c>
      <c r="I1315" s="1" t="s">
        <v>126</v>
      </c>
      <c r="J1315" s="3">
        <v>0.4</v>
      </c>
      <c r="K1315" s="4">
        <v>5500</v>
      </c>
      <c r="L1315" s="5">
        <f t="shared" si="10"/>
        <v>2200</v>
      </c>
      <c r="M1315" s="5">
        <f t="shared" si="11"/>
        <v>550</v>
      </c>
      <c r="N1315" s="6">
        <v>0.25</v>
      </c>
    </row>
    <row r="1316" spans="1:14" ht="15.75" customHeight="1" x14ac:dyDescent="0.45">
      <c r="A1316" s="1" t="s">
        <v>119</v>
      </c>
      <c r="B1316" s="1">
        <v>1185732</v>
      </c>
      <c r="C1316" s="2">
        <v>44662</v>
      </c>
      <c r="D1316" s="1" t="s">
        <v>11</v>
      </c>
      <c r="E1316" s="1" t="s">
        <v>12</v>
      </c>
      <c r="F1316" s="1" t="s">
        <v>54</v>
      </c>
      <c r="G1316" s="1" t="s">
        <v>13</v>
      </c>
      <c r="H1316" s="1">
        <v>41</v>
      </c>
      <c r="I1316" s="1" t="s">
        <v>125</v>
      </c>
      <c r="J1316" s="3">
        <v>0.4</v>
      </c>
      <c r="K1316" s="4">
        <v>8000</v>
      </c>
      <c r="L1316" s="5">
        <f t="shared" si="10"/>
        <v>3200</v>
      </c>
      <c r="M1316" s="5">
        <f t="shared" si="11"/>
        <v>1600</v>
      </c>
      <c r="N1316" s="6">
        <v>0.5</v>
      </c>
    </row>
    <row r="1317" spans="1:14" ht="15.75" customHeight="1" x14ac:dyDescent="0.45">
      <c r="A1317" s="1" t="s">
        <v>119</v>
      </c>
      <c r="B1317" s="1">
        <v>1185732</v>
      </c>
      <c r="C1317" s="2">
        <v>44662</v>
      </c>
      <c r="D1317" s="1" t="s">
        <v>11</v>
      </c>
      <c r="E1317" s="1" t="s">
        <v>12</v>
      </c>
      <c r="F1317" s="1" t="s">
        <v>54</v>
      </c>
      <c r="G1317" s="1" t="s">
        <v>14</v>
      </c>
      <c r="H1317" s="1">
        <v>47</v>
      </c>
      <c r="I1317" s="1" t="s">
        <v>125</v>
      </c>
      <c r="J1317" s="3">
        <v>0.4</v>
      </c>
      <c r="K1317" s="4">
        <v>5000</v>
      </c>
      <c r="L1317" s="5">
        <f t="shared" si="10"/>
        <v>2000</v>
      </c>
      <c r="M1317" s="5">
        <f t="shared" si="11"/>
        <v>600</v>
      </c>
      <c r="N1317" s="6">
        <v>0.3</v>
      </c>
    </row>
    <row r="1318" spans="1:14" ht="15.75" customHeight="1" x14ac:dyDescent="0.45">
      <c r="A1318" s="1" t="s">
        <v>119</v>
      </c>
      <c r="B1318" s="1">
        <v>1185732</v>
      </c>
      <c r="C1318" s="2">
        <v>44662</v>
      </c>
      <c r="D1318" s="1" t="s">
        <v>11</v>
      </c>
      <c r="E1318" s="1" t="s">
        <v>12</v>
      </c>
      <c r="F1318" s="1" t="s">
        <v>54</v>
      </c>
      <c r="G1318" s="1" t="s">
        <v>15</v>
      </c>
      <c r="H1318" s="1">
        <v>34</v>
      </c>
      <c r="I1318" s="1" t="s">
        <v>125</v>
      </c>
      <c r="J1318" s="3">
        <v>0.30000000000000004</v>
      </c>
      <c r="K1318" s="4">
        <v>5000</v>
      </c>
      <c r="L1318" s="5">
        <f t="shared" si="10"/>
        <v>1500.0000000000002</v>
      </c>
      <c r="M1318" s="5">
        <f t="shared" si="11"/>
        <v>525</v>
      </c>
      <c r="N1318" s="6">
        <v>0.35</v>
      </c>
    </row>
    <row r="1319" spans="1:14" ht="15.75" customHeight="1" x14ac:dyDescent="0.45">
      <c r="A1319" s="1" t="s">
        <v>119</v>
      </c>
      <c r="B1319" s="1">
        <v>1185732</v>
      </c>
      <c r="C1319" s="2">
        <v>44662</v>
      </c>
      <c r="D1319" s="1" t="s">
        <v>11</v>
      </c>
      <c r="E1319" s="1" t="s">
        <v>12</v>
      </c>
      <c r="F1319" s="1" t="s">
        <v>54</v>
      </c>
      <c r="G1319" s="1" t="s">
        <v>16</v>
      </c>
      <c r="H1319" s="1">
        <v>19</v>
      </c>
      <c r="I1319" s="1" t="s">
        <v>123</v>
      </c>
      <c r="J1319" s="3">
        <v>0.35</v>
      </c>
      <c r="K1319" s="4">
        <v>4250</v>
      </c>
      <c r="L1319" s="5">
        <f t="shared" si="10"/>
        <v>1487.5</v>
      </c>
      <c r="M1319" s="5">
        <f t="shared" si="11"/>
        <v>520.625</v>
      </c>
      <c r="N1319" s="6">
        <v>0.35</v>
      </c>
    </row>
    <row r="1320" spans="1:14" ht="15.75" customHeight="1" x14ac:dyDescent="0.45">
      <c r="A1320" s="1" t="s">
        <v>119</v>
      </c>
      <c r="B1320" s="1">
        <v>1185732</v>
      </c>
      <c r="C1320" s="2">
        <v>44662</v>
      </c>
      <c r="D1320" s="1" t="s">
        <v>11</v>
      </c>
      <c r="E1320" s="1" t="s">
        <v>12</v>
      </c>
      <c r="F1320" s="1" t="s">
        <v>54</v>
      </c>
      <c r="G1320" s="1" t="s">
        <v>17</v>
      </c>
      <c r="H1320" s="1">
        <v>16</v>
      </c>
      <c r="I1320" s="1" t="s">
        <v>124</v>
      </c>
      <c r="J1320" s="3">
        <v>0.5</v>
      </c>
      <c r="K1320" s="4">
        <v>4250</v>
      </c>
      <c r="L1320" s="5">
        <f t="shared" si="10"/>
        <v>2125</v>
      </c>
      <c r="M1320" s="5">
        <f t="shared" si="11"/>
        <v>637.5</v>
      </c>
      <c r="N1320" s="6">
        <v>0.3</v>
      </c>
    </row>
    <row r="1321" spans="1:14" ht="15.75" customHeight="1" x14ac:dyDescent="0.45">
      <c r="A1321" s="1" t="s">
        <v>119</v>
      </c>
      <c r="B1321" s="1">
        <v>1185732</v>
      </c>
      <c r="C1321" s="2">
        <v>44662</v>
      </c>
      <c r="D1321" s="1" t="s">
        <v>11</v>
      </c>
      <c r="E1321" s="1" t="s">
        <v>12</v>
      </c>
      <c r="F1321" s="1" t="s">
        <v>54</v>
      </c>
      <c r="G1321" s="1" t="s">
        <v>18</v>
      </c>
      <c r="H1321" s="1">
        <v>33</v>
      </c>
      <c r="I1321" s="1" t="s">
        <v>123</v>
      </c>
      <c r="J1321" s="3">
        <v>0.4</v>
      </c>
      <c r="K1321" s="4">
        <v>5500</v>
      </c>
      <c r="L1321" s="5">
        <f t="shared" si="10"/>
        <v>2200</v>
      </c>
      <c r="M1321" s="5">
        <f t="shared" si="11"/>
        <v>550</v>
      </c>
      <c r="N1321" s="6">
        <v>0.25</v>
      </c>
    </row>
    <row r="1322" spans="1:14" ht="15.75" customHeight="1" x14ac:dyDescent="0.45">
      <c r="A1322" s="1" t="s">
        <v>119</v>
      </c>
      <c r="B1322" s="1">
        <v>1185732</v>
      </c>
      <c r="C1322" s="2">
        <v>44691</v>
      </c>
      <c r="D1322" s="1" t="s">
        <v>11</v>
      </c>
      <c r="E1322" s="1" t="s">
        <v>12</v>
      </c>
      <c r="F1322" s="1" t="s">
        <v>54</v>
      </c>
      <c r="G1322" s="1" t="s">
        <v>13</v>
      </c>
      <c r="H1322" s="1">
        <v>43</v>
      </c>
      <c r="I1322" s="1" t="s">
        <v>126</v>
      </c>
      <c r="J1322" s="3">
        <v>0.5</v>
      </c>
      <c r="K1322" s="4">
        <v>8200</v>
      </c>
      <c r="L1322" s="5">
        <f t="shared" si="10"/>
        <v>4100</v>
      </c>
      <c r="M1322" s="5">
        <f t="shared" si="11"/>
        <v>2050</v>
      </c>
      <c r="N1322" s="6">
        <v>0.5</v>
      </c>
    </row>
    <row r="1323" spans="1:14" ht="15.75" customHeight="1" x14ac:dyDescent="0.45">
      <c r="A1323" s="1" t="s">
        <v>119</v>
      </c>
      <c r="B1323" s="1">
        <v>1185732</v>
      </c>
      <c r="C1323" s="2">
        <v>44691</v>
      </c>
      <c r="D1323" s="1" t="s">
        <v>11</v>
      </c>
      <c r="E1323" s="1" t="s">
        <v>12</v>
      </c>
      <c r="F1323" s="1" t="s">
        <v>54</v>
      </c>
      <c r="G1323" s="1" t="s">
        <v>14</v>
      </c>
      <c r="H1323" s="1">
        <v>20</v>
      </c>
      <c r="I1323" s="1" t="s">
        <v>125</v>
      </c>
      <c r="J1323" s="3">
        <v>0.45000000000000007</v>
      </c>
      <c r="K1323" s="4">
        <v>5250</v>
      </c>
      <c r="L1323" s="5">
        <f t="shared" si="10"/>
        <v>2362.5000000000005</v>
      </c>
      <c r="M1323" s="5">
        <f t="shared" si="11"/>
        <v>708.75000000000011</v>
      </c>
      <c r="N1323" s="6">
        <v>0.3</v>
      </c>
    </row>
    <row r="1324" spans="1:14" ht="15.75" customHeight="1" x14ac:dyDescent="0.45">
      <c r="A1324" s="1" t="s">
        <v>119</v>
      </c>
      <c r="B1324" s="1">
        <v>1185732</v>
      </c>
      <c r="C1324" s="2">
        <v>44691</v>
      </c>
      <c r="D1324" s="1" t="s">
        <v>11</v>
      </c>
      <c r="E1324" s="1" t="s">
        <v>12</v>
      </c>
      <c r="F1324" s="1" t="s">
        <v>54</v>
      </c>
      <c r="G1324" s="1" t="s">
        <v>15</v>
      </c>
      <c r="H1324" s="1">
        <v>60</v>
      </c>
      <c r="I1324" s="1" t="s">
        <v>124</v>
      </c>
      <c r="J1324" s="3">
        <v>0.4</v>
      </c>
      <c r="K1324" s="4">
        <v>5000</v>
      </c>
      <c r="L1324" s="5">
        <f t="shared" si="10"/>
        <v>2000</v>
      </c>
      <c r="M1324" s="5">
        <f t="shared" si="11"/>
        <v>700</v>
      </c>
      <c r="N1324" s="6">
        <v>0.35</v>
      </c>
    </row>
    <row r="1325" spans="1:14" ht="15.75" customHeight="1" x14ac:dyDescent="0.45">
      <c r="A1325" s="1" t="s">
        <v>119</v>
      </c>
      <c r="B1325" s="1">
        <v>1185732</v>
      </c>
      <c r="C1325" s="2">
        <v>44691</v>
      </c>
      <c r="D1325" s="1" t="s">
        <v>11</v>
      </c>
      <c r="E1325" s="1" t="s">
        <v>12</v>
      </c>
      <c r="F1325" s="1" t="s">
        <v>54</v>
      </c>
      <c r="G1325" s="1" t="s">
        <v>16</v>
      </c>
      <c r="H1325" s="1">
        <v>49</v>
      </c>
      <c r="I1325" s="1" t="s">
        <v>125</v>
      </c>
      <c r="J1325" s="3">
        <v>0.4</v>
      </c>
      <c r="K1325" s="4">
        <v>4500</v>
      </c>
      <c r="L1325" s="5">
        <f t="shared" si="10"/>
        <v>1800</v>
      </c>
      <c r="M1325" s="5">
        <f t="shared" si="11"/>
        <v>630</v>
      </c>
      <c r="N1325" s="6">
        <v>0.35</v>
      </c>
    </row>
    <row r="1326" spans="1:14" ht="15.75" customHeight="1" x14ac:dyDescent="0.45">
      <c r="A1326" s="1" t="s">
        <v>119</v>
      </c>
      <c r="B1326" s="1">
        <v>1185732</v>
      </c>
      <c r="C1326" s="2">
        <v>44691</v>
      </c>
      <c r="D1326" s="1" t="s">
        <v>11</v>
      </c>
      <c r="E1326" s="1" t="s">
        <v>12</v>
      </c>
      <c r="F1326" s="1" t="s">
        <v>54</v>
      </c>
      <c r="G1326" s="1" t="s">
        <v>17</v>
      </c>
      <c r="H1326" s="1">
        <v>23</v>
      </c>
      <c r="I1326" s="1" t="s">
        <v>125</v>
      </c>
      <c r="J1326" s="3">
        <v>0.5</v>
      </c>
      <c r="K1326" s="4">
        <v>4750</v>
      </c>
      <c r="L1326" s="5">
        <f t="shared" si="10"/>
        <v>2375</v>
      </c>
      <c r="M1326" s="5">
        <f t="shared" si="11"/>
        <v>712.5</v>
      </c>
      <c r="N1326" s="6">
        <v>0.3</v>
      </c>
    </row>
    <row r="1327" spans="1:14" ht="15.75" customHeight="1" x14ac:dyDescent="0.45">
      <c r="A1327" s="1" t="s">
        <v>119</v>
      </c>
      <c r="B1327" s="1">
        <v>1185732</v>
      </c>
      <c r="C1327" s="2">
        <v>44691</v>
      </c>
      <c r="D1327" s="1" t="s">
        <v>11</v>
      </c>
      <c r="E1327" s="1" t="s">
        <v>12</v>
      </c>
      <c r="F1327" s="1" t="s">
        <v>54</v>
      </c>
      <c r="G1327" s="1" t="s">
        <v>18</v>
      </c>
      <c r="H1327" s="1">
        <v>15</v>
      </c>
      <c r="I1327" s="1" t="s">
        <v>123</v>
      </c>
      <c r="J1327" s="3">
        <v>0.55000000000000004</v>
      </c>
      <c r="K1327" s="4">
        <v>6000</v>
      </c>
      <c r="L1327" s="5">
        <f t="shared" si="10"/>
        <v>3300.0000000000005</v>
      </c>
      <c r="M1327" s="5">
        <f t="shared" si="11"/>
        <v>825.00000000000011</v>
      </c>
      <c r="N1327" s="6">
        <v>0.25</v>
      </c>
    </row>
    <row r="1328" spans="1:14" ht="15.75" customHeight="1" x14ac:dyDescent="0.45">
      <c r="A1328" s="1" t="s">
        <v>119</v>
      </c>
      <c r="B1328" s="1">
        <v>1185732</v>
      </c>
      <c r="C1328" s="2">
        <v>44724</v>
      </c>
      <c r="D1328" s="1" t="s">
        <v>11</v>
      </c>
      <c r="E1328" s="1" t="s">
        <v>12</v>
      </c>
      <c r="F1328" s="1" t="s">
        <v>54</v>
      </c>
      <c r="G1328" s="1" t="s">
        <v>13</v>
      </c>
      <c r="H1328" s="1">
        <v>29</v>
      </c>
      <c r="I1328" s="1" t="s">
        <v>124</v>
      </c>
      <c r="J1328" s="3">
        <v>0.5</v>
      </c>
      <c r="K1328" s="4">
        <v>8500</v>
      </c>
      <c r="L1328" s="5">
        <f t="shared" si="10"/>
        <v>4250</v>
      </c>
      <c r="M1328" s="5">
        <f t="shared" si="11"/>
        <v>2125</v>
      </c>
      <c r="N1328" s="6">
        <v>0.5</v>
      </c>
    </row>
    <row r="1329" spans="1:14" ht="15.75" customHeight="1" x14ac:dyDescent="0.45">
      <c r="A1329" s="1" t="s">
        <v>119</v>
      </c>
      <c r="B1329" s="1">
        <v>1185732</v>
      </c>
      <c r="C1329" s="2">
        <v>44724</v>
      </c>
      <c r="D1329" s="1" t="s">
        <v>11</v>
      </c>
      <c r="E1329" s="1" t="s">
        <v>12</v>
      </c>
      <c r="F1329" s="1" t="s">
        <v>54</v>
      </c>
      <c r="G1329" s="1" t="s">
        <v>14</v>
      </c>
      <c r="H1329" s="1">
        <v>39</v>
      </c>
      <c r="I1329" s="1" t="s">
        <v>124</v>
      </c>
      <c r="J1329" s="3">
        <v>0.45000000000000007</v>
      </c>
      <c r="K1329" s="4">
        <v>6000</v>
      </c>
      <c r="L1329" s="5">
        <f t="shared" si="10"/>
        <v>2700.0000000000005</v>
      </c>
      <c r="M1329" s="5">
        <f t="shared" si="11"/>
        <v>810.00000000000011</v>
      </c>
      <c r="N1329" s="6">
        <v>0.3</v>
      </c>
    </row>
    <row r="1330" spans="1:14" ht="15.75" customHeight="1" x14ac:dyDescent="0.45">
      <c r="A1330" s="1" t="s">
        <v>119</v>
      </c>
      <c r="B1330" s="1">
        <v>1185732</v>
      </c>
      <c r="C1330" s="2">
        <v>44724</v>
      </c>
      <c r="D1330" s="1" t="s">
        <v>11</v>
      </c>
      <c r="E1330" s="1" t="s">
        <v>12</v>
      </c>
      <c r="F1330" s="1" t="s">
        <v>54</v>
      </c>
      <c r="G1330" s="1" t="s">
        <v>15</v>
      </c>
      <c r="H1330" s="1">
        <v>30</v>
      </c>
      <c r="I1330" s="1" t="s">
        <v>123</v>
      </c>
      <c r="J1330" s="3">
        <v>0.4</v>
      </c>
      <c r="K1330" s="4">
        <v>5250</v>
      </c>
      <c r="L1330" s="5">
        <f t="shared" si="10"/>
        <v>2100</v>
      </c>
      <c r="M1330" s="5">
        <f t="shared" si="11"/>
        <v>735</v>
      </c>
      <c r="N1330" s="6">
        <v>0.35</v>
      </c>
    </row>
    <row r="1331" spans="1:14" ht="15.75" customHeight="1" x14ac:dyDescent="0.45">
      <c r="A1331" s="1" t="s">
        <v>119</v>
      </c>
      <c r="B1331" s="1">
        <v>1185732</v>
      </c>
      <c r="C1331" s="2">
        <v>44724</v>
      </c>
      <c r="D1331" s="1" t="s">
        <v>11</v>
      </c>
      <c r="E1331" s="1" t="s">
        <v>12</v>
      </c>
      <c r="F1331" s="1" t="s">
        <v>54</v>
      </c>
      <c r="G1331" s="1" t="s">
        <v>16</v>
      </c>
      <c r="H1331" s="1">
        <v>28</v>
      </c>
      <c r="I1331" s="1" t="s">
        <v>124</v>
      </c>
      <c r="J1331" s="3">
        <v>0.4</v>
      </c>
      <c r="K1331" s="4">
        <v>5000</v>
      </c>
      <c r="L1331" s="5">
        <f t="shared" si="10"/>
        <v>2000</v>
      </c>
      <c r="M1331" s="5">
        <f t="shared" si="11"/>
        <v>700</v>
      </c>
      <c r="N1331" s="6">
        <v>0.35</v>
      </c>
    </row>
    <row r="1332" spans="1:14" ht="15.75" customHeight="1" x14ac:dyDescent="0.45">
      <c r="A1332" s="1" t="s">
        <v>119</v>
      </c>
      <c r="B1332" s="1">
        <v>1185732</v>
      </c>
      <c r="C1332" s="2">
        <v>44724</v>
      </c>
      <c r="D1332" s="1" t="s">
        <v>11</v>
      </c>
      <c r="E1332" s="1" t="s">
        <v>12</v>
      </c>
      <c r="F1332" s="1" t="s">
        <v>54</v>
      </c>
      <c r="G1332" s="1" t="s">
        <v>17</v>
      </c>
      <c r="H1332" s="1">
        <v>20</v>
      </c>
      <c r="I1332" s="1" t="s">
        <v>124</v>
      </c>
      <c r="J1332" s="3">
        <v>0.5</v>
      </c>
      <c r="K1332" s="4">
        <v>5000</v>
      </c>
      <c r="L1332" s="5">
        <f t="shared" si="10"/>
        <v>2500</v>
      </c>
      <c r="M1332" s="5">
        <f t="shared" si="11"/>
        <v>750</v>
      </c>
      <c r="N1332" s="6">
        <v>0.3</v>
      </c>
    </row>
    <row r="1333" spans="1:14" ht="15.75" customHeight="1" x14ac:dyDescent="0.45">
      <c r="A1333" s="1" t="s">
        <v>119</v>
      </c>
      <c r="B1333" s="1">
        <v>1185732</v>
      </c>
      <c r="C1333" s="2">
        <v>44724</v>
      </c>
      <c r="D1333" s="1" t="s">
        <v>11</v>
      </c>
      <c r="E1333" s="1" t="s">
        <v>12</v>
      </c>
      <c r="F1333" s="1" t="s">
        <v>54</v>
      </c>
      <c r="G1333" s="1" t="s">
        <v>18</v>
      </c>
      <c r="H1333" s="1">
        <v>50</v>
      </c>
      <c r="I1333" s="1" t="s">
        <v>123</v>
      </c>
      <c r="J1333" s="3">
        <v>0.55000000000000004</v>
      </c>
      <c r="K1333" s="4">
        <v>6500</v>
      </c>
      <c r="L1333" s="5">
        <f t="shared" si="10"/>
        <v>3575.0000000000005</v>
      </c>
      <c r="M1333" s="5">
        <f t="shared" si="11"/>
        <v>893.75000000000011</v>
      </c>
      <c r="N1333" s="6">
        <v>0.25</v>
      </c>
    </row>
    <row r="1334" spans="1:14" ht="15.75" customHeight="1" x14ac:dyDescent="0.45">
      <c r="A1334" s="1" t="s">
        <v>119</v>
      </c>
      <c r="B1334" s="1">
        <v>1185732</v>
      </c>
      <c r="C1334" s="2">
        <v>44752</v>
      </c>
      <c r="D1334" s="1" t="s">
        <v>11</v>
      </c>
      <c r="E1334" s="1" t="s">
        <v>12</v>
      </c>
      <c r="F1334" s="1" t="s">
        <v>54</v>
      </c>
      <c r="G1334" s="1" t="s">
        <v>13</v>
      </c>
      <c r="H1334" s="1">
        <v>34</v>
      </c>
      <c r="I1334" s="1" t="s">
        <v>123</v>
      </c>
      <c r="J1334" s="3">
        <v>0.5</v>
      </c>
      <c r="K1334" s="4">
        <v>8750</v>
      </c>
      <c r="L1334" s="5">
        <f t="shared" si="10"/>
        <v>4375</v>
      </c>
      <c r="M1334" s="5">
        <f t="shared" si="11"/>
        <v>2187.5</v>
      </c>
      <c r="N1334" s="6">
        <v>0.5</v>
      </c>
    </row>
    <row r="1335" spans="1:14" ht="15.75" customHeight="1" x14ac:dyDescent="0.45">
      <c r="A1335" s="1" t="s">
        <v>119</v>
      </c>
      <c r="B1335" s="1">
        <v>1185732</v>
      </c>
      <c r="C1335" s="2">
        <v>44752</v>
      </c>
      <c r="D1335" s="1" t="s">
        <v>11</v>
      </c>
      <c r="E1335" s="1" t="s">
        <v>12</v>
      </c>
      <c r="F1335" s="1" t="s">
        <v>54</v>
      </c>
      <c r="G1335" s="1" t="s">
        <v>14</v>
      </c>
      <c r="H1335" s="1">
        <v>21</v>
      </c>
      <c r="I1335" s="1" t="s">
        <v>125</v>
      </c>
      <c r="J1335" s="3">
        <v>0.45000000000000007</v>
      </c>
      <c r="K1335" s="4">
        <v>6250</v>
      </c>
      <c r="L1335" s="5">
        <f t="shared" si="10"/>
        <v>2812.5000000000005</v>
      </c>
      <c r="M1335" s="5">
        <f t="shared" si="11"/>
        <v>843.75000000000011</v>
      </c>
      <c r="N1335" s="6">
        <v>0.3</v>
      </c>
    </row>
    <row r="1336" spans="1:14" ht="15.75" customHeight="1" x14ac:dyDescent="0.45">
      <c r="A1336" s="1" t="s">
        <v>119</v>
      </c>
      <c r="B1336" s="1">
        <v>1185732</v>
      </c>
      <c r="C1336" s="2">
        <v>44752</v>
      </c>
      <c r="D1336" s="1" t="s">
        <v>11</v>
      </c>
      <c r="E1336" s="1" t="s">
        <v>12</v>
      </c>
      <c r="F1336" s="1" t="s">
        <v>54</v>
      </c>
      <c r="G1336" s="1" t="s">
        <v>15</v>
      </c>
      <c r="H1336" s="1">
        <v>22</v>
      </c>
      <c r="I1336" s="1" t="s">
        <v>123</v>
      </c>
      <c r="J1336" s="3">
        <v>0.4</v>
      </c>
      <c r="K1336" s="4">
        <v>5500</v>
      </c>
      <c r="L1336" s="5">
        <f t="shared" si="10"/>
        <v>2200</v>
      </c>
      <c r="M1336" s="5">
        <f t="shared" si="11"/>
        <v>770</v>
      </c>
      <c r="N1336" s="6">
        <v>0.35</v>
      </c>
    </row>
    <row r="1337" spans="1:14" ht="15.75" customHeight="1" x14ac:dyDescent="0.45">
      <c r="A1337" s="1" t="s">
        <v>119</v>
      </c>
      <c r="B1337" s="1">
        <v>1185732</v>
      </c>
      <c r="C1337" s="2">
        <v>44752</v>
      </c>
      <c r="D1337" s="1" t="s">
        <v>11</v>
      </c>
      <c r="E1337" s="1" t="s">
        <v>12</v>
      </c>
      <c r="F1337" s="1" t="s">
        <v>54</v>
      </c>
      <c r="G1337" s="1" t="s">
        <v>16</v>
      </c>
      <c r="H1337" s="1">
        <v>35</v>
      </c>
      <c r="I1337" s="1" t="s">
        <v>125</v>
      </c>
      <c r="J1337" s="3">
        <v>0.4</v>
      </c>
      <c r="K1337" s="4">
        <v>5000</v>
      </c>
      <c r="L1337" s="5">
        <f t="shared" si="10"/>
        <v>2000</v>
      </c>
      <c r="M1337" s="5">
        <f t="shared" si="11"/>
        <v>700</v>
      </c>
      <c r="N1337" s="6">
        <v>0.35</v>
      </c>
    </row>
    <row r="1338" spans="1:14" ht="15.75" customHeight="1" x14ac:dyDescent="0.45">
      <c r="A1338" s="1" t="s">
        <v>119</v>
      </c>
      <c r="B1338" s="1">
        <v>1185732</v>
      </c>
      <c r="C1338" s="2">
        <v>44752</v>
      </c>
      <c r="D1338" s="1" t="s">
        <v>11</v>
      </c>
      <c r="E1338" s="1" t="s">
        <v>12</v>
      </c>
      <c r="F1338" s="1" t="s">
        <v>54</v>
      </c>
      <c r="G1338" s="1" t="s">
        <v>17</v>
      </c>
      <c r="H1338" s="1">
        <v>52</v>
      </c>
      <c r="I1338" s="1" t="s">
        <v>126</v>
      </c>
      <c r="J1338" s="3">
        <v>0.5</v>
      </c>
      <c r="K1338" s="4">
        <v>5250</v>
      </c>
      <c r="L1338" s="5">
        <f t="shared" si="10"/>
        <v>2625</v>
      </c>
      <c r="M1338" s="5">
        <f t="shared" si="11"/>
        <v>787.5</v>
      </c>
      <c r="N1338" s="6">
        <v>0.3</v>
      </c>
    </row>
    <row r="1339" spans="1:14" ht="15.75" customHeight="1" x14ac:dyDescent="0.45">
      <c r="A1339" s="1" t="s">
        <v>119</v>
      </c>
      <c r="B1339" s="1">
        <v>1185732</v>
      </c>
      <c r="C1339" s="2">
        <v>44752</v>
      </c>
      <c r="D1339" s="1" t="s">
        <v>11</v>
      </c>
      <c r="E1339" s="1" t="s">
        <v>12</v>
      </c>
      <c r="F1339" s="1" t="s">
        <v>54</v>
      </c>
      <c r="G1339" s="1" t="s">
        <v>18</v>
      </c>
      <c r="H1339" s="1">
        <v>42</v>
      </c>
      <c r="I1339" s="1" t="s">
        <v>124</v>
      </c>
      <c r="J1339" s="3">
        <v>0.55000000000000004</v>
      </c>
      <c r="K1339" s="4">
        <v>7000</v>
      </c>
      <c r="L1339" s="5">
        <f t="shared" si="10"/>
        <v>3850.0000000000005</v>
      </c>
      <c r="M1339" s="5">
        <f t="shared" si="11"/>
        <v>962.50000000000011</v>
      </c>
      <c r="N1339" s="6">
        <v>0.25</v>
      </c>
    </row>
    <row r="1340" spans="1:14" ht="15.75" customHeight="1" x14ac:dyDescent="0.45">
      <c r="A1340" s="1" t="s">
        <v>119</v>
      </c>
      <c r="B1340" s="1">
        <v>1185732</v>
      </c>
      <c r="C1340" s="2">
        <v>44784</v>
      </c>
      <c r="D1340" s="1" t="s">
        <v>11</v>
      </c>
      <c r="E1340" s="1" t="s">
        <v>12</v>
      </c>
      <c r="F1340" s="1" t="s">
        <v>54</v>
      </c>
      <c r="G1340" s="1" t="s">
        <v>13</v>
      </c>
      <c r="H1340" s="1">
        <v>36</v>
      </c>
      <c r="I1340" s="1" t="s">
        <v>124</v>
      </c>
      <c r="J1340" s="3">
        <v>0.5</v>
      </c>
      <c r="K1340" s="4">
        <v>8500</v>
      </c>
      <c r="L1340" s="5">
        <f t="shared" si="10"/>
        <v>4250</v>
      </c>
      <c r="M1340" s="5">
        <f t="shared" si="11"/>
        <v>2125</v>
      </c>
      <c r="N1340" s="6">
        <v>0.5</v>
      </c>
    </row>
    <row r="1341" spans="1:14" ht="15.75" customHeight="1" x14ac:dyDescent="0.45">
      <c r="A1341" s="1" t="s">
        <v>119</v>
      </c>
      <c r="B1341" s="1">
        <v>1185732</v>
      </c>
      <c r="C1341" s="2">
        <v>44784</v>
      </c>
      <c r="D1341" s="1" t="s">
        <v>11</v>
      </c>
      <c r="E1341" s="1" t="s">
        <v>12</v>
      </c>
      <c r="F1341" s="1" t="s">
        <v>54</v>
      </c>
      <c r="G1341" s="1" t="s">
        <v>14</v>
      </c>
      <c r="H1341" s="1">
        <v>27</v>
      </c>
      <c r="I1341" s="1" t="s">
        <v>126</v>
      </c>
      <c r="J1341" s="3">
        <v>0.45000000000000007</v>
      </c>
      <c r="K1341" s="4">
        <v>6250</v>
      </c>
      <c r="L1341" s="5">
        <f t="shared" si="10"/>
        <v>2812.5000000000005</v>
      </c>
      <c r="M1341" s="5">
        <f t="shared" si="11"/>
        <v>843.75000000000011</v>
      </c>
      <c r="N1341" s="6">
        <v>0.3</v>
      </c>
    </row>
    <row r="1342" spans="1:14" ht="15.75" customHeight="1" x14ac:dyDescent="0.45">
      <c r="A1342" s="1" t="s">
        <v>119</v>
      </c>
      <c r="B1342" s="1">
        <v>1185732</v>
      </c>
      <c r="C1342" s="2">
        <v>44784</v>
      </c>
      <c r="D1342" s="1" t="s">
        <v>11</v>
      </c>
      <c r="E1342" s="1" t="s">
        <v>12</v>
      </c>
      <c r="F1342" s="1" t="s">
        <v>54</v>
      </c>
      <c r="G1342" s="1" t="s">
        <v>15</v>
      </c>
      <c r="H1342" s="1">
        <v>26</v>
      </c>
      <c r="I1342" s="1" t="s">
        <v>123</v>
      </c>
      <c r="J1342" s="3">
        <v>0.4</v>
      </c>
      <c r="K1342" s="4">
        <v>5500</v>
      </c>
      <c r="L1342" s="5">
        <f t="shared" si="10"/>
        <v>2200</v>
      </c>
      <c r="M1342" s="5">
        <f t="shared" si="11"/>
        <v>770</v>
      </c>
      <c r="N1342" s="6">
        <v>0.35</v>
      </c>
    </row>
    <row r="1343" spans="1:14" ht="15.75" customHeight="1" x14ac:dyDescent="0.45">
      <c r="A1343" s="1" t="s">
        <v>119</v>
      </c>
      <c r="B1343" s="1">
        <v>1185732</v>
      </c>
      <c r="C1343" s="2">
        <v>44784</v>
      </c>
      <c r="D1343" s="1" t="s">
        <v>11</v>
      </c>
      <c r="E1343" s="1" t="s">
        <v>12</v>
      </c>
      <c r="F1343" s="1" t="s">
        <v>54</v>
      </c>
      <c r="G1343" s="1" t="s">
        <v>16</v>
      </c>
      <c r="H1343" s="1">
        <v>18</v>
      </c>
      <c r="I1343" s="1" t="s">
        <v>124</v>
      </c>
      <c r="J1343" s="3">
        <v>0.4</v>
      </c>
      <c r="K1343" s="4">
        <v>5250</v>
      </c>
      <c r="L1343" s="5">
        <f t="shared" si="10"/>
        <v>2100</v>
      </c>
      <c r="M1343" s="5">
        <f t="shared" si="11"/>
        <v>735</v>
      </c>
      <c r="N1343" s="6">
        <v>0.35</v>
      </c>
    </row>
    <row r="1344" spans="1:14" ht="15.75" customHeight="1" x14ac:dyDescent="0.45">
      <c r="A1344" s="1" t="s">
        <v>119</v>
      </c>
      <c r="B1344" s="1">
        <v>1185732</v>
      </c>
      <c r="C1344" s="2">
        <v>44784</v>
      </c>
      <c r="D1344" s="1" t="s">
        <v>11</v>
      </c>
      <c r="E1344" s="1" t="s">
        <v>12</v>
      </c>
      <c r="F1344" s="1" t="s">
        <v>54</v>
      </c>
      <c r="G1344" s="1" t="s">
        <v>17</v>
      </c>
      <c r="H1344" s="1">
        <v>42</v>
      </c>
      <c r="I1344" s="1" t="s">
        <v>123</v>
      </c>
      <c r="J1344" s="3">
        <v>0.5</v>
      </c>
      <c r="K1344" s="4">
        <v>5000</v>
      </c>
      <c r="L1344" s="5">
        <f t="shared" si="10"/>
        <v>2500</v>
      </c>
      <c r="M1344" s="5">
        <f t="shared" si="11"/>
        <v>750</v>
      </c>
      <c r="N1344" s="6">
        <v>0.3</v>
      </c>
    </row>
    <row r="1345" spans="1:14" ht="15.75" customHeight="1" x14ac:dyDescent="0.45">
      <c r="A1345" s="1" t="s">
        <v>119</v>
      </c>
      <c r="B1345" s="1">
        <v>1185732</v>
      </c>
      <c r="C1345" s="2">
        <v>44784</v>
      </c>
      <c r="D1345" s="1" t="s">
        <v>11</v>
      </c>
      <c r="E1345" s="1" t="s">
        <v>12</v>
      </c>
      <c r="F1345" s="1" t="s">
        <v>54</v>
      </c>
      <c r="G1345" s="1" t="s">
        <v>18</v>
      </c>
      <c r="H1345" s="1">
        <v>34</v>
      </c>
      <c r="I1345" s="1" t="s">
        <v>126</v>
      </c>
      <c r="J1345" s="3">
        <v>0.55000000000000004</v>
      </c>
      <c r="K1345" s="4">
        <v>6750</v>
      </c>
      <c r="L1345" s="5">
        <f t="shared" si="10"/>
        <v>3712.5000000000005</v>
      </c>
      <c r="M1345" s="5">
        <f t="shared" si="11"/>
        <v>928.12500000000011</v>
      </c>
      <c r="N1345" s="6">
        <v>0.25</v>
      </c>
    </row>
    <row r="1346" spans="1:14" ht="15.75" customHeight="1" x14ac:dyDescent="0.45">
      <c r="A1346" s="1" t="s">
        <v>119</v>
      </c>
      <c r="B1346" s="1">
        <v>1185732</v>
      </c>
      <c r="C1346" s="2">
        <v>44814</v>
      </c>
      <c r="D1346" s="1" t="s">
        <v>11</v>
      </c>
      <c r="E1346" s="1" t="s">
        <v>12</v>
      </c>
      <c r="F1346" s="1" t="s">
        <v>54</v>
      </c>
      <c r="G1346" s="1" t="s">
        <v>13</v>
      </c>
      <c r="H1346" s="1">
        <v>30</v>
      </c>
      <c r="I1346" s="1" t="s">
        <v>124</v>
      </c>
      <c r="J1346" s="3">
        <v>0.5</v>
      </c>
      <c r="K1346" s="4">
        <v>8000</v>
      </c>
      <c r="L1346" s="5">
        <f t="shared" si="10"/>
        <v>4000</v>
      </c>
      <c r="M1346" s="5">
        <f t="shared" si="11"/>
        <v>2000</v>
      </c>
      <c r="N1346" s="6">
        <v>0.5</v>
      </c>
    </row>
    <row r="1347" spans="1:14" ht="15.75" customHeight="1" x14ac:dyDescent="0.45">
      <c r="A1347" s="1" t="s">
        <v>119</v>
      </c>
      <c r="B1347" s="1">
        <v>1185732</v>
      </c>
      <c r="C1347" s="2">
        <v>44814</v>
      </c>
      <c r="D1347" s="1" t="s">
        <v>11</v>
      </c>
      <c r="E1347" s="1" t="s">
        <v>12</v>
      </c>
      <c r="F1347" s="1" t="s">
        <v>54</v>
      </c>
      <c r="G1347" s="1" t="s">
        <v>14</v>
      </c>
      <c r="H1347" s="1">
        <v>49</v>
      </c>
      <c r="I1347" s="1" t="s">
        <v>126</v>
      </c>
      <c r="J1347" s="3">
        <v>0.45000000000000007</v>
      </c>
      <c r="K1347" s="4">
        <v>6000</v>
      </c>
      <c r="L1347" s="5">
        <f t="shared" si="10"/>
        <v>2700.0000000000005</v>
      </c>
      <c r="M1347" s="5">
        <f t="shared" si="11"/>
        <v>810.00000000000011</v>
      </c>
      <c r="N1347" s="6">
        <v>0.3</v>
      </c>
    </row>
    <row r="1348" spans="1:14" ht="15.75" customHeight="1" x14ac:dyDescent="0.45">
      <c r="A1348" s="1" t="s">
        <v>119</v>
      </c>
      <c r="B1348" s="1">
        <v>1185732</v>
      </c>
      <c r="C1348" s="2">
        <v>44814</v>
      </c>
      <c r="D1348" s="1" t="s">
        <v>11</v>
      </c>
      <c r="E1348" s="1" t="s">
        <v>12</v>
      </c>
      <c r="F1348" s="1" t="s">
        <v>54</v>
      </c>
      <c r="G1348" s="1" t="s">
        <v>15</v>
      </c>
      <c r="H1348" s="1">
        <v>40</v>
      </c>
      <c r="I1348" s="1" t="s">
        <v>126</v>
      </c>
      <c r="J1348" s="3">
        <v>0.4</v>
      </c>
      <c r="K1348" s="4">
        <v>5250</v>
      </c>
      <c r="L1348" s="5">
        <f t="shared" si="10"/>
        <v>2100</v>
      </c>
      <c r="M1348" s="5">
        <f t="shared" si="11"/>
        <v>735</v>
      </c>
      <c r="N1348" s="6">
        <v>0.35</v>
      </c>
    </row>
    <row r="1349" spans="1:14" ht="15.75" customHeight="1" x14ac:dyDescent="0.45">
      <c r="A1349" s="1" t="s">
        <v>119</v>
      </c>
      <c r="B1349" s="1">
        <v>1185732</v>
      </c>
      <c r="C1349" s="2">
        <v>44814</v>
      </c>
      <c r="D1349" s="1" t="s">
        <v>11</v>
      </c>
      <c r="E1349" s="1" t="s">
        <v>12</v>
      </c>
      <c r="F1349" s="1" t="s">
        <v>54</v>
      </c>
      <c r="G1349" s="1" t="s">
        <v>16</v>
      </c>
      <c r="H1349" s="1">
        <v>38</v>
      </c>
      <c r="I1349" s="1" t="s">
        <v>125</v>
      </c>
      <c r="J1349" s="3">
        <v>0.4</v>
      </c>
      <c r="K1349" s="4">
        <v>5000</v>
      </c>
      <c r="L1349" s="5">
        <f t="shared" si="10"/>
        <v>2000</v>
      </c>
      <c r="M1349" s="5">
        <f t="shared" si="11"/>
        <v>700</v>
      </c>
      <c r="N1349" s="6">
        <v>0.35</v>
      </c>
    </row>
    <row r="1350" spans="1:14" ht="15.75" customHeight="1" x14ac:dyDescent="0.45">
      <c r="A1350" s="1" t="s">
        <v>119</v>
      </c>
      <c r="B1350" s="1">
        <v>1185732</v>
      </c>
      <c r="C1350" s="2">
        <v>44814</v>
      </c>
      <c r="D1350" s="1" t="s">
        <v>11</v>
      </c>
      <c r="E1350" s="1" t="s">
        <v>12</v>
      </c>
      <c r="F1350" s="1" t="s">
        <v>54</v>
      </c>
      <c r="G1350" s="1" t="s">
        <v>17</v>
      </c>
      <c r="H1350" s="1">
        <v>34</v>
      </c>
      <c r="I1350" s="1" t="s">
        <v>124</v>
      </c>
      <c r="J1350" s="3">
        <v>0.5</v>
      </c>
      <c r="K1350" s="4">
        <v>5000</v>
      </c>
      <c r="L1350" s="5">
        <f t="shared" si="10"/>
        <v>2500</v>
      </c>
      <c r="M1350" s="5">
        <f t="shared" si="11"/>
        <v>750</v>
      </c>
      <c r="N1350" s="6">
        <v>0.3</v>
      </c>
    </row>
    <row r="1351" spans="1:14" ht="15.75" customHeight="1" x14ac:dyDescent="0.45">
      <c r="A1351" s="1" t="s">
        <v>119</v>
      </c>
      <c r="B1351" s="1">
        <v>1185732</v>
      </c>
      <c r="C1351" s="2">
        <v>44814</v>
      </c>
      <c r="D1351" s="1" t="s">
        <v>11</v>
      </c>
      <c r="E1351" s="1" t="s">
        <v>12</v>
      </c>
      <c r="F1351" s="1" t="s">
        <v>54</v>
      </c>
      <c r="G1351" s="1" t="s">
        <v>18</v>
      </c>
      <c r="H1351" s="1">
        <v>20</v>
      </c>
      <c r="I1351" s="1" t="s">
        <v>126</v>
      </c>
      <c r="J1351" s="3">
        <v>0.55000000000000004</v>
      </c>
      <c r="K1351" s="4">
        <v>6000</v>
      </c>
      <c r="L1351" s="5">
        <f t="shared" si="10"/>
        <v>3300.0000000000005</v>
      </c>
      <c r="M1351" s="5">
        <f t="shared" si="11"/>
        <v>825.00000000000011</v>
      </c>
      <c r="N1351" s="6">
        <v>0.25</v>
      </c>
    </row>
    <row r="1352" spans="1:14" ht="15.75" customHeight="1" x14ac:dyDescent="0.45">
      <c r="A1352" s="1" t="s">
        <v>119</v>
      </c>
      <c r="B1352" s="1">
        <v>1185732</v>
      </c>
      <c r="C1352" s="2">
        <v>44846</v>
      </c>
      <c r="D1352" s="1" t="s">
        <v>11</v>
      </c>
      <c r="E1352" s="1" t="s">
        <v>12</v>
      </c>
      <c r="F1352" s="1" t="s">
        <v>54</v>
      </c>
      <c r="G1352" s="1" t="s">
        <v>13</v>
      </c>
      <c r="H1352" s="1">
        <v>44</v>
      </c>
      <c r="I1352" s="1" t="s">
        <v>126</v>
      </c>
      <c r="J1352" s="3">
        <v>0.55000000000000004</v>
      </c>
      <c r="K1352" s="4">
        <v>7750</v>
      </c>
      <c r="L1352" s="5">
        <f t="shared" si="10"/>
        <v>4262.5</v>
      </c>
      <c r="M1352" s="5">
        <f t="shared" si="11"/>
        <v>2131.25</v>
      </c>
      <c r="N1352" s="6">
        <v>0.5</v>
      </c>
    </row>
    <row r="1353" spans="1:14" ht="15.75" customHeight="1" x14ac:dyDescent="0.45">
      <c r="A1353" s="1" t="s">
        <v>119</v>
      </c>
      <c r="B1353" s="1">
        <v>1185732</v>
      </c>
      <c r="C1353" s="2">
        <v>44846</v>
      </c>
      <c r="D1353" s="1" t="s">
        <v>11</v>
      </c>
      <c r="E1353" s="1" t="s">
        <v>12</v>
      </c>
      <c r="F1353" s="1" t="s">
        <v>54</v>
      </c>
      <c r="G1353" s="1" t="s">
        <v>14</v>
      </c>
      <c r="H1353" s="1">
        <v>58</v>
      </c>
      <c r="I1353" s="1" t="s">
        <v>125</v>
      </c>
      <c r="J1353" s="3">
        <v>0.45000000000000007</v>
      </c>
      <c r="K1353" s="4">
        <v>6000</v>
      </c>
      <c r="L1353" s="5">
        <f t="shared" si="10"/>
        <v>2700.0000000000005</v>
      </c>
      <c r="M1353" s="5">
        <f t="shared" si="11"/>
        <v>810.00000000000011</v>
      </c>
      <c r="N1353" s="6">
        <v>0.3</v>
      </c>
    </row>
    <row r="1354" spans="1:14" ht="15.75" customHeight="1" x14ac:dyDescent="0.45">
      <c r="A1354" s="1" t="s">
        <v>119</v>
      </c>
      <c r="B1354" s="1">
        <v>1185732</v>
      </c>
      <c r="C1354" s="2">
        <v>44846</v>
      </c>
      <c r="D1354" s="1" t="s">
        <v>11</v>
      </c>
      <c r="E1354" s="1" t="s">
        <v>12</v>
      </c>
      <c r="F1354" s="1" t="s">
        <v>54</v>
      </c>
      <c r="G1354" s="1" t="s">
        <v>15</v>
      </c>
      <c r="H1354" s="1">
        <v>15</v>
      </c>
      <c r="I1354" s="1" t="s">
        <v>123</v>
      </c>
      <c r="J1354" s="3">
        <v>0.45000000000000007</v>
      </c>
      <c r="K1354" s="4">
        <v>5000</v>
      </c>
      <c r="L1354" s="5">
        <f t="shared" si="10"/>
        <v>2250.0000000000005</v>
      </c>
      <c r="M1354" s="5">
        <f t="shared" si="11"/>
        <v>787.50000000000011</v>
      </c>
      <c r="N1354" s="6">
        <v>0.35</v>
      </c>
    </row>
    <row r="1355" spans="1:14" ht="15.75" customHeight="1" x14ac:dyDescent="0.45">
      <c r="A1355" s="1" t="s">
        <v>119</v>
      </c>
      <c r="B1355" s="1">
        <v>1185732</v>
      </c>
      <c r="C1355" s="2">
        <v>44846</v>
      </c>
      <c r="D1355" s="1" t="s">
        <v>11</v>
      </c>
      <c r="E1355" s="1" t="s">
        <v>12</v>
      </c>
      <c r="F1355" s="1" t="s">
        <v>54</v>
      </c>
      <c r="G1355" s="1" t="s">
        <v>16</v>
      </c>
      <c r="H1355" s="1">
        <v>32</v>
      </c>
      <c r="I1355" s="1" t="s">
        <v>125</v>
      </c>
      <c r="J1355" s="3">
        <v>0.45000000000000007</v>
      </c>
      <c r="K1355" s="4">
        <v>4750</v>
      </c>
      <c r="L1355" s="5">
        <f t="shared" si="10"/>
        <v>2137.5000000000005</v>
      </c>
      <c r="M1355" s="5">
        <f t="shared" si="11"/>
        <v>748.12500000000011</v>
      </c>
      <c r="N1355" s="6">
        <v>0.35</v>
      </c>
    </row>
    <row r="1356" spans="1:14" ht="15.75" customHeight="1" x14ac:dyDescent="0.45">
      <c r="A1356" s="1" t="s">
        <v>119</v>
      </c>
      <c r="B1356" s="1">
        <v>1185732</v>
      </c>
      <c r="C1356" s="2">
        <v>44846</v>
      </c>
      <c r="D1356" s="1" t="s">
        <v>11</v>
      </c>
      <c r="E1356" s="1" t="s">
        <v>12</v>
      </c>
      <c r="F1356" s="1" t="s">
        <v>54</v>
      </c>
      <c r="G1356" s="1" t="s">
        <v>17</v>
      </c>
      <c r="H1356" s="1">
        <v>52</v>
      </c>
      <c r="I1356" s="1" t="s">
        <v>123</v>
      </c>
      <c r="J1356" s="3">
        <v>0.55000000000000004</v>
      </c>
      <c r="K1356" s="4">
        <v>4750</v>
      </c>
      <c r="L1356" s="5">
        <f t="shared" si="10"/>
        <v>2612.5</v>
      </c>
      <c r="M1356" s="5">
        <f t="shared" si="11"/>
        <v>783.75</v>
      </c>
      <c r="N1356" s="6">
        <v>0.3</v>
      </c>
    </row>
    <row r="1357" spans="1:14" ht="15.75" customHeight="1" x14ac:dyDescent="0.45">
      <c r="A1357" s="1" t="s">
        <v>119</v>
      </c>
      <c r="B1357" s="1">
        <v>1185732</v>
      </c>
      <c r="C1357" s="2">
        <v>44846</v>
      </c>
      <c r="D1357" s="1" t="s">
        <v>11</v>
      </c>
      <c r="E1357" s="1" t="s">
        <v>12</v>
      </c>
      <c r="F1357" s="1" t="s">
        <v>54</v>
      </c>
      <c r="G1357" s="1" t="s">
        <v>18</v>
      </c>
      <c r="H1357" s="1">
        <v>27</v>
      </c>
      <c r="I1357" s="1" t="s">
        <v>126</v>
      </c>
      <c r="J1357" s="3">
        <v>0.6</v>
      </c>
      <c r="K1357" s="4">
        <v>6000</v>
      </c>
      <c r="L1357" s="5">
        <f t="shared" si="10"/>
        <v>3600</v>
      </c>
      <c r="M1357" s="5">
        <f t="shared" si="11"/>
        <v>900</v>
      </c>
      <c r="N1357" s="6">
        <v>0.25</v>
      </c>
    </row>
    <row r="1358" spans="1:14" ht="15.75" customHeight="1" x14ac:dyDescent="0.45">
      <c r="A1358" s="1" t="s">
        <v>119</v>
      </c>
      <c r="B1358" s="1">
        <v>1185732</v>
      </c>
      <c r="C1358" s="2">
        <v>44876</v>
      </c>
      <c r="D1358" s="1" t="s">
        <v>11</v>
      </c>
      <c r="E1358" s="1" t="s">
        <v>12</v>
      </c>
      <c r="F1358" s="1" t="s">
        <v>54</v>
      </c>
      <c r="G1358" s="1" t="s">
        <v>13</v>
      </c>
      <c r="H1358" s="1">
        <v>44</v>
      </c>
      <c r="I1358" s="1" t="s">
        <v>124</v>
      </c>
      <c r="J1358" s="3">
        <v>0.55000000000000004</v>
      </c>
      <c r="K1358" s="4">
        <v>7500</v>
      </c>
      <c r="L1358" s="5">
        <f t="shared" si="10"/>
        <v>4125</v>
      </c>
      <c r="M1358" s="5">
        <f t="shared" si="11"/>
        <v>2062.5</v>
      </c>
      <c r="N1358" s="6">
        <v>0.5</v>
      </c>
    </row>
    <row r="1359" spans="1:14" ht="15.75" customHeight="1" x14ac:dyDescent="0.45">
      <c r="A1359" s="1" t="s">
        <v>119</v>
      </c>
      <c r="B1359" s="1">
        <v>1185732</v>
      </c>
      <c r="C1359" s="2">
        <v>44876</v>
      </c>
      <c r="D1359" s="1" t="s">
        <v>11</v>
      </c>
      <c r="E1359" s="1" t="s">
        <v>12</v>
      </c>
      <c r="F1359" s="1" t="s">
        <v>54</v>
      </c>
      <c r="G1359" s="1" t="s">
        <v>14</v>
      </c>
      <c r="H1359" s="1">
        <v>27</v>
      </c>
      <c r="I1359" s="1" t="s">
        <v>124</v>
      </c>
      <c r="J1359" s="3">
        <v>0.45000000000000007</v>
      </c>
      <c r="K1359" s="4">
        <v>5750</v>
      </c>
      <c r="L1359" s="5">
        <f t="shared" si="10"/>
        <v>2587.5000000000005</v>
      </c>
      <c r="M1359" s="5">
        <f t="shared" si="11"/>
        <v>776.25000000000011</v>
      </c>
      <c r="N1359" s="6">
        <v>0.3</v>
      </c>
    </row>
    <row r="1360" spans="1:14" ht="15.75" customHeight="1" x14ac:dyDescent="0.45">
      <c r="A1360" s="1" t="s">
        <v>119</v>
      </c>
      <c r="B1360" s="1">
        <v>1185732</v>
      </c>
      <c r="C1360" s="2">
        <v>44876</v>
      </c>
      <c r="D1360" s="1" t="s">
        <v>11</v>
      </c>
      <c r="E1360" s="1" t="s">
        <v>12</v>
      </c>
      <c r="F1360" s="1" t="s">
        <v>54</v>
      </c>
      <c r="G1360" s="1" t="s">
        <v>15</v>
      </c>
      <c r="H1360" s="1">
        <v>41</v>
      </c>
      <c r="I1360" s="1" t="s">
        <v>126</v>
      </c>
      <c r="J1360" s="3">
        <v>0.45000000000000007</v>
      </c>
      <c r="K1360" s="4">
        <v>5200</v>
      </c>
      <c r="L1360" s="5">
        <f t="shared" si="10"/>
        <v>2340.0000000000005</v>
      </c>
      <c r="M1360" s="5">
        <f t="shared" si="11"/>
        <v>819.00000000000011</v>
      </c>
      <c r="N1360" s="6">
        <v>0.35</v>
      </c>
    </row>
    <row r="1361" spans="1:14" ht="15.75" customHeight="1" x14ac:dyDescent="0.45">
      <c r="A1361" s="1" t="s">
        <v>119</v>
      </c>
      <c r="B1361" s="1">
        <v>1185732</v>
      </c>
      <c r="C1361" s="2">
        <v>44876</v>
      </c>
      <c r="D1361" s="1" t="s">
        <v>11</v>
      </c>
      <c r="E1361" s="1" t="s">
        <v>12</v>
      </c>
      <c r="F1361" s="1" t="s">
        <v>54</v>
      </c>
      <c r="G1361" s="1" t="s">
        <v>16</v>
      </c>
      <c r="H1361" s="1">
        <v>15</v>
      </c>
      <c r="I1361" s="1" t="s">
        <v>126</v>
      </c>
      <c r="J1361" s="3">
        <v>0.45000000000000007</v>
      </c>
      <c r="K1361" s="4">
        <v>5000</v>
      </c>
      <c r="L1361" s="5">
        <f t="shared" si="10"/>
        <v>2250.0000000000005</v>
      </c>
      <c r="M1361" s="5">
        <f t="shared" si="11"/>
        <v>787.50000000000011</v>
      </c>
      <c r="N1361" s="6">
        <v>0.35</v>
      </c>
    </row>
    <row r="1362" spans="1:14" ht="15.75" customHeight="1" x14ac:dyDescent="0.45">
      <c r="A1362" s="1" t="s">
        <v>119</v>
      </c>
      <c r="B1362" s="1">
        <v>1185732</v>
      </c>
      <c r="C1362" s="2">
        <v>44876</v>
      </c>
      <c r="D1362" s="1" t="s">
        <v>11</v>
      </c>
      <c r="E1362" s="1" t="s">
        <v>12</v>
      </c>
      <c r="F1362" s="1" t="s">
        <v>54</v>
      </c>
      <c r="G1362" s="1" t="s">
        <v>17</v>
      </c>
      <c r="H1362" s="1">
        <v>37</v>
      </c>
      <c r="I1362" s="1" t="s">
        <v>124</v>
      </c>
      <c r="J1362" s="3">
        <v>0.55000000000000004</v>
      </c>
      <c r="K1362" s="4">
        <v>4750</v>
      </c>
      <c r="L1362" s="5">
        <f t="shared" si="10"/>
        <v>2612.5</v>
      </c>
      <c r="M1362" s="5">
        <f t="shared" si="11"/>
        <v>783.75</v>
      </c>
      <c r="N1362" s="6">
        <v>0.3</v>
      </c>
    </row>
    <row r="1363" spans="1:14" ht="15.75" customHeight="1" x14ac:dyDescent="0.45">
      <c r="A1363" s="1" t="s">
        <v>119</v>
      </c>
      <c r="B1363" s="1">
        <v>1185732</v>
      </c>
      <c r="C1363" s="2">
        <v>44876</v>
      </c>
      <c r="D1363" s="1" t="s">
        <v>11</v>
      </c>
      <c r="E1363" s="1" t="s">
        <v>12</v>
      </c>
      <c r="F1363" s="1" t="s">
        <v>54</v>
      </c>
      <c r="G1363" s="1" t="s">
        <v>18</v>
      </c>
      <c r="H1363" s="1">
        <v>36</v>
      </c>
      <c r="I1363" s="1" t="s">
        <v>124</v>
      </c>
      <c r="J1363" s="3">
        <v>0.6</v>
      </c>
      <c r="K1363" s="4">
        <v>5750</v>
      </c>
      <c r="L1363" s="5">
        <f t="shared" si="10"/>
        <v>3450</v>
      </c>
      <c r="M1363" s="5">
        <f t="shared" si="11"/>
        <v>862.5</v>
      </c>
      <c r="N1363" s="6">
        <v>0.25</v>
      </c>
    </row>
    <row r="1364" spans="1:14" ht="15.75" customHeight="1" x14ac:dyDescent="0.45">
      <c r="A1364" s="1" t="s">
        <v>119</v>
      </c>
      <c r="B1364" s="1">
        <v>1185732</v>
      </c>
      <c r="C1364" s="2">
        <v>44905</v>
      </c>
      <c r="D1364" s="1" t="s">
        <v>11</v>
      </c>
      <c r="E1364" s="1" t="s">
        <v>12</v>
      </c>
      <c r="F1364" s="1" t="s">
        <v>54</v>
      </c>
      <c r="G1364" s="1" t="s">
        <v>13</v>
      </c>
      <c r="H1364" s="1">
        <v>28</v>
      </c>
      <c r="I1364" s="1" t="s">
        <v>126</v>
      </c>
      <c r="J1364" s="3">
        <v>0.55000000000000004</v>
      </c>
      <c r="K1364" s="4">
        <v>8000</v>
      </c>
      <c r="L1364" s="5">
        <f t="shared" si="10"/>
        <v>4400</v>
      </c>
      <c r="M1364" s="5">
        <f t="shared" si="11"/>
        <v>2200</v>
      </c>
      <c r="N1364" s="6">
        <v>0.5</v>
      </c>
    </row>
    <row r="1365" spans="1:14" ht="15.75" customHeight="1" x14ac:dyDescent="0.45">
      <c r="A1365" s="1" t="s">
        <v>119</v>
      </c>
      <c r="B1365" s="1">
        <v>1185732</v>
      </c>
      <c r="C1365" s="2">
        <v>44905</v>
      </c>
      <c r="D1365" s="1" t="s">
        <v>11</v>
      </c>
      <c r="E1365" s="1" t="s">
        <v>12</v>
      </c>
      <c r="F1365" s="1" t="s">
        <v>54</v>
      </c>
      <c r="G1365" s="1" t="s">
        <v>14</v>
      </c>
      <c r="H1365" s="1">
        <v>27</v>
      </c>
      <c r="I1365" s="1" t="s">
        <v>125</v>
      </c>
      <c r="J1365" s="3">
        <v>0.45000000000000007</v>
      </c>
      <c r="K1365" s="4">
        <v>6000</v>
      </c>
      <c r="L1365" s="5">
        <f t="shared" si="10"/>
        <v>2700.0000000000005</v>
      </c>
      <c r="M1365" s="5">
        <f t="shared" si="11"/>
        <v>810.00000000000011</v>
      </c>
      <c r="N1365" s="6">
        <v>0.3</v>
      </c>
    </row>
    <row r="1366" spans="1:14" ht="15.75" customHeight="1" x14ac:dyDescent="0.45">
      <c r="A1366" s="1" t="s">
        <v>119</v>
      </c>
      <c r="B1366" s="1">
        <v>1185732</v>
      </c>
      <c r="C1366" s="2">
        <v>44905</v>
      </c>
      <c r="D1366" s="1" t="s">
        <v>11</v>
      </c>
      <c r="E1366" s="1" t="s">
        <v>12</v>
      </c>
      <c r="F1366" s="1" t="s">
        <v>54</v>
      </c>
      <c r="G1366" s="1" t="s">
        <v>15</v>
      </c>
      <c r="H1366" s="1">
        <v>16</v>
      </c>
      <c r="I1366" s="1" t="s">
        <v>123</v>
      </c>
      <c r="J1366" s="3">
        <v>0.45000000000000007</v>
      </c>
      <c r="K1366" s="4">
        <v>5500</v>
      </c>
      <c r="L1366" s="5">
        <f t="shared" si="10"/>
        <v>2475.0000000000005</v>
      </c>
      <c r="M1366" s="5">
        <f t="shared" si="11"/>
        <v>866.25000000000011</v>
      </c>
      <c r="N1366" s="6">
        <v>0.35</v>
      </c>
    </row>
    <row r="1367" spans="1:14" ht="15.75" customHeight="1" x14ac:dyDescent="0.45">
      <c r="A1367" s="1" t="s">
        <v>119</v>
      </c>
      <c r="B1367" s="1">
        <v>1185732</v>
      </c>
      <c r="C1367" s="2">
        <v>44905</v>
      </c>
      <c r="D1367" s="1" t="s">
        <v>11</v>
      </c>
      <c r="E1367" s="1" t="s">
        <v>12</v>
      </c>
      <c r="F1367" s="1" t="s">
        <v>54</v>
      </c>
      <c r="G1367" s="1" t="s">
        <v>16</v>
      </c>
      <c r="H1367" s="1">
        <v>44</v>
      </c>
      <c r="I1367" s="1" t="s">
        <v>124</v>
      </c>
      <c r="J1367" s="3">
        <v>0.45000000000000007</v>
      </c>
      <c r="K1367" s="4">
        <v>5000</v>
      </c>
      <c r="L1367" s="5">
        <f t="shared" si="10"/>
        <v>2250.0000000000005</v>
      </c>
      <c r="M1367" s="5">
        <f t="shared" si="11"/>
        <v>787.50000000000011</v>
      </c>
      <c r="N1367" s="6">
        <v>0.35</v>
      </c>
    </row>
    <row r="1368" spans="1:14" ht="15.75" customHeight="1" x14ac:dyDescent="0.45">
      <c r="A1368" s="1" t="s">
        <v>119</v>
      </c>
      <c r="B1368" s="1">
        <v>1185732</v>
      </c>
      <c r="C1368" s="2">
        <v>44905</v>
      </c>
      <c r="D1368" s="1" t="s">
        <v>11</v>
      </c>
      <c r="E1368" s="1" t="s">
        <v>12</v>
      </c>
      <c r="F1368" s="1" t="s">
        <v>54</v>
      </c>
      <c r="G1368" s="1" t="s">
        <v>17</v>
      </c>
      <c r="H1368" s="1">
        <v>54</v>
      </c>
      <c r="I1368" s="1" t="s">
        <v>123</v>
      </c>
      <c r="J1368" s="3">
        <v>0.55000000000000004</v>
      </c>
      <c r="K1368" s="4">
        <v>5000</v>
      </c>
      <c r="L1368" s="5">
        <f t="shared" si="10"/>
        <v>2750</v>
      </c>
      <c r="M1368" s="5">
        <f t="shared" si="11"/>
        <v>825</v>
      </c>
      <c r="N1368" s="6">
        <v>0.3</v>
      </c>
    </row>
    <row r="1369" spans="1:14" ht="15.75" customHeight="1" x14ac:dyDescent="0.45">
      <c r="A1369" s="1" t="s">
        <v>119</v>
      </c>
      <c r="B1369" s="1">
        <v>1185732</v>
      </c>
      <c r="C1369" s="2">
        <v>44905</v>
      </c>
      <c r="D1369" s="1" t="s">
        <v>11</v>
      </c>
      <c r="E1369" s="1" t="s">
        <v>12</v>
      </c>
      <c r="F1369" s="1" t="s">
        <v>54</v>
      </c>
      <c r="G1369" s="1" t="s">
        <v>18</v>
      </c>
      <c r="H1369" s="1">
        <v>55</v>
      </c>
      <c r="I1369" s="1" t="s">
        <v>126</v>
      </c>
      <c r="J1369" s="3">
        <v>0.6</v>
      </c>
      <c r="K1369" s="4">
        <v>6000</v>
      </c>
      <c r="L1369" s="5">
        <f t="shared" si="10"/>
        <v>3600</v>
      </c>
      <c r="M1369" s="5">
        <f t="shared" si="11"/>
        <v>900</v>
      </c>
      <c r="N1369" s="6">
        <v>0.25</v>
      </c>
    </row>
    <row r="1370" spans="1:14" ht="15.75" customHeight="1" x14ac:dyDescent="0.45">
      <c r="A1370" s="1" t="s">
        <v>121</v>
      </c>
      <c r="B1370" s="1">
        <v>1128299</v>
      </c>
      <c r="C1370" s="2">
        <v>44585</v>
      </c>
      <c r="D1370" s="1" t="s">
        <v>22</v>
      </c>
      <c r="E1370" s="1" t="s">
        <v>55</v>
      </c>
      <c r="F1370" s="1" t="s">
        <v>56</v>
      </c>
      <c r="G1370" s="1" t="s">
        <v>13</v>
      </c>
      <c r="H1370" s="1">
        <v>19</v>
      </c>
      <c r="I1370" s="1" t="s">
        <v>124</v>
      </c>
      <c r="J1370" s="3">
        <v>0.30000000000000004</v>
      </c>
      <c r="K1370" s="4">
        <v>3500</v>
      </c>
      <c r="L1370" s="5">
        <f t="shared" si="10"/>
        <v>1050.0000000000002</v>
      </c>
      <c r="M1370" s="5">
        <f t="shared" si="11"/>
        <v>367.50000000000006</v>
      </c>
      <c r="N1370" s="6">
        <v>0.35</v>
      </c>
    </row>
    <row r="1371" spans="1:14" ht="15.75" customHeight="1" x14ac:dyDescent="0.45">
      <c r="A1371" s="1" t="s">
        <v>121</v>
      </c>
      <c r="B1371" s="1">
        <v>1128299</v>
      </c>
      <c r="C1371" s="2">
        <v>44585</v>
      </c>
      <c r="D1371" s="1" t="s">
        <v>22</v>
      </c>
      <c r="E1371" s="1" t="s">
        <v>55</v>
      </c>
      <c r="F1371" s="1" t="s">
        <v>56</v>
      </c>
      <c r="G1371" s="1" t="s">
        <v>14</v>
      </c>
      <c r="H1371" s="1">
        <v>54</v>
      </c>
      <c r="I1371" s="1" t="s">
        <v>126</v>
      </c>
      <c r="J1371" s="3">
        <v>0.4</v>
      </c>
      <c r="K1371" s="4">
        <v>3500</v>
      </c>
      <c r="L1371" s="5">
        <f t="shared" si="10"/>
        <v>1400</v>
      </c>
      <c r="M1371" s="5">
        <f t="shared" si="11"/>
        <v>489.99999999999994</v>
      </c>
      <c r="N1371" s="6">
        <v>0.35</v>
      </c>
    </row>
    <row r="1372" spans="1:14" ht="15.75" customHeight="1" x14ac:dyDescent="0.45">
      <c r="A1372" s="1" t="s">
        <v>121</v>
      </c>
      <c r="B1372" s="1">
        <v>1128299</v>
      </c>
      <c r="C1372" s="2">
        <v>44585</v>
      </c>
      <c r="D1372" s="1" t="s">
        <v>22</v>
      </c>
      <c r="E1372" s="1" t="s">
        <v>55</v>
      </c>
      <c r="F1372" s="1" t="s">
        <v>56</v>
      </c>
      <c r="G1372" s="1" t="s">
        <v>15</v>
      </c>
      <c r="H1372" s="1">
        <v>32</v>
      </c>
      <c r="I1372" s="1" t="s">
        <v>125</v>
      </c>
      <c r="J1372" s="3">
        <v>0.4</v>
      </c>
      <c r="K1372" s="4">
        <v>3500</v>
      </c>
      <c r="L1372" s="5">
        <f t="shared" si="10"/>
        <v>1400</v>
      </c>
      <c r="M1372" s="5">
        <f t="shared" si="11"/>
        <v>489.99999999999994</v>
      </c>
      <c r="N1372" s="6">
        <v>0.35</v>
      </c>
    </row>
    <row r="1373" spans="1:14" ht="15.75" customHeight="1" x14ac:dyDescent="0.45">
      <c r="A1373" s="1" t="s">
        <v>121</v>
      </c>
      <c r="B1373" s="1">
        <v>1128299</v>
      </c>
      <c r="C1373" s="2">
        <v>44585</v>
      </c>
      <c r="D1373" s="1" t="s">
        <v>22</v>
      </c>
      <c r="E1373" s="1" t="s">
        <v>55</v>
      </c>
      <c r="F1373" s="1" t="s">
        <v>56</v>
      </c>
      <c r="G1373" s="1" t="s">
        <v>16</v>
      </c>
      <c r="H1373" s="1">
        <v>48</v>
      </c>
      <c r="I1373" s="1" t="s">
        <v>126</v>
      </c>
      <c r="J1373" s="3">
        <v>0.4</v>
      </c>
      <c r="K1373" s="4">
        <v>2000</v>
      </c>
      <c r="L1373" s="5">
        <f t="shared" si="10"/>
        <v>800</v>
      </c>
      <c r="M1373" s="5">
        <f t="shared" si="11"/>
        <v>280</v>
      </c>
      <c r="N1373" s="6">
        <v>0.35</v>
      </c>
    </row>
    <row r="1374" spans="1:14" ht="15.75" customHeight="1" x14ac:dyDescent="0.45">
      <c r="A1374" s="1" t="s">
        <v>121</v>
      </c>
      <c r="B1374" s="1">
        <v>1128299</v>
      </c>
      <c r="C1374" s="2">
        <v>44585</v>
      </c>
      <c r="D1374" s="1" t="s">
        <v>22</v>
      </c>
      <c r="E1374" s="1" t="s">
        <v>55</v>
      </c>
      <c r="F1374" s="1" t="s">
        <v>56</v>
      </c>
      <c r="G1374" s="1" t="s">
        <v>17</v>
      </c>
      <c r="H1374" s="1">
        <v>40</v>
      </c>
      <c r="I1374" s="1" t="s">
        <v>125</v>
      </c>
      <c r="J1374" s="3">
        <v>0.45000000000000007</v>
      </c>
      <c r="K1374" s="4">
        <v>1500</v>
      </c>
      <c r="L1374" s="5">
        <f t="shared" si="10"/>
        <v>675.00000000000011</v>
      </c>
      <c r="M1374" s="5">
        <f t="shared" si="11"/>
        <v>270.00000000000006</v>
      </c>
      <c r="N1374" s="6">
        <v>0.4</v>
      </c>
    </row>
    <row r="1375" spans="1:14" ht="15.75" customHeight="1" x14ac:dyDescent="0.45">
      <c r="A1375" s="1" t="s">
        <v>121</v>
      </c>
      <c r="B1375" s="1">
        <v>1128299</v>
      </c>
      <c r="C1375" s="2">
        <v>44585</v>
      </c>
      <c r="D1375" s="1" t="s">
        <v>22</v>
      </c>
      <c r="E1375" s="1" t="s">
        <v>55</v>
      </c>
      <c r="F1375" s="1" t="s">
        <v>56</v>
      </c>
      <c r="G1375" s="1" t="s">
        <v>18</v>
      </c>
      <c r="H1375" s="1">
        <v>29</v>
      </c>
      <c r="I1375" s="1" t="s">
        <v>124</v>
      </c>
      <c r="J1375" s="3">
        <v>0.4</v>
      </c>
      <c r="K1375" s="4">
        <v>4000</v>
      </c>
      <c r="L1375" s="5">
        <f t="shared" si="10"/>
        <v>1600</v>
      </c>
      <c r="M1375" s="5">
        <f t="shared" si="11"/>
        <v>480</v>
      </c>
      <c r="N1375" s="6">
        <v>0.3</v>
      </c>
    </row>
    <row r="1376" spans="1:14" ht="15.75" customHeight="1" x14ac:dyDescent="0.45">
      <c r="A1376" s="1" t="s">
        <v>121</v>
      </c>
      <c r="B1376" s="1">
        <v>1128299</v>
      </c>
      <c r="C1376" s="2">
        <v>44616</v>
      </c>
      <c r="D1376" s="1" t="s">
        <v>22</v>
      </c>
      <c r="E1376" s="1" t="s">
        <v>55</v>
      </c>
      <c r="F1376" s="1" t="s">
        <v>56</v>
      </c>
      <c r="G1376" s="1" t="s">
        <v>13</v>
      </c>
      <c r="H1376" s="1">
        <v>56</v>
      </c>
      <c r="I1376" s="1" t="s">
        <v>125</v>
      </c>
      <c r="J1376" s="3">
        <v>0.30000000000000004</v>
      </c>
      <c r="K1376" s="4">
        <v>4500</v>
      </c>
      <c r="L1376" s="5">
        <f t="shared" si="10"/>
        <v>1350.0000000000002</v>
      </c>
      <c r="M1376" s="5">
        <f t="shared" si="11"/>
        <v>472.50000000000006</v>
      </c>
      <c r="N1376" s="6">
        <v>0.35</v>
      </c>
    </row>
    <row r="1377" spans="1:14" ht="15.75" customHeight="1" x14ac:dyDescent="0.45">
      <c r="A1377" s="1" t="s">
        <v>121</v>
      </c>
      <c r="B1377" s="1">
        <v>1128299</v>
      </c>
      <c r="C1377" s="2">
        <v>44616</v>
      </c>
      <c r="D1377" s="1" t="s">
        <v>22</v>
      </c>
      <c r="E1377" s="1" t="s">
        <v>55</v>
      </c>
      <c r="F1377" s="1" t="s">
        <v>56</v>
      </c>
      <c r="G1377" s="1" t="s">
        <v>14</v>
      </c>
      <c r="H1377" s="1">
        <v>52</v>
      </c>
      <c r="I1377" s="1" t="s">
        <v>124</v>
      </c>
      <c r="J1377" s="3">
        <v>0.4</v>
      </c>
      <c r="K1377" s="4">
        <v>3500</v>
      </c>
      <c r="L1377" s="5">
        <f t="shared" si="10"/>
        <v>1400</v>
      </c>
      <c r="M1377" s="5">
        <f t="shared" si="11"/>
        <v>489.99999999999994</v>
      </c>
      <c r="N1377" s="6">
        <v>0.35</v>
      </c>
    </row>
    <row r="1378" spans="1:14" ht="15.75" customHeight="1" x14ac:dyDescent="0.45">
      <c r="A1378" s="1" t="s">
        <v>121</v>
      </c>
      <c r="B1378" s="1">
        <v>1128299</v>
      </c>
      <c r="C1378" s="2">
        <v>44616</v>
      </c>
      <c r="D1378" s="1" t="s">
        <v>22</v>
      </c>
      <c r="E1378" s="1" t="s">
        <v>55</v>
      </c>
      <c r="F1378" s="1" t="s">
        <v>56</v>
      </c>
      <c r="G1378" s="1" t="s">
        <v>15</v>
      </c>
      <c r="H1378" s="1">
        <v>51</v>
      </c>
      <c r="I1378" s="1" t="s">
        <v>124</v>
      </c>
      <c r="J1378" s="3">
        <v>0.4</v>
      </c>
      <c r="K1378" s="4">
        <v>3500</v>
      </c>
      <c r="L1378" s="5">
        <f t="shared" si="10"/>
        <v>1400</v>
      </c>
      <c r="M1378" s="5">
        <f t="shared" si="11"/>
        <v>489.99999999999994</v>
      </c>
      <c r="N1378" s="6">
        <v>0.35</v>
      </c>
    </row>
    <row r="1379" spans="1:14" ht="15.75" customHeight="1" x14ac:dyDescent="0.45">
      <c r="A1379" s="1" t="s">
        <v>121</v>
      </c>
      <c r="B1379" s="1">
        <v>1128299</v>
      </c>
      <c r="C1379" s="2">
        <v>44616</v>
      </c>
      <c r="D1379" s="1" t="s">
        <v>22</v>
      </c>
      <c r="E1379" s="1" t="s">
        <v>55</v>
      </c>
      <c r="F1379" s="1" t="s">
        <v>56</v>
      </c>
      <c r="G1379" s="1" t="s">
        <v>16</v>
      </c>
      <c r="H1379" s="1">
        <v>52</v>
      </c>
      <c r="I1379" s="1" t="s">
        <v>123</v>
      </c>
      <c r="J1379" s="3">
        <v>0.4</v>
      </c>
      <c r="K1379" s="4">
        <v>2000</v>
      </c>
      <c r="L1379" s="5">
        <f t="shared" si="10"/>
        <v>800</v>
      </c>
      <c r="M1379" s="5">
        <f t="shared" si="11"/>
        <v>280</v>
      </c>
      <c r="N1379" s="6">
        <v>0.35</v>
      </c>
    </row>
    <row r="1380" spans="1:14" ht="15.75" customHeight="1" x14ac:dyDescent="0.45">
      <c r="A1380" s="1" t="s">
        <v>121</v>
      </c>
      <c r="B1380" s="1">
        <v>1128299</v>
      </c>
      <c r="C1380" s="2">
        <v>44616</v>
      </c>
      <c r="D1380" s="1" t="s">
        <v>22</v>
      </c>
      <c r="E1380" s="1" t="s">
        <v>55</v>
      </c>
      <c r="F1380" s="1" t="s">
        <v>56</v>
      </c>
      <c r="G1380" s="1" t="s">
        <v>17</v>
      </c>
      <c r="H1380" s="1">
        <v>20</v>
      </c>
      <c r="I1380" s="1" t="s">
        <v>124</v>
      </c>
      <c r="J1380" s="3">
        <v>0.45000000000000007</v>
      </c>
      <c r="K1380" s="4">
        <v>1250</v>
      </c>
      <c r="L1380" s="5">
        <f t="shared" si="10"/>
        <v>562.50000000000011</v>
      </c>
      <c r="M1380" s="5">
        <f t="shared" si="11"/>
        <v>225.00000000000006</v>
      </c>
      <c r="N1380" s="6">
        <v>0.4</v>
      </c>
    </row>
    <row r="1381" spans="1:14" ht="15.75" customHeight="1" x14ac:dyDescent="0.45">
      <c r="A1381" s="1" t="s">
        <v>121</v>
      </c>
      <c r="B1381" s="1">
        <v>1128299</v>
      </c>
      <c r="C1381" s="2">
        <v>44616</v>
      </c>
      <c r="D1381" s="1" t="s">
        <v>22</v>
      </c>
      <c r="E1381" s="1" t="s">
        <v>55</v>
      </c>
      <c r="F1381" s="1" t="s">
        <v>56</v>
      </c>
      <c r="G1381" s="1" t="s">
        <v>18</v>
      </c>
      <c r="H1381" s="1">
        <v>34</v>
      </c>
      <c r="I1381" s="1" t="s">
        <v>126</v>
      </c>
      <c r="J1381" s="3">
        <v>0.4</v>
      </c>
      <c r="K1381" s="4">
        <v>3250</v>
      </c>
      <c r="L1381" s="5">
        <f t="shared" si="10"/>
        <v>1300</v>
      </c>
      <c r="M1381" s="5">
        <f t="shared" si="11"/>
        <v>390</v>
      </c>
      <c r="N1381" s="6">
        <v>0.3</v>
      </c>
    </row>
    <row r="1382" spans="1:14" ht="15.75" customHeight="1" x14ac:dyDescent="0.45">
      <c r="A1382" s="1" t="s">
        <v>121</v>
      </c>
      <c r="B1382" s="1">
        <v>1128299</v>
      </c>
      <c r="C1382" s="2">
        <v>44643</v>
      </c>
      <c r="D1382" s="1" t="s">
        <v>22</v>
      </c>
      <c r="E1382" s="1" t="s">
        <v>55</v>
      </c>
      <c r="F1382" s="1" t="s">
        <v>56</v>
      </c>
      <c r="G1382" s="1" t="s">
        <v>13</v>
      </c>
      <c r="H1382" s="1">
        <v>46</v>
      </c>
      <c r="I1382" s="1" t="s">
        <v>123</v>
      </c>
      <c r="J1382" s="3">
        <v>0.4</v>
      </c>
      <c r="K1382" s="4">
        <v>4750</v>
      </c>
      <c r="L1382" s="5">
        <f t="shared" si="10"/>
        <v>1900</v>
      </c>
      <c r="M1382" s="5">
        <f t="shared" si="11"/>
        <v>665</v>
      </c>
      <c r="N1382" s="6">
        <v>0.35</v>
      </c>
    </row>
    <row r="1383" spans="1:14" ht="15.75" customHeight="1" x14ac:dyDescent="0.45">
      <c r="A1383" s="1" t="s">
        <v>121</v>
      </c>
      <c r="B1383" s="1">
        <v>1128299</v>
      </c>
      <c r="C1383" s="2">
        <v>44643</v>
      </c>
      <c r="D1383" s="1" t="s">
        <v>22</v>
      </c>
      <c r="E1383" s="1" t="s">
        <v>55</v>
      </c>
      <c r="F1383" s="1" t="s">
        <v>56</v>
      </c>
      <c r="G1383" s="1" t="s">
        <v>14</v>
      </c>
      <c r="H1383" s="1">
        <v>59</v>
      </c>
      <c r="I1383" s="1" t="s">
        <v>126</v>
      </c>
      <c r="J1383" s="3">
        <v>0.5</v>
      </c>
      <c r="K1383" s="4">
        <v>3250</v>
      </c>
      <c r="L1383" s="5">
        <f t="shared" si="10"/>
        <v>1625</v>
      </c>
      <c r="M1383" s="5">
        <f t="shared" si="11"/>
        <v>568.75</v>
      </c>
      <c r="N1383" s="6">
        <v>0.35</v>
      </c>
    </row>
    <row r="1384" spans="1:14" ht="15.75" customHeight="1" x14ac:dyDescent="0.45">
      <c r="A1384" s="1" t="s">
        <v>121</v>
      </c>
      <c r="B1384" s="1">
        <v>1128299</v>
      </c>
      <c r="C1384" s="2">
        <v>44643</v>
      </c>
      <c r="D1384" s="1" t="s">
        <v>22</v>
      </c>
      <c r="E1384" s="1" t="s">
        <v>55</v>
      </c>
      <c r="F1384" s="1" t="s">
        <v>56</v>
      </c>
      <c r="G1384" s="1" t="s">
        <v>15</v>
      </c>
      <c r="H1384" s="1">
        <v>32</v>
      </c>
      <c r="I1384" s="1" t="s">
        <v>125</v>
      </c>
      <c r="J1384" s="3">
        <v>0.54999999999999993</v>
      </c>
      <c r="K1384" s="4">
        <v>3500</v>
      </c>
      <c r="L1384" s="5">
        <f t="shared" si="10"/>
        <v>1924.9999999999998</v>
      </c>
      <c r="M1384" s="5">
        <f t="shared" si="11"/>
        <v>673.74999999999989</v>
      </c>
      <c r="N1384" s="6">
        <v>0.35</v>
      </c>
    </row>
    <row r="1385" spans="1:14" ht="15.75" customHeight="1" x14ac:dyDescent="0.45">
      <c r="A1385" s="1" t="s">
        <v>121</v>
      </c>
      <c r="B1385" s="1">
        <v>1128299</v>
      </c>
      <c r="C1385" s="2">
        <v>44643</v>
      </c>
      <c r="D1385" s="1" t="s">
        <v>22</v>
      </c>
      <c r="E1385" s="1" t="s">
        <v>55</v>
      </c>
      <c r="F1385" s="1" t="s">
        <v>56</v>
      </c>
      <c r="G1385" s="1" t="s">
        <v>16</v>
      </c>
      <c r="H1385" s="1">
        <v>46</v>
      </c>
      <c r="I1385" s="1" t="s">
        <v>126</v>
      </c>
      <c r="J1385" s="3">
        <v>0.5</v>
      </c>
      <c r="K1385" s="4">
        <v>2500</v>
      </c>
      <c r="L1385" s="5">
        <f t="shared" si="10"/>
        <v>1250</v>
      </c>
      <c r="M1385" s="5">
        <f t="shared" si="11"/>
        <v>437.5</v>
      </c>
      <c r="N1385" s="6">
        <v>0.35</v>
      </c>
    </row>
    <row r="1386" spans="1:14" ht="15.75" customHeight="1" x14ac:dyDescent="0.45">
      <c r="A1386" s="1" t="s">
        <v>121</v>
      </c>
      <c r="B1386" s="1">
        <v>1128299</v>
      </c>
      <c r="C1386" s="2">
        <v>44643</v>
      </c>
      <c r="D1386" s="1" t="s">
        <v>22</v>
      </c>
      <c r="E1386" s="1" t="s">
        <v>55</v>
      </c>
      <c r="F1386" s="1" t="s">
        <v>56</v>
      </c>
      <c r="G1386" s="1" t="s">
        <v>17</v>
      </c>
      <c r="H1386" s="1">
        <v>56</v>
      </c>
      <c r="I1386" s="1" t="s">
        <v>125</v>
      </c>
      <c r="J1386" s="3">
        <v>0.55000000000000004</v>
      </c>
      <c r="K1386" s="4">
        <v>1000</v>
      </c>
      <c r="L1386" s="5">
        <f t="shared" si="10"/>
        <v>550</v>
      </c>
      <c r="M1386" s="5">
        <f t="shared" si="11"/>
        <v>220</v>
      </c>
      <c r="N1386" s="6">
        <v>0.4</v>
      </c>
    </row>
    <row r="1387" spans="1:14" ht="15.75" customHeight="1" x14ac:dyDescent="0.45">
      <c r="A1387" s="1" t="s">
        <v>121</v>
      </c>
      <c r="B1387" s="1">
        <v>1128299</v>
      </c>
      <c r="C1387" s="2">
        <v>44643</v>
      </c>
      <c r="D1387" s="1" t="s">
        <v>22</v>
      </c>
      <c r="E1387" s="1" t="s">
        <v>55</v>
      </c>
      <c r="F1387" s="1" t="s">
        <v>56</v>
      </c>
      <c r="G1387" s="1" t="s">
        <v>18</v>
      </c>
      <c r="H1387" s="1">
        <v>33</v>
      </c>
      <c r="I1387" s="1" t="s">
        <v>124</v>
      </c>
      <c r="J1387" s="3">
        <v>0.5</v>
      </c>
      <c r="K1387" s="4">
        <v>3000</v>
      </c>
      <c r="L1387" s="5">
        <f t="shared" si="10"/>
        <v>1500</v>
      </c>
      <c r="M1387" s="5">
        <f t="shared" si="11"/>
        <v>450</v>
      </c>
      <c r="N1387" s="6">
        <v>0.3</v>
      </c>
    </row>
    <row r="1388" spans="1:14" ht="15.75" customHeight="1" x14ac:dyDescent="0.45">
      <c r="A1388" s="1" t="s">
        <v>121</v>
      </c>
      <c r="B1388" s="1">
        <v>1128299</v>
      </c>
      <c r="C1388" s="2">
        <v>44675</v>
      </c>
      <c r="D1388" s="1" t="s">
        <v>22</v>
      </c>
      <c r="E1388" s="1" t="s">
        <v>55</v>
      </c>
      <c r="F1388" s="1" t="s">
        <v>56</v>
      </c>
      <c r="G1388" s="1" t="s">
        <v>13</v>
      </c>
      <c r="H1388" s="1">
        <v>39</v>
      </c>
      <c r="I1388" s="1" t="s">
        <v>124</v>
      </c>
      <c r="J1388" s="3">
        <v>0.55000000000000004</v>
      </c>
      <c r="K1388" s="4">
        <v>4750</v>
      </c>
      <c r="L1388" s="5">
        <f t="shared" ref="L1388:L1642" si="12">J1388*K1388</f>
        <v>2612.5</v>
      </c>
      <c r="M1388" s="5">
        <f t="shared" ref="M1388:M1642" si="13">L1388*N1388</f>
        <v>914.37499999999989</v>
      </c>
      <c r="N1388" s="6">
        <v>0.35</v>
      </c>
    </row>
    <row r="1389" spans="1:14" ht="15.75" customHeight="1" x14ac:dyDescent="0.45">
      <c r="A1389" s="1" t="s">
        <v>121</v>
      </c>
      <c r="B1389" s="1">
        <v>1128299</v>
      </c>
      <c r="C1389" s="2">
        <v>44675</v>
      </c>
      <c r="D1389" s="1" t="s">
        <v>22</v>
      </c>
      <c r="E1389" s="1" t="s">
        <v>55</v>
      </c>
      <c r="F1389" s="1" t="s">
        <v>56</v>
      </c>
      <c r="G1389" s="1" t="s">
        <v>14</v>
      </c>
      <c r="H1389" s="1">
        <v>36</v>
      </c>
      <c r="I1389" s="1" t="s">
        <v>126</v>
      </c>
      <c r="J1389" s="3">
        <v>0.60000000000000009</v>
      </c>
      <c r="K1389" s="4">
        <v>2750</v>
      </c>
      <c r="L1389" s="5">
        <f t="shared" si="12"/>
        <v>1650.0000000000002</v>
      </c>
      <c r="M1389" s="5">
        <f t="shared" si="13"/>
        <v>577.5</v>
      </c>
      <c r="N1389" s="6">
        <v>0.35</v>
      </c>
    </row>
    <row r="1390" spans="1:14" ht="15.75" customHeight="1" x14ac:dyDescent="0.45">
      <c r="A1390" s="1" t="s">
        <v>121</v>
      </c>
      <c r="B1390" s="1">
        <v>1128299</v>
      </c>
      <c r="C1390" s="2">
        <v>44675</v>
      </c>
      <c r="D1390" s="1" t="s">
        <v>22</v>
      </c>
      <c r="E1390" s="1" t="s">
        <v>55</v>
      </c>
      <c r="F1390" s="1" t="s">
        <v>56</v>
      </c>
      <c r="G1390" s="1" t="s">
        <v>15</v>
      </c>
      <c r="H1390" s="1">
        <v>21</v>
      </c>
      <c r="I1390" s="1" t="s">
        <v>126</v>
      </c>
      <c r="J1390" s="3">
        <v>0.60000000000000009</v>
      </c>
      <c r="K1390" s="4">
        <v>3250</v>
      </c>
      <c r="L1390" s="5">
        <f t="shared" si="12"/>
        <v>1950.0000000000002</v>
      </c>
      <c r="M1390" s="5">
        <f t="shared" si="13"/>
        <v>682.5</v>
      </c>
      <c r="N1390" s="6">
        <v>0.35</v>
      </c>
    </row>
    <row r="1391" spans="1:14" ht="15.75" customHeight="1" x14ac:dyDescent="0.45">
      <c r="A1391" s="1" t="s">
        <v>121</v>
      </c>
      <c r="B1391" s="1">
        <v>1128299</v>
      </c>
      <c r="C1391" s="2">
        <v>44675</v>
      </c>
      <c r="D1391" s="1" t="s">
        <v>22</v>
      </c>
      <c r="E1391" s="1" t="s">
        <v>55</v>
      </c>
      <c r="F1391" s="1" t="s">
        <v>56</v>
      </c>
      <c r="G1391" s="1" t="s">
        <v>16</v>
      </c>
      <c r="H1391" s="1">
        <v>23</v>
      </c>
      <c r="I1391" s="1" t="s">
        <v>124</v>
      </c>
      <c r="J1391" s="3">
        <v>0.45000000000000007</v>
      </c>
      <c r="K1391" s="4">
        <v>2250</v>
      </c>
      <c r="L1391" s="5">
        <f t="shared" si="12"/>
        <v>1012.5000000000001</v>
      </c>
      <c r="M1391" s="5">
        <f t="shared" si="13"/>
        <v>354.375</v>
      </c>
      <c r="N1391" s="6">
        <v>0.35</v>
      </c>
    </row>
    <row r="1392" spans="1:14" ht="15.75" customHeight="1" x14ac:dyDescent="0.45">
      <c r="A1392" s="1" t="s">
        <v>121</v>
      </c>
      <c r="B1392" s="1">
        <v>1128299</v>
      </c>
      <c r="C1392" s="2">
        <v>44675</v>
      </c>
      <c r="D1392" s="1" t="s">
        <v>22</v>
      </c>
      <c r="E1392" s="1" t="s">
        <v>55</v>
      </c>
      <c r="F1392" s="1" t="s">
        <v>56</v>
      </c>
      <c r="G1392" s="1" t="s">
        <v>17</v>
      </c>
      <c r="H1392" s="1">
        <v>18</v>
      </c>
      <c r="I1392" s="1" t="s">
        <v>125</v>
      </c>
      <c r="J1392" s="3">
        <v>0.50000000000000011</v>
      </c>
      <c r="K1392" s="4">
        <v>1250</v>
      </c>
      <c r="L1392" s="5">
        <f t="shared" si="12"/>
        <v>625.00000000000011</v>
      </c>
      <c r="M1392" s="5">
        <f t="shared" si="13"/>
        <v>250.00000000000006</v>
      </c>
      <c r="N1392" s="6">
        <v>0.4</v>
      </c>
    </row>
    <row r="1393" spans="1:14" ht="15.75" customHeight="1" x14ac:dyDescent="0.45">
      <c r="A1393" s="1" t="s">
        <v>121</v>
      </c>
      <c r="B1393" s="1">
        <v>1128299</v>
      </c>
      <c r="C1393" s="2">
        <v>44675</v>
      </c>
      <c r="D1393" s="1" t="s">
        <v>22</v>
      </c>
      <c r="E1393" s="1" t="s">
        <v>55</v>
      </c>
      <c r="F1393" s="1" t="s">
        <v>56</v>
      </c>
      <c r="G1393" s="1" t="s">
        <v>18</v>
      </c>
      <c r="H1393" s="1">
        <v>32</v>
      </c>
      <c r="I1393" s="1" t="s">
        <v>123</v>
      </c>
      <c r="J1393" s="3">
        <v>0.65000000000000013</v>
      </c>
      <c r="K1393" s="4">
        <v>3000</v>
      </c>
      <c r="L1393" s="5">
        <f t="shared" si="12"/>
        <v>1950.0000000000005</v>
      </c>
      <c r="M1393" s="5">
        <f t="shared" si="13"/>
        <v>585.00000000000011</v>
      </c>
      <c r="N1393" s="6">
        <v>0.3</v>
      </c>
    </row>
    <row r="1394" spans="1:14" ht="15.75" customHeight="1" x14ac:dyDescent="0.45">
      <c r="A1394" s="1" t="s">
        <v>121</v>
      </c>
      <c r="B1394" s="1">
        <v>1128299</v>
      </c>
      <c r="C1394" s="2">
        <v>44706</v>
      </c>
      <c r="D1394" s="1" t="s">
        <v>22</v>
      </c>
      <c r="E1394" s="1" t="s">
        <v>55</v>
      </c>
      <c r="F1394" s="1" t="s">
        <v>56</v>
      </c>
      <c r="G1394" s="1" t="s">
        <v>13</v>
      </c>
      <c r="H1394" s="1">
        <v>20</v>
      </c>
      <c r="I1394" s="1" t="s">
        <v>124</v>
      </c>
      <c r="J1394" s="3">
        <v>0.5</v>
      </c>
      <c r="K1394" s="4">
        <v>5000</v>
      </c>
      <c r="L1394" s="5">
        <f t="shared" si="12"/>
        <v>2500</v>
      </c>
      <c r="M1394" s="5">
        <f t="shared" si="13"/>
        <v>875</v>
      </c>
      <c r="N1394" s="6">
        <v>0.35</v>
      </c>
    </row>
    <row r="1395" spans="1:14" ht="15.75" customHeight="1" x14ac:dyDescent="0.45">
      <c r="A1395" s="1" t="s">
        <v>121</v>
      </c>
      <c r="B1395" s="1">
        <v>1128299</v>
      </c>
      <c r="C1395" s="2">
        <v>44706</v>
      </c>
      <c r="D1395" s="1" t="s">
        <v>22</v>
      </c>
      <c r="E1395" s="1" t="s">
        <v>55</v>
      </c>
      <c r="F1395" s="1" t="s">
        <v>56</v>
      </c>
      <c r="G1395" s="1" t="s">
        <v>14</v>
      </c>
      <c r="H1395" s="1">
        <v>58</v>
      </c>
      <c r="I1395" s="1" t="s">
        <v>124</v>
      </c>
      <c r="J1395" s="3">
        <v>0.55000000000000004</v>
      </c>
      <c r="K1395" s="4">
        <v>3500</v>
      </c>
      <c r="L1395" s="5">
        <f t="shared" si="12"/>
        <v>1925.0000000000002</v>
      </c>
      <c r="M1395" s="5">
        <f t="shared" si="13"/>
        <v>673.75</v>
      </c>
      <c r="N1395" s="6">
        <v>0.35</v>
      </c>
    </row>
    <row r="1396" spans="1:14" ht="15.75" customHeight="1" x14ac:dyDescent="0.45">
      <c r="A1396" s="1" t="s">
        <v>121</v>
      </c>
      <c r="B1396" s="1">
        <v>1128299</v>
      </c>
      <c r="C1396" s="2">
        <v>44706</v>
      </c>
      <c r="D1396" s="1" t="s">
        <v>22</v>
      </c>
      <c r="E1396" s="1" t="s">
        <v>55</v>
      </c>
      <c r="F1396" s="1" t="s">
        <v>56</v>
      </c>
      <c r="G1396" s="1" t="s">
        <v>15</v>
      </c>
      <c r="H1396" s="1">
        <v>57</v>
      </c>
      <c r="I1396" s="1" t="s">
        <v>126</v>
      </c>
      <c r="J1396" s="3">
        <v>0.55000000000000004</v>
      </c>
      <c r="K1396" s="4">
        <v>3500</v>
      </c>
      <c r="L1396" s="5">
        <f t="shared" si="12"/>
        <v>1925.0000000000002</v>
      </c>
      <c r="M1396" s="5">
        <f t="shared" si="13"/>
        <v>673.75</v>
      </c>
      <c r="N1396" s="6">
        <v>0.35</v>
      </c>
    </row>
    <row r="1397" spans="1:14" ht="15.75" customHeight="1" x14ac:dyDescent="0.45">
      <c r="A1397" s="1" t="s">
        <v>121</v>
      </c>
      <c r="B1397" s="1">
        <v>1128299</v>
      </c>
      <c r="C1397" s="2">
        <v>44706</v>
      </c>
      <c r="D1397" s="1" t="s">
        <v>22</v>
      </c>
      <c r="E1397" s="1" t="s">
        <v>55</v>
      </c>
      <c r="F1397" s="1" t="s">
        <v>56</v>
      </c>
      <c r="G1397" s="1" t="s">
        <v>16</v>
      </c>
      <c r="H1397" s="1">
        <v>17</v>
      </c>
      <c r="I1397" s="1" t="s">
        <v>124</v>
      </c>
      <c r="J1397" s="3">
        <v>0.5</v>
      </c>
      <c r="K1397" s="4">
        <v>2750</v>
      </c>
      <c r="L1397" s="5">
        <f t="shared" si="12"/>
        <v>1375</v>
      </c>
      <c r="M1397" s="5">
        <f t="shared" si="13"/>
        <v>481.24999999999994</v>
      </c>
      <c r="N1397" s="6">
        <v>0.35</v>
      </c>
    </row>
    <row r="1398" spans="1:14" ht="15.75" customHeight="1" x14ac:dyDescent="0.45">
      <c r="A1398" s="1" t="s">
        <v>121</v>
      </c>
      <c r="B1398" s="1">
        <v>1128299</v>
      </c>
      <c r="C1398" s="2">
        <v>44706</v>
      </c>
      <c r="D1398" s="1" t="s">
        <v>22</v>
      </c>
      <c r="E1398" s="1" t="s">
        <v>55</v>
      </c>
      <c r="F1398" s="1" t="s">
        <v>56</v>
      </c>
      <c r="G1398" s="1" t="s">
        <v>17</v>
      </c>
      <c r="H1398" s="1">
        <v>36</v>
      </c>
      <c r="I1398" s="1" t="s">
        <v>124</v>
      </c>
      <c r="J1398" s="3">
        <v>0.44999999999999996</v>
      </c>
      <c r="K1398" s="4">
        <v>1750</v>
      </c>
      <c r="L1398" s="5">
        <f t="shared" si="12"/>
        <v>787.49999999999989</v>
      </c>
      <c r="M1398" s="5">
        <f t="shared" si="13"/>
        <v>315</v>
      </c>
      <c r="N1398" s="6">
        <v>0.4</v>
      </c>
    </row>
    <row r="1399" spans="1:14" ht="15.75" customHeight="1" x14ac:dyDescent="0.45">
      <c r="A1399" s="1" t="s">
        <v>121</v>
      </c>
      <c r="B1399" s="1">
        <v>1128299</v>
      </c>
      <c r="C1399" s="2">
        <v>44706</v>
      </c>
      <c r="D1399" s="1" t="s">
        <v>22</v>
      </c>
      <c r="E1399" s="1" t="s">
        <v>55</v>
      </c>
      <c r="F1399" s="1" t="s">
        <v>56</v>
      </c>
      <c r="G1399" s="1" t="s">
        <v>18</v>
      </c>
      <c r="H1399" s="1">
        <v>33</v>
      </c>
      <c r="I1399" s="1" t="s">
        <v>125</v>
      </c>
      <c r="J1399" s="3">
        <v>0.6</v>
      </c>
      <c r="K1399" s="4">
        <v>5250</v>
      </c>
      <c r="L1399" s="5">
        <f t="shared" si="12"/>
        <v>3150</v>
      </c>
      <c r="M1399" s="5">
        <f t="shared" si="13"/>
        <v>945</v>
      </c>
      <c r="N1399" s="6">
        <v>0.3</v>
      </c>
    </row>
    <row r="1400" spans="1:14" ht="15.75" customHeight="1" x14ac:dyDescent="0.45">
      <c r="A1400" s="1" t="s">
        <v>121</v>
      </c>
      <c r="B1400" s="1">
        <v>1128299</v>
      </c>
      <c r="C1400" s="2">
        <v>44736</v>
      </c>
      <c r="D1400" s="1" t="s">
        <v>22</v>
      </c>
      <c r="E1400" s="1" t="s">
        <v>55</v>
      </c>
      <c r="F1400" s="1" t="s">
        <v>56</v>
      </c>
      <c r="G1400" s="1" t="s">
        <v>13</v>
      </c>
      <c r="H1400" s="1">
        <v>35</v>
      </c>
      <c r="I1400" s="1" t="s">
        <v>123</v>
      </c>
      <c r="J1400" s="3">
        <v>0.54999999999999993</v>
      </c>
      <c r="K1400" s="4">
        <v>7750</v>
      </c>
      <c r="L1400" s="5">
        <f t="shared" si="12"/>
        <v>4262.4999999999991</v>
      </c>
      <c r="M1400" s="5">
        <f t="shared" si="13"/>
        <v>1491.8749999999995</v>
      </c>
      <c r="N1400" s="6">
        <v>0.35</v>
      </c>
    </row>
    <row r="1401" spans="1:14" ht="15.75" customHeight="1" x14ac:dyDescent="0.45">
      <c r="A1401" s="1" t="s">
        <v>121</v>
      </c>
      <c r="B1401" s="1">
        <v>1128299</v>
      </c>
      <c r="C1401" s="2">
        <v>44736</v>
      </c>
      <c r="D1401" s="1" t="s">
        <v>22</v>
      </c>
      <c r="E1401" s="1" t="s">
        <v>55</v>
      </c>
      <c r="F1401" s="1" t="s">
        <v>56</v>
      </c>
      <c r="G1401" s="1" t="s">
        <v>14</v>
      </c>
      <c r="H1401" s="1">
        <v>38</v>
      </c>
      <c r="I1401" s="1" t="s">
        <v>126</v>
      </c>
      <c r="J1401" s="3">
        <v>0.64999999999999991</v>
      </c>
      <c r="K1401" s="4">
        <v>6500</v>
      </c>
      <c r="L1401" s="5">
        <f t="shared" si="12"/>
        <v>4224.9999999999991</v>
      </c>
      <c r="M1401" s="5">
        <f t="shared" si="13"/>
        <v>1478.7499999999995</v>
      </c>
      <c r="N1401" s="6">
        <v>0.35</v>
      </c>
    </row>
    <row r="1402" spans="1:14" ht="15.75" customHeight="1" x14ac:dyDescent="0.45">
      <c r="A1402" s="1" t="s">
        <v>121</v>
      </c>
      <c r="B1402" s="1">
        <v>1128299</v>
      </c>
      <c r="C1402" s="2">
        <v>44736</v>
      </c>
      <c r="D1402" s="1" t="s">
        <v>22</v>
      </c>
      <c r="E1402" s="1" t="s">
        <v>55</v>
      </c>
      <c r="F1402" s="1" t="s">
        <v>56</v>
      </c>
      <c r="G1402" s="1" t="s">
        <v>15</v>
      </c>
      <c r="H1402" s="1">
        <v>20</v>
      </c>
      <c r="I1402" s="1" t="s">
        <v>126</v>
      </c>
      <c r="J1402" s="3">
        <v>0.79999999999999993</v>
      </c>
      <c r="K1402" s="4">
        <v>6500</v>
      </c>
      <c r="L1402" s="5">
        <f t="shared" si="12"/>
        <v>5200</v>
      </c>
      <c r="M1402" s="5">
        <f t="shared" si="13"/>
        <v>1819.9999999999998</v>
      </c>
      <c r="N1402" s="6">
        <v>0.35</v>
      </c>
    </row>
    <row r="1403" spans="1:14" ht="15.75" customHeight="1" x14ac:dyDescent="0.45">
      <c r="A1403" s="1" t="s">
        <v>121</v>
      </c>
      <c r="B1403" s="1">
        <v>1128299</v>
      </c>
      <c r="C1403" s="2">
        <v>44736</v>
      </c>
      <c r="D1403" s="1" t="s">
        <v>22</v>
      </c>
      <c r="E1403" s="1" t="s">
        <v>55</v>
      </c>
      <c r="F1403" s="1" t="s">
        <v>56</v>
      </c>
      <c r="G1403" s="1" t="s">
        <v>16</v>
      </c>
      <c r="H1403" s="1">
        <v>54</v>
      </c>
      <c r="I1403" s="1" t="s">
        <v>125</v>
      </c>
      <c r="J1403" s="3">
        <v>0.79999999999999993</v>
      </c>
      <c r="K1403" s="4">
        <v>5250</v>
      </c>
      <c r="L1403" s="5">
        <f t="shared" si="12"/>
        <v>4200</v>
      </c>
      <c r="M1403" s="5">
        <f t="shared" si="13"/>
        <v>1470</v>
      </c>
      <c r="N1403" s="6">
        <v>0.35</v>
      </c>
    </row>
    <row r="1404" spans="1:14" ht="15.75" customHeight="1" x14ac:dyDescent="0.45">
      <c r="A1404" s="1" t="s">
        <v>121</v>
      </c>
      <c r="B1404" s="1">
        <v>1128299</v>
      </c>
      <c r="C1404" s="2">
        <v>44736</v>
      </c>
      <c r="D1404" s="1" t="s">
        <v>22</v>
      </c>
      <c r="E1404" s="1" t="s">
        <v>55</v>
      </c>
      <c r="F1404" s="1" t="s">
        <v>56</v>
      </c>
      <c r="G1404" s="1" t="s">
        <v>17</v>
      </c>
      <c r="H1404" s="1">
        <v>20</v>
      </c>
      <c r="I1404" s="1" t="s">
        <v>126</v>
      </c>
      <c r="J1404" s="3">
        <v>0.9</v>
      </c>
      <c r="K1404" s="4">
        <v>4000</v>
      </c>
      <c r="L1404" s="5">
        <f t="shared" si="12"/>
        <v>3600</v>
      </c>
      <c r="M1404" s="5">
        <f t="shared" si="13"/>
        <v>1440</v>
      </c>
      <c r="N1404" s="6">
        <v>0.4</v>
      </c>
    </row>
    <row r="1405" spans="1:14" ht="15.75" customHeight="1" x14ac:dyDescent="0.45">
      <c r="A1405" s="1" t="s">
        <v>121</v>
      </c>
      <c r="B1405" s="1">
        <v>1128299</v>
      </c>
      <c r="C1405" s="2">
        <v>44736</v>
      </c>
      <c r="D1405" s="1" t="s">
        <v>22</v>
      </c>
      <c r="E1405" s="1" t="s">
        <v>55</v>
      </c>
      <c r="F1405" s="1" t="s">
        <v>56</v>
      </c>
      <c r="G1405" s="1" t="s">
        <v>18</v>
      </c>
      <c r="H1405" s="1">
        <v>45</v>
      </c>
      <c r="I1405" s="1" t="s">
        <v>124</v>
      </c>
      <c r="J1405" s="3">
        <v>1.05</v>
      </c>
      <c r="K1405" s="4">
        <v>7000</v>
      </c>
      <c r="L1405" s="5">
        <f t="shared" si="12"/>
        <v>7350</v>
      </c>
      <c r="M1405" s="5">
        <f t="shared" si="13"/>
        <v>2205</v>
      </c>
      <c r="N1405" s="6">
        <v>0.3</v>
      </c>
    </row>
    <row r="1406" spans="1:14" ht="15.75" customHeight="1" x14ac:dyDescent="0.45">
      <c r="A1406" s="1" t="s">
        <v>121</v>
      </c>
      <c r="B1406" s="1">
        <v>1128299</v>
      </c>
      <c r="C1406" s="2">
        <v>44765</v>
      </c>
      <c r="D1406" s="1" t="s">
        <v>22</v>
      </c>
      <c r="E1406" s="1" t="s">
        <v>55</v>
      </c>
      <c r="F1406" s="1" t="s">
        <v>56</v>
      </c>
      <c r="G1406" s="1" t="s">
        <v>13</v>
      </c>
      <c r="H1406" s="1">
        <v>46</v>
      </c>
      <c r="I1406" s="1" t="s">
        <v>125</v>
      </c>
      <c r="J1406" s="3">
        <v>0.85</v>
      </c>
      <c r="K1406" s="4">
        <v>8500</v>
      </c>
      <c r="L1406" s="5">
        <f t="shared" si="12"/>
        <v>7225</v>
      </c>
      <c r="M1406" s="5">
        <f t="shared" si="13"/>
        <v>2528.75</v>
      </c>
      <c r="N1406" s="6">
        <v>0.35</v>
      </c>
    </row>
    <row r="1407" spans="1:14" ht="15.75" customHeight="1" x14ac:dyDescent="0.45">
      <c r="A1407" s="1" t="s">
        <v>121</v>
      </c>
      <c r="B1407" s="1">
        <v>1128299</v>
      </c>
      <c r="C1407" s="2">
        <v>44765</v>
      </c>
      <c r="D1407" s="1" t="s">
        <v>22</v>
      </c>
      <c r="E1407" s="1" t="s">
        <v>55</v>
      </c>
      <c r="F1407" s="1" t="s">
        <v>56</v>
      </c>
      <c r="G1407" s="1" t="s">
        <v>14</v>
      </c>
      <c r="H1407" s="1">
        <v>32</v>
      </c>
      <c r="I1407" s="1" t="s">
        <v>125</v>
      </c>
      <c r="J1407" s="3">
        <v>0.9</v>
      </c>
      <c r="K1407" s="4">
        <v>7000</v>
      </c>
      <c r="L1407" s="5">
        <f t="shared" si="12"/>
        <v>6300</v>
      </c>
      <c r="M1407" s="5">
        <f t="shared" si="13"/>
        <v>2205</v>
      </c>
      <c r="N1407" s="6">
        <v>0.35</v>
      </c>
    </row>
    <row r="1408" spans="1:14" ht="15.75" customHeight="1" x14ac:dyDescent="0.45">
      <c r="A1408" s="1" t="s">
        <v>121</v>
      </c>
      <c r="B1408" s="1">
        <v>1128299</v>
      </c>
      <c r="C1408" s="2">
        <v>44765</v>
      </c>
      <c r="D1408" s="1" t="s">
        <v>22</v>
      </c>
      <c r="E1408" s="1" t="s">
        <v>55</v>
      </c>
      <c r="F1408" s="1" t="s">
        <v>56</v>
      </c>
      <c r="G1408" s="1" t="s">
        <v>15</v>
      </c>
      <c r="H1408" s="1">
        <v>16</v>
      </c>
      <c r="I1408" s="1" t="s">
        <v>124</v>
      </c>
      <c r="J1408" s="3">
        <v>0.9</v>
      </c>
      <c r="K1408" s="4">
        <v>6500</v>
      </c>
      <c r="L1408" s="5">
        <f t="shared" si="12"/>
        <v>5850</v>
      </c>
      <c r="M1408" s="5">
        <f t="shared" si="13"/>
        <v>2047.4999999999998</v>
      </c>
      <c r="N1408" s="6">
        <v>0.35</v>
      </c>
    </row>
    <row r="1409" spans="1:14" ht="15.75" customHeight="1" x14ac:dyDescent="0.45">
      <c r="A1409" s="1" t="s">
        <v>121</v>
      </c>
      <c r="B1409" s="1">
        <v>1128299</v>
      </c>
      <c r="C1409" s="2">
        <v>44765</v>
      </c>
      <c r="D1409" s="1" t="s">
        <v>22</v>
      </c>
      <c r="E1409" s="1" t="s">
        <v>55</v>
      </c>
      <c r="F1409" s="1" t="s">
        <v>56</v>
      </c>
      <c r="G1409" s="1" t="s">
        <v>16</v>
      </c>
      <c r="H1409" s="1">
        <v>44</v>
      </c>
      <c r="I1409" s="1" t="s">
        <v>125</v>
      </c>
      <c r="J1409" s="3">
        <v>0.85</v>
      </c>
      <c r="K1409" s="4">
        <v>5500</v>
      </c>
      <c r="L1409" s="5">
        <f t="shared" si="12"/>
        <v>4675</v>
      </c>
      <c r="M1409" s="5">
        <f t="shared" si="13"/>
        <v>1636.25</v>
      </c>
      <c r="N1409" s="6">
        <v>0.35</v>
      </c>
    </row>
    <row r="1410" spans="1:14" ht="15.75" customHeight="1" x14ac:dyDescent="0.45">
      <c r="A1410" s="1" t="s">
        <v>121</v>
      </c>
      <c r="B1410" s="1">
        <v>1128299</v>
      </c>
      <c r="C1410" s="2">
        <v>44765</v>
      </c>
      <c r="D1410" s="1" t="s">
        <v>22</v>
      </c>
      <c r="E1410" s="1" t="s">
        <v>55</v>
      </c>
      <c r="F1410" s="1" t="s">
        <v>56</v>
      </c>
      <c r="G1410" s="1" t="s">
        <v>17</v>
      </c>
      <c r="H1410" s="1">
        <v>15</v>
      </c>
      <c r="I1410" s="1" t="s">
        <v>123</v>
      </c>
      <c r="J1410" s="3">
        <v>0.9</v>
      </c>
      <c r="K1410" s="4">
        <v>6000</v>
      </c>
      <c r="L1410" s="5">
        <f t="shared" si="12"/>
        <v>5400</v>
      </c>
      <c r="M1410" s="5">
        <f t="shared" si="13"/>
        <v>2160</v>
      </c>
      <c r="N1410" s="6">
        <v>0.4</v>
      </c>
    </row>
    <row r="1411" spans="1:14" ht="15.75" customHeight="1" x14ac:dyDescent="0.45">
      <c r="A1411" s="1" t="s">
        <v>121</v>
      </c>
      <c r="B1411" s="1">
        <v>1128299</v>
      </c>
      <c r="C1411" s="2">
        <v>44765</v>
      </c>
      <c r="D1411" s="1" t="s">
        <v>22</v>
      </c>
      <c r="E1411" s="1" t="s">
        <v>55</v>
      </c>
      <c r="F1411" s="1" t="s">
        <v>56</v>
      </c>
      <c r="G1411" s="1" t="s">
        <v>18</v>
      </c>
      <c r="H1411" s="1">
        <v>50</v>
      </c>
      <c r="I1411" s="1" t="s">
        <v>125</v>
      </c>
      <c r="J1411" s="3">
        <v>1.05</v>
      </c>
      <c r="K1411" s="4">
        <v>6000</v>
      </c>
      <c r="L1411" s="5">
        <f t="shared" si="12"/>
        <v>6300</v>
      </c>
      <c r="M1411" s="5">
        <f t="shared" si="13"/>
        <v>1890</v>
      </c>
      <c r="N1411" s="6">
        <v>0.3</v>
      </c>
    </row>
    <row r="1412" spans="1:14" ht="15.75" customHeight="1" x14ac:dyDescent="0.45">
      <c r="A1412" s="1" t="s">
        <v>121</v>
      </c>
      <c r="B1412" s="1">
        <v>1128299</v>
      </c>
      <c r="C1412" s="2">
        <v>44797</v>
      </c>
      <c r="D1412" s="1" t="s">
        <v>22</v>
      </c>
      <c r="E1412" s="1" t="s">
        <v>55</v>
      </c>
      <c r="F1412" s="1" t="s">
        <v>56</v>
      </c>
      <c r="G1412" s="1" t="s">
        <v>13</v>
      </c>
      <c r="H1412" s="1">
        <v>26</v>
      </c>
      <c r="I1412" s="1" t="s">
        <v>124</v>
      </c>
      <c r="J1412" s="3">
        <v>0.9</v>
      </c>
      <c r="K1412" s="4">
        <v>8000</v>
      </c>
      <c r="L1412" s="5">
        <f t="shared" si="12"/>
        <v>7200</v>
      </c>
      <c r="M1412" s="5">
        <f t="shared" si="13"/>
        <v>2520</v>
      </c>
      <c r="N1412" s="6">
        <v>0.35</v>
      </c>
    </row>
    <row r="1413" spans="1:14" ht="15.75" customHeight="1" x14ac:dyDescent="0.45">
      <c r="A1413" s="1" t="s">
        <v>121</v>
      </c>
      <c r="B1413" s="1">
        <v>1128299</v>
      </c>
      <c r="C1413" s="2">
        <v>44797</v>
      </c>
      <c r="D1413" s="1" t="s">
        <v>22</v>
      </c>
      <c r="E1413" s="1" t="s">
        <v>55</v>
      </c>
      <c r="F1413" s="1" t="s">
        <v>56</v>
      </c>
      <c r="G1413" s="1" t="s">
        <v>14</v>
      </c>
      <c r="H1413" s="1">
        <v>46</v>
      </c>
      <c r="I1413" s="1" t="s">
        <v>124</v>
      </c>
      <c r="J1413" s="3">
        <v>0.8</v>
      </c>
      <c r="K1413" s="4">
        <v>7750</v>
      </c>
      <c r="L1413" s="5">
        <f t="shared" si="12"/>
        <v>6200</v>
      </c>
      <c r="M1413" s="5">
        <f t="shared" si="13"/>
        <v>2170</v>
      </c>
      <c r="N1413" s="6">
        <v>0.35</v>
      </c>
    </row>
    <row r="1414" spans="1:14" ht="15.75" customHeight="1" x14ac:dyDescent="0.45">
      <c r="A1414" s="1" t="s">
        <v>121</v>
      </c>
      <c r="B1414" s="1">
        <v>1128299</v>
      </c>
      <c r="C1414" s="2">
        <v>44797</v>
      </c>
      <c r="D1414" s="1" t="s">
        <v>22</v>
      </c>
      <c r="E1414" s="1" t="s">
        <v>55</v>
      </c>
      <c r="F1414" s="1" t="s">
        <v>56</v>
      </c>
      <c r="G1414" s="1" t="s">
        <v>15</v>
      </c>
      <c r="H1414" s="1">
        <v>29</v>
      </c>
      <c r="I1414" s="1" t="s">
        <v>123</v>
      </c>
      <c r="J1414" s="3">
        <v>0.70000000000000007</v>
      </c>
      <c r="K1414" s="4">
        <v>6500</v>
      </c>
      <c r="L1414" s="5">
        <f t="shared" si="12"/>
        <v>4550</v>
      </c>
      <c r="M1414" s="5">
        <f t="shared" si="13"/>
        <v>1592.5</v>
      </c>
      <c r="N1414" s="6">
        <v>0.35</v>
      </c>
    </row>
    <row r="1415" spans="1:14" ht="15.75" customHeight="1" x14ac:dyDescent="0.45">
      <c r="A1415" s="1" t="s">
        <v>121</v>
      </c>
      <c r="B1415" s="1">
        <v>1128299</v>
      </c>
      <c r="C1415" s="2">
        <v>44797</v>
      </c>
      <c r="D1415" s="1" t="s">
        <v>22</v>
      </c>
      <c r="E1415" s="1" t="s">
        <v>55</v>
      </c>
      <c r="F1415" s="1" t="s">
        <v>56</v>
      </c>
      <c r="G1415" s="1" t="s">
        <v>16</v>
      </c>
      <c r="H1415" s="1">
        <v>43</v>
      </c>
      <c r="I1415" s="1" t="s">
        <v>124</v>
      </c>
      <c r="J1415" s="3">
        <v>0.70000000000000007</v>
      </c>
      <c r="K1415" s="4">
        <v>4250</v>
      </c>
      <c r="L1415" s="5">
        <f t="shared" si="12"/>
        <v>2975.0000000000005</v>
      </c>
      <c r="M1415" s="5">
        <f t="shared" si="13"/>
        <v>1041.25</v>
      </c>
      <c r="N1415" s="6">
        <v>0.35</v>
      </c>
    </row>
    <row r="1416" spans="1:14" ht="15.75" customHeight="1" x14ac:dyDescent="0.45">
      <c r="A1416" s="1" t="s">
        <v>121</v>
      </c>
      <c r="B1416" s="1">
        <v>1128299</v>
      </c>
      <c r="C1416" s="2">
        <v>44797</v>
      </c>
      <c r="D1416" s="1" t="s">
        <v>22</v>
      </c>
      <c r="E1416" s="1" t="s">
        <v>55</v>
      </c>
      <c r="F1416" s="1" t="s">
        <v>56</v>
      </c>
      <c r="G1416" s="1" t="s">
        <v>17</v>
      </c>
      <c r="H1416" s="1">
        <v>24</v>
      </c>
      <c r="I1416" s="1" t="s">
        <v>126</v>
      </c>
      <c r="J1416" s="3">
        <v>0.7</v>
      </c>
      <c r="K1416" s="4">
        <v>4250</v>
      </c>
      <c r="L1416" s="5">
        <f t="shared" si="12"/>
        <v>2975</v>
      </c>
      <c r="M1416" s="5">
        <f t="shared" si="13"/>
        <v>1190</v>
      </c>
      <c r="N1416" s="6">
        <v>0.4</v>
      </c>
    </row>
    <row r="1417" spans="1:14" ht="15.75" customHeight="1" x14ac:dyDescent="0.45">
      <c r="A1417" s="1" t="s">
        <v>121</v>
      </c>
      <c r="B1417" s="1">
        <v>1128299</v>
      </c>
      <c r="C1417" s="2">
        <v>44797</v>
      </c>
      <c r="D1417" s="1" t="s">
        <v>22</v>
      </c>
      <c r="E1417" s="1" t="s">
        <v>55</v>
      </c>
      <c r="F1417" s="1" t="s">
        <v>56</v>
      </c>
      <c r="G1417" s="1" t="s">
        <v>18</v>
      </c>
      <c r="H1417" s="1">
        <v>34</v>
      </c>
      <c r="I1417" s="1" t="s">
        <v>123</v>
      </c>
      <c r="J1417" s="3">
        <v>0.75</v>
      </c>
      <c r="K1417" s="4">
        <v>2500</v>
      </c>
      <c r="L1417" s="5">
        <f t="shared" si="12"/>
        <v>1875</v>
      </c>
      <c r="M1417" s="5">
        <f t="shared" si="13"/>
        <v>562.5</v>
      </c>
      <c r="N1417" s="6">
        <v>0.3</v>
      </c>
    </row>
    <row r="1418" spans="1:14" ht="15.75" customHeight="1" x14ac:dyDescent="0.45">
      <c r="A1418" s="1" t="s">
        <v>121</v>
      </c>
      <c r="B1418" s="1">
        <v>1128299</v>
      </c>
      <c r="C1418" s="2">
        <v>44829</v>
      </c>
      <c r="D1418" s="1" t="s">
        <v>22</v>
      </c>
      <c r="E1418" s="1" t="s">
        <v>55</v>
      </c>
      <c r="F1418" s="1" t="s">
        <v>56</v>
      </c>
      <c r="G1418" s="1" t="s">
        <v>13</v>
      </c>
      <c r="H1418" s="1">
        <v>38</v>
      </c>
      <c r="I1418" s="1" t="s">
        <v>123</v>
      </c>
      <c r="J1418" s="3">
        <v>0.50000000000000011</v>
      </c>
      <c r="K1418" s="4">
        <v>4500</v>
      </c>
      <c r="L1418" s="5">
        <f t="shared" si="12"/>
        <v>2250.0000000000005</v>
      </c>
      <c r="M1418" s="5">
        <f t="shared" si="13"/>
        <v>787.50000000000011</v>
      </c>
      <c r="N1418" s="6">
        <v>0.35</v>
      </c>
    </row>
    <row r="1419" spans="1:14" ht="15.75" customHeight="1" x14ac:dyDescent="0.45">
      <c r="A1419" s="1" t="s">
        <v>121</v>
      </c>
      <c r="B1419" s="1">
        <v>1128299</v>
      </c>
      <c r="C1419" s="2">
        <v>44829</v>
      </c>
      <c r="D1419" s="1" t="s">
        <v>22</v>
      </c>
      <c r="E1419" s="1" t="s">
        <v>55</v>
      </c>
      <c r="F1419" s="1" t="s">
        <v>56</v>
      </c>
      <c r="G1419" s="1" t="s">
        <v>14</v>
      </c>
      <c r="H1419" s="1">
        <v>60</v>
      </c>
      <c r="I1419" s="1" t="s">
        <v>124</v>
      </c>
      <c r="J1419" s="3">
        <v>0.55000000000000016</v>
      </c>
      <c r="K1419" s="4">
        <v>4500</v>
      </c>
      <c r="L1419" s="5">
        <f t="shared" si="12"/>
        <v>2475.0000000000009</v>
      </c>
      <c r="M1419" s="5">
        <f t="shared" si="13"/>
        <v>866.25000000000023</v>
      </c>
      <c r="N1419" s="6">
        <v>0.35</v>
      </c>
    </row>
    <row r="1420" spans="1:14" ht="15.75" customHeight="1" x14ac:dyDescent="0.45">
      <c r="A1420" s="1" t="s">
        <v>121</v>
      </c>
      <c r="B1420" s="1">
        <v>1128299</v>
      </c>
      <c r="C1420" s="2">
        <v>44829</v>
      </c>
      <c r="D1420" s="1" t="s">
        <v>22</v>
      </c>
      <c r="E1420" s="1" t="s">
        <v>55</v>
      </c>
      <c r="F1420" s="1" t="s">
        <v>56</v>
      </c>
      <c r="G1420" s="1" t="s">
        <v>15</v>
      </c>
      <c r="H1420" s="1">
        <v>42</v>
      </c>
      <c r="I1420" s="1" t="s">
        <v>124</v>
      </c>
      <c r="J1420" s="3">
        <v>0.50000000000000011</v>
      </c>
      <c r="K1420" s="4">
        <v>2500</v>
      </c>
      <c r="L1420" s="5">
        <f t="shared" si="12"/>
        <v>1250.0000000000002</v>
      </c>
      <c r="M1420" s="5">
        <f t="shared" si="13"/>
        <v>437.50000000000006</v>
      </c>
      <c r="N1420" s="6">
        <v>0.35</v>
      </c>
    </row>
    <row r="1421" spans="1:14" ht="15.75" customHeight="1" x14ac:dyDescent="0.45">
      <c r="A1421" s="1" t="s">
        <v>121</v>
      </c>
      <c r="B1421" s="1">
        <v>1128299</v>
      </c>
      <c r="C1421" s="2">
        <v>44829</v>
      </c>
      <c r="D1421" s="1" t="s">
        <v>22</v>
      </c>
      <c r="E1421" s="1" t="s">
        <v>55</v>
      </c>
      <c r="F1421" s="1" t="s">
        <v>56</v>
      </c>
      <c r="G1421" s="1" t="s">
        <v>16</v>
      </c>
      <c r="H1421" s="1">
        <v>39</v>
      </c>
      <c r="I1421" s="1" t="s">
        <v>124</v>
      </c>
      <c r="J1421" s="3">
        <v>0.50000000000000011</v>
      </c>
      <c r="K1421" s="4">
        <v>2000</v>
      </c>
      <c r="L1421" s="5">
        <f t="shared" si="12"/>
        <v>1000.0000000000002</v>
      </c>
      <c r="M1421" s="5">
        <f t="shared" si="13"/>
        <v>350.00000000000006</v>
      </c>
      <c r="N1421" s="6">
        <v>0.35</v>
      </c>
    </row>
    <row r="1422" spans="1:14" ht="15.75" customHeight="1" x14ac:dyDescent="0.45">
      <c r="A1422" s="1" t="s">
        <v>121</v>
      </c>
      <c r="B1422" s="1">
        <v>1128299</v>
      </c>
      <c r="C1422" s="2">
        <v>44829</v>
      </c>
      <c r="D1422" s="1" t="s">
        <v>22</v>
      </c>
      <c r="E1422" s="1" t="s">
        <v>55</v>
      </c>
      <c r="F1422" s="1" t="s">
        <v>56</v>
      </c>
      <c r="G1422" s="1" t="s">
        <v>17</v>
      </c>
      <c r="H1422" s="1">
        <v>49</v>
      </c>
      <c r="I1422" s="1" t="s">
        <v>125</v>
      </c>
      <c r="J1422" s="3">
        <v>0.60000000000000009</v>
      </c>
      <c r="K1422" s="4">
        <v>2250</v>
      </c>
      <c r="L1422" s="5">
        <f t="shared" si="12"/>
        <v>1350.0000000000002</v>
      </c>
      <c r="M1422" s="5">
        <f t="shared" si="13"/>
        <v>540.00000000000011</v>
      </c>
      <c r="N1422" s="6">
        <v>0.4</v>
      </c>
    </row>
    <row r="1423" spans="1:14" ht="15.75" customHeight="1" x14ac:dyDescent="0.45">
      <c r="A1423" s="1" t="s">
        <v>121</v>
      </c>
      <c r="B1423" s="1">
        <v>1128299</v>
      </c>
      <c r="C1423" s="2">
        <v>44829</v>
      </c>
      <c r="D1423" s="1" t="s">
        <v>22</v>
      </c>
      <c r="E1423" s="1" t="s">
        <v>55</v>
      </c>
      <c r="F1423" s="1" t="s">
        <v>56</v>
      </c>
      <c r="G1423" s="1" t="s">
        <v>18</v>
      </c>
      <c r="H1423" s="1">
        <v>54</v>
      </c>
      <c r="I1423" s="1" t="s">
        <v>126</v>
      </c>
      <c r="J1423" s="3">
        <v>0.44999999999999996</v>
      </c>
      <c r="K1423" s="4">
        <v>2500</v>
      </c>
      <c r="L1423" s="5">
        <f t="shared" si="12"/>
        <v>1125</v>
      </c>
      <c r="M1423" s="5">
        <f t="shared" si="13"/>
        <v>337.5</v>
      </c>
      <c r="N1423" s="6">
        <v>0.3</v>
      </c>
    </row>
    <row r="1424" spans="1:14" ht="15.75" customHeight="1" x14ac:dyDescent="0.45">
      <c r="A1424" s="1" t="s">
        <v>121</v>
      </c>
      <c r="B1424" s="1">
        <v>1128299</v>
      </c>
      <c r="C1424" s="2">
        <v>44858</v>
      </c>
      <c r="D1424" s="1" t="s">
        <v>22</v>
      </c>
      <c r="E1424" s="1" t="s">
        <v>55</v>
      </c>
      <c r="F1424" s="1" t="s">
        <v>56</v>
      </c>
      <c r="G1424" s="1" t="s">
        <v>13</v>
      </c>
      <c r="H1424" s="1">
        <v>58</v>
      </c>
      <c r="I1424" s="1" t="s">
        <v>123</v>
      </c>
      <c r="J1424" s="3">
        <v>0.4</v>
      </c>
      <c r="K1424" s="4">
        <v>3500</v>
      </c>
      <c r="L1424" s="5">
        <f t="shared" si="12"/>
        <v>1400</v>
      </c>
      <c r="M1424" s="5">
        <f t="shared" si="13"/>
        <v>489.99999999999994</v>
      </c>
      <c r="N1424" s="6">
        <v>0.35</v>
      </c>
    </row>
    <row r="1425" spans="1:14" ht="15.75" customHeight="1" x14ac:dyDescent="0.45">
      <c r="A1425" s="1" t="s">
        <v>121</v>
      </c>
      <c r="B1425" s="1">
        <v>1128299</v>
      </c>
      <c r="C1425" s="2">
        <v>44858</v>
      </c>
      <c r="D1425" s="1" t="s">
        <v>22</v>
      </c>
      <c r="E1425" s="1" t="s">
        <v>55</v>
      </c>
      <c r="F1425" s="1" t="s">
        <v>56</v>
      </c>
      <c r="G1425" s="1" t="s">
        <v>14</v>
      </c>
      <c r="H1425" s="1">
        <v>33</v>
      </c>
      <c r="I1425" s="1" t="s">
        <v>125</v>
      </c>
      <c r="J1425" s="3">
        <v>0.55000000000000016</v>
      </c>
      <c r="K1425" s="4">
        <v>5250</v>
      </c>
      <c r="L1425" s="5">
        <f t="shared" si="12"/>
        <v>2887.5000000000009</v>
      </c>
      <c r="M1425" s="5">
        <f t="shared" si="13"/>
        <v>1010.6250000000002</v>
      </c>
      <c r="N1425" s="6">
        <v>0.35</v>
      </c>
    </row>
    <row r="1426" spans="1:14" ht="15.75" customHeight="1" x14ac:dyDescent="0.45">
      <c r="A1426" s="1" t="s">
        <v>121</v>
      </c>
      <c r="B1426" s="1">
        <v>1128299</v>
      </c>
      <c r="C1426" s="2">
        <v>44858</v>
      </c>
      <c r="D1426" s="1" t="s">
        <v>22</v>
      </c>
      <c r="E1426" s="1" t="s">
        <v>55</v>
      </c>
      <c r="F1426" s="1" t="s">
        <v>56</v>
      </c>
      <c r="G1426" s="1" t="s">
        <v>15</v>
      </c>
      <c r="H1426" s="1">
        <v>36</v>
      </c>
      <c r="I1426" s="1" t="s">
        <v>124</v>
      </c>
      <c r="J1426" s="3">
        <v>0.50000000000000011</v>
      </c>
      <c r="K1426" s="4">
        <v>3500</v>
      </c>
      <c r="L1426" s="5">
        <f t="shared" si="12"/>
        <v>1750.0000000000005</v>
      </c>
      <c r="M1426" s="5">
        <f t="shared" si="13"/>
        <v>612.50000000000011</v>
      </c>
      <c r="N1426" s="6">
        <v>0.35</v>
      </c>
    </row>
    <row r="1427" spans="1:14" ht="15.75" customHeight="1" x14ac:dyDescent="0.45">
      <c r="A1427" s="1" t="s">
        <v>121</v>
      </c>
      <c r="B1427" s="1">
        <v>1128299</v>
      </c>
      <c r="C1427" s="2">
        <v>44858</v>
      </c>
      <c r="D1427" s="1" t="s">
        <v>22</v>
      </c>
      <c r="E1427" s="1" t="s">
        <v>55</v>
      </c>
      <c r="F1427" s="1" t="s">
        <v>56</v>
      </c>
      <c r="G1427" s="1" t="s">
        <v>16</v>
      </c>
      <c r="H1427" s="1">
        <v>44</v>
      </c>
      <c r="I1427" s="1" t="s">
        <v>126</v>
      </c>
      <c r="J1427" s="3">
        <v>0.45000000000000007</v>
      </c>
      <c r="K1427" s="4">
        <v>3250</v>
      </c>
      <c r="L1427" s="5">
        <f t="shared" si="12"/>
        <v>1462.5000000000002</v>
      </c>
      <c r="M1427" s="5">
        <f t="shared" si="13"/>
        <v>511.87500000000006</v>
      </c>
      <c r="N1427" s="6">
        <v>0.35</v>
      </c>
    </row>
    <row r="1428" spans="1:14" ht="15.75" customHeight="1" x14ac:dyDescent="0.45">
      <c r="A1428" s="1" t="s">
        <v>121</v>
      </c>
      <c r="B1428" s="1">
        <v>1128299</v>
      </c>
      <c r="C1428" s="2">
        <v>44858</v>
      </c>
      <c r="D1428" s="1" t="s">
        <v>22</v>
      </c>
      <c r="E1428" s="1" t="s">
        <v>55</v>
      </c>
      <c r="F1428" s="1" t="s">
        <v>56</v>
      </c>
      <c r="G1428" s="1" t="s">
        <v>17</v>
      </c>
      <c r="H1428" s="1">
        <v>18</v>
      </c>
      <c r="I1428" s="1" t="s">
        <v>124</v>
      </c>
      <c r="J1428" s="3">
        <v>0.55000000000000004</v>
      </c>
      <c r="K1428" s="4">
        <v>3000</v>
      </c>
      <c r="L1428" s="5">
        <f t="shared" si="12"/>
        <v>1650.0000000000002</v>
      </c>
      <c r="M1428" s="5">
        <f t="shared" si="13"/>
        <v>660.00000000000011</v>
      </c>
      <c r="N1428" s="6">
        <v>0.4</v>
      </c>
    </row>
    <row r="1429" spans="1:14" ht="15.75" customHeight="1" x14ac:dyDescent="0.45">
      <c r="A1429" s="1" t="s">
        <v>121</v>
      </c>
      <c r="B1429" s="1">
        <v>1128299</v>
      </c>
      <c r="C1429" s="2">
        <v>44858</v>
      </c>
      <c r="D1429" s="1" t="s">
        <v>22</v>
      </c>
      <c r="E1429" s="1" t="s">
        <v>55</v>
      </c>
      <c r="F1429" s="1" t="s">
        <v>56</v>
      </c>
      <c r="G1429" s="1" t="s">
        <v>18</v>
      </c>
      <c r="H1429" s="1">
        <v>59</v>
      </c>
      <c r="I1429" s="1" t="s">
        <v>123</v>
      </c>
      <c r="J1429" s="3">
        <v>0.60000000000000009</v>
      </c>
      <c r="K1429" s="4">
        <v>3500</v>
      </c>
      <c r="L1429" s="5">
        <f t="shared" si="12"/>
        <v>2100.0000000000005</v>
      </c>
      <c r="M1429" s="5">
        <f t="shared" si="13"/>
        <v>630.00000000000011</v>
      </c>
      <c r="N1429" s="6">
        <v>0.3</v>
      </c>
    </row>
    <row r="1430" spans="1:14" ht="15.75" customHeight="1" x14ac:dyDescent="0.45">
      <c r="A1430" s="1" t="s">
        <v>121</v>
      </c>
      <c r="B1430" s="1">
        <v>1128299</v>
      </c>
      <c r="C1430" s="2">
        <v>44889</v>
      </c>
      <c r="D1430" s="1" t="s">
        <v>22</v>
      </c>
      <c r="E1430" s="1" t="s">
        <v>55</v>
      </c>
      <c r="F1430" s="1" t="s">
        <v>56</v>
      </c>
      <c r="G1430" s="1" t="s">
        <v>13</v>
      </c>
      <c r="H1430" s="1">
        <v>17</v>
      </c>
      <c r="I1430" s="1" t="s">
        <v>124</v>
      </c>
      <c r="J1430" s="3">
        <v>0.45000000000000007</v>
      </c>
      <c r="K1430" s="4">
        <v>5750</v>
      </c>
      <c r="L1430" s="5">
        <f t="shared" si="12"/>
        <v>2587.5000000000005</v>
      </c>
      <c r="M1430" s="5">
        <f t="shared" si="13"/>
        <v>905.62500000000011</v>
      </c>
      <c r="N1430" s="6">
        <v>0.35</v>
      </c>
    </row>
    <row r="1431" spans="1:14" ht="15.75" customHeight="1" x14ac:dyDescent="0.45">
      <c r="A1431" s="1" t="s">
        <v>121</v>
      </c>
      <c r="B1431" s="1">
        <v>1128299</v>
      </c>
      <c r="C1431" s="2">
        <v>44889</v>
      </c>
      <c r="D1431" s="1" t="s">
        <v>22</v>
      </c>
      <c r="E1431" s="1" t="s">
        <v>55</v>
      </c>
      <c r="F1431" s="1" t="s">
        <v>56</v>
      </c>
      <c r="G1431" s="1" t="s">
        <v>14</v>
      </c>
      <c r="H1431" s="1">
        <v>34</v>
      </c>
      <c r="I1431" s="1" t="s">
        <v>123</v>
      </c>
      <c r="J1431" s="3">
        <v>0.50000000000000011</v>
      </c>
      <c r="K1431" s="4">
        <v>6500</v>
      </c>
      <c r="L1431" s="5">
        <f t="shared" si="12"/>
        <v>3250.0000000000009</v>
      </c>
      <c r="M1431" s="5">
        <f t="shared" si="13"/>
        <v>1137.5000000000002</v>
      </c>
      <c r="N1431" s="6">
        <v>0.35</v>
      </c>
    </row>
    <row r="1432" spans="1:14" ht="15.75" customHeight="1" x14ac:dyDescent="0.45">
      <c r="A1432" s="1" t="s">
        <v>121</v>
      </c>
      <c r="B1432" s="1">
        <v>1128299</v>
      </c>
      <c r="C1432" s="2">
        <v>44889</v>
      </c>
      <c r="D1432" s="1" t="s">
        <v>22</v>
      </c>
      <c r="E1432" s="1" t="s">
        <v>55</v>
      </c>
      <c r="F1432" s="1" t="s">
        <v>56</v>
      </c>
      <c r="G1432" s="1" t="s">
        <v>15</v>
      </c>
      <c r="H1432" s="1">
        <v>51</v>
      </c>
      <c r="I1432" s="1" t="s">
        <v>124</v>
      </c>
      <c r="J1432" s="3">
        <v>0.45000000000000007</v>
      </c>
      <c r="K1432" s="4">
        <v>4750</v>
      </c>
      <c r="L1432" s="5">
        <f t="shared" si="12"/>
        <v>2137.5000000000005</v>
      </c>
      <c r="M1432" s="5">
        <f t="shared" si="13"/>
        <v>748.12500000000011</v>
      </c>
      <c r="N1432" s="6">
        <v>0.35</v>
      </c>
    </row>
    <row r="1433" spans="1:14" ht="15.75" customHeight="1" x14ac:dyDescent="0.45">
      <c r="A1433" s="1" t="s">
        <v>121</v>
      </c>
      <c r="B1433" s="1">
        <v>1128299</v>
      </c>
      <c r="C1433" s="2">
        <v>44889</v>
      </c>
      <c r="D1433" s="1" t="s">
        <v>22</v>
      </c>
      <c r="E1433" s="1" t="s">
        <v>55</v>
      </c>
      <c r="F1433" s="1" t="s">
        <v>56</v>
      </c>
      <c r="G1433" s="1" t="s">
        <v>16</v>
      </c>
      <c r="H1433" s="1">
        <v>56</v>
      </c>
      <c r="I1433" s="1" t="s">
        <v>123</v>
      </c>
      <c r="J1433" s="3">
        <v>0.55000000000000016</v>
      </c>
      <c r="K1433" s="4">
        <v>4500</v>
      </c>
      <c r="L1433" s="5">
        <f t="shared" si="12"/>
        <v>2475.0000000000009</v>
      </c>
      <c r="M1433" s="5">
        <f t="shared" si="13"/>
        <v>866.25000000000023</v>
      </c>
      <c r="N1433" s="6">
        <v>0.35</v>
      </c>
    </row>
    <row r="1434" spans="1:14" ht="15.75" customHeight="1" x14ac:dyDescent="0.45">
      <c r="A1434" s="1" t="s">
        <v>121</v>
      </c>
      <c r="B1434" s="1">
        <v>1128299</v>
      </c>
      <c r="C1434" s="2">
        <v>44889</v>
      </c>
      <c r="D1434" s="1" t="s">
        <v>22</v>
      </c>
      <c r="E1434" s="1" t="s">
        <v>55</v>
      </c>
      <c r="F1434" s="1" t="s">
        <v>56</v>
      </c>
      <c r="G1434" s="1" t="s">
        <v>17</v>
      </c>
      <c r="H1434" s="1">
        <v>25</v>
      </c>
      <c r="I1434" s="1" t="s">
        <v>126</v>
      </c>
      <c r="J1434" s="3">
        <v>0.75000000000000011</v>
      </c>
      <c r="K1434" s="4">
        <v>4250</v>
      </c>
      <c r="L1434" s="5">
        <f t="shared" si="12"/>
        <v>3187.5000000000005</v>
      </c>
      <c r="M1434" s="5">
        <f t="shared" si="13"/>
        <v>1275.0000000000002</v>
      </c>
      <c r="N1434" s="6">
        <v>0.4</v>
      </c>
    </row>
    <row r="1435" spans="1:14" ht="15.75" customHeight="1" x14ac:dyDescent="0.45">
      <c r="A1435" s="1" t="s">
        <v>121</v>
      </c>
      <c r="B1435" s="1">
        <v>1128299</v>
      </c>
      <c r="C1435" s="2">
        <v>44889</v>
      </c>
      <c r="D1435" s="1" t="s">
        <v>22</v>
      </c>
      <c r="E1435" s="1" t="s">
        <v>55</v>
      </c>
      <c r="F1435" s="1" t="s">
        <v>56</v>
      </c>
      <c r="G1435" s="1" t="s">
        <v>18</v>
      </c>
      <c r="H1435" s="1">
        <v>59</v>
      </c>
      <c r="I1435" s="1" t="s">
        <v>123</v>
      </c>
      <c r="J1435" s="3">
        <v>0.80000000000000016</v>
      </c>
      <c r="K1435" s="4">
        <v>5500</v>
      </c>
      <c r="L1435" s="5">
        <f t="shared" si="12"/>
        <v>4400.0000000000009</v>
      </c>
      <c r="M1435" s="5">
        <f t="shared" si="13"/>
        <v>1320.0000000000002</v>
      </c>
      <c r="N1435" s="6">
        <v>0.3</v>
      </c>
    </row>
    <row r="1436" spans="1:14" ht="15.75" customHeight="1" x14ac:dyDescent="0.45">
      <c r="A1436" s="1" t="s">
        <v>121</v>
      </c>
      <c r="B1436" s="1">
        <v>1128299</v>
      </c>
      <c r="C1436" s="2">
        <v>44918</v>
      </c>
      <c r="D1436" s="1" t="s">
        <v>22</v>
      </c>
      <c r="E1436" s="1" t="s">
        <v>55</v>
      </c>
      <c r="F1436" s="1" t="s">
        <v>56</v>
      </c>
      <c r="G1436" s="1" t="s">
        <v>13</v>
      </c>
      <c r="H1436" s="1">
        <v>57</v>
      </c>
      <c r="I1436" s="1" t="s">
        <v>125</v>
      </c>
      <c r="J1436" s="3">
        <v>0.65000000000000013</v>
      </c>
      <c r="K1436" s="4">
        <v>7500</v>
      </c>
      <c r="L1436" s="5">
        <f t="shared" si="12"/>
        <v>4875.0000000000009</v>
      </c>
      <c r="M1436" s="5">
        <f t="shared" si="13"/>
        <v>1706.2500000000002</v>
      </c>
      <c r="N1436" s="6">
        <v>0.35</v>
      </c>
    </row>
    <row r="1437" spans="1:14" ht="15.75" customHeight="1" x14ac:dyDescent="0.45">
      <c r="A1437" s="1" t="s">
        <v>121</v>
      </c>
      <c r="B1437" s="1">
        <v>1128299</v>
      </c>
      <c r="C1437" s="2">
        <v>44918</v>
      </c>
      <c r="D1437" s="1" t="s">
        <v>22</v>
      </c>
      <c r="E1437" s="1" t="s">
        <v>55</v>
      </c>
      <c r="F1437" s="1" t="s">
        <v>56</v>
      </c>
      <c r="G1437" s="1" t="s">
        <v>14</v>
      </c>
      <c r="H1437" s="1">
        <v>59</v>
      </c>
      <c r="I1437" s="1" t="s">
        <v>124</v>
      </c>
      <c r="J1437" s="3">
        <v>0.75000000000000022</v>
      </c>
      <c r="K1437" s="4">
        <v>7500</v>
      </c>
      <c r="L1437" s="5">
        <f t="shared" si="12"/>
        <v>5625.0000000000018</v>
      </c>
      <c r="M1437" s="5">
        <f t="shared" si="13"/>
        <v>1968.7500000000005</v>
      </c>
      <c r="N1437" s="6">
        <v>0.35</v>
      </c>
    </row>
    <row r="1438" spans="1:14" ht="15.75" customHeight="1" x14ac:dyDescent="0.45">
      <c r="A1438" s="1" t="s">
        <v>121</v>
      </c>
      <c r="B1438" s="1">
        <v>1128299</v>
      </c>
      <c r="C1438" s="2">
        <v>44918</v>
      </c>
      <c r="D1438" s="1" t="s">
        <v>22</v>
      </c>
      <c r="E1438" s="1" t="s">
        <v>55</v>
      </c>
      <c r="F1438" s="1" t="s">
        <v>56</v>
      </c>
      <c r="G1438" s="1" t="s">
        <v>15</v>
      </c>
      <c r="H1438" s="1">
        <v>48</v>
      </c>
      <c r="I1438" s="1" t="s">
        <v>123</v>
      </c>
      <c r="J1438" s="3">
        <v>0.70000000000000018</v>
      </c>
      <c r="K1438" s="4">
        <v>5500</v>
      </c>
      <c r="L1438" s="5">
        <f t="shared" si="12"/>
        <v>3850.0000000000009</v>
      </c>
      <c r="M1438" s="5">
        <f t="shared" si="13"/>
        <v>1347.5000000000002</v>
      </c>
      <c r="N1438" s="6">
        <v>0.35</v>
      </c>
    </row>
    <row r="1439" spans="1:14" ht="15.75" customHeight="1" x14ac:dyDescent="0.45">
      <c r="A1439" s="1" t="s">
        <v>121</v>
      </c>
      <c r="B1439" s="1">
        <v>1128299</v>
      </c>
      <c r="C1439" s="2">
        <v>44918</v>
      </c>
      <c r="D1439" s="1" t="s">
        <v>22</v>
      </c>
      <c r="E1439" s="1" t="s">
        <v>55</v>
      </c>
      <c r="F1439" s="1" t="s">
        <v>56</v>
      </c>
      <c r="G1439" s="1" t="s">
        <v>16</v>
      </c>
      <c r="H1439" s="1">
        <v>46</v>
      </c>
      <c r="I1439" s="1" t="s">
        <v>124</v>
      </c>
      <c r="J1439" s="3">
        <v>0.70000000000000018</v>
      </c>
      <c r="K1439" s="4">
        <v>5500</v>
      </c>
      <c r="L1439" s="5">
        <f t="shared" si="12"/>
        <v>3850.0000000000009</v>
      </c>
      <c r="M1439" s="5">
        <f t="shared" si="13"/>
        <v>1347.5000000000002</v>
      </c>
      <c r="N1439" s="6">
        <v>0.35</v>
      </c>
    </row>
    <row r="1440" spans="1:14" ht="15.75" customHeight="1" x14ac:dyDescent="0.45">
      <c r="A1440" s="1" t="s">
        <v>121</v>
      </c>
      <c r="B1440" s="1">
        <v>1128299</v>
      </c>
      <c r="C1440" s="2">
        <v>44918</v>
      </c>
      <c r="D1440" s="1" t="s">
        <v>22</v>
      </c>
      <c r="E1440" s="1" t="s">
        <v>55</v>
      </c>
      <c r="F1440" s="1" t="s">
        <v>56</v>
      </c>
      <c r="G1440" s="1" t="s">
        <v>17</v>
      </c>
      <c r="H1440" s="1">
        <v>52</v>
      </c>
      <c r="I1440" s="1" t="s">
        <v>125</v>
      </c>
      <c r="J1440" s="3">
        <v>0.80000000000000016</v>
      </c>
      <c r="K1440" s="4">
        <v>4750</v>
      </c>
      <c r="L1440" s="5">
        <f t="shared" si="12"/>
        <v>3800.0000000000009</v>
      </c>
      <c r="M1440" s="5">
        <f t="shared" si="13"/>
        <v>1520.0000000000005</v>
      </c>
      <c r="N1440" s="6">
        <v>0.4</v>
      </c>
    </row>
    <row r="1441" spans="1:14" ht="15.75" customHeight="1" x14ac:dyDescent="0.45">
      <c r="A1441" s="1" t="s">
        <v>121</v>
      </c>
      <c r="B1441" s="1">
        <v>1128299</v>
      </c>
      <c r="C1441" s="2">
        <v>44918</v>
      </c>
      <c r="D1441" s="1" t="s">
        <v>22</v>
      </c>
      <c r="E1441" s="1" t="s">
        <v>55</v>
      </c>
      <c r="F1441" s="1" t="s">
        <v>56</v>
      </c>
      <c r="G1441" s="1" t="s">
        <v>18</v>
      </c>
      <c r="H1441" s="1">
        <v>27</v>
      </c>
      <c r="I1441" s="1" t="s">
        <v>124</v>
      </c>
      <c r="J1441" s="3">
        <v>0.8500000000000002</v>
      </c>
      <c r="K1441" s="4">
        <v>5750</v>
      </c>
      <c r="L1441" s="5">
        <f t="shared" si="12"/>
        <v>4887.5000000000009</v>
      </c>
      <c r="M1441" s="5">
        <f t="shared" si="13"/>
        <v>1466.2500000000002</v>
      </c>
      <c r="N1441" s="6">
        <v>0.3</v>
      </c>
    </row>
    <row r="1442" spans="1:14" ht="15.75" customHeight="1" x14ac:dyDescent="0.45">
      <c r="A1442" s="1" t="s">
        <v>119</v>
      </c>
      <c r="B1442" s="1">
        <v>1185732</v>
      </c>
      <c r="C1442" s="2">
        <v>44580</v>
      </c>
      <c r="D1442" s="1" t="s">
        <v>38</v>
      </c>
      <c r="E1442" s="1" t="s">
        <v>57</v>
      </c>
      <c r="F1442" s="1" t="s">
        <v>58</v>
      </c>
      <c r="G1442" s="1" t="s">
        <v>13</v>
      </c>
      <c r="H1442" s="1">
        <v>39</v>
      </c>
      <c r="I1442" s="1" t="s">
        <v>123</v>
      </c>
      <c r="J1442" s="3">
        <v>0.35</v>
      </c>
      <c r="K1442" s="4">
        <v>7500</v>
      </c>
      <c r="L1442" s="5">
        <f t="shared" si="12"/>
        <v>2625</v>
      </c>
      <c r="M1442" s="5">
        <f t="shared" si="13"/>
        <v>1312.5</v>
      </c>
      <c r="N1442" s="6">
        <v>0.5</v>
      </c>
    </row>
    <row r="1443" spans="1:14" ht="15.75" customHeight="1" x14ac:dyDescent="0.45">
      <c r="A1443" s="1" t="s">
        <v>119</v>
      </c>
      <c r="B1443" s="1">
        <v>1185732</v>
      </c>
      <c r="C1443" s="2">
        <v>44580</v>
      </c>
      <c r="D1443" s="1" t="s">
        <v>38</v>
      </c>
      <c r="E1443" s="1" t="s">
        <v>57</v>
      </c>
      <c r="F1443" s="1" t="s">
        <v>58</v>
      </c>
      <c r="G1443" s="1" t="s">
        <v>14</v>
      </c>
      <c r="H1443" s="1">
        <v>50</v>
      </c>
      <c r="I1443" s="1" t="s">
        <v>123</v>
      </c>
      <c r="J1443" s="3">
        <v>0.35</v>
      </c>
      <c r="K1443" s="4">
        <v>5500</v>
      </c>
      <c r="L1443" s="5">
        <f t="shared" si="12"/>
        <v>1924.9999999999998</v>
      </c>
      <c r="M1443" s="5">
        <f t="shared" si="13"/>
        <v>769.99999999999989</v>
      </c>
      <c r="N1443" s="6">
        <v>0.39999999999999997</v>
      </c>
    </row>
    <row r="1444" spans="1:14" ht="15.75" customHeight="1" x14ac:dyDescent="0.45">
      <c r="A1444" s="1" t="s">
        <v>119</v>
      </c>
      <c r="B1444" s="1">
        <v>1185732</v>
      </c>
      <c r="C1444" s="2">
        <v>44580</v>
      </c>
      <c r="D1444" s="1" t="s">
        <v>38</v>
      </c>
      <c r="E1444" s="1" t="s">
        <v>57</v>
      </c>
      <c r="F1444" s="1" t="s">
        <v>58</v>
      </c>
      <c r="G1444" s="1" t="s">
        <v>15</v>
      </c>
      <c r="H1444" s="1">
        <v>18</v>
      </c>
      <c r="I1444" s="1" t="s">
        <v>123</v>
      </c>
      <c r="J1444" s="3">
        <v>0.25</v>
      </c>
      <c r="K1444" s="4">
        <v>5500</v>
      </c>
      <c r="L1444" s="5">
        <f t="shared" si="12"/>
        <v>1375</v>
      </c>
      <c r="M1444" s="5">
        <f t="shared" si="13"/>
        <v>412.5</v>
      </c>
      <c r="N1444" s="6">
        <v>0.3</v>
      </c>
    </row>
    <row r="1445" spans="1:14" ht="15.75" customHeight="1" x14ac:dyDescent="0.45">
      <c r="A1445" s="1" t="s">
        <v>119</v>
      </c>
      <c r="B1445" s="1">
        <v>1185732</v>
      </c>
      <c r="C1445" s="2">
        <v>44580</v>
      </c>
      <c r="D1445" s="1" t="s">
        <v>38</v>
      </c>
      <c r="E1445" s="1" t="s">
        <v>57</v>
      </c>
      <c r="F1445" s="1" t="s">
        <v>58</v>
      </c>
      <c r="G1445" s="1" t="s">
        <v>16</v>
      </c>
      <c r="H1445" s="1">
        <v>52</v>
      </c>
      <c r="I1445" s="1" t="s">
        <v>123</v>
      </c>
      <c r="J1445" s="3">
        <v>0.29999999999999993</v>
      </c>
      <c r="K1445" s="4">
        <v>4000</v>
      </c>
      <c r="L1445" s="5">
        <f t="shared" si="12"/>
        <v>1199.9999999999998</v>
      </c>
      <c r="M1445" s="5">
        <f t="shared" si="13"/>
        <v>419.99999999999989</v>
      </c>
      <c r="N1445" s="6">
        <v>0.35</v>
      </c>
    </row>
    <row r="1446" spans="1:14" ht="15.75" customHeight="1" x14ac:dyDescent="0.45">
      <c r="A1446" s="1" t="s">
        <v>119</v>
      </c>
      <c r="B1446" s="1">
        <v>1185732</v>
      </c>
      <c r="C1446" s="2">
        <v>44580</v>
      </c>
      <c r="D1446" s="1" t="s">
        <v>38</v>
      </c>
      <c r="E1446" s="1" t="s">
        <v>57</v>
      </c>
      <c r="F1446" s="1" t="s">
        <v>58</v>
      </c>
      <c r="G1446" s="1" t="s">
        <v>17</v>
      </c>
      <c r="H1446" s="1">
        <v>27</v>
      </c>
      <c r="I1446" s="1" t="s">
        <v>126</v>
      </c>
      <c r="J1446" s="3">
        <v>0.45000000000000007</v>
      </c>
      <c r="K1446" s="4">
        <v>4500</v>
      </c>
      <c r="L1446" s="5">
        <f t="shared" si="12"/>
        <v>2025.0000000000002</v>
      </c>
      <c r="M1446" s="5">
        <f t="shared" si="13"/>
        <v>810</v>
      </c>
      <c r="N1446" s="6">
        <v>0.39999999999999997</v>
      </c>
    </row>
    <row r="1447" spans="1:14" ht="15.75" customHeight="1" x14ac:dyDescent="0.45">
      <c r="A1447" s="1" t="s">
        <v>119</v>
      </c>
      <c r="B1447" s="1">
        <v>1185732</v>
      </c>
      <c r="C1447" s="2">
        <v>44580</v>
      </c>
      <c r="D1447" s="1" t="s">
        <v>38</v>
      </c>
      <c r="E1447" s="1" t="s">
        <v>57</v>
      </c>
      <c r="F1447" s="1" t="s">
        <v>58</v>
      </c>
      <c r="G1447" s="1" t="s">
        <v>18</v>
      </c>
      <c r="H1447" s="1">
        <v>15</v>
      </c>
      <c r="I1447" s="1" t="s">
        <v>124</v>
      </c>
      <c r="J1447" s="3">
        <v>0.35</v>
      </c>
      <c r="K1447" s="4">
        <v>5500</v>
      </c>
      <c r="L1447" s="5">
        <f t="shared" si="12"/>
        <v>1924.9999999999998</v>
      </c>
      <c r="M1447" s="5">
        <f t="shared" si="13"/>
        <v>1058.75</v>
      </c>
      <c r="N1447" s="6">
        <v>0.55000000000000004</v>
      </c>
    </row>
    <row r="1448" spans="1:14" ht="15.75" customHeight="1" x14ac:dyDescent="0.45">
      <c r="A1448" s="1" t="s">
        <v>119</v>
      </c>
      <c r="B1448" s="1">
        <v>1185732</v>
      </c>
      <c r="C1448" s="2">
        <v>44609</v>
      </c>
      <c r="D1448" s="1" t="s">
        <v>38</v>
      </c>
      <c r="E1448" s="1" t="s">
        <v>57</v>
      </c>
      <c r="F1448" s="1" t="s">
        <v>58</v>
      </c>
      <c r="G1448" s="1" t="s">
        <v>13</v>
      </c>
      <c r="H1448" s="1">
        <v>48</v>
      </c>
      <c r="I1448" s="1" t="s">
        <v>125</v>
      </c>
      <c r="J1448" s="3">
        <v>0.35</v>
      </c>
      <c r="K1448" s="4">
        <v>8000</v>
      </c>
      <c r="L1448" s="5">
        <f t="shared" si="12"/>
        <v>2800</v>
      </c>
      <c r="M1448" s="5">
        <f t="shared" si="13"/>
        <v>1400</v>
      </c>
      <c r="N1448" s="6">
        <v>0.5</v>
      </c>
    </row>
    <row r="1449" spans="1:14" ht="15.75" customHeight="1" x14ac:dyDescent="0.45">
      <c r="A1449" s="1" t="s">
        <v>119</v>
      </c>
      <c r="B1449" s="1">
        <v>1185732</v>
      </c>
      <c r="C1449" s="2">
        <v>44609</v>
      </c>
      <c r="D1449" s="1" t="s">
        <v>38</v>
      </c>
      <c r="E1449" s="1" t="s">
        <v>57</v>
      </c>
      <c r="F1449" s="1" t="s">
        <v>58</v>
      </c>
      <c r="G1449" s="1" t="s">
        <v>14</v>
      </c>
      <c r="H1449" s="1">
        <v>17</v>
      </c>
      <c r="I1449" s="1" t="s">
        <v>125</v>
      </c>
      <c r="J1449" s="3">
        <v>0.35</v>
      </c>
      <c r="K1449" s="4">
        <v>4500</v>
      </c>
      <c r="L1449" s="5">
        <f t="shared" si="12"/>
        <v>1575</v>
      </c>
      <c r="M1449" s="5">
        <f t="shared" si="13"/>
        <v>630</v>
      </c>
      <c r="N1449" s="6">
        <v>0.39999999999999997</v>
      </c>
    </row>
    <row r="1450" spans="1:14" ht="15.75" customHeight="1" x14ac:dyDescent="0.45">
      <c r="A1450" s="1" t="s">
        <v>119</v>
      </c>
      <c r="B1450" s="1">
        <v>1185732</v>
      </c>
      <c r="C1450" s="2">
        <v>44609</v>
      </c>
      <c r="D1450" s="1" t="s">
        <v>38</v>
      </c>
      <c r="E1450" s="1" t="s">
        <v>57</v>
      </c>
      <c r="F1450" s="1" t="s">
        <v>58</v>
      </c>
      <c r="G1450" s="1" t="s">
        <v>15</v>
      </c>
      <c r="H1450" s="1">
        <v>47</v>
      </c>
      <c r="I1450" s="1" t="s">
        <v>124</v>
      </c>
      <c r="J1450" s="3">
        <v>0.25</v>
      </c>
      <c r="K1450" s="4">
        <v>5000</v>
      </c>
      <c r="L1450" s="5">
        <f t="shared" si="12"/>
        <v>1250</v>
      </c>
      <c r="M1450" s="5">
        <f t="shared" si="13"/>
        <v>375</v>
      </c>
      <c r="N1450" s="6">
        <v>0.3</v>
      </c>
    </row>
    <row r="1451" spans="1:14" ht="15.75" customHeight="1" x14ac:dyDescent="0.45">
      <c r="A1451" s="1" t="s">
        <v>119</v>
      </c>
      <c r="B1451" s="1">
        <v>1185732</v>
      </c>
      <c r="C1451" s="2">
        <v>44609</v>
      </c>
      <c r="D1451" s="1" t="s">
        <v>38</v>
      </c>
      <c r="E1451" s="1" t="s">
        <v>57</v>
      </c>
      <c r="F1451" s="1" t="s">
        <v>58</v>
      </c>
      <c r="G1451" s="1" t="s">
        <v>16</v>
      </c>
      <c r="H1451" s="1">
        <v>52</v>
      </c>
      <c r="I1451" s="1" t="s">
        <v>126</v>
      </c>
      <c r="J1451" s="3">
        <v>0.29999999999999993</v>
      </c>
      <c r="K1451" s="4">
        <v>3750</v>
      </c>
      <c r="L1451" s="5">
        <f t="shared" si="12"/>
        <v>1124.9999999999998</v>
      </c>
      <c r="M1451" s="5">
        <f t="shared" si="13"/>
        <v>393.74999999999989</v>
      </c>
      <c r="N1451" s="6">
        <v>0.35</v>
      </c>
    </row>
    <row r="1452" spans="1:14" ht="15.75" customHeight="1" x14ac:dyDescent="0.45">
      <c r="A1452" s="1" t="s">
        <v>119</v>
      </c>
      <c r="B1452" s="1">
        <v>1185732</v>
      </c>
      <c r="C1452" s="2">
        <v>44609</v>
      </c>
      <c r="D1452" s="1" t="s">
        <v>38</v>
      </c>
      <c r="E1452" s="1" t="s">
        <v>57</v>
      </c>
      <c r="F1452" s="1" t="s">
        <v>58</v>
      </c>
      <c r="G1452" s="1" t="s">
        <v>17</v>
      </c>
      <c r="H1452" s="1">
        <v>41</v>
      </c>
      <c r="I1452" s="1" t="s">
        <v>126</v>
      </c>
      <c r="J1452" s="3">
        <v>0.45000000000000007</v>
      </c>
      <c r="K1452" s="4">
        <v>4500</v>
      </c>
      <c r="L1452" s="5">
        <f t="shared" si="12"/>
        <v>2025.0000000000002</v>
      </c>
      <c r="M1452" s="5">
        <f t="shared" si="13"/>
        <v>810</v>
      </c>
      <c r="N1452" s="6">
        <v>0.39999999999999997</v>
      </c>
    </row>
    <row r="1453" spans="1:14" ht="15.75" customHeight="1" x14ac:dyDescent="0.45">
      <c r="A1453" s="1" t="s">
        <v>119</v>
      </c>
      <c r="B1453" s="1">
        <v>1185732</v>
      </c>
      <c r="C1453" s="2">
        <v>44609</v>
      </c>
      <c r="D1453" s="1" t="s">
        <v>38</v>
      </c>
      <c r="E1453" s="1" t="s">
        <v>57</v>
      </c>
      <c r="F1453" s="1" t="s">
        <v>58</v>
      </c>
      <c r="G1453" s="1" t="s">
        <v>18</v>
      </c>
      <c r="H1453" s="1">
        <v>53</v>
      </c>
      <c r="I1453" s="1" t="s">
        <v>124</v>
      </c>
      <c r="J1453" s="3">
        <v>0.35</v>
      </c>
      <c r="K1453" s="4">
        <v>5500</v>
      </c>
      <c r="L1453" s="5">
        <f t="shared" si="12"/>
        <v>1924.9999999999998</v>
      </c>
      <c r="M1453" s="5">
        <f t="shared" si="13"/>
        <v>1058.75</v>
      </c>
      <c r="N1453" s="6">
        <v>0.55000000000000004</v>
      </c>
    </row>
    <row r="1454" spans="1:14" ht="15.75" customHeight="1" x14ac:dyDescent="0.45">
      <c r="A1454" s="1" t="s">
        <v>119</v>
      </c>
      <c r="B1454" s="1">
        <v>1185732</v>
      </c>
      <c r="C1454" s="2">
        <v>44635</v>
      </c>
      <c r="D1454" s="1" t="s">
        <v>38</v>
      </c>
      <c r="E1454" s="1" t="s">
        <v>57</v>
      </c>
      <c r="F1454" s="1" t="s">
        <v>58</v>
      </c>
      <c r="G1454" s="1" t="s">
        <v>13</v>
      </c>
      <c r="H1454" s="1">
        <v>16</v>
      </c>
      <c r="I1454" s="1" t="s">
        <v>126</v>
      </c>
      <c r="J1454" s="3">
        <v>0.35</v>
      </c>
      <c r="K1454" s="4">
        <v>7700</v>
      </c>
      <c r="L1454" s="5">
        <f t="shared" si="12"/>
        <v>2695</v>
      </c>
      <c r="M1454" s="5">
        <f t="shared" si="13"/>
        <v>1347.5</v>
      </c>
      <c r="N1454" s="6">
        <v>0.5</v>
      </c>
    </row>
    <row r="1455" spans="1:14" ht="15.75" customHeight="1" x14ac:dyDescent="0.45">
      <c r="A1455" s="1" t="s">
        <v>119</v>
      </c>
      <c r="B1455" s="1">
        <v>1185732</v>
      </c>
      <c r="C1455" s="2">
        <v>44635</v>
      </c>
      <c r="D1455" s="1" t="s">
        <v>38</v>
      </c>
      <c r="E1455" s="1" t="s">
        <v>57</v>
      </c>
      <c r="F1455" s="1" t="s">
        <v>58</v>
      </c>
      <c r="G1455" s="1" t="s">
        <v>14</v>
      </c>
      <c r="H1455" s="1">
        <v>43</v>
      </c>
      <c r="I1455" s="1" t="s">
        <v>125</v>
      </c>
      <c r="J1455" s="3">
        <v>0.35</v>
      </c>
      <c r="K1455" s="4">
        <v>4500</v>
      </c>
      <c r="L1455" s="5">
        <f t="shared" si="12"/>
        <v>1575</v>
      </c>
      <c r="M1455" s="5">
        <f t="shared" si="13"/>
        <v>630</v>
      </c>
      <c r="N1455" s="6">
        <v>0.39999999999999997</v>
      </c>
    </row>
    <row r="1456" spans="1:14" ht="15.75" customHeight="1" x14ac:dyDescent="0.45">
      <c r="A1456" s="1" t="s">
        <v>119</v>
      </c>
      <c r="B1456" s="1">
        <v>1185732</v>
      </c>
      <c r="C1456" s="2">
        <v>44635</v>
      </c>
      <c r="D1456" s="1" t="s">
        <v>38</v>
      </c>
      <c r="E1456" s="1" t="s">
        <v>57</v>
      </c>
      <c r="F1456" s="1" t="s">
        <v>58</v>
      </c>
      <c r="G1456" s="1" t="s">
        <v>15</v>
      </c>
      <c r="H1456" s="1">
        <v>52</v>
      </c>
      <c r="I1456" s="1" t="s">
        <v>126</v>
      </c>
      <c r="J1456" s="3">
        <v>0.25</v>
      </c>
      <c r="K1456" s="4">
        <v>4750</v>
      </c>
      <c r="L1456" s="5">
        <f t="shared" si="12"/>
        <v>1187.5</v>
      </c>
      <c r="M1456" s="5">
        <f t="shared" si="13"/>
        <v>356.25</v>
      </c>
      <c r="N1456" s="6">
        <v>0.3</v>
      </c>
    </row>
    <row r="1457" spans="1:14" ht="15.75" customHeight="1" x14ac:dyDescent="0.45">
      <c r="A1457" s="1" t="s">
        <v>119</v>
      </c>
      <c r="B1457" s="1">
        <v>1185732</v>
      </c>
      <c r="C1457" s="2">
        <v>44635</v>
      </c>
      <c r="D1457" s="1" t="s">
        <v>38</v>
      </c>
      <c r="E1457" s="1" t="s">
        <v>57</v>
      </c>
      <c r="F1457" s="1" t="s">
        <v>58</v>
      </c>
      <c r="G1457" s="1" t="s">
        <v>16</v>
      </c>
      <c r="H1457" s="1">
        <v>46</v>
      </c>
      <c r="I1457" s="1" t="s">
        <v>126</v>
      </c>
      <c r="J1457" s="3">
        <v>0.29999999999999993</v>
      </c>
      <c r="K1457" s="4">
        <v>3250</v>
      </c>
      <c r="L1457" s="5">
        <f t="shared" si="12"/>
        <v>974.99999999999977</v>
      </c>
      <c r="M1457" s="5">
        <f t="shared" si="13"/>
        <v>341.24999999999989</v>
      </c>
      <c r="N1457" s="6">
        <v>0.35</v>
      </c>
    </row>
    <row r="1458" spans="1:14" ht="15.75" customHeight="1" x14ac:dyDescent="0.45">
      <c r="A1458" s="1" t="s">
        <v>119</v>
      </c>
      <c r="B1458" s="1">
        <v>1185732</v>
      </c>
      <c r="C1458" s="2">
        <v>44635</v>
      </c>
      <c r="D1458" s="1" t="s">
        <v>38</v>
      </c>
      <c r="E1458" s="1" t="s">
        <v>57</v>
      </c>
      <c r="F1458" s="1" t="s">
        <v>58</v>
      </c>
      <c r="G1458" s="1" t="s">
        <v>17</v>
      </c>
      <c r="H1458" s="1">
        <v>30</v>
      </c>
      <c r="I1458" s="1" t="s">
        <v>124</v>
      </c>
      <c r="J1458" s="3">
        <v>0.45000000000000007</v>
      </c>
      <c r="K1458" s="4">
        <v>3750</v>
      </c>
      <c r="L1458" s="5">
        <f t="shared" si="12"/>
        <v>1687.5000000000002</v>
      </c>
      <c r="M1458" s="5">
        <f t="shared" si="13"/>
        <v>675</v>
      </c>
      <c r="N1458" s="6">
        <v>0.39999999999999997</v>
      </c>
    </row>
    <row r="1459" spans="1:14" ht="15.75" customHeight="1" x14ac:dyDescent="0.45">
      <c r="A1459" s="1" t="s">
        <v>119</v>
      </c>
      <c r="B1459" s="1">
        <v>1185732</v>
      </c>
      <c r="C1459" s="2">
        <v>44635</v>
      </c>
      <c r="D1459" s="1" t="s">
        <v>38</v>
      </c>
      <c r="E1459" s="1" t="s">
        <v>57</v>
      </c>
      <c r="F1459" s="1" t="s">
        <v>58</v>
      </c>
      <c r="G1459" s="1" t="s">
        <v>18</v>
      </c>
      <c r="H1459" s="1">
        <v>57</v>
      </c>
      <c r="I1459" s="1" t="s">
        <v>125</v>
      </c>
      <c r="J1459" s="3">
        <v>0.35</v>
      </c>
      <c r="K1459" s="4">
        <v>4750</v>
      </c>
      <c r="L1459" s="5">
        <f t="shared" si="12"/>
        <v>1662.5</v>
      </c>
      <c r="M1459" s="5">
        <f t="shared" si="13"/>
        <v>914.37500000000011</v>
      </c>
      <c r="N1459" s="6">
        <v>0.55000000000000004</v>
      </c>
    </row>
    <row r="1460" spans="1:14" ht="15.75" customHeight="1" x14ac:dyDescent="0.45">
      <c r="A1460" s="1" t="s">
        <v>119</v>
      </c>
      <c r="B1460" s="1">
        <v>1185732</v>
      </c>
      <c r="C1460" s="2">
        <v>44667</v>
      </c>
      <c r="D1460" s="1" t="s">
        <v>38</v>
      </c>
      <c r="E1460" s="1" t="s">
        <v>57</v>
      </c>
      <c r="F1460" s="1" t="s">
        <v>58</v>
      </c>
      <c r="G1460" s="1" t="s">
        <v>13</v>
      </c>
      <c r="H1460" s="1">
        <v>53</v>
      </c>
      <c r="I1460" s="1" t="s">
        <v>125</v>
      </c>
      <c r="J1460" s="3">
        <v>0.35</v>
      </c>
      <c r="K1460" s="4">
        <v>7250</v>
      </c>
      <c r="L1460" s="5">
        <f t="shared" si="12"/>
        <v>2537.5</v>
      </c>
      <c r="M1460" s="5">
        <f t="shared" si="13"/>
        <v>1268.75</v>
      </c>
      <c r="N1460" s="6">
        <v>0.5</v>
      </c>
    </row>
    <row r="1461" spans="1:14" ht="15.75" customHeight="1" x14ac:dyDescent="0.45">
      <c r="A1461" s="1" t="s">
        <v>119</v>
      </c>
      <c r="B1461" s="1">
        <v>1185732</v>
      </c>
      <c r="C1461" s="2">
        <v>44667</v>
      </c>
      <c r="D1461" s="1" t="s">
        <v>38</v>
      </c>
      <c r="E1461" s="1" t="s">
        <v>57</v>
      </c>
      <c r="F1461" s="1" t="s">
        <v>58</v>
      </c>
      <c r="G1461" s="1" t="s">
        <v>14</v>
      </c>
      <c r="H1461" s="1">
        <v>50</v>
      </c>
      <c r="I1461" s="1" t="s">
        <v>125</v>
      </c>
      <c r="J1461" s="3">
        <v>0.4</v>
      </c>
      <c r="K1461" s="4">
        <v>4250</v>
      </c>
      <c r="L1461" s="5">
        <f t="shared" si="12"/>
        <v>1700</v>
      </c>
      <c r="M1461" s="5">
        <f t="shared" si="13"/>
        <v>680</v>
      </c>
      <c r="N1461" s="6">
        <v>0.39999999999999997</v>
      </c>
    </row>
    <row r="1462" spans="1:14" ht="15.75" customHeight="1" x14ac:dyDescent="0.45">
      <c r="A1462" s="1" t="s">
        <v>119</v>
      </c>
      <c r="B1462" s="1">
        <v>1185732</v>
      </c>
      <c r="C1462" s="2">
        <v>44667</v>
      </c>
      <c r="D1462" s="1" t="s">
        <v>38</v>
      </c>
      <c r="E1462" s="1" t="s">
        <v>57</v>
      </c>
      <c r="F1462" s="1" t="s">
        <v>58</v>
      </c>
      <c r="G1462" s="1" t="s">
        <v>15</v>
      </c>
      <c r="H1462" s="1">
        <v>43</v>
      </c>
      <c r="I1462" s="1" t="s">
        <v>125</v>
      </c>
      <c r="J1462" s="3">
        <v>0.30000000000000004</v>
      </c>
      <c r="K1462" s="4">
        <v>4500</v>
      </c>
      <c r="L1462" s="5">
        <f t="shared" si="12"/>
        <v>1350.0000000000002</v>
      </c>
      <c r="M1462" s="5">
        <f t="shared" si="13"/>
        <v>405.00000000000006</v>
      </c>
      <c r="N1462" s="6">
        <v>0.3</v>
      </c>
    </row>
    <row r="1463" spans="1:14" ht="15.75" customHeight="1" x14ac:dyDescent="0.45">
      <c r="A1463" s="1" t="s">
        <v>119</v>
      </c>
      <c r="B1463" s="1">
        <v>1185732</v>
      </c>
      <c r="C1463" s="2">
        <v>44667</v>
      </c>
      <c r="D1463" s="1" t="s">
        <v>38</v>
      </c>
      <c r="E1463" s="1" t="s">
        <v>57</v>
      </c>
      <c r="F1463" s="1" t="s">
        <v>58</v>
      </c>
      <c r="G1463" s="1" t="s">
        <v>16</v>
      </c>
      <c r="H1463" s="1">
        <v>17</v>
      </c>
      <c r="I1463" s="1" t="s">
        <v>126</v>
      </c>
      <c r="J1463" s="3">
        <v>0.35</v>
      </c>
      <c r="K1463" s="4">
        <v>3750</v>
      </c>
      <c r="L1463" s="5">
        <f t="shared" si="12"/>
        <v>1312.5</v>
      </c>
      <c r="M1463" s="5">
        <f t="shared" si="13"/>
        <v>459.37499999999994</v>
      </c>
      <c r="N1463" s="6">
        <v>0.35</v>
      </c>
    </row>
    <row r="1464" spans="1:14" ht="15.75" customHeight="1" x14ac:dyDescent="0.45">
      <c r="A1464" s="1" t="s">
        <v>119</v>
      </c>
      <c r="B1464" s="1">
        <v>1185732</v>
      </c>
      <c r="C1464" s="2">
        <v>44667</v>
      </c>
      <c r="D1464" s="1" t="s">
        <v>38</v>
      </c>
      <c r="E1464" s="1" t="s">
        <v>57</v>
      </c>
      <c r="F1464" s="1" t="s">
        <v>58</v>
      </c>
      <c r="G1464" s="1" t="s">
        <v>17</v>
      </c>
      <c r="H1464" s="1">
        <v>54</v>
      </c>
      <c r="I1464" s="1" t="s">
        <v>124</v>
      </c>
      <c r="J1464" s="3">
        <v>0.5</v>
      </c>
      <c r="K1464" s="4">
        <v>4000</v>
      </c>
      <c r="L1464" s="5">
        <f t="shared" si="12"/>
        <v>2000</v>
      </c>
      <c r="M1464" s="5">
        <f t="shared" si="13"/>
        <v>799.99999999999989</v>
      </c>
      <c r="N1464" s="6">
        <v>0.39999999999999997</v>
      </c>
    </row>
    <row r="1465" spans="1:14" ht="15.75" customHeight="1" x14ac:dyDescent="0.45">
      <c r="A1465" s="1" t="s">
        <v>119</v>
      </c>
      <c r="B1465" s="1">
        <v>1185732</v>
      </c>
      <c r="C1465" s="2">
        <v>44667</v>
      </c>
      <c r="D1465" s="1" t="s">
        <v>38</v>
      </c>
      <c r="E1465" s="1" t="s">
        <v>57</v>
      </c>
      <c r="F1465" s="1" t="s">
        <v>58</v>
      </c>
      <c r="G1465" s="1" t="s">
        <v>18</v>
      </c>
      <c r="H1465" s="1">
        <v>19</v>
      </c>
      <c r="I1465" s="1" t="s">
        <v>125</v>
      </c>
      <c r="J1465" s="3">
        <v>0.4</v>
      </c>
      <c r="K1465" s="4">
        <v>5250</v>
      </c>
      <c r="L1465" s="5">
        <f t="shared" si="12"/>
        <v>2100</v>
      </c>
      <c r="M1465" s="5">
        <f t="shared" si="13"/>
        <v>1155</v>
      </c>
      <c r="N1465" s="6">
        <v>0.55000000000000004</v>
      </c>
    </row>
    <row r="1466" spans="1:14" ht="15.75" customHeight="1" x14ac:dyDescent="0.45">
      <c r="A1466" s="1" t="s">
        <v>119</v>
      </c>
      <c r="B1466" s="1">
        <v>1185732</v>
      </c>
      <c r="C1466" s="2">
        <v>44696</v>
      </c>
      <c r="D1466" s="1" t="s">
        <v>38</v>
      </c>
      <c r="E1466" s="1" t="s">
        <v>57</v>
      </c>
      <c r="F1466" s="1" t="s">
        <v>58</v>
      </c>
      <c r="G1466" s="1" t="s">
        <v>13</v>
      </c>
      <c r="H1466" s="1">
        <v>35</v>
      </c>
      <c r="I1466" s="1" t="s">
        <v>123</v>
      </c>
      <c r="J1466" s="3">
        <v>0.5</v>
      </c>
      <c r="K1466" s="4">
        <v>7950</v>
      </c>
      <c r="L1466" s="5">
        <f t="shared" si="12"/>
        <v>3975</v>
      </c>
      <c r="M1466" s="5">
        <f t="shared" si="13"/>
        <v>1987.5</v>
      </c>
      <c r="N1466" s="6">
        <v>0.5</v>
      </c>
    </row>
    <row r="1467" spans="1:14" ht="15.75" customHeight="1" x14ac:dyDescent="0.45">
      <c r="A1467" s="1" t="s">
        <v>119</v>
      </c>
      <c r="B1467" s="1">
        <v>1185732</v>
      </c>
      <c r="C1467" s="2">
        <v>44696</v>
      </c>
      <c r="D1467" s="1" t="s">
        <v>38</v>
      </c>
      <c r="E1467" s="1" t="s">
        <v>57</v>
      </c>
      <c r="F1467" s="1" t="s">
        <v>58</v>
      </c>
      <c r="G1467" s="1" t="s">
        <v>14</v>
      </c>
      <c r="H1467" s="1">
        <v>17</v>
      </c>
      <c r="I1467" s="1" t="s">
        <v>126</v>
      </c>
      <c r="J1467" s="3">
        <v>0.5</v>
      </c>
      <c r="K1467" s="4">
        <v>5000</v>
      </c>
      <c r="L1467" s="5">
        <f t="shared" si="12"/>
        <v>2500</v>
      </c>
      <c r="M1467" s="5">
        <f t="shared" si="13"/>
        <v>999.99999999999989</v>
      </c>
      <c r="N1467" s="6">
        <v>0.39999999999999997</v>
      </c>
    </row>
    <row r="1468" spans="1:14" ht="15.75" customHeight="1" x14ac:dyDescent="0.45">
      <c r="A1468" s="1" t="s">
        <v>119</v>
      </c>
      <c r="B1468" s="1">
        <v>1185732</v>
      </c>
      <c r="C1468" s="2">
        <v>44696</v>
      </c>
      <c r="D1468" s="1" t="s">
        <v>38</v>
      </c>
      <c r="E1468" s="1" t="s">
        <v>57</v>
      </c>
      <c r="F1468" s="1" t="s">
        <v>58</v>
      </c>
      <c r="G1468" s="1" t="s">
        <v>15</v>
      </c>
      <c r="H1468" s="1">
        <v>26</v>
      </c>
      <c r="I1468" s="1" t="s">
        <v>125</v>
      </c>
      <c r="J1468" s="3">
        <v>0.45</v>
      </c>
      <c r="K1468" s="4">
        <v>4750</v>
      </c>
      <c r="L1468" s="5">
        <f t="shared" si="12"/>
        <v>2137.5</v>
      </c>
      <c r="M1468" s="5">
        <f t="shared" si="13"/>
        <v>641.25</v>
      </c>
      <c r="N1468" s="6">
        <v>0.3</v>
      </c>
    </row>
    <row r="1469" spans="1:14" ht="15.75" customHeight="1" x14ac:dyDescent="0.45">
      <c r="A1469" s="1" t="s">
        <v>119</v>
      </c>
      <c r="B1469" s="1">
        <v>1185732</v>
      </c>
      <c r="C1469" s="2">
        <v>44696</v>
      </c>
      <c r="D1469" s="1" t="s">
        <v>38</v>
      </c>
      <c r="E1469" s="1" t="s">
        <v>57</v>
      </c>
      <c r="F1469" s="1" t="s">
        <v>58</v>
      </c>
      <c r="G1469" s="1" t="s">
        <v>16</v>
      </c>
      <c r="H1469" s="1">
        <v>16</v>
      </c>
      <c r="I1469" s="1" t="s">
        <v>124</v>
      </c>
      <c r="J1469" s="3">
        <v>0.45</v>
      </c>
      <c r="K1469" s="4">
        <v>4500</v>
      </c>
      <c r="L1469" s="5">
        <f t="shared" si="12"/>
        <v>2025</v>
      </c>
      <c r="M1469" s="5">
        <f t="shared" si="13"/>
        <v>708.75</v>
      </c>
      <c r="N1469" s="6">
        <v>0.35</v>
      </c>
    </row>
    <row r="1470" spans="1:14" ht="15.75" customHeight="1" x14ac:dyDescent="0.45">
      <c r="A1470" s="1" t="s">
        <v>119</v>
      </c>
      <c r="B1470" s="1">
        <v>1185732</v>
      </c>
      <c r="C1470" s="2">
        <v>44696</v>
      </c>
      <c r="D1470" s="1" t="s">
        <v>38</v>
      </c>
      <c r="E1470" s="1" t="s">
        <v>57</v>
      </c>
      <c r="F1470" s="1" t="s">
        <v>58</v>
      </c>
      <c r="G1470" s="1" t="s">
        <v>17</v>
      </c>
      <c r="H1470" s="1">
        <v>56</v>
      </c>
      <c r="I1470" s="1" t="s">
        <v>125</v>
      </c>
      <c r="J1470" s="3">
        <v>0.54999999999999993</v>
      </c>
      <c r="K1470" s="4">
        <v>4750</v>
      </c>
      <c r="L1470" s="5">
        <f t="shared" si="12"/>
        <v>2612.4999999999995</v>
      </c>
      <c r="M1470" s="5">
        <f t="shared" si="13"/>
        <v>1044.9999999999998</v>
      </c>
      <c r="N1470" s="6">
        <v>0.39999999999999997</v>
      </c>
    </row>
    <row r="1471" spans="1:14" ht="15.75" customHeight="1" x14ac:dyDescent="0.45">
      <c r="A1471" s="1" t="s">
        <v>119</v>
      </c>
      <c r="B1471" s="1">
        <v>1185732</v>
      </c>
      <c r="C1471" s="2">
        <v>44696</v>
      </c>
      <c r="D1471" s="1" t="s">
        <v>38</v>
      </c>
      <c r="E1471" s="1" t="s">
        <v>57</v>
      </c>
      <c r="F1471" s="1" t="s">
        <v>58</v>
      </c>
      <c r="G1471" s="1" t="s">
        <v>18</v>
      </c>
      <c r="H1471" s="1">
        <v>49</v>
      </c>
      <c r="I1471" s="1" t="s">
        <v>126</v>
      </c>
      <c r="J1471" s="3">
        <v>0.6</v>
      </c>
      <c r="K1471" s="4">
        <v>5750</v>
      </c>
      <c r="L1471" s="5">
        <f t="shared" si="12"/>
        <v>3450</v>
      </c>
      <c r="M1471" s="5">
        <f t="shared" si="13"/>
        <v>1897.5000000000002</v>
      </c>
      <c r="N1471" s="6">
        <v>0.55000000000000004</v>
      </c>
    </row>
    <row r="1472" spans="1:14" ht="15.75" customHeight="1" x14ac:dyDescent="0.45">
      <c r="A1472" s="1" t="s">
        <v>119</v>
      </c>
      <c r="B1472" s="1">
        <v>1185732</v>
      </c>
      <c r="C1472" s="2">
        <v>44729</v>
      </c>
      <c r="D1472" s="1" t="s">
        <v>38</v>
      </c>
      <c r="E1472" s="1" t="s">
        <v>57</v>
      </c>
      <c r="F1472" s="1" t="s">
        <v>58</v>
      </c>
      <c r="G1472" s="1" t="s">
        <v>13</v>
      </c>
      <c r="H1472" s="1">
        <v>40</v>
      </c>
      <c r="I1472" s="1" t="s">
        <v>124</v>
      </c>
      <c r="J1472" s="3">
        <v>0.54999999999999993</v>
      </c>
      <c r="K1472" s="4">
        <v>8250</v>
      </c>
      <c r="L1472" s="5">
        <f t="shared" si="12"/>
        <v>4537.4999999999991</v>
      </c>
      <c r="M1472" s="5">
        <f t="shared" si="13"/>
        <v>2268.7499999999995</v>
      </c>
      <c r="N1472" s="6">
        <v>0.5</v>
      </c>
    </row>
    <row r="1473" spans="1:14" ht="15.75" customHeight="1" x14ac:dyDescent="0.45">
      <c r="A1473" s="1" t="s">
        <v>119</v>
      </c>
      <c r="B1473" s="1">
        <v>1185732</v>
      </c>
      <c r="C1473" s="2">
        <v>44729</v>
      </c>
      <c r="D1473" s="1" t="s">
        <v>38</v>
      </c>
      <c r="E1473" s="1" t="s">
        <v>57</v>
      </c>
      <c r="F1473" s="1" t="s">
        <v>58</v>
      </c>
      <c r="G1473" s="1" t="s">
        <v>14</v>
      </c>
      <c r="H1473" s="1">
        <v>19</v>
      </c>
      <c r="I1473" s="1" t="s">
        <v>126</v>
      </c>
      <c r="J1473" s="3">
        <v>0.5</v>
      </c>
      <c r="K1473" s="4">
        <v>5750</v>
      </c>
      <c r="L1473" s="5">
        <f t="shared" si="12"/>
        <v>2875</v>
      </c>
      <c r="M1473" s="5">
        <f t="shared" si="13"/>
        <v>1150</v>
      </c>
      <c r="N1473" s="6">
        <v>0.39999999999999997</v>
      </c>
    </row>
    <row r="1474" spans="1:14" ht="15.75" customHeight="1" x14ac:dyDescent="0.45">
      <c r="A1474" s="1" t="s">
        <v>119</v>
      </c>
      <c r="B1474" s="1">
        <v>1185732</v>
      </c>
      <c r="C1474" s="2">
        <v>44729</v>
      </c>
      <c r="D1474" s="1" t="s">
        <v>38</v>
      </c>
      <c r="E1474" s="1" t="s">
        <v>57</v>
      </c>
      <c r="F1474" s="1" t="s">
        <v>58</v>
      </c>
      <c r="G1474" s="1" t="s">
        <v>15</v>
      </c>
      <c r="H1474" s="1">
        <v>60</v>
      </c>
      <c r="I1474" s="1" t="s">
        <v>124</v>
      </c>
      <c r="J1474" s="3">
        <v>0.45</v>
      </c>
      <c r="K1474" s="4">
        <v>5500</v>
      </c>
      <c r="L1474" s="5">
        <f t="shared" si="12"/>
        <v>2475</v>
      </c>
      <c r="M1474" s="5">
        <f t="shared" si="13"/>
        <v>742.5</v>
      </c>
      <c r="N1474" s="6">
        <v>0.3</v>
      </c>
    </row>
    <row r="1475" spans="1:14" ht="15.75" customHeight="1" x14ac:dyDescent="0.45">
      <c r="A1475" s="1" t="s">
        <v>119</v>
      </c>
      <c r="B1475" s="1">
        <v>1185732</v>
      </c>
      <c r="C1475" s="2">
        <v>44729</v>
      </c>
      <c r="D1475" s="1" t="s">
        <v>38</v>
      </c>
      <c r="E1475" s="1" t="s">
        <v>57</v>
      </c>
      <c r="F1475" s="1" t="s">
        <v>58</v>
      </c>
      <c r="G1475" s="1" t="s">
        <v>16</v>
      </c>
      <c r="H1475" s="1">
        <v>28</v>
      </c>
      <c r="I1475" s="1" t="s">
        <v>125</v>
      </c>
      <c r="J1475" s="3">
        <v>0.45</v>
      </c>
      <c r="K1475" s="4">
        <v>5250</v>
      </c>
      <c r="L1475" s="5">
        <f t="shared" si="12"/>
        <v>2362.5</v>
      </c>
      <c r="M1475" s="5">
        <f t="shared" si="13"/>
        <v>826.875</v>
      </c>
      <c r="N1475" s="6">
        <v>0.35</v>
      </c>
    </row>
    <row r="1476" spans="1:14" ht="15.75" customHeight="1" x14ac:dyDescent="0.45">
      <c r="A1476" s="1" t="s">
        <v>119</v>
      </c>
      <c r="B1476" s="1">
        <v>1185732</v>
      </c>
      <c r="C1476" s="2">
        <v>44729</v>
      </c>
      <c r="D1476" s="1" t="s">
        <v>38</v>
      </c>
      <c r="E1476" s="1" t="s">
        <v>57</v>
      </c>
      <c r="F1476" s="1" t="s">
        <v>58</v>
      </c>
      <c r="G1476" s="1" t="s">
        <v>17</v>
      </c>
      <c r="H1476" s="1">
        <v>23</v>
      </c>
      <c r="I1476" s="1" t="s">
        <v>125</v>
      </c>
      <c r="J1476" s="3">
        <v>0.6</v>
      </c>
      <c r="K1476" s="4">
        <v>5250</v>
      </c>
      <c r="L1476" s="5">
        <f t="shared" si="12"/>
        <v>3150</v>
      </c>
      <c r="M1476" s="5">
        <f t="shared" si="13"/>
        <v>1260</v>
      </c>
      <c r="N1476" s="6">
        <v>0.39999999999999997</v>
      </c>
    </row>
    <row r="1477" spans="1:14" ht="15.75" customHeight="1" x14ac:dyDescent="0.45">
      <c r="A1477" s="1" t="s">
        <v>119</v>
      </c>
      <c r="B1477" s="1">
        <v>1185732</v>
      </c>
      <c r="C1477" s="2">
        <v>44729</v>
      </c>
      <c r="D1477" s="1" t="s">
        <v>38</v>
      </c>
      <c r="E1477" s="1" t="s">
        <v>57</v>
      </c>
      <c r="F1477" s="1" t="s">
        <v>58</v>
      </c>
      <c r="G1477" s="1" t="s">
        <v>18</v>
      </c>
      <c r="H1477" s="1">
        <v>31</v>
      </c>
      <c r="I1477" s="1" t="s">
        <v>126</v>
      </c>
      <c r="J1477" s="3">
        <v>0.65</v>
      </c>
      <c r="K1477" s="4">
        <v>6750</v>
      </c>
      <c r="L1477" s="5">
        <f t="shared" si="12"/>
        <v>4387.5</v>
      </c>
      <c r="M1477" s="5">
        <f t="shared" si="13"/>
        <v>2413.125</v>
      </c>
      <c r="N1477" s="6">
        <v>0.55000000000000004</v>
      </c>
    </row>
    <row r="1478" spans="1:14" ht="15.75" customHeight="1" x14ac:dyDescent="0.45">
      <c r="A1478" s="1" t="s">
        <v>119</v>
      </c>
      <c r="B1478" s="1">
        <v>1185732</v>
      </c>
      <c r="C1478" s="2">
        <v>44757</v>
      </c>
      <c r="D1478" s="1" t="s">
        <v>38</v>
      </c>
      <c r="E1478" s="1" t="s">
        <v>57</v>
      </c>
      <c r="F1478" s="1" t="s">
        <v>58</v>
      </c>
      <c r="G1478" s="1" t="s">
        <v>13</v>
      </c>
      <c r="H1478" s="1">
        <v>26</v>
      </c>
      <c r="I1478" s="1" t="s">
        <v>125</v>
      </c>
      <c r="J1478" s="3">
        <v>0.6</v>
      </c>
      <c r="K1478" s="4">
        <v>9000</v>
      </c>
      <c r="L1478" s="5">
        <f t="shared" si="12"/>
        <v>5400</v>
      </c>
      <c r="M1478" s="5">
        <f t="shared" si="13"/>
        <v>2700</v>
      </c>
      <c r="N1478" s="6">
        <v>0.5</v>
      </c>
    </row>
    <row r="1479" spans="1:14" ht="15.75" customHeight="1" x14ac:dyDescent="0.45">
      <c r="A1479" s="1" t="s">
        <v>119</v>
      </c>
      <c r="B1479" s="1">
        <v>1185732</v>
      </c>
      <c r="C1479" s="2">
        <v>44757</v>
      </c>
      <c r="D1479" s="1" t="s">
        <v>38</v>
      </c>
      <c r="E1479" s="1" t="s">
        <v>57</v>
      </c>
      <c r="F1479" s="1" t="s">
        <v>58</v>
      </c>
      <c r="G1479" s="1" t="s">
        <v>14</v>
      </c>
      <c r="H1479" s="1">
        <v>45</v>
      </c>
      <c r="I1479" s="1" t="s">
        <v>123</v>
      </c>
      <c r="J1479" s="3">
        <v>0.55000000000000004</v>
      </c>
      <c r="K1479" s="4">
        <v>6500</v>
      </c>
      <c r="L1479" s="5">
        <f t="shared" si="12"/>
        <v>3575.0000000000005</v>
      </c>
      <c r="M1479" s="5">
        <f t="shared" si="13"/>
        <v>1430</v>
      </c>
      <c r="N1479" s="6">
        <v>0.39999999999999997</v>
      </c>
    </row>
    <row r="1480" spans="1:14" ht="15.75" customHeight="1" x14ac:dyDescent="0.45">
      <c r="A1480" s="1" t="s">
        <v>119</v>
      </c>
      <c r="B1480" s="1">
        <v>1185732</v>
      </c>
      <c r="C1480" s="2">
        <v>44757</v>
      </c>
      <c r="D1480" s="1" t="s">
        <v>38</v>
      </c>
      <c r="E1480" s="1" t="s">
        <v>57</v>
      </c>
      <c r="F1480" s="1" t="s">
        <v>58</v>
      </c>
      <c r="G1480" s="1" t="s">
        <v>15</v>
      </c>
      <c r="H1480" s="1">
        <v>22</v>
      </c>
      <c r="I1480" s="1" t="s">
        <v>126</v>
      </c>
      <c r="J1480" s="3">
        <v>0.5</v>
      </c>
      <c r="K1480" s="4">
        <v>5750</v>
      </c>
      <c r="L1480" s="5">
        <f t="shared" si="12"/>
        <v>2875</v>
      </c>
      <c r="M1480" s="5">
        <f t="shared" si="13"/>
        <v>862.5</v>
      </c>
      <c r="N1480" s="6">
        <v>0.3</v>
      </c>
    </row>
    <row r="1481" spans="1:14" ht="15.75" customHeight="1" x14ac:dyDescent="0.45">
      <c r="A1481" s="1" t="s">
        <v>119</v>
      </c>
      <c r="B1481" s="1">
        <v>1185732</v>
      </c>
      <c r="C1481" s="2">
        <v>44757</v>
      </c>
      <c r="D1481" s="1" t="s">
        <v>38</v>
      </c>
      <c r="E1481" s="1" t="s">
        <v>57</v>
      </c>
      <c r="F1481" s="1" t="s">
        <v>58</v>
      </c>
      <c r="G1481" s="1" t="s">
        <v>16</v>
      </c>
      <c r="H1481" s="1">
        <v>35</v>
      </c>
      <c r="I1481" s="1" t="s">
        <v>123</v>
      </c>
      <c r="J1481" s="3">
        <v>0.5</v>
      </c>
      <c r="K1481" s="4">
        <v>5250</v>
      </c>
      <c r="L1481" s="5">
        <f t="shared" si="12"/>
        <v>2625</v>
      </c>
      <c r="M1481" s="5">
        <f t="shared" si="13"/>
        <v>918.74999999999989</v>
      </c>
      <c r="N1481" s="6">
        <v>0.35</v>
      </c>
    </row>
    <row r="1482" spans="1:14" ht="15.75" customHeight="1" x14ac:dyDescent="0.45">
      <c r="A1482" s="1" t="s">
        <v>119</v>
      </c>
      <c r="B1482" s="1">
        <v>1185732</v>
      </c>
      <c r="C1482" s="2">
        <v>44757</v>
      </c>
      <c r="D1482" s="1" t="s">
        <v>38</v>
      </c>
      <c r="E1482" s="1" t="s">
        <v>57</v>
      </c>
      <c r="F1482" s="1" t="s">
        <v>58</v>
      </c>
      <c r="G1482" s="1" t="s">
        <v>17</v>
      </c>
      <c r="H1482" s="1">
        <v>28</v>
      </c>
      <c r="I1482" s="1" t="s">
        <v>126</v>
      </c>
      <c r="J1482" s="3">
        <v>0.6</v>
      </c>
      <c r="K1482" s="4">
        <v>5500</v>
      </c>
      <c r="L1482" s="5">
        <f t="shared" si="12"/>
        <v>3300</v>
      </c>
      <c r="M1482" s="5">
        <f t="shared" si="13"/>
        <v>1320</v>
      </c>
      <c r="N1482" s="6">
        <v>0.39999999999999997</v>
      </c>
    </row>
    <row r="1483" spans="1:14" ht="15.75" customHeight="1" x14ac:dyDescent="0.45">
      <c r="A1483" s="1" t="s">
        <v>119</v>
      </c>
      <c r="B1483" s="1">
        <v>1185732</v>
      </c>
      <c r="C1483" s="2">
        <v>44757</v>
      </c>
      <c r="D1483" s="1" t="s">
        <v>38</v>
      </c>
      <c r="E1483" s="1" t="s">
        <v>57</v>
      </c>
      <c r="F1483" s="1" t="s">
        <v>58</v>
      </c>
      <c r="G1483" s="1" t="s">
        <v>18</v>
      </c>
      <c r="H1483" s="1">
        <v>41</v>
      </c>
      <c r="I1483" s="1" t="s">
        <v>125</v>
      </c>
      <c r="J1483" s="3">
        <v>0.65</v>
      </c>
      <c r="K1483" s="4">
        <v>7250</v>
      </c>
      <c r="L1483" s="5">
        <f t="shared" si="12"/>
        <v>4712.5</v>
      </c>
      <c r="M1483" s="5">
        <f t="shared" si="13"/>
        <v>2591.875</v>
      </c>
      <c r="N1483" s="6">
        <v>0.55000000000000004</v>
      </c>
    </row>
    <row r="1484" spans="1:14" ht="15.75" customHeight="1" x14ac:dyDescent="0.45">
      <c r="A1484" s="1" t="s">
        <v>119</v>
      </c>
      <c r="B1484" s="1">
        <v>1185732</v>
      </c>
      <c r="C1484" s="2">
        <v>44789</v>
      </c>
      <c r="D1484" s="1" t="s">
        <v>38</v>
      </c>
      <c r="E1484" s="1" t="s">
        <v>57</v>
      </c>
      <c r="F1484" s="1" t="s">
        <v>58</v>
      </c>
      <c r="G1484" s="1" t="s">
        <v>13</v>
      </c>
      <c r="H1484" s="1">
        <v>59</v>
      </c>
      <c r="I1484" s="1" t="s">
        <v>124</v>
      </c>
      <c r="J1484" s="3">
        <v>0.6</v>
      </c>
      <c r="K1484" s="4">
        <v>8750</v>
      </c>
      <c r="L1484" s="5">
        <f t="shared" si="12"/>
        <v>5250</v>
      </c>
      <c r="M1484" s="5">
        <f t="shared" si="13"/>
        <v>2625</v>
      </c>
      <c r="N1484" s="6">
        <v>0.5</v>
      </c>
    </row>
    <row r="1485" spans="1:14" ht="15.75" customHeight="1" x14ac:dyDescent="0.45">
      <c r="A1485" s="1" t="s">
        <v>119</v>
      </c>
      <c r="B1485" s="1">
        <v>1185732</v>
      </c>
      <c r="C1485" s="2">
        <v>44789</v>
      </c>
      <c r="D1485" s="1" t="s">
        <v>38</v>
      </c>
      <c r="E1485" s="1" t="s">
        <v>57</v>
      </c>
      <c r="F1485" s="1" t="s">
        <v>58</v>
      </c>
      <c r="G1485" s="1" t="s">
        <v>14</v>
      </c>
      <c r="H1485" s="1">
        <v>17</v>
      </c>
      <c r="I1485" s="1" t="s">
        <v>125</v>
      </c>
      <c r="J1485" s="3">
        <v>0.55000000000000004</v>
      </c>
      <c r="K1485" s="4">
        <v>6500</v>
      </c>
      <c r="L1485" s="5">
        <f t="shared" si="12"/>
        <v>3575.0000000000005</v>
      </c>
      <c r="M1485" s="5">
        <f t="shared" si="13"/>
        <v>1430</v>
      </c>
      <c r="N1485" s="6">
        <v>0.39999999999999997</v>
      </c>
    </row>
    <row r="1486" spans="1:14" ht="15.75" customHeight="1" x14ac:dyDescent="0.45">
      <c r="A1486" s="1" t="s">
        <v>119</v>
      </c>
      <c r="B1486" s="1">
        <v>1185732</v>
      </c>
      <c r="C1486" s="2">
        <v>44789</v>
      </c>
      <c r="D1486" s="1" t="s">
        <v>38</v>
      </c>
      <c r="E1486" s="1" t="s">
        <v>57</v>
      </c>
      <c r="F1486" s="1" t="s">
        <v>58</v>
      </c>
      <c r="G1486" s="1" t="s">
        <v>15</v>
      </c>
      <c r="H1486" s="1">
        <v>41</v>
      </c>
      <c r="I1486" s="1" t="s">
        <v>123</v>
      </c>
      <c r="J1486" s="3">
        <v>0.45000000000000007</v>
      </c>
      <c r="K1486" s="4">
        <v>5750</v>
      </c>
      <c r="L1486" s="5">
        <f t="shared" si="12"/>
        <v>2587.5000000000005</v>
      </c>
      <c r="M1486" s="5">
        <f t="shared" si="13"/>
        <v>776.25000000000011</v>
      </c>
      <c r="N1486" s="6">
        <v>0.3</v>
      </c>
    </row>
    <row r="1487" spans="1:14" ht="15.75" customHeight="1" x14ac:dyDescent="0.45">
      <c r="A1487" s="1" t="s">
        <v>119</v>
      </c>
      <c r="B1487" s="1">
        <v>1185732</v>
      </c>
      <c r="C1487" s="2">
        <v>44789</v>
      </c>
      <c r="D1487" s="1" t="s">
        <v>38</v>
      </c>
      <c r="E1487" s="1" t="s">
        <v>57</v>
      </c>
      <c r="F1487" s="1" t="s">
        <v>58</v>
      </c>
      <c r="G1487" s="1" t="s">
        <v>16</v>
      </c>
      <c r="H1487" s="1">
        <v>40</v>
      </c>
      <c r="I1487" s="1" t="s">
        <v>126</v>
      </c>
      <c r="J1487" s="3">
        <v>0.35</v>
      </c>
      <c r="K1487" s="4">
        <v>5250</v>
      </c>
      <c r="L1487" s="5">
        <f t="shared" si="12"/>
        <v>1837.4999999999998</v>
      </c>
      <c r="M1487" s="5">
        <f t="shared" si="13"/>
        <v>643.12499999999989</v>
      </c>
      <c r="N1487" s="6">
        <v>0.35</v>
      </c>
    </row>
    <row r="1488" spans="1:14" ht="15.75" customHeight="1" x14ac:dyDescent="0.45">
      <c r="A1488" s="1" t="s">
        <v>119</v>
      </c>
      <c r="B1488" s="1">
        <v>1185732</v>
      </c>
      <c r="C1488" s="2">
        <v>44789</v>
      </c>
      <c r="D1488" s="1" t="s">
        <v>38</v>
      </c>
      <c r="E1488" s="1" t="s">
        <v>57</v>
      </c>
      <c r="F1488" s="1" t="s">
        <v>58</v>
      </c>
      <c r="G1488" s="1" t="s">
        <v>17</v>
      </c>
      <c r="H1488" s="1">
        <v>28</v>
      </c>
      <c r="I1488" s="1" t="s">
        <v>125</v>
      </c>
      <c r="J1488" s="3">
        <v>0.45000000000000007</v>
      </c>
      <c r="K1488" s="4">
        <v>5000</v>
      </c>
      <c r="L1488" s="5">
        <f t="shared" si="12"/>
        <v>2250.0000000000005</v>
      </c>
      <c r="M1488" s="5">
        <f t="shared" si="13"/>
        <v>900.00000000000011</v>
      </c>
      <c r="N1488" s="6">
        <v>0.39999999999999997</v>
      </c>
    </row>
    <row r="1489" spans="1:14" ht="15.75" customHeight="1" x14ac:dyDescent="0.45">
      <c r="A1489" s="1" t="s">
        <v>119</v>
      </c>
      <c r="B1489" s="1">
        <v>1185732</v>
      </c>
      <c r="C1489" s="2">
        <v>44789</v>
      </c>
      <c r="D1489" s="1" t="s">
        <v>38</v>
      </c>
      <c r="E1489" s="1" t="s">
        <v>57</v>
      </c>
      <c r="F1489" s="1" t="s">
        <v>58</v>
      </c>
      <c r="G1489" s="1" t="s">
        <v>18</v>
      </c>
      <c r="H1489" s="1">
        <v>27</v>
      </c>
      <c r="I1489" s="1" t="s">
        <v>124</v>
      </c>
      <c r="J1489" s="3">
        <v>0.50000000000000011</v>
      </c>
      <c r="K1489" s="4">
        <v>6750</v>
      </c>
      <c r="L1489" s="5">
        <f t="shared" si="12"/>
        <v>3375.0000000000009</v>
      </c>
      <c r="M1489" s="5">
        <f t="shared" si="13"/>
        <v>1856.2500000000007</v>
      </c>
      <c r="N1489" s="6">
        <v>0.55000000000000004</v>
      </c>
    </row>
    <row r="1490" spans="1:14" ht="15.75" customHeight="1" x14ac:dyDescent="0.45">
      <c r="A1490" s="1" t="s">
        <v>119</v>
      </c>
      <c r="B1490" s="1">
        <v>1185732</v>
      </c>
      <c r="C1490" s="2">
        <v>44819</v>
      </c>
      <c r="D1490" s="1" t="s">
        <v>38</v>
      </c>
      <c r="E1490" s="1" t="s">
        <v>57</v>
      </c>
      <c r="F1490" s="1" t="s">
        <v>58</v>
      </c>
      <c r="G1490" s="1" t="s">
        <v>13</v>
      </c>
      <c r="H1490" s="1">
        <v>47</v>
      </c>
      <c r="I1490" s="1" t="s">
        <v>125</v>
      </c>
      <c r="J1490" s="3">
        <v>0.45000000000000007</v>
      </c>
      <c r="K1490" s="4">
        <v>8000</v>
      </c>
      <c r="L1490" s="5">
        <f t="shared" si="12"/>
        <v>3600.0000000000005</v>
      </c>
      <c r="M1490" s="5">
        <f t="shared" si="13"/>
        <v>1800.0000000000002</v>
      </c>
      <c r="N1490" s="6">
        <v>0.5</v>
      </c>
    </row>
    <row r="1491" spans="1:14" ht="15.75" customHeight="1" x14ac:dyDescent="0.45">
      <c r="A1491" s="1" t="s">
        <v>119</v>
      </c>
      <c r="B1491" s="1">
        <v>1185732</v>
      </c>
      <c r="C1491" s="2">
        <v>44819</v>
      </c>
      <c r="D1491" s="1" t="s">
        <v>38</v>
      </c>
      <c r="E1491" s="1" t="s">
        <v>57</v>
      </c>
      <c r="F1491" s="1" t="s">
        <v>58</v>
      </c>
      <c r="G1491" s="1" t="s">
        <v>14</v>
      </c>
      <c r="H1491" s="1">
        <v>35</v>
      </c>
      <c r="I1491" s="1" t="s">
        <v>125</v>
      </c>
      <c r="J1491" s="3">
        <v>0.40000000000000013</v>
      </c>
      <c r="K1491" s="4">
        <v>6000</v>
      </c>
      <c r="L1491" s="5">
        <f t="shared" si="12"/>
        <v>2400.0000000000009</v>
      </c>
      <c r="M1491" s="5">
        <f t="shared" si="13"/>
        <v>960.00000000000023</v>
      </c>
      <c r="N1491" s="6">
        <v>0.39999999999999997</v>
      </c>
    </row>
    <row r="1492" spans="1:14" ht="15.75" customHeight="1" x14ac:dyDescent="0.45">
      <c r="A1492" s="1" t="s">
        <v>119</v>
      </c>
      <c r="B1492" s="1">
        <v>1185732</v>
      </c>
      <c r="C1492" s="2">
        <v>44819</v>
      </c>
      <c r="D1492" s="1" t="s">
        <v>38</v>
      </c>
      <c r="E1492" s="1" t="s">
        <v>57</v>
      </c>
      <c r="F1492" s="1" t="s">
        <v>58</v>
      </c>
      <c r="G1492" s="1" t="s">
        <v>15</v>
      </c>
      <c r="H1492" s="1">
        <v>32</v>
      </c>
      <c r="I1492" s="1" t="s">
        <v>125</v>
      </c>
      <c r="J1492" s="3">
        <v>0.35</v>
      </c>
      <c r="K1492" s="4">
        <v>5000</v>
      </c>
      <c r="L1492" s="5">
        <f t="shared" si="12"/>
        <v>1750</v>
      </c>
      <c r="M1492" s="5">
        <f t="shared" si="13"/>
        <v>525</v>
      </c>
      <c r="N1492" s="6">
        <v>0.3</v>
      </c>
    </row>
    <row r="1493" spans="1:14" ht="15.75" customHeight="1" x14ac:dyDescent="0.45">
      <c r="A1493" s="1" t="s">
        <v>119</v>
      </c>
      <c r="B1493" s="1">
        <v>1185732</v>
      </c>
      <c r="C1493" s="2">
        <v>44819</v>
      </c>
      <c r="D1493" s="1" t="s">
        <v>38</v>
      </c>
      <c r="E1493" s="1" t="s">
        <v>57</v>
      </c>
      <c r="F1493" s="1" t="s">
        <v>58</v>
      </c>
      <c r="G1493" s="1" t="s">
        <v>16</v>
      </c>
      <c r="H1493" s="1">
        <v>38</v>
      </c>
      <c r="I1493" s="1" t="s">
        <v>126</v>
      </c>
      <c r="J1493" s="3">
        <v>0.35</v>
      </c>
      <c r="K1493" s="4">
        <v>4750</v>
      </c>
      <c r="L1493" s="5">
        <f t="shared" si="12"/>
        <v>1662.5</v>
      </c>
      <c r="M1493" s="5">
        <f t="shared" si="13"/>
        <v>581.875</v>
      </c>
      <c r="N1493" s="6">
        <v>0.35</v>
      </c>
    </row>
    <row r="1494" spans="1:14" ht="15.75" customHeight="1" x14ac:dyDescent="0.45">
      <c r="A1494" s="1" t="s">
        <v>119</v>
      </c>
      <c r="B1494" s="1">
        <v>1185732</v>
      </c>
      <c r="C1494" s="2">
        <v>44819</v>
      </c>
      <c r="D1494" s="1" t="s">
        <v>38</v>
      </c>
      <c r="E1494" s="1" t="s">
        <v>57</v>
      </c>
      <c r="F1494" s="1" t="s">
        <v>58</v>
      </c>
      <c r="G1494" s="1" t="s">
        <v>17</v>
      </c>
      <c r="H1494" s="1">
        <v>33</v>
      </c>
      <c r="I1494" s="1" t="s">
        <v>123</v>
      </c>
      <c r="J1494" s="3">
        <v>0.45000000000000007</v>
      </c>
      <c r="K1494" s="4">
        <v>4750</v>
      </c>
      <c r="L1494" s="5">
        <f t="shared" si="12"/>
        <v>2137.5000000000005</v>
      </c>
      <c r="M1494" s="5">
        <f t="shared" si="13"/>
        <v>855.00000000000011</v>
      </c>
      <c r="N1494" s="6">
        <v>0.39999999999999997</v>
      </c>
    </row>
    <row r="1495" spans="1:14" ht="15.75" customHeight="1" x14ac:dyDescent="0.45">
      <c r="A1495" s="1" t="s">
        <v>119</v>
      </c>
      <c r="B1495" s="1">
        <v>1185732</v>
      </c>
      <c r="C1495" s="2">
        <v>44819</v>
      </c>
      <c r="D1495" s="1" t="s">
        <v>38</v>
      </c>
      <c r="E1495" s="1" t="s">
        <v>57</v>
      </c>
      <c r="F1495" s="1" t="s">
        <v>58</v>
      </c>
      <c r="G1495" s="1" t="s">
        <v>18</v>
      </c>
      <c r="H1495" s="1">
        <v>37</v>
      </c>
      <c r="I1495" s="1" t="s">
        <v>125</v>
      </c>
      <c r="J1495" s="3">
        <v>0.50000000000000011</v>
      </c>
      <c r="K1495" s="4">
        <v>5750</v>
      </c>
      <c r="L1495" s="5">
        <f t="shared" si="12"/>
        <v>2875.0000000000005</v>
      </c>
      <c r="M1495" s="5">
        <f t="shared" si="13"/>
        <v>1581.2500000000005</v>
      </c>
      <c r="N1495" s="6">
        <v>0.55000000000000004</v>
      </c>
    </row>
    <row r="1496" spans="1:14" ht="15.75" customHeight="1" x14ac:dyDescent="0.45">
      <c r="A1496" s="1" t="s">
        <v>119</v>
      </c>
      <c r="B1496" s="1">
        <v>1185732</v>
      </c>
      <c r="C1496" s="2">
        <v>44851</v>
      </c>
      <c r="D1496" s="1" t="s">
        <v>38</v>
      </c>
      <c r="E1496" s="1" t="s">
        <v>57</v>
      </c>
      <c r="F1496" s="1" t="s">
        <v>58</v>
      </c>
      <c r="G1496" s="1" t="s">
        <v>13</v>
      </c>
      <c r="H1496" s="1">
        <v>53</v>
      </c>
      <c r="I1496" s="1" t="s">
        <v>124</v>
      </c>
      <c r="J1496" s="3">
        <v>0.50000000000000011</v>
      </c>
      <c r="K1496" s="4">
        <v>7500</v>
      </c>
      <c r="L1496" s="5">
        <f t="shared" si="12"/>
        <v>3750.0000000000009</v>
      </c>
      <c r="M1496" s="5">
        <f t="shared" si="13"/>
        <v>1875.0000000000005</v>
      </c>
      <c r="N1496" s="6">
        <v>0.5</v>
      </c>
    </row>
    <row r="1497" spans="1:14" ht="15.75" customHeight="1" x14ac:dyDescent="0.45">
      <c r="A1497" s="1" t="s">
        <v>119</v>
      </c>
      <c r="B1497" s="1">
        <v>1185732</v>
      </c>
      <c r="C1497" s="2">
        <v>44851</v>
      </c>
      <c r="D1497" s="1" t="s">
        <v>38</v>
      </c>
      <c r="E1497" s="1" t="s">
        <v>57</v>
      </c>
      <c r="F1497" s="1" t="s">
        <v>58</v>
      </c>
      <c r="G1497" s="1" t="s">
        <v>14</v>
      </c>
      <c r="H1497" s="1">
        <v>22</v>
      </c>
      <c r="I1497" s="1" t="s">
        <v>126</v>
      </c>
      <c r="J1497" s="3">
        <v>0.40000000000000013</v>
      </c>
      <c r="K1497" s="4">
        <v>5750</v>
      </c>
      <c r="L1497" s="5">
        <f t="shared" si="12"/>
        <v>2300.0000000000009</v>
      </c>
      <c r="M1497" s="5">
        <f t="shared" si="13"/>
        <v>920.00000000000034</v>
      </c>
      <c r="N1497" s="6">
        <v>0.39999999999999997</v>
      </c>
    </row>
    <row r="1498" spans="1:14" ht="15.75" customHeight="1" x14ac:dyDescent="0.45">
      <c r="A1498" s="1" t="s">
        <v>119</v>
      </c>
      <c r="B1498" s="1">
        <v>1185732</v>
      </c>
      <c r="C1498" s="2">
        <v>44851</v>
      </c>
      <c r="D1498" s="1" t="s">
        <v>38</v>
      </c>
      <c r="E1498" s="1" t="s">
        <v>57</v>
      </c>
      <c r="F1498" s="1" t="s">
        <v>58</v>
      </c>
      <c r="G1498" s="1" t="s">
        <v>15</v>
      </c>
      <c r="H1498" s="1">
        <v>52</v>
      </c>
      <c r="I1498" s="1" t="s">
        <v>126</v>
      </c>
      <c r="J1498" s="3">
        <v>0.40000000000000013</v>
      </c>
      <c r="K1498" s="4">
        <v>4250</v>
      </c>
      <c r="L1498" s="5">
        <f t="shared" si="12"/>
        <v>1700.0000000000005</v>
      </c>
      <c r="M1498" s="5">
        <f t="shared" si="13"/>
        <v>510.00000000000011</v>
      </c>
      <c r="N1498" s="6">
        <v>0.3</v>
      </c>
    </row>
    <row r="1499" spans="1:14" ht="15.75" customHeight="1" x14ac:dyDescent="0.45">
      <c r="A1499" s="1" t="s">
        <v>119</v>
      </c>
      <c r="B1499" s="1">
        <v>1185732</v>
      </c>
      <c r="C1499" s="2">
        <v>44851</v>
      </c>
      <c r="D1499" s="1" t="s">
        <v>38</v>
      </c>
      <c r="E1499" s="1" t="s">
        <v>57</v>
      </c>
      <c r="F1499" s="1" t="s">
        <v>58</v>
      </c>
      <c r="G1499" s="1" t="s">
        <v>16</v>
      </c>
      <c r="H1499" s="1">
        <v>38</v>
      </c>
      <c r="I1499" s="1" t="s">
        <v>125</v>
      </c>
      <c r="J1499" s="3">
        <v>0.40000000000000013</v>
      </c>
      <c r="K1499" s="4">
        <v>4000</v>
      </c>
      <c r="L1499" s="5">
        <f t="shared" si="12"/>
        <v>1600.0000000000005</v>
      </c>
      <c r="M1499" s="5">
        <f t="shared" si="13"/>
        <v>560.00000000000011</v>
      </c>
      <c r="N1499" s="6">
        <v>0.35</v>
      </c>
    </row>
    <row r="1500" spans="1:14" ht="15.75" customHeight="1" x14ac:dyDescent="0.45">
      <c r="A1500" s="1" t="s">
        <v>119</v>
      </c>
      <c r="B1500" s="1">
        <v>1185732</v>
      </c>
      <c r="C1500" s="2">
        <v>44851</v>
      </c>
      <c r="D1500" s="1" t="s">
        <v>38</v>
      </c>
      <c r="E1500" s="1" t="s">
        <v>57</v>
      </c>
      <c r="F1500" s="1" t="s">
        <v>58</v>
      </c>
      <c r="G1500" s="1" t="s">
        <v>17</v>
      </c>
      <c r="H1500" s="1">
        <v>59</v>
      </c>
      <c r="I1500" s="1" t="s">
        <v>123</v>
      </c>
      <c r="J1500" s="3">
        <v>0.50000000000000011</v>
      </c>
      <c r="K1500" s="4">
        <v>4000</v>
      </c>
      <c r="L1500" s="5">
        <f t="shared" si="12"/>
        <v>2000.0000000000005</v>
      </c>
      <c r="M1500" s="5">
        <f t="shared" si="13"/>
        <v>800.00000000000011</v>
      </c>
      <c r="N1500" s="6">
        <v>0.39999999999999997</v>
      </c>
    </row>
    <row r="1501" spans="1:14" ht="15.75" customHeight="1" x14ac:dyDescent="0.45">
      <c r="A1501" s="1" t="s">
        <v>119</v>
      </c>
      <c r="B1501" s="1">
        <v>1185732</v>
      </c>
      <c r="C1501" s="2">
        <v>44851</v>
      </c>
      <c r="D1501" s="1" t="s">
        <v>38</v>
      </c>
      <c r="E1501" s="1" t="s">
        <v>57</v>
      </c>
      <c r="F1501" s="1" t="s">
        <v>58</v>
      </c>
      <c r="G1501" s="1" t="s">
        <v>18</v>
      </c>
      <c r="H1501" s="1">
        <v>38</v>
      </c>
      <c r="I1501" s="1" t="s">
        <v>125</v>
      </c>
      <c r="J1501" s="3">
        <v>0.55000000000000004</v>
      </c>
      <c r="K1501" s="4">
        <v>5250</v>
      </c>
      <c r="L1501" s="5">
        <f t="shared" si="12"/>
        <v>2887.5000000000005</v>
      </c>
      <c r="M1501" s="5">
        <f t="shared" si="13"/>
        <v>1588.1250000000005</v>
      </c>
      <c r="N1501" s="6">
        <v>0.55000000000000004</v>
      </c>
    </row>
    <row r="1502" spans="1:14" ht="15.75" customHeight="1" x14ac:dyDescent="0.45">
      <c r="A1502" s="1" t="s">
        <v>119</v>
      </c>
      <c r="B1502" s="1">
        <v>1185732</v>
      </c>
      <c r="C1502" s="2">
        <v>44881</v>
      </c>
      <c r="D1502" s="1" t="s">
        <v>38</v>
      </c>
      <c r="E1502" s="1" t="s">
        <v>57</v>
      </c>
      <c r="F1502" s="1" t="s">
        <v>58</v>
      </c>
      <c r="G1502" s="1" t="s">
        <v>13</v>
      </c>
      <c r="H1502" s="1">
        <v>15</v>
      </c>
      <c r="I1502" s="1" t="s">
        <v>123</v>
      </c>
      <c r="J1502" s="3">
        <v>0.50000000000000011</v>
      </c>
      <c r="K1502" s="4">
        <v>6750</v>
      </c>
      <c r="L1502" s="5">
        <f t="shared" si="12"/>
        <v>3375.0000000000009</v>
      </c>
      <c r="M1502" s="5">
        <f t="shared" si="13"/>
        <v>1687.5000000000005</v>
      </c>
      <c r="N1502" s="6">
        <v>0.5</v>
      </c>
    </row>
    <row r="1503" spans="1:14" ht="15.75" customHeight="1" x14ac:dyDescent="0.45">
      <c r="A1503" s="1" t="s">
        <v>119</v>
      </c>
      <c r="B1503" s="1">
        <v>1185732</v>
      </c>
      <c r="C1503" s="2">
        <v>44881</v>
      </c>
      <c r="D1503" s="1" t="s">
        <v>38</v>
      </c>
      <c r="E1503" s="1" t="s">
        <v>57</v>
      </c>
      <c r="F1503" s="1" t="s">
        <v>58</v>
      </c>
      <c r="G1503" s="1" t="s">
        <v>14</v>
      </c>
      <c r="H1503" s="1">
        <v>19</v>
      </c>
      <c r="I1503" s="1" t="s">
        <v>123</v>
      </c>
      <c r="J1503" s="3">
        <v>0.45000000000000012</v>
      </c>
      <c r="K1503" s="4">
        <v>5000</v>
      </c>
      <c r="L1503" s="5">
        <f t="shared" si="12"/>
        <v>2250.0000000000005</v>
      </c>
      <c r="M1503" s="5">
        <f t="shared" si="13"/>
        <v>900.00000000000011</v>
      </c>
      <c r="N1503" s="6">
        <v>0.39999999999999997</v>
      </c>
    </row>
    <row r="1504" spans="1:14" ht="15.75" customHeight="1" x14ac:dyDescent="0.45">
      <c r="A1504" s="1" t="s">
        <v>119</v>
      </c>
      <c r="B1504" s="1">
        <v>1185732</v>
      </c>
      <c r="C1504" s="2">
        <v>44881</v>
      </c>
      <c r="D1504" s="1" t="s">
        <v>38</v>
      </c>
      <c r="E1504" s="1" t="s">
        <v>57</v>
      </c>
      <c r="F1504" s="1" t="s">
        <v>58</v>
      </c>
      <c r="G1504" s="1" t="s">
        <v>15</v>
      </c>
      <c r="H1504" s="1">
        <v>17</v>
      </c>
      <c r="I1504" s="1" t="s">
        <v>124</v>
      </c>
      <c r="J1504" s="3">
        <v>0.45000000000000012</v>
      </c>
      <c r="K1504" s="4">
        <v>4450</v>
      </c>
      <c r="L1504" s="5">
        <f t="shared" si="12"/>
        <v>2002.5000000000005</v>
      </c>
      <c r="M1504" s="5">
        <f t="shared" si="13"/>
        <v>600.75000000000011</v>
      </c>
      <c r="N1504" s="6">
        <v>0.3</v>
      </c>
    </row>
    <row r="1505" spans="1:14" ht="15.75" customHeight="1" x14ac:dyDescent="0.45">
      <c r="A1505" s="1" t="s">
        <v>119</v>
      </c>
      <c r="B1505" s="1">
        <v>1185732</v>
      </c>
      <c r="C1505" s="2">
        <v>44881</v>
      </c>
      <c r="D1505" s="1" t="s">
        <v>38</v>
      </c>
      <c r="E1505" s="1" t="s">
        <v>57</v>
      </c>
      <c r="F1505" s="1" t="s">
        <v>58</v>
      </c>
      <c r="G1505" s="1" t="s">
        <v>16</v>
      </c>
      <c r="H1505" s="1">
        <v>50</v>
      </c>
      <c r="I1505" s="1" t="s">
        <v>124</v>
      </c>
      <c r="J1505" s="3">
        <v>0.45000000000000012</v>
      </c>
      <c r="K1505" s="4">
        <v>4750</v>
      </c>
      <c r="L1505" s="5">
        <f t="shared" si="12"/>
        <v>2137.5000000000005</v>
      </c>
      <c r="M1505" s="5">
        <f t="shared" si="13"/>
        <v>748.12500000000011</v>
      </c>
      <c r="N1505" s="6">
        <v>0.35</v>
      </c>
    </row>
    <row r="1506" spans="1:14" ht="15.75" customHeight="1" x14ac:dyDescent="0.45">
      <c r="A1506" s="1" t="s">
        <v>119</v>
      </c>
      <c r="B1506" s="1">
        <v>1185732</v>
      </c>
      <c r="C1506" s="2">
        <v>44881</v>
      </c>
      <c r="D1506" s="1" t="s">
        <v>38</v>
      </c>
      <c r="E1506" s="1" t="s">
        <v>57</v>
      </c>
      <c r="F1506" s="1" t="s">
        <v>58</v>
      </c>
      <c r="G1506" s="1" t="s">
        <v>17</v>
      </c>
      <c r="H1506" s="1">
        <v>24</v>
      </c>
      <c r="I1506" s="1" t="s">
        <v>123</v>
      </c>
      <c r="J1506" s="3">
        <v>0.6</v>
      </c>
      <c r="K1506" s="4">
        <v>4500</v>
      </c>
      <c r="L1506" s="5">
        <f t="shared" si="12"/>
        <v>2700</v>
      </c>
      <c r="M1506" s="5">
        <f t="shared" si="13"/>
        <v>1080</v>
      </c>
      <c r="N1506" s="6">
        <v>0.39999999999999997</v>
      </c>
    </row>
    <row r="1507" spans="1:14" ht="15.75" customHeight="1" x14ac:dyDescent="0.45">
      <c r="A1507" s="1" t="s">
        <v>119</v>
      </c>
      <c r="B1507" s="1">
        <v>1185732</v>
      </c>
      <c r="C1507" s="2">
        <v>44881</v>
      </c>
      <c r="D1507" s="1" t="s">
        <v>38</v>
      </c>
      <c r="E1507" s="1" t="s">
        <v>57</v>
      </c>
      <c r="F1507" s="1" t="s">
        <v>58</v>
      </c>
      <c r="G1507" s="1" t="s">
        <v>18</v>
      </c>
      <c r="H1507" s="1">
        <v>22</v>
      </c>
      <c r="I1507" s="1" t="s">
        <v>123</v>
      </c>
      <c r="J1507" s="3">
        <v>0.64999999999999991</v>
      </c>
      <c r="K1507" s="4">
        <v>6250</v>
      </c>
      <c r="L1507" s="5">
        <f t="shared" si="12"/>
        <v>4062.4999999999995</v>
      </c>
      <c r="M1507" s="5">
        <f t="shared" si="13"/>
        <v>2234.375</v>
      </c>
      <c r="N1507" s="6">
        <v>0.55000000000000004</v>
      </c>
    </row>
    <row r="1508" spans="1:14" ht="15.75" customHeight="1" x14ac:dyDescent="0.45">
      <c r="A1508" s="1" t="s">
        <v>119</v>
      </c>
      <c r="B1508" s="1">
        <v>1185732</v>
      </c>
      <c r="C1508" s="2">
        <v>44910</v>
      </c>
      <c r="D1508" s="1" t="s">
        <v>38</v>
      </c>
      <c r="E1508" s="1" t="s">
        <v>57</v>
      </c>
      <c r="F1508" s="1" t="s">
        <v>58</v>
      </c>
      <c r="G1508" s="1" t="s">
        <v>13</v>
      </c>
      <c r="H1508" s="1">
        <v>36</v>
      </c>
      <c r="I1508" s="1" t="s">
        <v>124</v>
      </c>
      <c r="J1508" s="3">
        <v>0.6</v>
      </c>
      <c r="K1508" s="4">
        <v>8500</v>
      </c>
      <c r="L1508" s="5">
        <f t="shared" si="12"/>
        <v>5100</v>
      </c>
      <c r="M1508" s="5">
        <f t="shared" si="13"/>
        <v>2550</v>
      </c>
      <c r="N1508" s="6">
        <v>0.5</v>
      </c>
    </row>
    <row r="1509" spans="1:14" ht="15.75" customHeight="1" x14ac:dyDescent="0.45">
      <c r="A1509" s="1" t="s">
        <v>119</v>
      </c>
      <c r="B1509" s="1">
        <v>1185732</v>
      </c>
      <c r="C1509" s="2">
        <v>44910</v>
      </c>
      <c r="D1509" s="1" t="s">
        <v>38</v>
      </c>
      <c r="E1509" s="1" t="s">
        <v>57</v>
      </c>
      <c r="F1509" s="1" t="s">
        <v>58</v>
      </c>
      <c r="G1509" s="1" t="s">
        <v>14</v>
      </c>
      <c r="H1509" s="1">
        <v>54</v>
      </c>
      <c r="I1509" s="1" t="s">
        <v>126</v>
      </c>
      <c r="J1509" s="3">
        <v>0.5</v>
      </c>
      <c r="K1509" s="4">
        <v>6500</v>
      </c>
      <c r="L1509" s="5">
        <f t="shared" si="12"/>
        <v>3250</v>
      </c>
      <c r="M1509" s="5">
        <f t="shared" si="13"/>
        <v>1300</v>
      </c>
      <c r="N1509" s="6">
        <v>0.39999999999999997</v>
      </c>
    </row>
    <row r="1510" spans="1:14" ht="15.75" customHeight="1" x14ac:dyDescent="0.45">
      <c r="A1510" s="1" t="s">
        <v>119</v>
      </c>
      <c r="B1510" s="1">
        <v>1185732</v>
      </c>
      <c r="C1510" s="2">
        <v>44910</v>
      </c>
      <c r="D1510" s="1" t="s">
        <v>38</v>
      </c>
      <c r="E1510" s="1" t="s">
        <v>57</v>
      </c>
      <c r="F1510" s="1" t="s">
        <v>58</v>
      </c>
      <c r="G1510" s="1" t="s">
        <v>15</v>
      </c>
      <c r="H1510" s="1">
        <v>19</v>
      </c>
      <c r="I1510" s="1" t="s">
        <v>123</v>
      </c>
      <c r="J1510" s="3">
        <v>0.5</v>
      </c>
      <c r="K1510" s="4">
        <v>6000</v>
      </c>
      <c r="L1510" s="5">
        <f t="shared" si="12"/>
        <v>3000</v>
      </c>
      <c r="M1510" s="5">
        <f t="shared" si="13"/>
        <v>900</v>
      </c>
      <c r="N1510" s="6">
        <v>0.3</v>
      </c>
    </row>
    <row r="1511" spans="1:14" ht="15.75" customHeight="1" x14ac:dyDescent="0.45">
      <c r="A1511" s="1" t="s">
        <v>119</v>
      </c>
      <c r="B1511" s="1">
        <v>1185732</v>
      </c>
      <c r="C1511" s="2">
        <v>44910</v>
      </c>
      <c r="D1511" s="1" t="s">
        <v>38</v>
      </c>
      <c r="E1511" s="1" t="s">
        <v>57</v>
      </c>
      <c r="F1511" s="1" t="s">
        <v>58</v>
      </c>
      <c r="G1511" s="1" t="s">
        <v>16</v>
      </c>
      <c r="H1511" s="1">
        <v>34</v>
      </c>
      <c r="I1511" s="1" t="s">
        <v>125</v>
      </c>
      <c r="J1511" s="3">
        <v>0.5</v>
      </c>
      <c r="K1511" s="4">
        <v>5500</v>
      </c>
      <c r="L1511" s="5">
        <f t="shared" si="12"/>
        <v>2750</v>
      </c>
      <c r="M1511" s="5">
        <f t="shared" si="13"/>
        <v>962.49999999999989</v>
      </c>
      <c r="N1511" s="6">
        <v>0.35</v>
      </c>
    </row>
    <row r="1512" spans="1:14" ht="15.75" customHeight="1" x14ac:dyDescent="0.45">
      <c r="A1512" s="1" t="s">
        <v>119</v>
      </c>
      <c r="B1512" s="1">
        <v>1185732</v>
      </c>
      <c r="C1512" s="2">
        <v>44910</v>
      </c>
      <c r="D1512" s="1" t="s">
        <v>38</v>
      </c>
      <c r="E1512" s="1" t="s">
        <v>57</v>
      </c>
      <c r="F1512" s="1" t="s">
        <v>58</v>
      </c>
      <c r="G1512" s="1" t="s">
        <v>17</v>
      </c>
      <c r="H1512" s="1">
        <v>27</v>
      </c>
      <c r="I1512" s="1" t="s">
        <v>126</v>
      </c>
      <c r="J1512" s="3">
        <v>0.6</v>
      </c>
      <c r="K1512" s="4">
        <v>5500</v>
      </c>
      <c r="L1512" s="5">
        <f t="shared" si="12"/>
        <v>3300</v>
      </c>
      <c r="M1512" s="5">
        <f t="shared" si="13"/>
        <v>1320</v>
      </c>
      <c r="N1512" s="6">
        <v>0.39999999999999997</v>
      </c>
    </row>
    <row r="1513" spans="1:14" ht="15.75" customHeight="1" x14ac:dyDescent="0.45">
      <c r="A1513" s="1" t="s">
        <v>119</v>
      </c>
      <c r="B1513" s="1">
        <v>1185732</v>
      </c>
      <c r="C1513" s="2">
        <v>44910</v>
      </c>
      <c r="D1513" s="1" t="s">
        <v>38</v>
      </c>
      <c r="E1513" s="1" t="s">
        <v>57</v>
      </c>
      <c r="F1513" s="1" t="s">
        <v>58</v>
      </c>
      <c r="G1513" s="1" t="s">
        <v>18</v>
      </c>
      <c r="H1513" s="1">
        <v>46</v>
      </c>
      <c r="I1513" s="1" t="s">
        <v>123</v>
      </c>
      <c r="J1513" s="3">
        <v>0.64999999999999991</v>
      </c>
      <c r="K1513" s="4">
        <v>6500</v>
      </c>
      <c r="L1513" s="5">
        <f t="shared" si="12"/>
        <v>4224.9999999999991</v>
      </c>
      <c r="M1513" s="5">
        <f t="shared" si="13"/>
        <v>2323.7499999999995</v>
      </c>
      <c r="N1513" s="6">
        <v>0.55000000000000004</v>
      </c>
    </row>
    <row r="1514" spans="1:14" ht="15.75" customHeight="1" x14ac:dyDescent="0.45">
      <c r="A1514" s="1" t="s">
        <v>119</v>
      </c>
      <c r="B1514" s="1">
        <v>1185732</v>
      </c>
      <c r="C1514" s="2">
        <v>44579</v>
      </c>
      <c r="D1514" s="1" t="s">
        <v>26</v>
      </c>
      <c r="E1514" s="1" t="s">
        <v>59</v>
      </c>
      <c r="F1514" s="1" t="s">
        <v>60</v>
      </c>
      <c r="G1514" s="1" t="s">
        <v>13</v>
      </c>
      <c r="H1514" s="1">
        <v>20</v>
      </c>
      <c r="I1514" s="1" t="s">
        <v>124</v>
      </c>
      <c r="J1514" s="3">
        <v>0.3</v>
      </c>
      <c r="K1514" s="4">
        <v>6250</v>
      </c>
      <c r="L1514" s="5">
        <f t="shared" si="12"/>
        <v>1875</v>
      </c>
      <c r="M1514" s="5">
        <f t="shared" si="13"/>
        <v>750</v>
      </c>
      <c r="N1514" s="6">
        <v>0.4</v>
      </c>
    </row>
    <row r="1515" spans="1:14" ht="15.75" customHeight="1" x14ac:dyDescent="0.45">
      <c r="A1515" s="1" t="s">
        <v>119</v>
      </c>
      <c r="B1515" s="1">
        <v>1185732</v>
      </c>
      <c r="C1515" s="2">
        <v>44579</v>
      </c>
      <c r="D1515" s="1" t="s">
        <v>26</v>
      </c>
      <c r="E1515" s="1" t="s">
        <v>59</v>
      </c>
      <c r="F1515" s="1" t="s">
        <v>60</v>
      </c>
      <c r="G1515" s="1" t="s">
        <v>14</v>
      </c>
      <c r="H1515" s="1">
        <v>44</v>
      </c>
      <c r="I1515" s="1" t="s">
        <v>123</v>
      </c>
      <c r="J1515" s="3">
        <v>0.3</v>
      </c>
      <c r="K1515" s="4">
        <v>4250</v>
      </c>
      <c r="L1515" s="5">
        <f t="shared" si="12"/>
        <v>1275</v>
      </c>
      <c r="M1515" s="5">
        <f t="shared" si="13"/>
        <v>446.25</v>
      </c>
      <c r="N1515" s="6">
        <v>0.35</v>
      </c>
    </row>
    <row r="1516" spans="1:14" ht="15.75" customHeight="1" x14ac:dyDescent="0.45">
      <c r="A1516" s="1" t="s">
        <v>119</v>
      </c>
      <c r="B1516" s="1">
        <v>1185732</v>
      </c>
      <c r="C1516" s="2">
        <v>44579</v>
      </c>
      <c r="D1516" s="1" t="s">
        <v>26</v>
      </c>
      <c r="E1516" s="1" t="s">
        <v>59</v>
      </c>
      <c r="F1516" s="1" t="s">
        <v>60</v>
      </c>
      <c r="G1516" s="1" t="s">
        <v>15</v>
      </c>
      <c r="H1516" s="1">
        <v>33</v>
      </c>
      <c r="I1516" s="1" t="s">
        <v>123</v>
      </c>
      <c r="J1516" s="3">
        <v>0.2</v>
      </c>
      <c r="K1516" s="4">
        <v>4250</v>
      </c>
      <c r="L1516" s="5">
        <f t="shared" si="12"/>
        <v>850</v>
      </c>
      <c r="M1516" s="5">
        <f t="shared" si="13"/>
        <v>297.5</v>
      </c>
      <c r="N1516" s="6">
        <v>0.35</v>
      </c>
    </row>
    <row r="1517" spans="1:14" ht="15.75" customHeight="1" x14ac:dyDescent="0.45">
      <c r="A1517" s="1" t="s">
        <v>119</v>
      </c>
      <c r="B1517" s="1">
        <v>1185732</v>
      </c>
      <c r="C1517" s="2">
        <v>44579</v>
      </c>
      <c r="D1517" s="1" t="s">
        <v>26</v>
      </c>
      <c r="E1517" s="1" t="s">
        <v>59</v>
      </c>
      <c r="F1517" s="1" t="s">
        <v>60</v>
      </c>
      <c r="G1517" s="1" t="s">
        <v>16</v>
      </c>
      <c r="H1517" s="1">
        <v>27</v>
      </c>
      <c r="I1517" s="1" t="s">
        <v>125</v>
      </c>
      <c r="J1517" s="3">
        <v>0.25000000000000006</v>
      </c>
      <c r="K1517" s="4">
        <v>2750</v>
      </c>
      <c r="L1517" s="5">
        <f t="shared" si="12"/>
        <v>687.50000000000011</v>
      </c>
      <c r="M1517" s="5">
        <f t="shared" si="13"/>
        <v>275.00000000000006</v>
      </c>
      <c r="N1517" s="6">
        <v>0.4</v>
      </c>
    </row>
    <row r="1518" spans="1:14" ht="15.75" customHeight="1" x14ac:dyDescent="0.45">
      <c r="A1518" s="1" t="s">
        <v>119</v>
      </c>
      <c r="B1518" s="1">
        <v>1185732</v>
      </c>
      <c r="C1518" s="2">
        <v>44579</v>
      </c>
      <c r="D1518" s="1" t="s">
        <v>26</v>
      </c>
      <c r="E1518" s="1" t="s">
        <v>59</v>
      </c>
      <c r="F1518" s="1" t="s">
        <v>60</v>
      </c>
      <c r="G1518" s="1" t="s">
        <v>17</v>
      </c>
      <c r="H1518" s="1">
        <v>24</v>
      </c>
      <c r="I1518" s="1" t="s">
        <v>123</v>
      </c>
      <c r="J1518" s="3">
        <v>0.39999999999999997</v>
      </c>
      <c r="K1518" s="4">
        <v>3250</v>
      </c>
      <c r="L1518" s="5">
        <f t="shared" si="12"/>
        <v>1300</v>
      </c>
      <c r="M1518" s="5">
        <f t="shared" si="13"/>
        <v>454.99999999999994</v>
      </c>
      <c r="N1518" s="6">
        <v>0.35</v>
      </c>
    </row>
    <row r="1519" spans="1:14" ht="15.75" customHeight="1" x14ac:dyDescent="0.45">
      <c r="A1519" s="1" t="s">
        <v>119</v>
      </c>
      <c r="B1519" s="1">
        <v>1185732</v>
      </c>
      <c r="C1519" s="2">
        <v>44579</v>
      </c>
      <c r="D1519" s="1" t="s">
        <v>26</v>
      </c>
      <c r="E1519" s="1" t="s">
        <v>59</v>
      </c>
      <c r="F1519" s="1" t="s">
        <v>60</v>
      </c>
      <c r="G1519" s="1" t="s">
        <v>18</v>
      </c>
      <c r="H1519" s="1">
        <v>53</v>
      </c>
      <c r="I1519" s="1" t="s">
        <v>124</v>
      </c>
      <c r="J1519" s="3">
        <v>0.3</v>
      </c>
      <c r="K1519" s="4">
        <v>4250</v>
      </c>
      <c r="L1519" s="5">
        <f t="shared" si="12"/>
        <v>1275</v>
      </c>
      <c r="M1519" s="5">
        <f t="shared" si="13"/>
        <v>637.5</v>
      </c>
      <c r="N1519" s="6">
        <v>0.5</v>
      </c>
    </row>
    <row r="1520" spans="1:14" ht="15.75" customHeight="1" x14ac:dyDescent="0.45">
      <c r="A1520" s="1" t="s">
        <v>119</v>
      </c>
      <c r="B1520" s="1">
        <v>1185732</v>
      </c>
      <c r="C1520" s="2">
        <v>44610</v>
      </c>
      <c r="D1520" s="1" t="s">
        <v>26</v>
      </c>
      <c r="E1520" s="1" t="s">
        <v>59</v>
      </c>
      <c r="F1520" s="1" t="s">
        <v>60</v>
      </c>
      <c r="G1520" s="1" t="s">
        <v>13</v>
      </c>
      <c r="H1520" s="1">
        <v>54</v>
      </c>
      <c r="I1520" s="1" t="s">
        <v>123</v>
      </c>
      <c r="J1520" s="3">
        <v>0.3</v>
      </c>
      <c r="K1520" s="4">
        <v>6750</v>
      </c>
      <c r="L1520" s="5">
        <f t="shared" si="12"/>
        <v>2025</v>
      </c>
      <c r="M1520" s="5">
        <f t="shared" si="13"/>
        <v>810</v>
      </c>
      <c r="N1520" s="6">
        <v>0.4</v>
      </c>
    </row>
    <row r="1521" spans="1:14" ht="15.75" customHeight="1" x14ac:dyDescent="0.45">
      <c r="A1521" s="1" t="s">
        <v>119</v>
      </c>
      <c r="B1521" s="1">
        <v>1185732</v>
      </c>
      <c r="C1521" s="2">
        <v>44610</v>
      </c>
      <c r="D1521" s="1" t="s">
        <v>26</v>
      </c>
      <c r="E1521" s="1" t="s">
        <v>59</v>
      </c>
      <c r="F1521" s="1" t="s">
        <v>60</v>
      </c>
      <c r="G1521" s="1" t="s">
        <v>14</v>
      </c>
      <c r="H1521" s="1">
        <v>35</v>
      </c>
      <c r="I1521" s="1" t="s">
        <v>123</v>
      </c>
      <c r="J1521" s="3">
        <v>0.3</v>
      </c>
      <c r="K1521" s="4">
        <v>3250</v>
      </c>
      <c r="L1521" s="5">
        <f t="shared" si="12"/>
        <v>975</v>
      </c>
      <c r="M1521" s="5">
        <f t="shared" si="13"/>
        <v>341.25</v>
      </c>
      <c r="N1521" s="6">
        <v>0.35</v>
      </c>
    </row>
    <row r="1522" spans="1:14" ht="15.75" customHeight="1" x14ac:dyDescent="0.45">
      <c r="A1522" s="1" t="s">
        <v>119</v>
      </c>
      <c r="B1522" s="1">
        <v>1185732</v>
      </c>
      <c r="C1522" s="2">
        <v>44610</v>
      </c>
      <c r="D1522" s="1" t="s">
        <v>26</v>
      </c>
      <c r="E1522" s="1" t="s">
        <v>59</v>
      </c>
      <c r="F1522" s="1" t="s">
        <v>60</v>
      </c>
      <c r="G1522" s="1" t="s">
        <v>15</v>
      </c>
      <c r="H1522" s="1">
        <v>46</v>
      </c>
      <c r="I1522" s="1" t="s">
        <v>124</v>
      </c>
      <c r="J1522" s="3">
        <v>0.2</v>
      </c>
      <c r="K1522" s="4">
        <v>3750</v>
      </c>
      <c r="L1522" s="5">
        <f t="shared" si="12"/>
        <v>750</v>
      </c>
      <c r="M1522" s="5">
        <f t="shared" si="13"/>
        <v>262.5</v>
      </c>
      <c r="N1522" s="6">
        <v>0.35</v>
      </c>
    </row>
    <row r="1523" spans="1:14" ht="15.75" customHeight="1" x14ac:dyDescent="0.45">
      <c r="A1523" s="1" t="s">
        <v>119</v>
      </c>
      <c r="B1523" s="1">
        <v>1185732</v>
      </c>
      <c r="C1523" s="2">
        <v>44610</v>
      </c>
      <c r="D1523" s="1" t="s">
        <v>26</v>
      </c>
      <c r="E1523" s="1" t="s">
        <v>59</v>
      </c>
      <c r="F1523" s="1" t="s">
        <v>60</v>
      </c>
      <c r="G1523" s="1" t="s">
        <v>16</v>
      </c>
      <c r="H1523" s="1">
        <v>24</v>
      </c>
      <c r="I1523" s="1" t="s">
        <v>126</v>
      </c>
      <c r="J1523" s="3">
        <v>0.25000000000000006</v>
      </c>
      <c r="K1523" s="4">
        <v>2500</v>
      </c>
      <c r="L1523" s="5">
        <f t="shared" si="12"/>
        <v>625.00000000000011</v>
      </c>
      <c r="M1523" s="5">
        <f t="shared" si="13"/>
        <v>250.00000000000006</v>
      </c>
      <c r="N1523" s="6">
        <v>0.4</v>
      </c>
    </row>
    <row r="1524" spans="1:14" ht="15.75" customHeight="1" x14ac:dyDescent="0.45">
      <c r="A1524" s="1" t="s">
        <v>119</v>
      </c>
      <c r="B1524" s="1">
        <v>1185732</v>
      </c>
      <c r="C1524" s="2">
        <v>44610</v>
      </c>
      <c r="D1524" s="1" t="s">
        <v>26</v>
      </c>
      <c r="E1524" s="1" t="s">
        <v>59</v>
      </c>
      <c r="F1524" s="1" t="s">
        <v>60</v>
      </c>
      <c r="G1524" s="1" t="s">
        <v>17</v>
      </c>
      <c r="H1524" s="1">
        <v>58</v>
      </c>
      <c r="I1524" s="1" t="s">
        <v>123</v>
      </c>
      <c r="J1524" s="3">
        <v>0.39999999999999997</v>
      </c>
      <c r="K1524" s="4">
        <v>3250</v>
      </c>
      <c r="L1524" s="5">
        <f t="shared" si="12"/>
        <v>1300</v>
      </c>
      <c r="M1524" s="5">
        <f t="shared" si="13"/>
        <v>454.99999999999994</v>
      </c>
      <c r="N1524" s="6">
        <v>0.35</v>
      </c>
    </row>
    <row r="1525" spans="1:14" ht="15.75" customHeight="1" x14ac:dyDescent="0.45">
      <c r="A1525" s="1" t="s">
        <v>119</v>
      </c>
      <c r="B1525" s="1">
        <v>1185732</v>
      </c>
      <c r="C1525" s="2">
        <v>44610</v>
      </c>
      <c r="D1525" s="1" t="s">
        <v>26</v>
      </c>
      <c r="E1525" s="1" t="s">
        <v>59</v>
      </c>
      <c r="F1525" s="1" t="s">
        <v>60</v>
      </c>
      <c r="G1525" s="1" t="s">
        <v>18</v>
      </c>
      <c r="H1525" s="1">
        <v>56</v>
      </c>
      <c r="I1525" s="1" t="s">
        <v>123</v>
      </c>
      <c r="J1525" s="3">
        <v>0.3</v>
      </c>
      <c r="K1525" s="4">
        <v>4000</v>
      </c>
      <c r="L1525" s="5">
        <f t="shared" si="12"/>
        <v>1200</v>
      </c>
      <c r="M1525" s="5">
        <f t="shared" si="13"/>
        <v>600</v>
      </c>
      <c r="N1525" s="6">
        <v>0.5</v>
      </c>
    </row>
    <row r="1526" spans="1:14" ht="15.75" customHeight="1" x14ac:dyDescent="0.45">
      <c r="A1526" s="1" t="s">
        <v>119</v>
      </c>
      <c r="B1526" s="1">
        <v>1185732</v>
      </c>
      <c r="C1526" s="2">
        <v>44637</v>
      </c>
      <c r="D1526" s="1" t="s">
        <v>26</v>
      </c>
      <c r="E1526" s="1" t="s">
        <v>59</v>
      </c>
      <c r="F1526" s="1" t="s">
        <v>60</v>
      </c>
      <c r="G1526" s="1" t="s">
        <v>13</v>
      </c>
      <c r="H1526" s="1">
        <v>36</v>
      </c>
      <c r="I1526" s="1" t="s">
        <v>126</v>
      </c>
      <c r="J1526" s="3">
        <v>0.35000000000000003</v>
      </c>
      <c r="K1526" s="4">
        <v>6200</v>
      </c>
      <c r="L1526" s="5">
        <f t="shared" si="12"/>
        <v>2170</v>
      </c>
      <c r="M1526" s="5">
        <f t="shared" si="13"/>
        <v>868</v>
      </c>
      <c r="N1526" s="6">
        <v>0.4</v>
      </c>
    </row>
    <row r="1527" spans="1:14" ht="15.75" customHeight="1" x14ac:dyDescent="0.45">
      <c r="A1527" s="1" t="s">
        <v>119</v>
      </c>
      <c r="B1527" s="1">
        <v>1185732</v>
      </c>
      <c r="C1527" s="2">
        <v>44637</v>
      </c>
      <c r="D1527" s="1" t="s">
        <v>26</v>
      </c>
      <c r="E1527" s="1" t="s">
        <v>59</v>
      </c>
      <c r="F1527" s="1" t="s">
        <v>60</v>
      </c>
      <c r="G1527" s="1" t="s">
        <v>14</v>
      </c>
      <c r="H1527" s="1">
        <v>20</v>
      </c>
      <c r="I1527" s="1" t="s">
        <v>126</v>
      </c>
      <c r="J1527" s="3">
        <v>0.35000000000000003</v>
      </c>
      <c r="K1527" s="4">
        <v>3000</v>
      </c>
      <c r="L1527" s="5">
        <f t="shared" si="12"/>
        <v>1050</v>
      </c>
      <c r="M1527" s="5">
        <f t="shared" si="13"/>
        <v>367.5</v>
      </c>
      <c r="N1527" s="6">
        <v>0.35</v>
      </c>
    </row>
    <row r="1528" spans="1:14" ht="15.75" customHeight="1" x14ac:dyDescent="0.45">
      <c r="A1528" s="1" t="s">
        <v>119</v>
      </c>
      <c r="B1528" s="1">
        <v>1185732</v>
      </c>
      <c r="C1528" s="2">
        <v>44637</v>
      </c>
      <c r="D1528" s="1" t="s">
        <v>26</v>
      </c>
      <c r="E1528" s="1" t="s">
        <v>59</v>
      </c>
      <c r="F1528" s="1" t="s">
        <v>60</v>
      </c>
      <c r="G1528" s="1" t="s">
        <v>15</v>
      </c>
      <c r="H1528" s="1">
        <v>32</v>
      </c>
      <c r="I1528" s="1" t="s">
        <v>125</v>
      </c>
      <c r="J1528" s="3">
        <v>0.25000000000000006</v>
      </c>
      <c r="K1528" s="4">
        <v>3500</v>
      </c>
      <c r="L1528" s="5">
        <f t="shared" si="12"/>
        <v>875.00000000000023</v>
      </c>
      <c r="M1528" s="5">
        <f t="shared" si="13"/>
        <v>306.25000000000006</v>
      </c>
      <c r="N1528" s="6">
        <v>0.35</v>
      </c>
    </row>
    <row r="1529" spans="1:14" ht="15.75" customHeight="1" x14ac:dyDescent="0.45">
      <c r="A1529" s="1" t="s">
        <v>119</v>
      </c>
      <c r="B1529" s="1">
        <v>1185732</v>
      </c>
      <c r="C1529" s="2">
        <v>44637</v>
      </c>
      <c r="D1529" s="1" t="s">
        <v>26</v>
      </c>
      <c r="E1529" s="1" t="s">
        <v>59</v>
      </c>
      <c r="F1529" s="1" t="s">
        <v>60</v>
      </c>
      <c r="G1529" s="1" t="s">
        <v>16</v>
      </c>
      <c r="H1529" s="1">
        <v>36</v>
      </c>
      <c r="I1529" s="1" t="s">
        <v>125</v>
      </c>
      <c r="J1529" s="3">
        <v>0.3</v>
      </c>
      <c r="K1529" s="4">
        <v>2000</v>
      </c>
      <c r="L1529" s="5">
        <f t="shared" si="12"/>
        <v>600</v>
      </c>
      <c r="M1529" s="5">
        <f t="shared" si="13"/>
        <v>240</v>
      </c>
      <c r="N1529" s="6">
        <v>0.4</v>
      </c>
    </row>
    <row r="1530" spans="1:14" ht="15.75" customHeight="1" x14ac:dyDescent="0.45">
      <c r="A1530" s="1" t="s">
        <v>119</v>
      </c>
      <c r="B1530" s="1">
        <v>1185732</v>
      </c>
      <c r="C1530" s="2">
        <v>44637</v>
      </c>
      <c r="D1530" s="1" t="s">
        <v>26</v>
      </c>
      <c r="E1530" s="1" t="s">
        <v>59</v>
      </c>
      <c r="F1530" s="1" t="s">
        <v>60</v>
      </c>
      <c r="G1530" s="1" t="s">
        <v>17</v>
      </c>
      <c r="H1530" s="1">
        <v>36</v>
      </c>
      <c r="I1530" s="1" t="s">
        <v>126</v>
      </c>
      <c r="J1530" s="3">
        <v>0.45</v>
      </c>
      <c r="K1530" s="4">
        <v>2500</v>
      </c>
      <c r="L1530" s="5">
        <f t="shared" si="12"/>
        <v>1125</v>
      </c>
      <c r="M1530" s="5">
        <f t="shared" si="13"/>
        <v>393.75</v>
      </c>
      <c r="N1530" s="6">
        <v>0.35</v>
      </c>
    </row>
    <row r="1531" spans="1:14" ht="15.75" customHeight="1" x14ac:dyDescent="0.45">
      <c r="A1531" s="1" t="s">
        <v>119</v>
      </c>
      <c r="B1531" s="1">
        <v>1185732</v>
      </c>
      <c r="C1531" s="2">
        <v>44637</v>
      </c>
      <c r="D1531" s="1" t="s">
        <v>26</v>
      </c>
      <c r="E1531" s="1" t="s">
        <v>59</v>
      </c>
      <c r="F1531" s="1" t="s">
        <v>60</v>
      </c>
      <c r="G1531" s="1" t="s">
        <v>18</v>
      </c>
      <c r="H1531" s="1">
        <v>30</v>
      </c>
      <c r="I1531" s="1" t="s">
        <v>126</v>
      </c>
      <c r="J1531" s="3">
        <v>0.35000000000000003</v>
      </c>
      <c r="K1531" s="4">
        <v>3500</v>
      </c>
      <c r="L1531" s="5">
        <f t="shared" si="12"/>
        <v>1225.0000000000002</v>
      </c>
      <c r="M1531" s="5">
        <f t="shared" si="13"/>
        <v>612.50000000000011</v>
      </c>
      <c r="N1531" s="6">
        <v>0.5</v>
      </c>
    </row>
    <row r="1532" spans="1:14" ht="15.75" customHeight="1" x14ac:dyDescent="0.45">
      <c r="A1532" s="1" t="s">
        <v>119</v>
      </c>
      <c r="B1532" s="1">
        <v>1185732</v>
      </c>
      <c r="C1532" s="2">
        <v>44669</v>
      </c>
      <c r="D1532" s="1" t="s">
        <v>26</v>
      </c>
      <c r="E1532" s="1" t="s">
        <v>59</v>
      </c>
      <c r="F1532" s="1" t="s">
        <v>60</v>
      </c>
      <c r="G1532" s="1" t="s">
        <v>13</v>
      </c>
      <c r="H1532" s="1">
        <v>59</v>
      </c>
      <c r="I1532" s="1" t="s">
        <v>125</v>
      </c>
      <c r="J1532" s="3">
        <v>0.35000000000000003</v>
      </c>
      <c r="K1532" s="4">
        <v>5750</v>
      </c>
      <c r="L1532" s="5">
        <f t="shared" si="12"/>
        <v>2012.5000000000002</v>
      </c>
      <c r="M1532" s="5">
        <f t="shared" si="13"/>
        <v>805.00000000000011</v>
      </c>
      <c r="N1532" s="6">
        <v>0.4</v>
      </c>
    </row>
    <row r="1533" spans="1:14" ht="15.75" customHeight="1" x14ac:dyDescent="0.45">
      <c r="A1533" s="1" t="s">
        <v>119</v>
      </c>
      <c r="B1533" s="1">
        <v>1185732</v>
      </c>
      <c r="C1533" s="2">
        <v>44669</v>
      </c>
      <c r="D1533" s="1" t="s">
        <v>26</v>
      </c>
      <c r="E1533" s="1" t="s">
        <v>59</v>
      </c>
      <c r="F1533" s="1" t="s">
        <v>60</v>
      </c>
      <c r="G1533" s="1" t="s">
        <v>14</v>
      </c>
      <c r="H1533" s="1">
        <v>33</v>
      </c>
      <c r="I1533" s="1" t="s">
        <v>124</v>
      </c>
      <c r="J1533" s="3">
        <v>0.30000000000000004</v>
      </c>
      <c r="K1533" s="4">
        <v>2750</v>
      </c>
      <c r="L1533" s="5">
        <f t="shared" si="12"/>
        <v>825.00000000000011</v>
      </c>
      <c r="M1533" s="5">
        <f t="shared" si="13"/>
        <v>288.75</v>
      </c>
      <c r="N1533" s="6">
        <v>0.35</v>
      </c>
    </row>
    <row r="1534" spans="1:14" ht="15.75" customHeight="1" x14ac:dyDescent="0.45">
      <c r="A1534" s="1" t="s">
        <v>119</v>
      </c>
      <c r="B1534" s="1">
        <v>1185732</v>
      </c>
      <c r="C1534" s="2">
        <v>44669</v>
      </c>
      <c r="D1534" s="1" t="s">
        <v>26</v>
      </c>
      <c r="E1534" s="1" t="s">
        <v>59</v>
      </c>
      <c r="F1534" s="1" t="s">
        <v>60</v>
      </c>
      <c r="G1534" s="1" t="s">
        <v>15</v>
      </c>
      <c r="H1534" s="1">
        <v>24</v>
      </c>
      <c r="I1534" s="1" t="s">
        <v>123</v>
      </c>
      <c r="J1534" s="3">
        <v>0.20000000000000007</v>
      </c>
      <c r="K1534" s="4">
        <v>2750</v>
      </c>
      <c r="L1534" s="5">
        <f t="shared" si="12"/>
        <v>550.00000000000023</v>
      </c>
      <c r="M1534" s="5">
        <f t="shared" si="13"/>
        <v>192.50000000000006</v>
      </c>
      <c r="N1534" s="6">
        <v>0.35</v>
      </c>
    </row>
    <row r="1535" spans="1:14" ht="15.75" customHeight="1" x14ac:dyDescent="0.45">
      <c r="A1535" s="1" t="s">
        <v>119</v>
      </c>
      <c r="B1535" s="1">
        <v>1185732</v>
      </c>
      <c r="C1535" s="2">
        <v>44669</v>
      </c>
      <c r="D1535" s="1" t="s">
        <v>26</v>
      </c>
      <c r="E1535" s="1" t="s">
        <v>59</v>
      </c>
      <c r="F1535" s="1" t="s">
        <v>60</v>
      </c>
      <c r="G1535" s="1" t="s">
        <v>16</v>
      </c>
      <c r="H1535" s="1">
        <v>15</v>
      </c>
      <c r="I1535" s="1" t="s">
        <v>125</v>
      </c>
      <c r="J1535" s="3">
        <v>0.25</v>
      </c>
      <c r="K1535" s="4">
        <v>2000</v>
      </c>
      <c r="L1535" s="5">
        <f t="shared" si="12"/>
        <v>500</v>
      </c>
      <c r="M1535" s="5">
        <f t="shared" si="13"/>
        <v>200</v>
      </c>
      <c r="N1535" s="6">
        <v>0.4</v>
      </c>
    </row>
    <row r="1536" spans="1:14" ht="15.75" customHeight="1" x14ac:dyDescent="0.45">
      <c r="A1536" s="1" t="s">
        <v>119</v>
      </c>
      <c r="B1536" s="1">
        <v>1185732</v>
      </c>
      <c r="C1536" s="2">
        <v>44669</v>
      </c>
      <c r="D1536" s="1" t="s">
        <v>26</v>
      </c>
      <c r="E1536" s="1" t="s">
        <v>59</v>
      </c>
      <c r="F1536" s="1" t="s">
        <v>60</v>
      </c>
      <c r="G1536" s="1" t="s">
        <v>17</v>
      </c>
      <c r="H1536" s="1">
        <v>30</v>
      </c>
      <c r="I1536" s="1" t="s">
        <v>125</v>
      </c>
      <c r="J1536" s="3">
        <v>0.4</v>
      </c>
      <c r="K1536" s="4">
        <v>2250</v>
      </c>
      <c r="L1536" s="5">
        <f t="shared" si="12"/>
        <v>900</v>
      </c>
      <c r="M1536" s="5">
        <f t="shared" si="13"/>
        <v>315</v>
      </c>
      <c r="N1536" s="6">
        <v>0.35</v>
      </c>
    </row>
    <row r="1537" spans="1:14" ht="15.75" customHeight="1" x14ac:dyDescent="0.45">
      <c r="A1537" s="1" t="s">
        <v>119</v>
      </c>
      <c r="B1537" s="1">
        <v>1185732</v>
      </c>
      <c r="C1537" s="2">
        <v>44669</v>
      </c>
      <c r="D1537" s="1" t="s">
        <v>26</v>
      </c>
      <c r="E1537" s="1" t="s">
        <v>59</v>
      </c>
      <c r="F1537" s="1" t="s">
        <v>60</v>
      </c>
      <c r="G1537" s="1" t="s">
        <v>18</v>
      </c>
      <c r="H1537" s="1">
        <v>23</v>
      </c>
      <c r="I1537" s="1" t="s">
        <v>123</v>
      </c>
      <c r="J1537" s="3">
        <v>0.30000000000000004</v>
      </c>
      <c r="K1537" s="4">
        <v>3500</v>
      </c>
      <c r="L1537" s="5">
        <f t="shared" si="12"/>
        <v>1050.0000000000002</v>
      </c>
      <c r="M1537" s="5">
        <f t="shared" si="13"/>
        <v>525.00000000000011</v>
      </c>
      <c r="N1537" s="6">
        <v>0.5</v>
      </c>
    </row>
    <row r="1538" spans="1:14" ht="15.75" customHeight="1" x14ac:dyDescent="0.45">
      <c r="A1538" s="1" t="s">
        <v>119</v>
      </c>
      <c r="B1538" s="1">
        <v>1185732</v>
      </c>
      <c r="C1538" s="2">
        <v>44700</v>
      </c>
      <c r="D1538" s="1" t="s">
        <v>26</v>
      </c>
      <c r="E1538" s="1" t="s">
        <v>59</v>
      </c>
      <c r="F1538" s="1" t="s">
        <v>60</v>
      </c>
      <c r="G1538" s="1" t="s">
        <v>13</v>
      </c>
      <c r="H1538" s="1">
        <v>21</v>
      </c>
      <c r="I1538" s="1" t="s">
        <v>124</v>
      </c>
      <c r="J1538" s="3">
        <v>0.4</v>
      </c>
      <c r="K1538" s="4">
        <v>6200</v>
      </c>
      <c r="L1538" s="5">
        <f t="shared" si="12"/>
        <v>2480</v>
      </c>
      <c r="M1538" s="5">
        <f t="shared" si="13"/>
        <v>992</v>
      </c>
      <c r="N1538" s="6">
        <v>0.4</v>
      </c>
    </row>
    <row r="1539" spans="1:14" ht="15.75" customHeight="1" x14ac:dyDescent="0.45">
      <c r="A1539" s="1" t="s">
        <v>119</v>
      </c>
      <c r="B1539" s="1">
        <v>1185732</v>
      </c>
      <c r="C1539" s="2">
        <v>44700</v>
      </c>
      <c r="D1539" s="1" t="s">
        <v>26</v>
      </c>
      <c r="E1539" s="1" t="s">
        <v>59</v>
      </c>
      <c r="F1539" s="1" t="s">
        <v>60</v>
      </c>
      <c r="G1539" s="1" t="s">
        <v>14</v>
      </c>
      <c r="H1539" s="1">
        <v>41</v>
      </c>
      <c r="I1539" s="1" t="s">
        <v>124</v>
      </c>
      <c r="J1539" s="3">
        <v>0.35000000000000009</v>
      </c>
      <c r="K1539" s="4">
        <v>3250</v>
      </c>
      <c r="L1539" s="5">
        <f t="shared" si="12"/>
        <v>1137.5000000000002</v>
      </c>
      <c r="M1539" s="5">
        <f t="shared" si="13"/>
        <v>398.12500000000006</v>
      </c>
      <c r="N1539" s="6">
        <v>0.35</v>
      </c>
    </row>
    <row r="1540" spans="1:14" ht="15.75" customHeight="1" x14ac:dyDescent="0.45">
      <c r="A1540" s="1" t="s">
        <v>119</v>
      </c>
      <c r="B1540" s="1">
        <v>1185732</v>
      </c>
      <c r="C1540" s="2">
        <v>44700</v>
      </c>
      <c r="D1540" s="1" t="s">
        <v>26</v>
      </c>
      <c r="E1540" s="1" t="s">
        <v>59</v>
      </c>
      <c r="F1540" s="1" t="s">
        <v>60</v>
      </c>
      <c r="G1540" s="1" t="s">
        <v>15</v>
      </c>
      <c r="H1540" s="1">
        <v>50</v>
      </c>
      <c r="I1540" s="1" t="s">
        <v>125</v>
      </c>
      <c r="J1540" s="3">
        <v>0.30000000000000004</v>
      </c>
      <c r="K1540" s="4">
        <v>3000</v>
      </c>
      <c r="L1540" s="5">
        <f t="shared" si="12"/>
        <v>900.00000000000011</v>
      </c>
      <c r="M1540" s="5">
        <f t="shared" si="13"/>
        <v>315</v>
      </c>
      <c r="N1540" s="6">
        <v>0.35</v>
      </c>
    </row>
    <row r="1541" spans="1:14" ht="15.75" customHeight="1" x14ac:dyDescent="0.45">
      <c r="A1541" s="1" t="s">
        <v>119</v>
      </c>
      <c r="B1541" s="1">
        <v>1185732</v>
      </c>
      <c r="C1541" s="2">
        <v>44700</v>
      </c>
      <c r="D1541" s="1" t="s">
        <v>26</v>
      </c>
      <c r="E1541" s="1" t="s">
        <v>59</v>
      </c>
      <c r="F1541" s="1" t="s">
        <v>60</v>
      </c>
      <c r="G1541" s="1" t="s">
        <v>16</v>
      </c>
      <c r="H1541" s="1">
        <v>43</v>
      </c>
      <c r="I1541" s="1" t="s">
        <v>125</v>
      </c>
      <c r="J1541" s="3">
        <v>0.30000000000000004</v>
      </c>
      <c r="K1541" s="4">
        <v>2250</v>
      </c>
      <c r="L1541" s="5">
        <f t="shared" si="12"/>
        <v>675.00000000000011</v>
      </c>
      <c r="M1541" s="5">
        <f t="shared" si="13"/>
        <v>270.00000000000006</v>
      </c>
      <c r="N1541" s="6">
        <v>0.4</v>
      </c>
    </row>
    <row r="1542" spans="1:14" ht="15.75" customHeight="1" x14ac:dyDescent="0.45">
      <c r="A1542" s="1" t="s">
        <v>119</v>
      </c>
      <c r="B1542" s="1">
        <v>1185732</v>
      </c>
      <c r="C1542" s="2">
        <v>44700</v>
      </c>
      <c r="D1542" s="1" t="s">
        <v>26</v>
      </c>
      <c r="E1542" s="1" t="s">
        <v>59</v>
      </c>
      <c r="F1542" s="1" t="s">
        <v>60</v>
      </c>
      <c r="G1542" s="1" t="s">
        <v>17</v>
      </c>
      <c r="H1542" s="1">
        <v>27</v>
      </c>
      <c r="I1542" s="1" t="s">
        <v>124</v>
      </c>
      <c r="J1542" s="3">
        <v>0.44999999999999996</v>
      </c>
      <c r="K1542" s="4">
        <v>2500</v>
      </c>
      <c r="L1542" s="5">
        <f t="shared" si="12"/>
        <v>1125</v>
      </c>
      <c r="M1542" s="5">
        <f t="shared" si="13"/>
        <v>393.75</v>
      </c>
      <c r="N1542" s="6">
        <v>0.35</v>
      </c>
    </row>
    <row r="1543" spans="1:14" ht="15.75" customHeight="1" x14ac:dyDescent="0.45">
      <c r="A1543" s="1" t="s">
        <v>119</v>
      </c>
      <c r="B1543" s="1">
        <v>1185732</v>
      </c>
      <c r="C1543" s="2">
        <v>44700</v>
      </c>
      <c r="D1543" s="1" t="s">
        <v>26</v>
      </c>
      <c r="E1543" s="1" t="s">
        <v>59</v>
      </c>
      <c r="F1543" s="1" t="s">
        <v>60</v>
      </c>
      <c r="G1543" s="1" t="s">
        <v>18</v>
      </c>
      <c r="H1543" s="1">
        <v>38</v>
      </c>
      <c r="I1543" s="1" t="s">
        <v>125</v>
      </c>
      <c r="J1543" s="3">
        <v>0.49999999999999994</v>
      </c>
      <c r="K1543" s="4">
        <v>3500</v>
      </c>
      <c r="L1543" s="5">
        <f t="shared" si="12"/>
        <v>1749.9999999999998</v>
      </c>
      <c r="M1543" s="5">
        <f t="shared" si="13"/>
        <v>874.99999999999989</v>
      </c>
      <c r="N1543" s="6">
        <v>0.5</v>
      </c>
    </row>
    <row r="1544" spans="1:14" ht="15.75" customHeight="1" x14ac:dyDescent="0.45">
      <c r="A1544" s="1" t="s">
        <v>119</v>
      </c>
      <c r="B1544" s="1">
        <v>1185732</v>
      </c>
      <c r="C1544" s="2">
        <v>44730</v>
      </c>
      <c r="D1544" s="1" t="s">
        <v>26</v>
      </c>
      <c r="E1544" s="1" t="s">
        <v>59</v>
      </c>
      <c r="F1544" s="1" t="s">
        <v>60</v>
      </c>
      <c r="G1544" s="1" t="s">
        <v>13</v>
      </c>
      <c r="H1544" s="1">
        <v>57</v>
      </c>
      <c r="I1544" s="1" t="s">
        <v>126</v>
      </c>
      <c r="J1544" s="3">
        <v>0.35000000000000003</v>
      </c>
      <c r="K1544" s="4">
        <v>6000</v>
      </c>
      <c r="L1544" s="5">
        <f t="shared" si="12"/>
        <v>2100</v>
      </c>
      <c r="M1544" s="5">
        <f t="shared" si="13"/>
        <v>840</v>
      </c>
      <c r="N1544" s="6">
        <v>0.4</v>
      </c>
    </row>
    <row r="1545" spans="1:14" ht="15.75" customHeight="1" x14ac:dyDescent="0.45">
      <c r="A1545" s="1" t="s">
        <v>119</v>
      </c>
      <c r="B1545" s="1">
        <v>1185732</v>
      </c>
      <c r="C1545" s="2">
        <v>44730</v>
      </c>
      <c r="D1545" s="1" t="s">
        <v>26</v>
      </c>
      <c r="E1545" s="1" t="s">
        <v>59</v>
      </c>
      <c r="F1545" s="1" t="s">
        <v>60</v>
      </c>
      <c r="G1545" s="1" t="s">
        <v>14</v>
      </c>
      <c r="H1545" s="1">
        <v>18</v>
      </c>
      <c r="I1545" s="1" t="s">
        <v>123</v>
      </c>
      <c r="J1545" s="3">
        <v>0.3000000000000001</v>
      </c>
      <c r="K1545" s="4">
        <v>3500</v>
      </c>
      <c r="L1545" s="5">
        <f t="shared" si="12"/>
        <v>1050.0000000000005</v>
      </c>
      <c r="M1545" s="5">
        <f t="shared" si="13"/>
        <v>367.50000000000011</v>
      </c>
      <c r="N1545" s="6">
        <v>0.35</v>
      </c>
    </row>
    <row r="1546" spans="1:14" ht="15.75" customHeight="1" x14ac:dyDescent="0.45">
      <c r="A1546" s="1" t="s">
        <v>119</v>
      </c>
      <c r="B1546" s="1">
        <v>1185732</v>
      </c>
      <c r="C1546" s="2">
        <v>44730</v>
      </c>
      <c r="D1546" s="1" t="s">
        <v>26</v>
      </c>
      <c r="E1546" s="1" t="s">
        <v>59</v>
      </c>
      <c r="F1546" s="1" t="s">
        <v>60</v>
      </c>
      <c r="G1546" s="1" t="s">
        <v>15</v>
      </c>
      <c r="H1546" s="1">
        <v>23</v>
      </c>
      <c r="I1546" s="1" t="s">
        <v>123</v>
      </c>
      <c r="J1546" s="3">
        <v>0.25000000000000006</v>
      </c>
      <c r="K1546" s="4">
        <v>3750</v>
      </c>
      <c r="L1546" s="5">
        <f t="shared" si="12"/>
        <v>937.50000000000023</v>
      </c>
      <c r="M1546" s="5">
        <f t="shared" si="13"/>
        <v>328.12500000000006</v>
      </c>
      <c r="N1546" s="6">
        <v>0.35</v>
      </c>
    </row>
    <row r="1547" spans="1:14" ht="15.75" customHeight="1" x14ac:dyDescent="0.45">
      <c r="A1547" s="1" t="s">
        <v>119</v>
      </c>
      <c r="B1547" s="1">
        <v>1185732</v>
      </c>
      <c r="C1547" s="2">
        <v>44730</v>
      </c>
      <c r="D1547" s="1" t="s">
        <v>26</v>
      </c>
      <c r="E1547" s="1" t="s">
        <v>59</v>
      </c>
      <c r="F1547" s="1" t="s">
        <v>60</v>
      </c>
      <c r="G1547" s="1" t="s">
        <v>16</v>
      </c>
      <c r="H1547" s="1">
        <v>52</v>
      </c>
      <c r="I1547" s="1" t="s">
        <v>126</v>
      </c>
      <c r="J1547" s="3">
        <v>0.25000000000000006</v>
      </c>
      <c r="K1547" s="4">
        <v>3500</v>
      </c>
      <c r="L1547" s="5">
        <f t="shared" si="12"/>
        <v>875.00000000000023</v>
      </c>
      <c r="M1547" s="5">
        <f t="shared" si="13"/>
        <v>350.00000000000011</v>
      </c>
      <c r="N1547" s="6">
        <v>0.4</v>
      </c>
    </row>
    <row r="1548" spans="1:14" ht="15.75" customHeight="1" x14ac:dyDescent="0.45">
      <c r="A1548" s="1" t="s">
        <v>119</v>
      </c>
      <c r="B1548" s="1">
        <v>1185732</v>
      </c>
      <c r="C1548" s="2">
        <v>44730</v>
      </c>
      <c r="D1548" s="1" t="s">
        <v>26</v>
      </c>
      <c r="E1548" s="1" t="s">
        <v>59</v>
      </c>
      <c r="F1548" s="1" t="s">
        <v>60</v>
      </c>
      <c r="G1548" s="1" t="s">
        <v>17</v>
      </c>
      <c r="H1548" s="1">
        <v>44</v>
      </c>
      <c r="I1548" s="1" t="s">
        <v>123</v>
      </c>
      <c r="J1548" s="3">
        <v>0.4</v>
      </c>
      <c r="K1548" s="4">
        <v>3500</v>
      </c>
      <c r="L1548" s="5">
        <f t="shared" si="12"/>
        <v>1400</v>
      </c>
      <c r="M1548" s="5">
        <f t="shared" si="13"/>
        <v>489.99999999999994</v>
      </c>
      <c r="N1548" s="6">
        <v>0.35</v>
      </c>
    </row>
    <row r="1549" spans="1:14" ht="15.75" customHeight="1" x14ac:dyDescent="0.45">
      <c r="A1549" s="1" t="s">
        <v>119</v>
      </c>
      <c r="B1549" s="1">
        <v>1185732</v>
      </c>
      <c r="C1549" s="2">
        <v>44730</v>
      </c>
      <c r="D1549" s="1" t="s">
        <v>26</v>
      </c>
      <c r="E1549" s="1" t="s">
        <v>59</v>
      </c>
      <c r="F1549" s="1" t="s">
        <v>60</v>
      </c>
      <c r="G1549" s="1" t="s">
        <v>18</v>
      </c>
      <c r="H1549" s="1">
        <v>51</v>
      </c>
      <c r="I1549" s="1" t="s">
        <v>123</v>
      </c>
      <c r="J1549" s="3">
        <v>0.45</v>
      </c>
      <c r="K1549" s="4">
        <v>5250</v>
      </c>
      <c r="L1549" s="5">
        <f t="shared" si="12"/>
        <v>2362.5</v>
      </c>
      <c r="M1549" s="5">
        <f t="shared" si="13"/>
        <v>1181.25</v>
      </c>
      <c r="N1549" s="6">
        <v>0.5</v>
      </c>
    </row>
    <row r="1550" spans="1:14" ht="15.75" customHeight="1" x14ac:dyDescent="0.45">
      <c r="A1550" s="1" t="s">
        <v>119</v>
      </c>
      <c r="B1550" s="1">
        <v>1185732</v>
      </c>
      <c r="C1550" s="2">
        <v>44759</v>
      </c>
      <c r="D1550" s="1" t="s">
        <v>26</v>
      </c>
      <c r="E1550" s="1" t="s">
        <v>59</v>
      </c>
      <c r="F1550" s="1" t="s">
        <v>60</v>
      </c>
      <c r="G1550" s="1" t="s">
        <v>13</v>
      </c>
      <c r="H1550" s="1">
        <v>52</v>
      </c>
      <c r="I1550" s="1" t="s">
        <v>124</v>
      </c>
      <c r="J1550" s="3">
        <v>0.4</v>
      </c>
      <c r="K1550" s="4">
        <v>7500</v>
      </c>
      <c r="L1550" s="5">
        <f t="shared" si="12"/>
        <v>3000</v>
      </c>
      <c r="M1550" s="5">
        <f t="shared" si="13"/>
        <v>1200</v>
      </c>
      <c r="N1550" s="6">
        <v>0.4</v>
      </c>
    </row>
    <row r="1551" spans="1:14" ht="15.75" customHeight="1" x14ac:dyDescent="0.45">
      <c r="A1551" s="1" t="s">
        <v>119</v>
      </c>
      <c r="B1551" s="1">
        <v>1185732</v>
      </c>
      <c r="C1551" s="2">
        <v>44759</v>
      </c>
      <c r="D1551" s="1" t="s">
        <v>26</v>
      </c>
      <c r="E1551" s="1" t="s">
        <v>59</v>
      </c>
      <c r="F1551" s="1" t="s">
        <v>60</v>
      </c>
      <c r="G1551" s="1" t="s">
        <v>14</v>
      </c>
      <c r="H1551" s="1">
        <v>34</v>
      </c>
      <c r="I1551" s="1" t="s">
        <v>126</v>
      </c>
      <c r="J1551" s="3">
        <v>0.35000000000000009</v>
      </c>
      <c r="K1551" s="4">
        <v>5000</v>
      </c>
      <c r="L1551" s="5">
        <f t="shared" si="12"/>
        <v>1750.0000000000005</v>
      </c>
      <c r="M1551" s="5">
        <f t="shared" si="13"/>
        <v>612.50000000000011</v>
      </c>
      <c r="N1551" s="6">
        <v>0.35</v>
      </c>
    </row>
    <row r="1552" spans="1:14" ht="15.75" customHeight="1" x14ac:dyDescent="0.45">
      <c r="A1552" s="1" t="s">
        <v>119</v>
      </c>
      <c r="B1552" s="1">
        <v>1185732</v>
      </c>
      <c r="C1552" s="2">
        <v>44759</v>
      </c>
      <c r="D1552" s="1" t="s">
        <v>26</v>
      </c>
      <c r="E1552" s="1" t="s">
        <v>59</v>
      </c>
      <c r="F1552" s="1" t="s">
        <v>60</v>
      </c>
      <c r="G1552" s="1" t="s">
        <v>15</v>
      </c>
      <c r="H1552" s="1">
        <v>40</v>
      </c>
      <c r="I1552" s="1" t="s">
        <v>126</v>
      </c>
      <c r="J1552" s="3">
        <v>0.30000000000000004</v>
      </c>
      <c r="K1552" s="4">
        <v>4250</v>
      </c>
      <c r="L1552" s="5">
        <f t="shared" si="12"/>
        <v>1275.0000000000002</v>
      </c>
      <c r="M1552" s="5">
        <f t="shared" si="13"/>
        <v>446.25000000000006</v>
      </c>
      <c r="N1552" s="6">
        <v>0.35</v>
      </c>
    </row>
    <row r="1553" spans="1:14" ht="15.75" customHeight="1" x14ac:dyDescent="0.45">
      <c r="A1553" s="1" t="s">
        <v>119</v>
      </c>
      <c r="B1553" s="1">
        <v>1185732</v>
      </c>
      <c r="C1553" s="2">
        <v>44759</v>
      </c>
      <c r="D1553" s="1" t="s">
        <v>26</v>
      </c>
      <c r="E1553" s="1" t="s">
        <v>59</v>
      </c>
      <c r="F1553" s="1" t="s">
        <v>60</v>
      </c>
      <c r="G1553" s="1" t="s">
        <v>16</v>
      </c>
      <c r="H1553" s="1">
        <v>32</v>
      </c>
      <c r="I1553" s="1" t="s">
        <v>123</v>
      </c>
      <c r="J1553" s="3">
        <v>0.30000000000000004</v>
      </c>
      <c r="K1553" s="4">
        <v>3750</v>
      </c>
      <c r="L1553" s="5">
        <f t="shared" si="12"/>
        <v>1125.0000000000002</v>
      </c>
      <c r="M1553" s="5">
        <f t="shared" si="13"/>
        <v>450.00000000000011</v>
      </c>
      <c r="N1553" s="6">
        <v>0.4</v>
      </c>
    </row>
    <row r="1554" spans="1:14" ht="15.75" customHeight="1" x14ac:dyDescent="0.45">
      <c r="A1554" s="1" t="s">
        <v>119</v>
      </c>
      <c r="B1554" s="1">
        <v>1185732</v>
      </c>
      <c r="C1554" s="2">
        <v>44759</v>
      </c>
      <c r="D1554" s="1" t="s">
        <v>26</v>
      </c>
      <c r="E1554" s="1" t="s">
        <v>59</v>
      </c>
      <c r="F1554" s="1" t="s">
        <v>60</v>
      </c>
      <c r="G1554" s="1" t="s">
        <v>17</v>
      </c>
      <c r="H1554" s="1">
        <v>43</v>
      </c>
      <c r="I1554" s="1" t="s">
        <v>125</v>
      </c>
      <c r="J1554" s="3">
        <v>0.4</v>
      </c>
      <c r="K1554" s="4">
        <v>3750</v>
      </c>
      <c r="L1554" s="5">
        <f t="shared" si="12"/>
        <v>1500</v>
      </c>
      <c r="M1554" s="5">
        <f t="shared" si="13"/>
        <v>525</v>
      </c>
      <c r="N1554" s="6">
        <v>0.35</v>
      </c>
    </row>
    <row r="1555" spans="1:14" ht="15.75" customHeight="1" x14ac:dyDescent="0.45">
      <c r="A1555" s="1" t="s">
        <v>119</v>
      </c>
      <c r="B1555" s="1">
        <v>1185732</v>
      </c>
      <c r="C1555" s="2">
        <v>44759</v>
      </c>
      <c r="D1555" s="1" t="s">
        <v>26</v>
      </c>
      <c r="E1555" s="1" t="s">
        <v>59</v>
      </c>
      <c r="F1555" s="1" t="s">
        <v>60</v>
      </c>
      <c r="G1555" s="1" t="s">
        <v>18</v>
      </c>
      <c r="H1555" s="1">
        <v>16</v>
      </c>
      <c r="I1555" s="1" t="s">
        <v>124</v>
      </c>
      <c r="J1555" s="3">
        <v>0.45</v>
      </c>
      <c r="K1555" s="4">
        <v>5500</v>
      </c>
      <c r="L1555" s="5">
        <f t="shared" si="12"/>
        <v>2475</v>
      </c>
      <c r="M1555" s="5">
        <f t="shared" si="13"/>
        <v>1237.5</v>
      </c>
      <c r="N1555" s="6">
        <v>0.5</v>
      </c>
    </row>
    <row r="1556" spans="1:14" ht="15.75" customHeight="1" x14ac:dyDescent="0.45">
      <c r="A1556" s="1" t="s">
        <v>119</v>
      </c>
      <c r="B1556" s="1">
        <v>1185732</v>
      </c>
      <c r="C1556" s="2">
        <v>44791</v>
      </c>
      <c r="D1556" s="1" t="s">
        <v>26</v>
      </c>
      <c r="E1556" s="1" t="s">
        <v>59</v>
      </c>
      <c r="F1556" s="1" t="s">
        <v>60</v>
      </c>
      <c r="G1556" s="1" t="s">
        <v>13</v>
      </c>
      <c r="H1556" s="1">
        <v>36</v>
      </c>
      <c r="I1556" s="1" t="s">
        <v>124</v>
      </c>
      <c r="J1556" s="3">
        <v>0.4</v>
      </c>
      <c r="K1556" s="4">
        <v>7000</v>
      </c>
      <c r="L1556" s="5">
        <f t="shared" si="12"/>
        <v>2800</v>
      </c>
      <c r="M1556" s="5">
        <f t="shared" si="13"/>
        <v>1120</v>
      </c>
      <c r="N1556" s="6">
        <v>0.4</v>
      </c>
    </row>
    <row r="1557" spans="1:14" ht="15.75" customHeight="1" x14ac:dyDescent="0.45">
      <c r="A1557" s="1" t="s">
        <v>119</v>
      </c>
      <c r="B1557" s="1">
        <v>1185732</v>
      </c>
      <c r="C1557" s="2">
        <v>44791</v>
      </c>
      <c r="D1557" s="1" t="s">
        <v>26</v>
      </c>
      <c r="E1557" s="1" t="s">
        <v>59</v>
      </c>
      <c r="F1557" s="1" t="s">
        <v>60</v>
      </c>
      <c r="G1557" s="1" t="s">
        <v>14</v>
      </c>
      <c r="H1557" s="1">
        <v>33</v>
      </c>
      <c r="I1557" s="1" t="s">
        <v>123</v>
      </c>
      <c r="J1557" s="3">
        <v>0.40000000000000008</v>
      </c>
      <c r="K1557" s="4">
        <v>4750</v>
      </c>
      <c r="L1557" s="5">
        <f t="shared" si="12"/>
        <v>1900.0000000000005</v>
      </c>
      <c r="M1557" s="5">
        <f t="shared" si="13"/>
        <v>665.00000000000011</v>
      </c>
      <c r="N1557" s="6">
        <v>0.35</v>
      </c>
    </row>
    <row r="1558" spans="1:14" ht="15.75" customHeight="1" x14ac:dyDescent="0.45">
      <c r="A1558" s="1" t="s">
        <v>119</v>
      </c>
      <c r="B1558" s="1">
        <v>1185732</v>
      </c>
      <c r="C1558" s="2">
        <v>44791</v>
      </c>
      <c r="D1558" s="1" t="s">
        <v>26</v>
      </c>
      <c r="E1558" s="1" t="s">
        <v>59</v>
      </c>
      <c r="F1558" s="1" t="s">
        <v>60</v>
      </c>
      <c r="G1558" s="1" t="s">
        <v>15</v>
      </c>
      <c r="H1558" s="1">
        <v>31</v>
      </c>
      <c r="I1558" s="1" t="s">
        <v>123</v>
      </c>
      <c r="J1558" s="3">
        <v>0.35000000000000003</v>
      </c>
      <c r="K1558" s="4">
        <v>4000</v>
      </c>
      <c r="L1558" s="5">
        <f t="shared" si="12"/>
        <v>1400.0000000000002</v>
      </c>
      <c r="M1558" s="5">
        <f t="shared" si="13"/>
        <v>490.00000000000006</v>
      </c>
      <c r="N1558" s="6">
        <v>0.35</v>
      </c>
    </row>
    <row r="1559" spans="1:14" ht="15.75" customHeight="1" x14ac:dyDescent="0.45">
      <c r="A1559" s="1" t="s">
        <v>119</v>
      </c>
      <c r="B1559" s="1">
        <v>1185732</v>
      </c>
      <c r="C1559" s="2">
        <v>44791</v>
      </c>
      <c r="D1559" s="1" t="s">
        <v>26</v>
      </c>
      <c r="E1559" s="1" t="s">
        <v>59</v>
      </c>
      <c r="F1559" s="1" t="s">
        <v>60</v>
      </c>
      <c r="G1559" s="1" t="s">
        <v>16</v>
      </c>
      <c r="H1559" s="1">
        <v>47</v>
      </c>
      <c r="I1559" s="1" t="s">
        <v>124</v>
      </c>
      <c r="J1559" s="3">
        <v>0.25000000000000006</v>
      </c>
      <c r="K1559" s="4">
        <v>3250</v>
      </c>
      <c r="L1559" s="5">
        <f t="shared" si="12"/>
        <v>812.50000000000023</v>
      </c>
      <c r="M1559" s="5">
        <f t="shared" si="13"/>
        <v>325.00000000000011</v>
      </c>
      <c r="N1559" s="6">
        <v>0.4</v>
      </c>
    </row>
    <row r="1560" spans="1:14" ht="15.75" customHeight="1" x14ac:dyDescent="0.45">
      <c r="A1560" s="1" t="s">
        <v>119</v>
      </c>
      <c r="B1560" s="1">
        <v>1185732</v>
      </c>
      <c r="C1560" s="2">
        <v>44791</v>
      </c>
      <c r="D1560" s="1" t="s">
        <v>26</v>
      </c>
      <c r="E1560" s="1" t="s">
        <v>59</v>
      </c>
      <c r="F1560" s="1" t="s">
        <v>60</v>
      </c>
      <c r="G1560" s="1" t="s">
        <v>17</v>
      </c>
      <c r="H1560" s="1">
        <v>32</v>
      </c>
      <c r="I1560" s="1" t="s">
        <v>125</v>
      </c>
      <c r="J1560" s="3">
        <v>0.35000000000000003</v>
      </c>
      <c r="K1560" s="4">
        <v>3000</v>
      </c>
      <c r="L1560" s="5">
        <f t="shared" si="12"/>
        <v>1050</v>
      </c>
      <c r="M1560" s="5">
        <f t="shared" si="13"/>
        <v>367.5</v>
      </c>
      <c r="N1560" s="6">
        <v>0.35</v>
      </c>
    </row>
    <row r="1561" spans="1:14" ht="15.75" customHeight="1" x14ac:dyDescent="0.45">
      <c r="A1561" s="1" t="s">
        <v>119</v>
      </c>
      <c r="B1561" s="1">
        <v>1185732</v>
      </c>
      <c r="C1561" s="2">
        <v>44791</v>
      </c>
      <c r="D1561" s="1" t="s">
        <v>26</v>
      </c>
      <c r="E1561" s="1" t="s">
        <v>59</v>
      </c>
      <c r="F1561" s="1" t="s">
        <v>60</v>
      </c>
      <c r="G1561" s="1" t="s">
        <v>18</v>
      </c>
      <c r="H1561" s="1">
        <v>21</v>
      </c>
      <c r="I1561" s="1" t="s">
        <v>126</v>
      </c>
      <c r="J1561" s="3">
        <v>0.4</v>
      </c>
      <c r="K1561" s="4">
        <v>4750</v>
      </c>
      <c r="L1561" s="5">
        <f t="shared" si="12"/>
        <v>1900</v>
      </c>
      <c r="M1561" s="5">
        <f t="shared" si="13"/>
        <v>950</v>
      </c>
      <c r="N1561" s="6">
        <v>0.5</v>
      </c>
    </row>
    <row r="1562" spans="1:14" ht="15.75" customHeight="1" x14ac:dyDescent="0.45">
      <c r="A1562" s="1" t="s">
        <v>119</v>
      </c>
      <c r="B1562" s="1">
        <v>1185732</v>
      </c>
      <c r="C1562" s="2">
        <v>44823</v>
      </c>
      <c r="D1562" s="1" t="s">
        <v>26</v>
      </c>
      <c r="E1562" s="1" t="s">
        <v>59</v>
      </c>
      <c r="F1562" s="1" t="s">
        <v>60</v>
      </c>
      <c r="G1562" s="1" t="s">
        <v>13</v>
      </c>
      <c r="H1562" s="1">
        <v>59</v>
      </c>
      <c r="I1562" s="1" t="s">
        <v>123</v>
      </c>
      <c r="J1562" s="3">
        <v>0.35000000000000003</v>
      </c>
      <c r="K1562" s="4">
        <v>6000</v>
      </c>
      <c r="L1562" s="5">
        <f t="shared" si="12"/>
        <v>2100</v>
      </c>
      <c r="M1562" s="5">
        <f t="shared" si="13"/>
        <v>840</v>
      </c>
      <c r="N1562" s="6">
        <v>0.4</v>
      </c>
    </row>
    <row r="1563" spans="1:14" ht="15.75" customHeight="1" x14ac:dyDescent="0.45">
      <c r="A1563" s="1" t="s">
        <v>119</v>
      </c>
      <c r="B1563" s="1">
        <v>1185732</v>
      </c>
      <c r="C1563" s="2">
        <v>44823</v>
      </c>
      <c r="D1563" s="1" t="s">
        <v>26</v>
      </c>
      <c r="E1563" s="1" t="s">
        <v>59</v>
      </c>
      <c r="F1563" s="1" t="s">
        <v>60</v>
      </c>
      <c r="G1563" s="1" t="s">
        <v>14</v>
      </c>
      <c r="H1563" s="1">
        <v>36</v>
      </c>
      <c r="I1563" s="1" t="s">
        <v>123</v>
      </c>
      <c r="J1563" s="3">
        <v>0.3000000000000001</v>
      </c>
      <c r="K1563" s="4">
        <v>4000</v>
      </c>
      <c r="L1563" s="5">
        <f t="shared" si="12"/>
        <v>1200.0000000000005</v>
      </c>
      <c r="M1563" s="5">
        <f t="shared" si="13"/>
        <v>420.00000000000011</v>
      </c>
      <c r="N1563" s="6">
        <v>0.35</v>
      </c>
    </row>
    <row r="1564" spans="1:14" ht="15.75" customHeight="1" x14ac:dyDescent="0.45">
      <c r="A1564" s="1" t="s">
        <v>119</v>
      </c>
      <c r="B1564" s="1">
        <v>1185732</v>
      </c>
      <c r="C1564" s="2">
        <v>44823</v>
      </c>
      <c r="D1564" s="1" t="s">
        <v>26</v>
      </c>
      <c r="E1564" s="1" t="s">
        <v>59</v>
      </c>
      <c r="F1564" s="1" t="s">
        <v>60</v>
      </c>
      <c r="G1564" s="1" t="s">
        <v>15</v>
      </c>
      <c r="H1564" s="1">
        <v>39</v>
      </c>
      <c r="I1564" s="1" t="s">
        <v>124</v>
      </c>
      <c r="J1564" s="3">
        <v>0.15000000000000002</v>
      </c>
      <c r="K1564" s="4">
        <v>3000</v>
      </c>
      <c r="L1564" s="5">
        <f t="shared" si="12"/>
        <v>450.00000000000006</v>
      </c>
      <c r="M1564" s="5">
        <f t="shared" si="13"/>
        <v>157.5</v>
      </c>
      <c r="N1564" s="6">
        <v>0.35</v>
      </c>
    </row>
    <row r="1565" spans="1:14" ht="15.75" customHeight="1" x14ac:dyDescent="0.45">
      <c r="A1565" s="1" t="s">
        <v>119</v>
      </c>
      <c r="B1565" s="1">
        <v>1185732</v>
      </c>
      <c r="C1565" s="2">
        <v>44823</v>
      </c>
      <c r="D1565" s="1" t="s">
        <v>26</v>
      </c>
      <c r="E1565" s="1" t="s">
        <v>59</v>
      </c>
      <c r="F1565" s="1" t="s">
        <v>60</v>
      </c>
      <c r="G1565" s="1" t="s">
        <v>16</v>
      </c>
      <c r="H1565" s="1">
        <v>17</v>
      </c>
      <c r="I1565" s="1" t="s">
        <v>125</v>
      </c>
      <c r="J1565" s="3">
        <v>0.15000000000000002</v>
      </c>
      <c r="K1565" s="4">
        <v>2750</v>
      </c>
      <c r="L1565" s="5">
        <f t="shared" si="12"/>
        <v>412.50000000000006</v>
      </c>
      <c r="M1565" s="5">
        <f t="shared" si="13"/>
        <v>165.00000000000003</v>
      </c>
      <c r="N1565" s="6">
        <v>0.4</v>
      </c>
    </row>
    <row r="1566" spans="1:14" ht="15.75" customHeight="1" x14ac:dyDescent="0.45">
      <c r="A1566" s="1" t="s">
        <v>119</v>
      </c>
      <c r="B1566" s="1">
        <v>1185732</v>
      </c>
      <c r="C1566" s="2">
        <v>44823</v>
      </c>
      <c r="D1566" s="1" t="s">
        <v>26</v>
      </c>
      <c r="E1566" s="1" t="s">
        <v>59</v>
      </c>
      <c r="F1566" s="1" t="s">
        <v>60</v>
      </c>
      <c r="G1566" s="1" t="s">
        <v>17</v>
      </c>
      <c r="H1566" s="1">
        <v>42</v>
      </c>
      <c r="I1566" s="1" t="s">
        <v>126</v>
      </c>
      <c r="J1566" s="3">
        <v>0.25</v>
      </c>
      <c r="K1566" s="4">
        <v>2750</v>
      </c>
      <c r="L1566" s="5">
        <f t="shared" si="12"/>
        <v>687.5</v>
      </c>
      <c r="M1566" s="5">
        <f t="shared" si="13"/>
        <v>240.62499999999997</v>
      </c>
      <c r="N1566" s="6">
        <v>0.35</v>
      </c>
    </row>
    <row r="1567" spans="1:14" ht="15.75" customHeight="1" x14ac:dyDescent="0.45">
      <c r="A1567" s="1" t="s">
        <v>119</v>
      </c>
      <c r="B1567" s="1">
        <v>1185732</v>
      </c>
      <c r="C1567" s="2">
        <v>44823</v>
      </c>
      <c r="D1567" s="1" t="s">
        <v>26</v>
      </c>
      <c r="E1567" s="1" t="s">
        <v>59</v>
      </c>
      <c r="F1567" s="1" t="s">
        <v>60</v>
      </c>
      <c r="G1567" s="1" t="s">
        <v>18</v>
      </c>
      <c r="H1567" s="1">
        <v>23</v>
      </c>
      <c r="I1567" s="1" t="s">
        <v>123</v>
      </c>
      <c r="J1567" s="3">
        <v>0.30000000000000004</v>
      </c>
      <c r="K1567" s="4">
        <v>3500</v>
      </c>
      <c r="L1567" s="5">
        <f t="shared" si="12"/>
        <v>1050.0000000000002</v>
      </c>
      <c r="M1567" s="5">
        <f t="shared" si="13"/>
        <v>525.00000000000011</v>
      </c>
      <c r="N1567" s="6">
        <v>0.5</v>
      </c>
    </row>
    <row r="1568" spans="1:14" ht="15.75" customHeight="1" x14ac:dyDescent="0.45">
      <c r="A1568" s="1" t="s">
        <v>119</v>
      </c>
      <c r="B1568" s="1">
        <v>1185732</v>
      </c>
      <c r="C1568" s="2">
        <v>44852</v>
      </c>
      <c r="D1568" s="1" t="s">
        <v>26</v>
      </c>
      <c r="E1568" s="1" t="s">
        <v>59</v>
      </c>
      <c r="F1568" s="1" t="s">
        <v>60</v>
      </c>
      <c r="G1568" s="1" t="s">
        <v>13</v>
      </c>
      <c r="H1568" s="1">
        <v>47</v>
      </c>
      <c r="I1568" s="1" t="s">
        <v>123</v>
      </c>
      <c r="J1568" s="3">
        <v>0.35</v>
      </c>
      <c r="K1568" s="4">
        <v>5250</v>
      </c>
      <c r="L1568" s="5">
        <f t="shared" si="12"/>
        <v>1837.4999999999998</v>
      </c>
      <c r="M1568" s="5">
        <f t="shared" si="13"/>
        <v>735</v>
      </c>
      <c r="N1568" s="6">
        <v>0.4</v>
      </c>
    </row>
    <row r="1569" spans="1:14" ht="15.75" customHeight="1" x14ac:dyDescent="0.45">
      <c r="A1569" s="1" t="s">
        <v>119</v>
      </c>
      <c r="B1569" s="1">
        <v>1185732</v>
      </c>
      <c r="C1569" s="2">
        <v>44852</v>
      </c>
      <c r="D1569" s="1" t="s">
        <v>26</v>
      </c>
      <c r="E1569" s="1" t="s">
        <v>59</v>
      </c>
      <c r="F1569" s="1" t="s">
        <v>60</v>
      </c>
      <c r="G1569" s="1" t="s">
        <v>14</v>
      </c>
      <c r="H1569" s="1">
        <v>22</v>
      </c>
      <c r="I1569" s="1" t="s">
        <v>124</v>
      </c>
      <c r="J1569" s="3">
        <v>0.25</v>
      </c>
      <c r="K1569" s="4">
        <v>3500</v>
      </c>
      <c r="L1569" s="5">
        <f t="shared" si="12"/>
        <v>875</v>
      </c>
      <c r="M1569" s="5">
        <f t="shared" si="13"/>
        <v>306.25</v>
      </c>
      <c r="N1569" s="6">
        <v>0.35</v>
      </c>
    </row>
    <row r="1570" spans="1:14" ht="15.75" customHeight="1" x14ac:dyDescent="0.45">
      <c r="A1570" s="1" t="s">
        <v>119</v>
      </c>
      <c r="B1570" s="1">
        <v>1185732</v>
      </c>
      <c r="C1570" s="2">
        <v>44852</v>
      </c>
      <c r="D1570" s="1" t="s">
        <v>26</v>
      </c>
      <c r="E1570" s="1" t="s">
        <v>59</v>
      </c>
      <c r="F1570" s="1" t="s">
        <v>60</v>
      </c>
      <c r="G1570" s="1" t="s">
        <v>15</v>
      </c>
      <c r="H1570" s="1">
        <v>59</v>
      </c>
      <c r="I1570" s="1" t="s">
        <v>126</v>
      </c>
      <c r="J1570" s="3">
        <v>0.25</v>
      </c>
      <c r="K1570" s="4">
        <v>2500</v>
      </c>
      <c r="L1570" s="5">
        <f t="shared" si="12"/>
        <v>625</v>
      </c>
      <c r="M1570" s="5">
        <f t="shared" si="13"/>
        <v>218.75</v>
      </c>
      <c r="N1570" s="6">
        <v>0.35</v>
      </c>
    </row>
    <row r="1571" spans="1:14" ht="15.75" customHeight="1" x14ac:dyDescent="0.45">
      <c r="A1571" s="1" t="s">
        <v>119</v>
      </c>
      <c r="B1571" s="1">
        <v>1185732</v>
      </c>
      <c r="C1571" s="2">
        <v>44852</v>
      </c>
      <c r="D1571" s="1" t="s">
        <v>26</v>
      </c>
      <c r="E1571" s="1" t="s">
        <v>59</v>
      </c>
      <c r="F1571" s="1" t="s">
        <v>60</v>
      </c>
      <c r="G1571" s="1" t="s">
        <v>16</v>
      </c>
      <c r="H1571" s="1">
        <v>60</v>
      </c>
      <c r="I1571" s="1" t="s">
        <v>123</v>
      </c>
      <c r="J1571" s="3">
        <v>0.25</v>
      </c>
      <c r="K1571" s="4">
        <v>2250</v>
      </c>
      <c r="L1571" s="5">
        <f t="shared" si="12"/>
        <v>562.5</v>
      </c>
      <c r="M1571" s="5">
        <f t="shared" si="13"/>
        <v>225</v>
      </c>
      <c r="N1571" s="6">
        <v>0.4</v>
      </c>
    </row>
    <row r="1572" spans="1:14" ht="15.75" customHeight="1" x14ac:dyDescent="0.45">
      <c r="A1572" s="1" t="s">
        <v>119</v>
      </c>
      <c r="B1572" s="1">
        <v>1185732</v>
      </c>
      <c r="C1572" s="2">
        <v>44852</v>
      </c>
      <c r="D1572" s="1" t="s">
        <v>26</v>
      </c>
      <c r="E1572" s="1" t="s">
        <v>59</v>
      </c>
      <c r="F1572" s="1" t="s">
        <v>60</v>
      </c>
      <c r="G1572" s="1" t="s">
        <v>17</v>
      </c>
      <c r="H1572" s="1">
        <v>30</v>
      </c>
      <c r="I1572" s="1" t="s">
        <v>123</v>
      </c>
      <c r="J1572" s="3">
        <v>0.35</v>
      </c>
      <c r="K1572" s="4">
        <v>2250</v>
      </c>
      <c r="L1572" s="5">
        <f t="shared" si="12"/>
        <v>787.5</v>
      </c>
      <c r="M1572" s="5">
        <f t="shared" si="13"/>
        <v>275.625</v>
      </c>
      <c r="N1572" s="6">
        <v>0.35</v>
      </c>
    </row>
    <row r="1573" spans="1:14" ht="15.75" customHeight="1" x14ac:dyDescent="0.45">
      <c r="A1573" s="1" t="s">
        <v>119</v>
      </c>
      <c r="B1573" s="1">
        <v>1185732</v>
      </c>
      <c r="C1573" s="2">
        <v>44852</v>
      </c>
      <c r="D1573" s="1" t="s">
        <v>26</v>
      </c>
      <c r="E1573" s="1" t="s">
        <v>59</v>
      </c>
      <c r="F1573" s="1" t="s">
        <v>60</v>
      </c>
      <c r="G1573" s="1" t="s">
        <v>18</v>
      </c>
      <c r="H1573" s="1">
        <v>52</v>
      </c>
      <c r="I1573" s="1" t="s">
        <v>124</v>
      </c>
      <c r="J1573" s="3">
        <v>0.39999999999999991</v>
      </c>
      <c r="K1573" s="4">
        <v>3500</v>
      </c>
      <c r="L1573" s="5">
        <f t="shared" si="12"/>
        <v>1399.9999999999998</v>
      </c>
      <c r="M1573" s="5">
        <f t="shared" si="13"/>
        <v>699.99999999999989</v>
      </c>
      <c r="N1573" s="6">
        <v>0.5</v>
      </c>
    </row>
    <row r="1574" spans="1:14" ht="15.75" customHeight="1" x14ac:dyDescent="0.45">
      <c r="A1574" s="1" t="s">
        <v>119</v>
      </c>
      <c r="B1574" s="1">
        <v>1185732</v>
      </c>
      <c r="C1574" s="2">
        <v>44883</v>
      </c>
      <c r="D1574" s="1" t="s">
        <v>26</v>
      </c>
      <c r="E1574" s="1" t="s">
        <v>59</v>
      </c>
      <c r="F1574" s="1" t="s">
        <v>60</v>
      </c>
      <c r="G1574" s="1" t="s">
        <v>13</v>
      </c>
      <c r="H1574" s="1">
        <v>55</v>
      </c>
      <c r="I1574" s="1" t="s">
        <v>125</v>
      </c>
      <c r="J1574" s="3">
        <v>0.35000000000000003</v>
      </c>
      <c r="K1574" s="4">
        <v>5000</v>
      </c>
      <c r="L1574" s="5">
        <f t="shared" si="12"/>
        <v>1750.0000000000002</v>
      </c>
      <c r="M1574" s="5">
        <f t="shared" si="13"/>
        <v>700.00000000000011</v>
      </c>
      <c r="N1574" s="6">
        <v>0.4</v>
      </c>
    </row>
    <row r="1575" spans="1:14" ht="15.75" customHeight="1" x14ac:dyDescent="0.45">
      <c r="A1575" s="1" t="s">
        <v>119</v>
      </c>
      <c r="B1575" s="1">
        <v>1185732</v>
      </c>
      <c r="C1575" s="2">
        <v>44883</v>
      </c>
      <c r="D1575" s="1" t="s">
        <v>26</v>
      </c>
      <c r="E1575" s="1" t="s">
        <v>59</v>
      </c>
      <c r="F1575" s="1" t="s">
        <v>60</v>
      </c>
      <c r="G1575" s="1" t="s">
        <v>14</v>
      </c>
      <c r="H1575" s="1">
        <v>29</v>
      </c>
      <c r="I1575" s="1" t="s">
        <v>123</v>
      </c>
      <c r="J1575" s="3">
        <v>0.25000000000000006</v>
      </c>
      <c r="K1575" s="4">
        <v>3500</v>
      </c>
      <c r="L1575" s="5">
        <f t="shared" si="12"/>
        <v>875.00000000000023</v>
      </c>
      <c r="M1575" s="5">
        <f t="shared" si="13"/>
        <v>306.25000000000006</v>
      </c>
      <c r="N1575" s="6">
        <v>0.35</v>
      </c>
    </row>
    <row r="1576" spans="1:14" ht="15.75" customHeight="1" x14ac:dyDescent="0.45">
      <c r="A1576" s="1" t="s">
        <v>119</v>
      </c>
      <c r="B1576" s="1">
        <v>1185732</v>
      </c>
      <c r="C1576" s="2">
        <v>44883</v>
      </c>
      <c r="D1576" s="1" t="s">
        <v>26</v>
      </c>
      <c r="E1576" s="1" t="s">
        <v>59</v>
      </c>
      <c r="F1576" s="1" t="s">
        <v>60</v>
      </c>
      <c r="G1576" s="1" t="s">
        <v>15</v>
      </c>
      <c r="H1576" s="1">
        <v>53</v>
      </c>
      <c r="I1576" s="1" t="s">
        <v>123</v>
      </c>
      <c r="J1576" s="3">
        <v>0.25000000000000006</v>
      </c>
      <c r="K1576" s="4">
        <v>2950</v>
      </c>
      <c r="L1576" s="5">
        <f t="shared" si="12"/>
        <v>737.50000000000011</v>
      </c>
      <c r="M1576" s="5">
        <f t="shared" si="13"/>
        <v>258.125</v>
      </c>
      <c r="N1576" s="6">
        <v>0.35</v>
      </c>
    </row>
    <row r="1577" spans="1:14" ht="15.75" customHeight="1" x14ac:dyDescent="0.45">
      <c r="A1577" s="1" t="s">
        <v>119</v>
      </c>
      <c r="B1577" s="1">
        <v>1185732</v>
      </c>
      <c r="C1577" s="2">
        <v>44883</v>
      </c>
      <c r="D1577" s="1" t="s">
        <v>26</v>
      </c>
      <c r="E1577" s="1" t="s">
        <v>59</v>
      </c>
      <c r="F1577" s="1" t="s">
        <v>60</v>
      </c>
      <c r="G1577" s="1" t="s">
        <v>16</v>
      </c>
      <c r="H1577" s="1">
        <v>60</v>
      </c>
      <c r="I1577" s="1" t="s">
        <v>126</v>
      </c>
      <c r="J1577" s="3">
        <v>0.25000000000000006</v>
      </c>
      <c r="K1577" s="4">
        <v>3250</v>
      </c>
      <c r="L1577" s="5">
        <f t="shared" si="12"/>
        <v>812.50000000000023</v>
      </c>
      <c r="M1577" s="5">
        <f t="shared" si="13"/>
        <v>325.00000000000011</v>
      </c>
      <c r="N1577" s="6">
        <v>0.4</v>
      </c>
    </row>
    <row r="1578" spans="1:14" ht="15.75" customHeight="1" x14ac:dyDescent="0.45">
      <c r="A1578" s="1" t="s">
        <v>119</v>
      </c>
      <c r="B1578" s="1">
        <v>1185732</v>
      </c>
      <c r="C1578" s="2">
        <v>44883</v>
      </c>
      <c r="D1578" s="1" t="s">
        <v>26</v>
      </c>
      <c r="E1578" s="1" t="s">
        <v>59</v>
      </c>
      <c r="F1578" s="1" t="s">
        <v>60</v>
      </c>
      <c r="G1578" s="1" t="s">
        <v>17</v>
      </c>
      <c r="H1578" s="1">
        <v>49</v>
      </c>
      <c r="I1578" s="1" t="s">
        <v>123</v>
      </c>
      <c r="J1578" s="3">
        <v>0.44999999999999996</v>
      </c>
      <c r="K1578" s="4">
        <v>3000</v>
      </c>
      <c r="L1578" s="5">
        <f t="shared" si="12"/>
        <v>1349.9999999999998</v>
      </c>
      <c r="M1578" s="5">
        <f t="shared" si="13"/>
        <v>472.49999999999989</v>
      </c>
      <c r="N1578" s="6">
        <v>0.35</v>
      </c>
    </row>
    <row r="1579" spans="1:14" ht="15.75" customHeight="1" x14ac:dyDescent="0.45">
      <c r="A1579" s="1" t="s">
        <v>119</v>
      </c>
      <c r="B1579" s="1">
        <v>1185732</v>
      </c>
      <c r="C1579" s="2">
        <v>44883</v>
      </c>
      <c r="D1579" s="1" t="s">
        <v>26</v>
      </c>
      <c r="E1579" s="1" t="s">
        <v>59</v>
      </c>
      <c r="F1579" s="1" t="s">
        <v>60</v>
      </c>
      <c r="G1579" s="1" t="s">
        <v>18</v>
      </c>
      <c r="H1579" s="1">
        <v>47</v>
      </c>
      <c r="I1579" s="1" t="s">
        <v>126</v>
      </c>
      <c r="J1579" s="3">
        <v>0.49999999999999983</v>
      </c>
      <c r="K1579" s="4">
        <v>4000</v>
      </c>
      <c r="L1579" s="5">
        <f t="shared" si="12"/>
        <v>1999.9999999999993</v>
      </c>
      <c r="M1579" s="5">
        <f t="shared" si="13"/>
        <v>999.99999999999966</v>
      </c>
      <c r="N1579" s="6">
        <v>0.5</v>
      </c>
    </row>
    <row r="1580" spans="1:14" ht="15.75" customHeight="1" x14ac:dyDescent="0.45">
      <c r="A1580" s="1" t="s">
        <v>119</v>
      </c>
      <c r="B1580" s="1">
        <v>1185732</v>
      </c>
      <c r="C1580" s="2">
        <v>44912</v>
      </c>
      <c r="D1580" s="1" t="s">
        <v>26</v>
      </c>
      <c r="E1580" s="1" t="s">
        <v>59</v>
      </c>
      <c r="F1580" s="1" t="s">
        <v>60</v>
      </c>
      <c r="G1580" s="1" t="s">
        <v>13</v>
      </c>
      <c r="H1580" s="1">
        <v>24</v>
      </c>
      <c r="I1580" s="1" t="s">
        <v>126</v>
      </c>
      <c r="J1580" s="3">
        <v>0.44999999999999996</v>
      </c>
      <c r="K1580" s="4">
        <v>6500</v>
      </c>
      <c r="L1580" s="5">
        <f t="shared" si="12"/>
        <v>2924.9999999999995</v>
      </c>
      <c r="M1580" s="5">
        <f t="shared" si="13"/>
        <v>1169.9999999999998</v>
      </c>
      <c r="N1580" s="6">
        <v>0.4</v>
      </c>
    </row>
    <row r="1581" spans="1:14" ht="15.75" customHeight="1" x14ac:dyDescent="0.45">
      <c r="A1581" s="1" t="s">
        <v>119</v>
      </c>
      <c r="B1581" s="1">
        <v>1185732</v>
      </c>
      <c r="C1581" s="2">
        <v>44912</v>
      </c>
      <c r="D1581" s="1" t="s">
        <v>26</v>
      </c>
      <c r="E1581" s="1" t="s">
        <v>59</v>
      </c>
      <c r="F1581" s="1" t="s">
        <v>60</v>
      </c>
      <c r="G1581" s="1" t="s">
        <v>14</v>
      </c>
      <c r="H1581" s="1">
        <v>29</v>
      </c>
      <c r="I1581" s="1" t="s">
        <v>123</v>
      </c>
      <c r="J1581" s="3">
        <v>0.35000000000000003</v>
      </c>
      <c r="K1581" s="4">
        <v>4500</v>
      </c>
      <c r="L1581" s="5">
        <f t="shared" si="12"/>
        <v>1575.0000000000002</v>
      </c>
      <c r="M1581" s="5">
        <f t="shared" si="13"/>
        <v>551.25</v>
      </c>
      <c r="N1581" s="6">
        <v>0.35</v>
      </c>
    </row>
    <row r="1582" spans="1:14" ht="15.75" customHeight="1" x14ac:dyDescent="0.45">
      <c r="A1582" s="1" t="s">
        <v>119</v>
      </c>
      <c r="B1582" s="1">
        <v>1185732</v>
      </c>
      <c r="C1582" s="2">
        <v>44912</v>
      </c>
      <c r="D1582" s="1" t="s">
        <v>26</v>
      </c>
      <c r="E1582" s="1" t="s">
        <v>59</v>
      </c>
      <c r="F1582" s="1" t="s">
        <v>60</v>
      </c>
      <c r="G1582" s="1" t="s">
        <v>15</v>
      </c>
      <c r="H1582" s="1">
        <v>57</v>
      </c>
      <c r="I1582" s="1" t="s">
        <v>124</v>
      </c>
      <c r="J1582" s="3">
        <v>0.35000000000000003</v>
      </c>
      <c r="K1582" s="4">
        <v>4000</v>
      </c>
      <c r="L1582" s="5">
        <f t="shared" si="12"/>
        <v>1400.0000000000002</v>
      </c>
      <c r="M1582" s="5">
        <f t="shared" si="13"/>
        <v>490.00000000000006</v>
      </c>
      <c r="N1582" s="6">
        <v>0.35</v>
      </c>
    </row>
    <row r="1583" spans="1:14" ht="15.75" customHeight="1" x14ac:dyDescent="0.45">
      <c r="A1583" s="1" t="s">
        <v>119</v>
      </c>
      <c r="B1583" s="1">
        <v>1185732</v>
      </c>
      <c r="C1583" s="2">
        <v>44912</v>
      </c>
      <c r="D1583" s="1" t="s">
        <v>26</v>
      </c>
      <c r="E1583" s="1" t="s">
        <v>59</v>
      </c>
      <c r="F1583" s="1" t="s">
        <v>60</v>
      </c>
      <c r="G1583" s="1" t="s">
        <v>16</v>
      </c>
      <c r="H1583" s="1">
        <v>36</v>
      </c>
      <c r="I1583" s="1" t="s">
        <v>123</v>
      </c>
      <c r="J1583" s="3">
        <v>0.35000000000000003</v>
      </c>
      <c r="K1583" s="4">
        <v>3500</v>
      </c>
      <c r="L1583" s="5">
        <f t="shared" si="12"/>
        <v>1225.0000000000002</v>
      </c>
      <c r="M1583" s="5">
        <f t="shared" si="13"/>
        <v>490.00000000000011</v>
      </c>
      <c r="N1583" s="6">
        <v>0.4</v>
      </c>
    </row>
    <row r="1584" spans="1:14" ht="15.75" customHeight="1" x14ac:dyDescent="0.45">
      <c r="A1584" s="1" t="s">
        <v>119</v>
      </c>
      <c r="B1584" s="1">
        <v>1185732</v>
      </c>
      <c r="C1584" s="2">
        <v>44912</v>
      </c>
      <c r="D1584" s="1" t="s">
        <v>26</v>
      </c>
      <c r="E1584" s="1" t="s">
        <v>59</v>
      </c>
      <c r="F1584" s="1" t="s">
        <v>60</v>
      </c>
      <c r="G1584" s="1" t="s">
        <v>17</v>
      </c>
      <c r="H1584" s="1">
        <v>48</v>
      </c>
      <c r="I1584" s="1" t="s">
        <v>126</v>
      </c>
      <c r="J1584" s="3">
        <v>0.44999999999999996</v>
      </c>
      <c r="K1584" s="4">
        <v>3500</v>
      </c>
      <c r="L1584" s="5">
        <f t="shared" si="12"/>
        <v>1574.9999999999998</v>
      </c>
      <c r="M1584" s="5">
        <f t="shared" si="13"/>
        <v>551.24999999999989</v>
      </c>
      <c r="N1584" s="6">
        <v>0.35</v>
      </c>
    </row>
    <row r="1585" spans="1:14" ht="15.75" customHeight="1" x14ac:dyDescent="0.45">
      <c r="A1585" s="1" t="s">
        <v>119</v>
      </c>
      <c r="B1585" s="1">
        <v>1185732</v>
      </c>
      <c r="C1585" s="2">
        <v>44912</v>
      </c>
      <c r="D1585" s="1" t="s">
        <v>26</v>
      </c>
      <c r="E1585" s="1" t="s">
        <v>59</v>
      </c>
      <c r="F1585" s="1" t="s">
        <v>60</v>
      </c>
      <c r="G1585" s="1" t="s">
        <v>18</v>
      </c>
      <c r="H1585" s="1">
        <v>38</v>
      </c>
      <c r="I1585" s="1" t="s">
        <v>124</v>
      </c>
      <c r="J1585" s="3">
        <v>0.49999999999999983</v>
      </c>
      <c r="K1585" s="4">
        <v>4500</v>
      </c>
      <c r="L1585" s="5">
        <f t="shared" si="12"/>
        <v>2249.9999999999991</v>
      </c>
      <c r="M1585" s="5">
        <f t="shared" si="13"/>
        <v>1124.9999999999995</v>
      </c>
      <c r="N1585" s="6">
        <v>0.5</v>
      </c>
    </row>
    <row r="1586" spans="1:14" ht="15.75" customHeight="1" x14ac:dyDescent="0.45">
      <c r="A1586" s="1" t="s">
        <v>119</v>
      </c>
      <c r="B1586" s="1">
        <v>1185732</v>
      </c>
      <c r="C1586" s="2">
        <v>44572</v>
      </c>
      <c r="D1586" s="1" t="s">
        <v>26</v>
      </c>
      <c r="E1586" s="1" t="s">
        <v>61</v>
      </c>
      <c r="F1586" s="1" t="s">
        <v>62</v>
      </c>
      <c r="G1586" s="1" t="s">
        <v>13</v>
      </c>
      <c r="H1586" s="1">
        <v>33</v>
      </c>
      <c r="I1586" s="1" t="s">
        <v>124</v>
      </c>
      <c r="J1586" s="3">
        <v>0.25</v>
      </c>
      <c r="K1586" s="4">
        <v>6750</v>
      </c>
      <c r="L1586" s="5">
        <f t="shared" si="12"/>
        <v>1687.5</v>
      </c>
      <c r="M1586" s="5">
        <f t="shared" si="13"/>
        <v>675</v>
      </c>
      <c r="N1586" s="6">
        <v>0.4</v>
      </c>
    </row>
    <row r="1587" spans="1:14" ht="15.75" customHeight="1" x14ac:dyDescent="0.45">
      <c r="A1587" s="1" t="s">
        <v>119</v>
      </c>
      <c r="B1587" s="1">
        <v>1185732</v>
      </c>
      <c r="C1587" s="2">
        <v>44572</v>
      </c>
      <c r="D1587" s="1" t="s">
        <v>26</v>
      </c>
      <c r="E1587" s="1" t="s">
        <v>61</v>
      </c>
      <c r="F1587" s="1" t="s">
        <v>62</v>
      </c>
      <c r="G1587" s="1" t="s">
        <v>14</v>
      </c>
      <c r="H1587" s="1">
        <v>40</v>
      </c>
      <c r="I1587" s="1" t="s">
        <v>124</v>
      </c>
      <c r="J1587" s="3">
        <v>0.25</v>
      </c>
      <c r="K1587" s="4">
        <v>4750</v>
      </c>
      <c r="L1587" s="5">
        <f t="shared" si="12"/>
        <v>1187.5</v>
      </c>
      <c r="M1587" s="5">
        <f t="shared" si="13"/>
        <v>415.625</v>
      </c>
      <c r="N1587" s="6">
        <v>0.35</v>
      </c>
    </row>
    <row r="1588" spans="1:14" ht="15.75" customHeight="1" x14ac:dyDescent="0.45">
      <c r="A1588" s="1" t="s">
        <v>119</v>
      </c>
      <c r="B1588" s="1">
        <v>1185732</v>
      </c>
      <c r="C1588" s="2">
        <v>44572</v>
      </c>
      <c r="D1588" s="1" t="s">
        <v>26</v>
      </c>
      <c r="E1588" s="1" t="s">
        <v>61</v>
      </c>
      <c r="F1588" s="1" t="s">
        <v>62</v>
      </c>
      <c r="G1588" s="1" t="s">
        <v>15</v>
      </c>
      <c r="H1588" s="1">
        <v>57</v>
      </c>
      <c r="I1588" s="1" t="s">
        <v>123</v>
      </c>
      <c r="J1588" s="3">
        <v>0.15000000000000002</v>
      </c>
      <c r="K1588" s="4">
        <v>4750</v>
      </c>
      <c r="L1588" s="5">
        <f t="shared" si="12"/>
        <v>712.50000000000011</v>
      </c>
      <c r="M1588" s="5">
        <f t="shared" si="13"/>
        <v>249.37500000000003</v>
      </c>
      <c r="N1588" s="6">
        <v>0.35</v>
      </c>
    </row>
    <row r="1589" spans="1:14" ht="15.75" customHeight="1" x14ac:dyDescent="0.45">
      <c r="A1589" s="1" t="s">
        <v>119</v>
      </c>
      <c r="B1589" s="1">
        <v>1185732</v>
      </c>
      <c r="C1589" s="2">
        <v>44572</v>
      </c>
      <c r="D1589" s="1" t="s">
        <v>26</v>
      </c>
      <c r="E1589" s="1" t="s">
        <v>61</v>
      </c>
      <c r="F1589" s="1" t="s">
        <v>62</v>
      </c>
      <c r="G1589" s="1" t="s">
        <v>16</v>
      </c>
      <c r="H1589" s="1">
        <v>43</v>
      </c>
      <c r="I1589" s="1" t="s">
        <v>124</v>
      </c>
      <c r="J1589" s="3">
        <v>0.20000000000000007</v>
      </c>
      <c r="K1589" s="4">
        <v>3250</v>
      </c>
      <c r="L1589" s="5">
        <f t="shared" si="12"/>
        <v>650.00000000000023</v>
      </c>
      <c r="M1589" s="5">
        <f t="shared" si="13"/>
        <v>260.00000000000011</v>
      </c>
      <c r="N1589" s="6">
        <v>0.4</v>
      </c>
    </row>
    <row r="1590" spans="1:14" ht="15.75" customHeight="1" x14ac:dyDescent="0.45">
      <c r="A1590" s="1" t="s">
        <v>119</v>
      </c>
      <c r="B1590" s="1">
        <v>1185732</v>
      </c>
      <c r="C1590" s="2">
        <v>44572</v>
      </c>
      <c r="D1590" s="1" t="s">
        <v>26</v>
      </c>
      <c r="E1590" s="1" t="s">
        <v>61</v>
      </c>
      <c r="F1590" s="1" t="s">
        <v>62</v>
      </c>
      <c r="G1590" s="1" t="s">
        <v>17</v>
      </c>
      <c r="H1590" s="1">
        <v>35</v>
      </c>
      <c r="I1590" s="1" t="s">
        <v>124</v>
      </c>
      <c r="J1590" s="3">
        <v>0.35</v>
      </c>
      <c r="K1590" s="4">
        <v>3750</v>
      </c>
      <c r="L1590" s="5">
        <f t="shared" si="12"/>
        <v>1312.5</v>
      </c>
      <c r="M1590" s="5">
        <f t="shared" si="13"/>
        <v>459.37499999999994</v>
      </c>
      <c r="N1590" s="6">
        <v>0.35</v>
      </c>
    </row>
    <row r="1591" spans="1:14" ht="15.75" customHeight="1" x14ac:dyDescent="0.45">
      <c r="A1591" s="1" t="s">
        <v>119</v>
      </c>
      <c r="B1591" s="1">
        <v>1185732</v>
      </c>
      <c r="C1591" s="2">
        <v>44572</v>
      </c>
      <c r="D1591" s="1" t="s">
        <v>26</v>
      </c>
      <c r="E1591" s="1" t="s">
        <v>61</v>
      </c>
      <c r="F1591" s="1" t="s">
        <v>62</v>
      </c>
      <c r="G1591" s="1" t="s">
        <v>18</v>
      </c>
      <c r="H1591" s="1">
        <v>50</v>
      </c>
      <c r="I1591" s="1" t="s">
        <v>126</v>
      </c>
      <c r="J1591" s="3">
        <v>0.25</v>
      </c>
      <c r="K1591" s="4">
        <v>4750</v>
      </c>
      <c r="L1591" s="5">
        <f t="shared" si="12"/>
        <v>1187.5</v>
      </c>
      <c r="M1591" s="5">
        <f t="shared" si="13"/>
        <v>593.75</v>
      </c>
      <c r="N1591" s="6">
        <v>0.5</v>
      </c>
    </row>
    <row r="1592" spans="1:14" ht="15.75" customHeight="1" x14ac:dyDescent="0.45">
      <c r="A1592" s="1" t="s">
        <v>119</v>
      </c>
      <c r="B1592" s="1">
        <v>1185732</v>
      </c>
      <c r="C1592" s="2">
        <v>44603</v>
      </c>
      <c r="D1592" s="1" t="s">
        <v>26</v>
      </c>
      <c r="E1592" s="1" t="s">
        <v>61</v>
      </c>
      <c r="F1592" s="1" t="s">
        <v>62</v>
      </c>
      <c r="G1592" s="1" t="s">
        <v>13</v>
      </c>
      <c r="H1592" s="1">
        <v>27</v>
      </c>
      <c r="I1592" s="1" t="s">
        <v>125</v>
      </c>
      <c r="J1592" s="3">
        <v>0.25</v>
      </c>
      <c r="K1592" s="4">
        <v>7250</v>
      </c>
      <c r="L1592" s="5">
        <f t="shared" si="12"/>
        <v>1812.5</v>
      </c>
      <c r="M1592" s="5">
        <f t="shared" si="13"/>
        <v>725</v>
      </c>
      <c r="N1592" s="6">
        <v>0.4</v>
      </c>
    </row>
    <row r="1593" spans="1:14" ht="15.75" customHeight="1" x14ac:dyDescent="0.45">
      <c r="A1593" s="1" t="s">
        <v>119</v>
      </c>
      <c r="B1593" s="1">
        <v>1185732</v>
      </c>
      <c r="C1593" s="2">
        <v>44603</v>
      </c>
      <c r="D1593" s="1" t="s">
        <v>26</v>
      </c>
      <c r="E1593" s="1" t="s">
        <v>61</v>
      </c>
      <c r="F1593" s="1" t="s">
        <v>62</v>
      </c>
      <c r="G1593" s="1" t="s">
        <v>14</v>
      </c>
      <c r="H1593" s="1">
        <v>17</v>
      </c>
      <c r="I1593" s="1" t="s">
        <v>125</v>
      </c>
      <c r="J1593" s="3">
        <v>0.25</v>
      </c>
      <c r="K1593" s="4">
        <v>3750</v>
      </c>
      <c r="L1593" s="5">
        <f t="shared" si="12"/>
        <v>937.5</v>
      </c>
      <c r="M1593" s="5">
        <f t="shared" si="13"/>
        <v>328.125</v>
      </c>
      <c r="N1593" s="6">
        <v>0.35</v>
      </c>
    </row>
    <row r="1594" spans="1:14" ht="15.75" customHeight="1" x14ac:dyDescent="0.45">
      <c r="A1594" s="1" t="s">
        <v>119</v>
      </c>
      <c r="B1594" s="1">
        <v>1185732</v>
      </c>
      <c r="C1594" s="2">
        <v>44603</v>
      </c>
      <c r="D1594" s="1" t="s">
        <v>26</v>
      </c>
      <c r="E1594" s="1" t="s">
        <v>61</v>
      </c>
      <c r="F1594" s="1" t="s">
        <v>62</v>
      </c>
      <c r="G1594" s="1" t="s">
        <v>15</v>
      </c>
      <c r="H1594" s="1">
        <v>53</v>
      </c>
      <c r="I1594" s="1" t="s">
        <v>123</v>
      </c>
      <c r="J1594" s="3">
        <v>0.15000000000000002</v>
      </c>
      <c r="K1594" s="4">
        <v>4250</v>
      </c>
      <c r="L1594" s="5">
        <f t="shared" si="12"/>
        <v>637.50000000000011</v>
      </c>
      <c r="M1594" s="5">
        <f t="shared" si="13"/>
        <v>223.12500000000003</v>
      </c>
      <c r="N1594" s="6">
        <v>0.35</v>
      </c>
    </row>
    <row r="1595" spans="1:14" ht="15.75" customHeight="1" x14ac:dyDescent="0.45">
      <c r="A1595" s="1" t="s">
        <v>119</v>
      </c>
      <c r="B1595" s="1">
        <v>1185732</v>
      </c>
      <c r="C1595" s="2">
        <v>44603</v>
      </c>
      <c r="D1595" s="1" t="s">
        <v>26</v>
      </c>
      <c r="E1595" s="1" t="s">
        <v>61</v>
      </c>
      <c r="F1595" s="1" t="s">
        <v>62</v>
      </c>
      <c r="G1595" s="1" t="s">
        <v>16</v>
      </c>
      <c r="H1595" s="1">
        <v>18</v>
      </c>
      <c r="I1595" s="1" t="s">
        <v>126</v>
      </c>
      <c r="J1595" s="3">
        <v>0.20000000000000007</v>
      </c>
      <c r="K1595" s="4">
        <v>3000</v>
      </c>
      <c r="L1595" s="5">
        <f t="shared" si="12"/>
        <v>600.00000000000023</v>
      </c>
      <c r="M1595" s="5">
        <f t="shared" si="13"/>
        <v>240.00000000000011</v>
      </c>
      <c r="N1595" s="6">
        <v>0.4</v>
      </c>
    </row>
    <row r="1596" spans="1:14" ht="15.75" customHeight="1" x14ac:dyDescent="0.45">
      <c r="A1596" s="1" t="s">
        <v>119</v>
      </c>
      <c r="B1596" s="1">
        <v>1185732</v>
      </c>
      <c r="C1596" s="2">
        <v>44603</v>
      </c>
      <c r="D1596" s="1" t="s">
        <v>26</v>
      </c>
      <c r="E1596" s="1" t="s">
        <v>61</v>
      </c>
      <c r="F1596" s="1" t="s">
        <v>62</v>
      </c>
      <c r="G1596" s="1" t="s">
        <v>17</v>
      </c>
      <c r="H1596" s="1">
        <v>31</v>
      </c>
      <c r="I1596" s="1" t="s">
        <v>126</v>
      </c>
      <c r="J1596" s="3">
        <v>0.35</v>
      </c>
      <c r="K1596" s="4">
        <v>3750</v>
      </c>
      <c r="L1596" s="5">
        <f t="shared" si="12"/>
        <v>1312.5</v>
      </c>
      <c r="M1596" s="5">
        <f t="shared" si="13"/>
        <v>459.37499999999994</v>
      </c>
      <c r="N1596" s="6">
        <v>0.35</v>
      </c>
    </row>
    <row r="1597" spans="1:14" ht="15.75" customHeight="1" x14ac:dyDescent="0.45">
      <c r="A1597" s="1" t="s">
        <v>119</v>
      </c>
      <c r="B1597" s="1">
        <v>1185732</v>
      </c>
      <c r="C1597" s="2">
        <v>44603</v>
      </c>
      <c r="D1597" s="1" t="s">
        <v>26</v>
      </c>
      <c r="E1597" s="1" t="s">
        <v>61</v>
      </c>
      <c r="F1597" s="1" t="s">
        <v>62</v>
      </c>
      <c r="G1597" s="1" t="s">
        <v>18</v>
      </c>
      <c r="H1597" s="1">
        <v>33</v>
      </c>
      <c r="I1597" s="1" t="s">
        <v>125</v>
      </c>
      <c r="J1597" s="3">
        <v>0.25</v>
      </c>
      <c r="K1597" s="4">
        <v>4500</v>
      </c>
      <c r="L1597" s="5">
        <f t="shared" si="12"/>
        <v>1125</v>
      </c>
      <c r="M1597" s="5">
        <f t="shared" si="13"/>
        <v>562.5</v>
      </c>
      <c r="N1597" s="6">
        <v>0.5</v>
      </c>
    </row>
    <row r="1598" spans="1:14" ht="15.75" customHeight="1" x14ac:dyDescent="0.45">
      <c r="A1598" s="1" t="s">
        <v>119</v>
      </c>
      <c r="B1598" s="1">
        <v>1185732</v>
      </c>
      <c r="C1598" s="2">
        <v>44630</v>
      </c>
      <c r="D1598" s="1" t="s">
        <v>26</v>
      </c>
      <c r="E1598" s="1" t="s">
        <v>61</v>
      </c>
      <c r="F1598" s="1" t="s">
        <v>62</v>
      </c>
      <c r="G1598" s="1" t="s">
        <v>13</v>
      </c>
      <c r="H1598" s="1">
        <v>50</v>
      </c>
      <c r="I1598" s="1" t="s">
        <v>123</v>
      </c>
      <c r="J1598" s="3">
        <v>0.30000000000000004</v>
      </c>
      <c r="K1598" s="4">
        <v>6700</v>
      </c>
      <c r="L1598" s="5">
        <f t="shared" si="12"/>
        <v>2010.0000000000002</v>
      </c>
      <c r="M1598" s="5">
        <f t="shared" si="13"/>
        <v>804.00000000000011</v>
      </c>
      <c r="N1598" s="6">
        <v>0.4</v>
      </c>
    </row>
    <row r="1599" spans="1:14" ht="15.75" customHeight="1" x14ac:dyDescent="0.45">
      <c r="A1599" s="1" t="s">
        <v>119</v>
      </c>
      <c r="B1599" s="1">
        <v>1185732</v>
      </c>
      <c r="C1599" s="2">
        <v>44630</v>
      </c>
      <c r="D1599" s="1" t="s">
        <v>26</v>
      </c>
      <c r="E1599" s="1" t="s">
        <v>61</v>
      </c>
      <c r="F1599" s="1" t="s">
        <v>62</v>
      </c>
      <c r="G1599" s="1" t="s">
        <v>14</v>
      </c>
      <c r="H1599" s="1">
        <v>18</v>
      </c>
      <c r="I1599" s="1" t="s">
        <v>124</v>
      </c>
      <c r="J1599" s="3">
        <v>0.30000000000000004</v>
      </c>
      <c r="K1599" s="4">
        <v>3500</v>
      </c>
      <c r="L1599" s="5">
        <f t="shared" si="12"/>
        <v>1050.0000000000002</v>
      </c>
      <c r="M1599" s="5">
        <f t="shared" si="13"/>
        <v>367.50000000000006</v>
      </c>
      <c r="N1599" s="6">
        <v>0.35</v>
      </c>
    </row>
    <row r="1600" spans="1:14" ht="15.75" customHeight="1" x14ac:dyDescent="0.45">
      <c r="A1600" s="1" t="s">
        <v>119</v>
      </c>
      <c r="B1600" s="1">
        <v>1185732</v>
      </c>
      <c r="C1600" s="2">
        <v>44630</v>
      </c>
      <c r="D1600" s="1" t="s">
        <v>26</v>
      </c>
      <c r="E1600" s="1" t="s">
        <v>61</v>
      </c>
      <c r="F1600" s="1" t="s">
        <v>62</v>
      </c>
      <c r="G1600" s="1" t="s">
        <v>15</v>
      </c>
      <c r="H1600" s="1">
        <v>42</v>
      </c>
      <c r="I1600" s="1" t="s">
        <v>125</v>
      </c>
      <c r="J1600" s="3">
        <v>0.20000000000000007</v>
      </c>
      <c r="K1600" s="4">
        <v>4000</v>
      </c>
      <c r="L1600" s="5">
        <f t="shared" si="12"/>
        <v>800.00000000000023</v>
      </c>
      <c r="M1600" s="5">
        <f t="shared" si="13"/>
        <v>280.00000000000006</v>
      </c>
      <c r="N1600" s="6">
        <v>0.35</v>
      </c>
    </row>
    <row r="1601" spans="1:14" ht="15.75" customHeight="1" x14ac:dyDescent="0.45">
      <c r="A1601" s="1" t="s">
        <v>119</v>
      </c>
      <c r="B1601" s="1">
        <v>1185732</v>
      </c>
      <c r="C1601" s="2">
        <v>44630</v>
      </c>
      <c r="D1601" s="1" t="s">
        <v>26</v>
      </c>
      <c r="E1601" s="1" t="s">
        <v>61</v>
      </c>
      <c r="F1601" s="1" t="s">
        <v>62</v>
      </c>
      <c r="G1601" s="1" t="s">
        <v>16</v>
      </c>
      <c r="H1601" s="1">
        <v>35</v>
      </c>
      <c r="I1601" s="1" t="s">
        <v>126</v>
      </c>
      <c r="J1601" s="3">
        <v>0.25</v>
      </c>
      <c r="K1601" s="4">
        <v>2500</v>
      </c>
      <c r="L1601" s="5">
        <f t="shared" si="12"/>
        <v>625</v>
      </c>
      <c r="M1601" s="5">
        <f t="shared" si="13"/>
        <v>250</v>
      </c>
      <c r="N1601" s="6">
        <v>0.4</v>
      </c>
    </row>
    <row r="1602" spans="1:14" ht="15.75" customHeight="1" x14ac:dyDescent="0.45">
      <c r="A1602" s="1" t="s">
        <v>119</v>
      </c>
      <c r="B1602" s="1">
        <v>1185732</v>
      </c>
      <c r="C1602" s="2">
        <v>44630</v>
      </c>
      <c r="D1602" s="1" t="s">
        <v>26</v>
      </c>
      <c r="E1602" s="1" t="s">
        <v>61</v>
      </c>
      <c r="F1602" s="1" t="s">
        <v>62</v>
      </c>
      <c r="G1602" s="1" t="s">
        <v>17</v>
      </c>
      <c r="H1602" s="1">
        <v>15</v>
      </c>
      <c r="I1602" s="1" t="s">
        <v>126</v>
      </c>
      <c r="J1602" s="3">
        <v>0.4</v>
      </c>
      <c r="K1602" s="4">
        <v>3000</v>
      </c>
      <c r="L1602" s="5">
        <f t="shared" si="12"/>
        <v>1200</v>
      </c>
      <c r="M1602" s="5">
        <f t="shared" si="13"/>
        <v>420</v>
      </c>
      <c r="N1602" s="6">
        <v>0.35</v>
      </c>
    </row>
    <row r="1603" spans="1:14" ht="15.75" customHeight="1" x14ac:dyDescent="0.45">
      <c r="A1603" s="1" t="s">
        <v>119</v>
      </c>
      <c r="B1603" s="1">
        <v>1185732</v>
      </c>
      <c r="C1603" s="2">
        <v>44630</v>
      </c>
      <c r="D1603" s="1" t="s">
        <v>26</v>
      </c>
      <c r="E1603" s="1" t="s">
        <v>61</v>
      </c>
      <c r="F1603" s="1" t="s">
        <v>62</v>
      </c>
      <c r="G1603" s="1" t="s">
        <v>18</v>
      </c>
      <c r="H1603" s="1">
        <v>60</v>
      </c>
      <c r="I1603" s="1" t="s">
        <v>123</v>
      </c>
      <c r="J1603" s="3">
        <v>0.30000000000000004</v>
      </c>
      <c r="K1603" s="4">
        <v>4000</v>
      </c>
      <c r="L1603" s="5">
        <f t="shared" si="12"/>
        <v>1200.0000000000002</v>
      </c>
      <c r="M1603" s="5">
        <f t="shared" si="13"/>
        <v>600.00000000000011</v>
      </c>
      <c r="N1603" s="6">
        <v>0.5</v>
      </c>
    </row>
    <row r="1604" spans="1:14" ht="15.75" customHeight="1" x14ac:dyDescent="0.45">
      <c r="A1604" s="1" t="s">
        <v>119</v>
      </c>
      <c r="B1604" s="1">
        <v>1185732</v>
      </c>
      <c r="C1604" s="2">
        <v>44662</v>
      </c>
      <c r="D1604" s="1" t="s">
        <v>26</v>
      </c>
      <c r="E1604" s="1" t="s">
        <v>61</v>
      </c>
      <c r="F1604" s="1" t="s">
        <v>62</v>
      </c>
      <c r="G1604" s="1" t="s">
        <v>13</v>
      </c>
      <c r="H1604" s="1">
        <v>36</v>
      </c>
      <c r="I1604" s="1" t="s">
        <v>125</v>
      </c>
      <c r="J1604" s="3">
        <v>0.30000000000000004</v>
      </c>
      <c r="K1604" s="4">
        <v>6250</v>
      </c>
      <c r="L1604" s="5">
        <f t="shared" si="12"/>
        <v>1875.0000000000002</v>
      </c>
      <c r="M1604" s="5">
        <f t="shared" si="13"/>
        <v>750.00000000000011</v>
      </c>
      <c r="N1604" s="6">
        <v>0.4</v>
      </c>
    </row>
    <row r="1605" spans="1:14" ht="15.75" customHeight="1" x14ac:dyDescent="0.45">
      <c r="A1605" s="1" t="s">
        <v>119</v>
      </c>
      <c r="B1605" s="1">
        <v>1185732</v>
      </c>
      <c r="C1605" s="2">
        <v>44662</v>
      </c>
      <c r="D1605" s="1" t="s">
        <v>26</v>
      </c>
      <c r="E1605" s="1" t="s">
        <v>61</v>
      </c>
      <c r="F1605" s="1" t="s">
        <v>62</v>
      </c>
      <c r="G1605" s="1" t="s">
        <v>14</v>
      </c>
      <c r="H1605" s="1">
        <v>38</v>
      </c>
      <c r="I1605" s="1" t="s">
        <v>125</v>
      </c>
      <c r="J1605" s="3">
        <v>0.25000000000000006</v>
      </c>
      <c r="K1605" s="4">
        <v>3250</v>
      </c>
      <c r="L1605" s="5">
        <f t="shared" si="12"/>
        <v>812.50000000000023</v>
      </c>
      <c r="M1605" s="5">
        <f t="shared" si="13"/>
        <v>284.37500000000006</v>
      </c>
      <c r="N1605" s="6">
        <v>0.35</v>
      </c>
    </row>
    <row r="1606" spans="1:14" ht="15.75" customHeight="1" x14ac:dyDescent="0.45">
      <c r="A1606" s="1" t="s">
        <v>119</v>
      </c>
      <c r="B1606" s="1">
        <v>1185732</v>
      </c>
      <c r="C1606" s="2">
        <v>44662</v>
      </c>
      <c r="D1606" s="1" t="s">
        <v>26</v>
      </c>
      <c r="E1606" s="1" t="s">
        <v>61</v>
      </c>
      <c r="F1606" s="1" t="s">
        <v>62</v>
      </c>
      <c r="G1606" s="1" t="s">
        <v>15</v>
      </c>
      <c r="H1606" s="1">
        <v>56</v>
      </c>
      <c r="I1606" s="1" t="s">
        <v>126</v>
      </c>
      <c r="J1606" s="3">
        <v>0.15000000000000008</v>
      </c>
      <c r="K1606" s="4">
        <v>3250</v>
      </c>
      <c r="L1606" s="5">
        <f t="shared" si="12"/>
        <v>487.50000000000023</v>
      </c>
      <c r="M1606" s="5">
        <f t="shared" si="13"/>
        <v>170.62500000000006</v>
      </c>
      <c r="N1606" s="6">
        <v>0.35</v>
      </c>
    </row>
    <row r="1607" spans="1:14" ht="15.75" customHeight="1" x14ac:dyDescent="0.45">
      <c r="A1607" s="1" t="s">
        <v>119</v>
      </c>
      <c r="B1607" s="1">
        <v>1185732</v>
      </c>
      <c r="C1607" s="2">
        <v>44662</v>
      </c>
      <c r="D1607" s="1" t="s">
        <v>26</v>
      </c>
      <c r="E1607" s="1" t="s">
        <v>61</v>
      </c>
      <c r="F1607" s="1" t="s">
        <v>62</v>
      </c>
      <c r="G1607" s="1" t="s">
        <v>16</v>
      </c>
      <c r="H1607" s="1">
        <v>41</v>
      </c>
      <c r="I1607" s="1" t="s">
        <v>125</v>
      </c>
      <c r="J1607" s="3">
        <v>0.2</v>
      </c>
      <c r="K1607" s="4">
        <v>2500</v>
      </c>
      <c r="L1607" s="5">
        <f t="shared" si="12"/>
        <v>500</v>
      </c>
      <c r="M1607" s="5">
        <f t="shared" si="13"/>
        <v>200</v>
      </c>
      <c r="N1607" s="6">
        <v>0.4</v>
      </c>
    </row>
    <row r="1608" spans="1:14" ht="15.75" customHeight="1" x14ac:dyDescent="0.45">
      <c r="A1608" s="1" t="s">
        <v>119</v>
      </c>
      <c r="B1608" s="1">
        <v>1185732</v>
      </c>
      <c r="C1608" s="2">
        <v>44662</v>
      </c>
      <c r="D1608" s="1" t="s">
        <v>26</v>
      </c>
      <c r="E1608" s="1" t="s">
        <v>61</v>
      </c>
      <c r="F1608" s="1" t="s">
        <v>62</v>
      </c>
      <c r="G1608" s="1" t="s">
        <v>17</v>
      </c>
      <c r="H1608" s="1">
        <v>26</v>
      </c>
      <c r="I1608" s="1" t="s">
        <v>125</v>
      </c>
      <c r="J1608" s="3">
        <v>0.35000000000000003</v>
      </c>
      <c r="K1608" s="4">
        <v>2750</v>
      </c>
      <c r="L1608" s="5">
        <f t="shared" si="12"/>
        <v>962.50000000000011</v>
      </c>
      <c r="M1608" s="5">
        <f t="shared" si="13"/>
        <v>336.875</v>
      </c>
      <c r="N1608" s="6">
        <v>0.35</v>
      </c>
    </row>
    <row r="1609" spans="1:14" ht="15.75" customHeight="1" x14ac:dyDescent="0.45">
      <c r="A1609" s="1" t="s">
        <v>119</v>
      </c>
      <c r="B1609" s="1">
        <v>1185732</v>
      </c>
      <c r="C1609" s="2">
        <v>44662</v>
      </c>
      <c r="D1609" s="1" t="s">
        <v>26</v>
      </c>
      <c r="E1609" s="1" t="s">
        <v>61</v>
      </c>
      <c r="F1609" s="1" t="s">
        <v>62</v>
      </c>
      <c r="G1609" s="1" t="s">
        <v>18</v>
      </c>
      <c r="H1609" s="1">
        <v>51</v>
      </c>
      <c r="I1609" s="1" t="s">
        <v>126</v>
      </c>
      <c r="J1609" s="3">
        <v>0.25000000000000006</v>
      </c>
      <c r="K1609" s="4">
        <v>4000</v>
      </c>
      <c r="L1609" s="5">
        <f t="shared" si="12"/>
        <v>1000.0000000000002</v>
      </c>
      <c r="M1609" s="5">
        <f t="shared" si="13"/>
        <v>500.00000000000011</v>
      </c>
      <c r="N1609" s="6">
        <v>0.5</v>
      </c>
    </row>
    <row r="1610" spans="1:14" ht="15.75" customHeight="1" x14ac:dyDescent="0.45">
      <c r="A1610" s="1" t="s">
        <v>119</v>
      </c>
      <c r="B1610" s="1">
        <v>1185732</v>
      </c>
      <c r="C1610" s="2">
        <v>44693</v>
      </c>
      <c r="D1610" s="1" t="s">
        <v>26</v>
      </c>
      <c r="E1610" s="1" t="s">
        <v>61</v>
      </c>
      <c r="F1610" s="1" t="s">
        <v>62</v>
      </c>
      <c r="G1610" s="1" t="s">
        <v>13</v>
      </c>
      <c r="H1610" s="1">
        <v>34</v>
      </c>
      <c r="I1610" s="1" t="s">
        <v>123</v>
      </c>
      <c r="J1610" s="3">
        <v>0.35000000000000003</v>
      </c>
      <c r="K1610" s="4">
        <v>6700</v>
      </c>
      <c r="L1610" s="5">
        <f t="shared" si="12"/>
        <v>2345</v>
      </c>
      <c r="M1610" s="5">
        <f t="shared" si="13"/>
        <v>938</v>
      </c>
      <c r="N1610" s="6">
        <v>0.4</v>
      </c>
    </row>
    <row r="1611" spans="1:14" ht="15.75" customHeight="1" x14ac:dyDescent="0.45">
      <c r="A1611" s="1" t="s">
        <v>119</v>
      </c>
      <c r="B1611" s="1">
        <v>1185732</v>
      </c>
      <c r="C1611" s="2">
        <v>44693</v>
      </c>
      <c r="D1611" s="1" t="s">
        <v>26</v>
      </c>
      <c r="E1611" s="1" t="s">
        <v>61</v>
      </c>
      <c r="F1611" s="1" t="s">
        <v>62</v>
      </c>
      <c r="G1611" s="1" t="s">
        <v>14</v>
      </c>
      <c r="H1611" s="1">
        <v>39</v>
      </c>
      <c r="I1611" s="1" t="s">
        <v>126</v>
      </c>
      <c r="J1611" s="3">
        <v>0.3000000000000001</v>
      </c>
      <c r="K1611" s="4">
        <v>3750</v>
      </c>
      <c r="L1611" s="5">
        <f t="shared" si="12"/>
        <v>1125.0000000000005</v>
      </c>
      <c r="M1611" s="5">
        <f t="shared" si="13"/>
        <v>393.75000000000011</v>
      </c>
      <c r="N1611" s="6">
        <v>0.35</v>
      </c>
    </row>
    <row r="1612" spans="1:14" ht="15.75" customHeight="1" x14ac:dyDescent="0.45">
      <c r="A1612" s="1" t="s">
        <v>119</v>
      </c>
      <c r="B1612" s="1">
        <v>1185732</v>
      </c>
      <c r="C1612" s="2">
        <v>44693</v>
      </c>
      <c r="D1612" s="1" t="s">
        <v>26</v>
      </c>
      <c r="E1612" s="1" t="s">
        <v>61</v>
      </c>
      <c r="F1612" s="1" t="s">
        <v>62</v>
      </c>
      <c r="G1612" s="1" t="s">
        <v>15</v>
      </c>
      <c r="H1612" s="1">
        <v>22</v>
      </c>
      <c r="I1612" s="1" t="s">
        <v>124</v>
      </c>
      <c r="J1612" s="3">
        <v>0.25000000000000006</v>
      </c>
      <c r="K1612" s="4">
        <v>3500</v>
      </c>
      <c r="L1612" s="5">
        <f t="shared" si="12"/>
        <v>875.00000000000023</v>
      </c>
      <c r="M1612" s="5">
        <f t="shared" si="13"/>
        <v>306.25000000000006</v>
      </c>
      <c r="N1612" s="6">
        <v>0.35</v>
      </c>
    </row>
    <row r="1613" spans="1:14" ht="15.75" customHeight="1" x14ac:dyDescent="0.45">
      <c r="A1613" s="1" t="s">
        <v>119</v>
      </c>
      <c r="B1613" s="1">
        <v>1185732</v>
      </c>
      <c r="C1613" s="2">
        <v>44693</v>
      </c>
      <c r="D1613" s="1" t="s">
        <v>26</v>
      </c>
      <c r="E1613" s="1" t="s">
        <v>61</v>
      </c>
      <c r="F1613" s="1" t="s">
        <v>62</v>
      </c>
      <c r="G1613" s="1" t="s">
        <v>16</v>
      </c>
      <c r="H1613" s="1">
        <v>15</v>
      </c>
      <c r="I1613" s="1" t="s">
        <v>125</v>
      </c>
      <c r="J1613" s="3">
        <v>0.25000000000000006</v>
      </c>
      <c r="K1613" s="4">
        <v>2750</v>
      </c>
      <c r="L1613" s="5">
        <f t="shared" si="12"/>
        <v>687.50000000000011</v>
      </c>
      <c r="M1613" s="5">
        <f t="shared" si="13"/>
        <v>275.00000000000006</v>
      </c>
      <c r="N1613" s="6">
        <v>0.4</v>
      </c>
    </row>
    <row r="1614" spans="1:14" ht="15.75" customHeight="1" x14ac:dyDescent="0.45">
      <c r="A1614" s="1" t="s">
        <v>119</v>
      </c>
      <c r="B1614" s="1">
        <v>1185732</v>
      </c>
      <c r="C1614" s="2">
        <v>44693</v>
      </c>
      <c r="D1614" s="1" t="s">
        <v>26</v>
      </c>
      <c r="E1614" s="1" t="s">
        <v>61</v>
      </c>
      <c r="F1614" s="1" t="s">
        <v>62</v>
      </c>
      <c r="G1614" s="1" t="s">
        <v>17</v>
      </c>
      <c r="H1614" s="1">
        <v>35</v>
      </c>
      <c r="I1614" s="1" t="s">
        <v>125</v>
      </c>
      <c r="J1614" s="3">
        <v>0.39999999999999997</v>
      </c>
      <c r="K1614" s="4">
        <v>3000</v>
      </c>
      <c r="L1614" s="5">
        <f t="shared" si="12"/>
        <v>1200</v>
      </c>
      <c r="M1614" s="5">
        <f t="shared" si="13"/>
        <v>420</v>
      </c>
      <c r="N1614" s="6">
        <v>0.35</v>
      </c>
    </row>
    <row r="1615" spans="1:14" ht="15.75" customHeight="1" x14ac:dyDescent="0.45">
      <c r="A1615" s="1" t="s">
        <v>119</v>
      </c>
      <c r="B1615" s="1">
        <v>1185732</v>
      </c>
      <c r="C1615" s="2">
        <v>44693</v>
      </c>
      <c r="D1615" s="1" t="s">
        <v>26</v>
      </c>
      <c r="E1615" s="1" t="s">
        <v>61</v>
      </c>
      <c r="F1615" s="1" t="s">
        <v>62</v>
      </c>
      <c r="G1615" s="1" t="s">
        <v>18</v>
      </c>
      <c r="H1615" s="1">
        <v>21</v>
      </c>
      <c r="I1615" s="1" t="s">
        <v>124</v>
      </c>
      <c r="J1615" s="3">
        <v>0.44999999999999996</v>
      </c>
      <c r="K1615" s="4">
        <v>4000</v>
      </c>
      <c r="L1615" s="5">
        <f t="shared" si="12"/>
        <v>1799.9999999999998</v>
      </c>
      <c r="M1615" s="5">
        <f t="shared" si="13"/>
        <v>899.99999999999989</v>
      </c>
      <c r="N1615" s="6">
        <v>0.5</v>
      </c>
    </row>
    <row r="1616" spans="1:14" ht="15.75" customHeight="1" x14ac:dyDescent="0.45">
      <c r="A1616" s="1" t="s">
        <v>119</v>
      </c>
      <c r="B1616" s="1">
        <v>1185732</v>
      </c>
      <c r="C1616" s="2">
        <v>44723</v>
      </c>
      <c r="D1616" s="1" t="s">
        <v>26</v>
      </c>
      <c r="E1616" s="1" t="s">
        <v>61</v>
      </c>
      <c r="F1616" s="1" t="s">
        <v>62</v>
      </c>
      <c r="G1616" s="1" t="s">
        <v>13</v>
      </c>
      <c r="H1616" s="1">
        <v>53</v>
      </c>
      <c r="I1616" s="1" t="s">
        <v>124</v>
      </c>
      <c r="J1616" s="3">
        <v>0.30000000000000004</v>
      </c>
      <c r="K1616" s="4">
        <v>6500</v>
      </c>
      <c r="L1616" s="5">
        <f t="shared" si="12"/>
        <v>1950.0000000000002</v>
      </c>
      <c r="M1616" s="5">
        <f t="shared" si="13"/>
        <v>780.00000000000011</v>
      </c>
      <c r="N1616" s="6">
        <v>0.4</v>
      </c>
    </row>
    <row r="1617" spans="1:14" ht="15.75" customHeight="1" x14ac:dyDescent="0.45">
      <c r="A1617" s="1" t="s">
        <v>119</v>
      </c>
      <c r="B1617" s="1">
        <v>1185732</v>
      </c>
      <c r="C1617" s="2">
        <v>44723</v>
      </c>
      <c r="D1617" s="1" t="s">
        <v>26</v>
      </c>
      <c r="E1617" s="1" t="s">
        <v>61</v>
      </c>
      <c r="F1617" s="1" t="s">
        <v>62</v>
      </c>
      <c r="G1617" s="1" t="s">
        <v>14</v>
      </c>
      <c r="H1617" s="1">
        <v>43</v>
      </c>
      <c r="I1617" s="1" t="s">
        <v>123</v>
      </c>
      <c r="J1617" s="3">
        <v>0.25000000000000011</v>
      </c>
      <c r="K1617" s="4">
        <v>4000</v>
      </c>
      <c r="L1617" s="5">
        <f t="shared" si="12"/>
        <v>1000.0000000000005</v>
      </c>
      <c r="M1617" s="5">
        <f t="shared" si="13"/>
        <v>350.00000000000011</v>
      </c>
      <c r="N1617" s="6">
        <v>0.35</v>
      </c>
    </row>
    <row r="1618" spans="1:14" ht="15.75" customHeight="1" x14ac:dyDescent="0.45">
      <c r="A1618" s="1" t="s">
        <v>119</v>
      </c>
      <c r="B1618" s="1">
        <v>1185732</v>
      </c>
      <c r="C1618" s="2">
        <v>44723</v>
      </c>
      <c r="D1618" s="1" t="s">
        <v>26</v>
      </c>
      <c r="E1618" s="1" t="s">
        <v>61</v>
      </c>
      <c r="F1618" s="1" t="s">
        <v>62</v>
      </c>
      <c r="G1618" s="1" t="s">
        <v>15</v>
      </c>
      <c r="H1618" s="1">
        <v>58</v>
      </c>
      <c r="I1618" s="1" t="s">
        <v>124</v>
      </c>
      <c r="J1618" s="3">
        <v>0.20000000000000007</v>
      </c>
      <c r="K1618" s="4">
        <v>4250</v>
      </c>
      <c r="L1618" s="5">
        <f t="shared" si="12"/>
        <v>850.00000000000023</v>
      </c>
      <c r="M1618" s="5">
        <f t="shared" si="13"/>
        <v>297.50000000000006</v>
      </c>
      <c r="N1618" s="6">
        <v>0.35</v>
      </c>
    </row>
    <row r="1619" spans="1:14" ht="15.75" customHeight="1" x14ac:dyDescent="0.45">
      <c r="A1619" s="1" t="s">
        <v>119</v>
      </c>
      <c r="B1619" s="1">
        <v>1185732</v>
      </c>
      <c r="C1619" s="2">
        <v>44723</v>
      </c>
      <c r="D1619" s="1" t="s">
        <v>26</v>
      </c>
      <c r="E1619" s="1" t="s">
        <v>61</v>
      </c>
      <c r="F1619" s="1" t="s">
        <v>62</v>
      </c>
      <c r="G1619" s="1" t="s">
        <v>16</v>
      </c>
      <c r="H1619" s="1">
        <v>59</v>
      </c>
      <c r="I1619" s="1" t="s">
        <v>124</v>
      </c>
      <c r="J1619" s="3">
        <v>0.20000000000000007</v>
      </c>
      <c r="K1619" s="4">
        <v>4000</v>
      </c>
      <c r="L1619" s="5">
        <f t="shared" si="12"/>
        <v>800.00000000000023</v>
      </c>
      <c r="M1619" s="5">
        <f t="shared" si="13"/>
        <v>320.00000000000011</v>
      </c>
      <c r="N1619" s="6">
        <v>0.4</v>
      </c>
    </row>
    <row r="1620" spans="1:14" ht="15.75" customHeight="1" x14ac:dyDescent="0.45">
      <c r="A1620" s="1" t="s">
        <v>119</v>
      </c>
      <c r="B1620" s="1">
        <v>1185732</v>
      </c>
      <c r="C1620" s="2">
        <v>44723</v>
      </c>
      <c r="D1620" s="1" t="s">
        <v>26</v>
      </c>
      <c r="E1620" s="1" t="s">
        <v>61</v>
      </c>
      <c r="F1620" s="1" t="s">
        <v>62</v>
      </c>
      <c r="G1620" s="1" t="s">
        <v>17</v>
      </c>
      <c r="H1620" s="1">
        <v>32</v>
      </c>
      <c r="I1620" s="1" t="s">
        <v>125</v>
      </c>
      <c r="J1620" s="3">
        <v>0.35000000000000003</v>
      </c>
      <c r="K1620" s="4">
        <v>4000</v>
      </c>
      <c r="L1620" s="5">
        <f t="shared" si="12"/>
        <v>1400.0000000000002</v>
      </c>
      <c r="M1620" s="5">
        <f t="shared" si="13"/>
        <v>490.00000000000006</v>
      </c>
      <c r="N1620" s="6">
        <v>0.35</v>
      </c>
    </row>
    <row r="1621" spans="1:14" ht="15.75" customHeight="1" x14ac:dyDescent="0.45">
      <c r="A1621" s="1" t="s">
        <v>119</v>
      </c>
      <c r="B1621" s="1">
        <v>1185732</v>
      </c>
      <c r="C1621" s="2">
        <v>44723</v>
      </c>
      <c r="D1621" s="1" t="s">
        <v>26</v>
      </c>
      <c r="E1621" s="1" t="s">
        <v>61</v>
      </c>
      <c r="F1621" s="1" t="s">
        <v>62</v>
      </c>
      <c r="G1621" s="1" t="s">
        <v>18</v>
      </c>
      <c r="H1621" s="1">
        <v>35</v>
      </c>
      <c r="I1621" s="1" t="s">
        <v>125</v>
      </c>
      <c r="J1621" s="3">
        <v>0.4</v>
      </c>
      <c r="K1621" s="4">
        <v>5750</v>
      </c>
      <c r="L1621" s="5">
        <f t="shared" si="12"/>
        <v>2300</v>
      </c>
      <c r="M1621" s="5">
        <f t="shared" si="13"/>
        <v>1150</v>
      </c>
      <c r="N1621" s="6">
        <v>0.5</v>
      </c>
    </row>
    <row r="1622" spans="1:14" ht="15.75" customHeight="1" x14ac:dyDescent="0.45">
      <c r="A1622" s="1" t="s">
        <v>119</v>
      </c>
      <c r="B1622" s="1">
        <v>1185732</v>
      </c>
      <c r="C1622" s="2">
        <v>44752</v>
      </c>
      <c r="D1622" s="1" t="s">
        <v>26</v>
      </c>
      <c r="E1622" s="1" t="s">
        <v>61</v>
      </c>
      <c r="F1622" s="1" t="s">
        <v>62</v>
      </c>
      <c r="G1622" s="1" t="s">
        <v>13</v>
      </c>
      <c r="H1622" s="1">
        <v>60</v>
      </c>
      <c r="I1622" s="1" t="s">
        <v>124</v>
      </c>
      <c r="J1622" s="3">
        <v>0.35000000000000003</v>
      </c>
      <c r="K1622" s="4">
        <v>8000</v>
      </c>
      <c r="L1622" s="5">
        <f t="shared" si="12"/>
        <v>2800.0000000000005</v>
      </c>
      <c r="M1622" s="5">
        <f t="shared" si="13"/>
        <v>1120.0000000000002</v>
      </c>
      <c r="N1622" s="6">
        <v>0.4</v>
      </c>
    </row>
    <row r="1623" spans="1:14" ht="15.75" customHeight="1" x14ac:dyDescent="0.45">
      <c r="A1623" s="1" t="s">
        <v>119</v>
      </c>
      <c r="B1623" s="1">
        <v>1185732</v>
      </c>
      <c r="C1623" s="2">
        <v>44752</v>
      </c>
      <c r="D1623" s="1" t="s">
        <v>26</v>
      </c>
      <c r="E1623" s="1" t="s">
        <v>61</v>
      </c>
      <c r="F1623" s="1" t="s">
        <v>62</v>
      </c>
      <c r="G1623" s="1" t="s">
        <v>14</v>
      </c>
      <c r="H1623" s="1">
        <v>32</v>
      </c>
      <c r="I1623" s="1" t="s">
        <v>125</v>
      </c>
      <c r="J1623" s="3">
        <v>0.3000000000000001</v>
      </c>
      <c r="K1623" s="4">
        <v>5500</v>
      </c>
      <c r="L1623" s="5">
        <f t="shared" si="12"/>
        <v>1650.0000000000005</v>
      </c>
      <c r="M1623" s="5">
        <f t="shared" si="13"/>
        <v>577.50000000000011</v>
      </c>
      <c r="N1623" s="6">
        <v>0.35</v>
      </c>
    </row>
    <row r="1624" spans="1:14" ht="15.75" customHeight="1" x14ac:dyDescent="0.45">
      <c r="A1624" s="1" t="s">
        <v>119</v>
      </c>
      <c r="B1624" s="1">
        <v>1185732</v>
      </c>
      <c r="C1624" s="2">
        <v>44752</v>
      </c>
      <c r="D1624" s="1" t="s">
        <v>26</v>
      </c>
      <c r="E1624" s="1" t="s">
        <v>61</v>
      </c>
      <c r="F1624" s="1" t="s">
        <v>62</v>
      </c>
      <c r="G1624" s="1" t="s">
        <v>15</v>
      </c>
      <c r="H1624" s="1">
        <v>23</v>
      </c>
      <c r="I1624" s="1" t="s">
        <v>126</v>
      </c>
      <c r="J1624" s="3">
        <v>0.25000000000000006</v>
      </c>
      <c r="K1624" s="4">
        <v>4750</v>
      </c>
      <c r="L1624" s="5">
        <f t="shared" si="12"/>
        <v>1187.5000000000002</v>
      </c>
      <c r="M1624" s="5">
        <f t="shared" si="13"/>
        <v>415.62500000000006</v>
      </c>
      <c r="N1624" s="6">
        <v>0.35</v>
      </c>
    </row>
    <row r="1625" spans="1:14" ht="15.75" customHeight="1" x14ac:dyDescent="0.45">
      <c r="A1625" s="1" t="s">
        <v>119</v>
      </c>
      <c r="B1625" s="1">
        <v>1185732</v>
      </c>
      <c r="C1625" s="2">
        <v>44752</v>
      </c>
      <c r="D1625" s="1" t="s">
        <v>26</v>
      </c>
      <c r="E1625" s="1" t="s">
        <v>61</v>
      </c>
      <c r="F1625" s="1" t="s">
        <v>62</v>
      </c>
      <c r="G1625" s="1" t="s">
        <v>16</v>
      </c>
      <c r="H1625" s="1">
        <v>16</v>
      </c>
      <c r="I1625" s="1" t="s">
        <v>124</v>
      </c>
      <c r="J1625" s="3">
        <v>0.25000000000000006</v>
      </c>
      <c r="K1625" s="4">
        <v>4250</v>
      </c>
      <c r="L1625" s="5">
        <f t="shared" si="12"/>
        <v>1062.5000000000002</v>
      </c>
      <c r="M1625" s="5">
        <f t="shared" si="13"/>
        <v>425.00000000000011</v>
      </c>
      <c r="N1625" s="6">
        <v>0.4</v>
      </c>
    </row>
    <row r="1626" spans="1:14" ht="15.75" customHeight="1" x14ac:dyDescent="0.45">
      <c r="A1626" s="1" t="s">
        <v>119</v>
      </c>
      <c r="B1626" s="1">
        <v>1185732</v>
      </c>
      <c r="C1626" s="2">
        <v>44752</v>
      </c>
      <c r="D1626" s="1" t="s">
        <v>26</v>
      </c>
      <c r="E1626" s="1" t="s">
        <v>61</v>
      </c>
      <c r="F1626" s="1" t="s">
        <v>62</v>
      </c>
      <c r="G1626" s="1" t="s">
        <v>17</v>
      </c>
      <c r="H1626" s="1">
        <v>33</v>
      </c>
      <c r="I1626" s="1" t="s">
        <v>126</v>
      </c>
      <c r="J1626" s="3">
        <v>0.35000000000000003</v>
      </c>
      <c r="K1626" s="4">
        <v>4250</v>
      </c>
      <c r="L1626" s="5">
        <f t="shared" si="12"/>
        <v>1487.5000000000002</v>
      </c>
      <c r="M1626" s="5">
        <f t="shared" si="13"/>
        <v>520.625</v>
      </c>
      <c r="N1626" s="6">
        <v>0.35</v>
      </c>
    </row>
    <row r="1627" spans="1:14" ht="15.75" customHeight="1" x14ac:dyDescent="0.45">
      <c r="A1627" s="1" t="s">
        <v>119</v>
      </c>
      <c r="B1627" s="1">
        <v>1185732</v>
      </c>
      <c r="C1627" s="2">
        <v>44752</v>
      </c>
      <c r="D1627" s="1" t="s">
        <v>26</v>
      </c>
      <c r="E1627" s="1" t="s">
        <v>61</v>
      </c>
      <c r="F1627" s="1" t="s">
        <v>62</v>
      </c>
      <c r="G1627" s="1" t="s">
        <v>18</v>
      </c>
      <c r="H1627" s="1">
        <v>60</v>
      </c>
      <c r="I1627" s="1" t="s">
        <v>124</v>
      </c>
      <c r="J1627" s="3">
        <v>0.4</v>
      </c>
      <c r="K1627" s="4">
        <v>6000</v>
      </c>
      <c r="L1627" s="5">
        <f t="shared" si="12"/>
        <v>2400</v>
      </c>
      <c r="M1627" s="5">
        <f t="shared" si="13"/>
        <v>1200</v>
      </c>
      <c r="N1627" s="6">
        <v>0.5</v>
      </c>
    </row>
    <row r="1628" spans="1:14" ht="15.75" customHeight="1" x14ac:dyDescent="0.45">
      <c r="A1628" s="1" t="s">
        <v>119</v>
      </c>
      <c r="B1628" s="1">
        <v>1185732</v>
      </c>
      <c r="C1628" s="2">
        <v>44784</v>
      </c>
      <c r="D1628" s="1" t="s">
        <v>26</v>
      </c>
      <c r="E1628" s="1" t="s">
        <v>61</v>
      </c>
      <c r="F1628" s="1" t="s">
        <v>62</v>
      </c>
      <c r="G1628" s="1" t="s">
        <v>13</v>
      </c>
      <c r="H1628" s="1">
        <v>55</v>
      </c>
      <c r="I1628" s="1" t="s">
        <v>125</v>
      </c>
      <c r="J1628" s="3">
        <v>0.35000000000000003</v>
      </c>
      <c r="K1628" s="4">
        <v>7500</v>
      </c>
      <c r="L1628" s="5">
        <f t="shared" si="12"/>
        <v>2625.0000000000005</v>
      </c>
      <c r="M1628" s="5">
        <f t="shared" si="13"/>
        <v>1050.0000000000002</v>
      </c>
      <c r="N1628" s="6">
        <v>0.4</v>
      </c>
    </row>
    <row r="1629" spans="1:14" ht="15.75" customHeight="1" x14ac:dyDescent="0.45">
      <c r="A1629" s="1" t="s">
        <v>119</v>
      </c>
      <c r="B1629" s="1">
        <v>1185732</v>
      </c>
      <c r="C1629" s="2">
        <v>44784</v>
      </c>
      <c r="D1629" s="1" t="s">
        <v>26</v>
      </c>
      <c r="E1629" s="1" t="s">
        <v>61</v>
      </c>
      <c r="F1629" s="1" t="s">
        <v>62</v>
      </c>
      <c r="G1629" s="1" t="s">
        <v>14</v>
      </c>
      <c r="H1629" s="1">
        <v>24</v>
      </c>
      <c r="I1629" s="1" t="s">
        <v>124</v>
      </c>
      <c r="J1629" s="3">
        <v>0.35000000000000009</v>
      </c>
      <c r="K1629" s="4">
        <v>5250</v>
      </c>
      <c r="L1629" s="5">
        <f t="shared" si="12"/>
        <v>1837.5000000000005</v>
      </c>
      <c r="M1629" s="5">
        <f t="shared" si="13"/>
        <v>643.12500000000011</v>
      </c>
      <c r="N1629" s="6">
        <v>0.35</v>
      </c>
    </row>
    <row r="1630" spans="1:14" ht="15.75" customHeight="1" x14ac:dyDescent="0.45">
      <c r="A1630" s="1" t="s">
        <v>119</v>
      </c>
      <c r="B1630" s="1">
        <v>1185732</v>
      </c>
      <c r="C1630" s="2">
        <v>44784</v>
      </c>
      <c r="D1630" s="1" t="s">
        <v>26</v>
      </c>
      <c r="E1630" s="1" t="s">
        <v>61</v>
      </c>
      <c r="F1630" s="1" t="s">
        <v>62</v>
      </c>
      <c r="G1630" s="1" t="s">
        <v>15</v>
      </c>
      <c r="H1630" s="1">
        <v>15</v>
      </c>
      <c r="I1630" s="1" t="s">
        <v>125</v>
      </c>
      <c r="J1630" s="3">
        <v>0.30000000000000004</v>
      </c>
      <c r="K1630" s="4">
        <v>4500</v>
      </c>
      <c r="L1630" s="5">
        <f t="shared" si="12"/>
        <v>1350.0000000000002</v>
      </c>
      <c r="M1630" s="5">
        <f t="shared" si="13"/>
        <v>472.50000000000006</v>
      </c>
      <c r="N1630" s="6">
        <v>0.35</v>
      </c>
    </row>
    <row r="1631" spans="1:14" ht="15.75" customHeight="1" x14ac:dyDescent="0.45">
      <c r="A1631" s="1" t="s">
        <v>119</v>
      </c>
      <c r="B1631" s="1">
        <v>1185732</v>
      </c>
      <c r="C1631" s="2">
        <v>44784</v>
      </c>
      <c r="D1631" s="1" t="s">
        <v>26</v>
      </c>
      <c r="E1631" s="1" t="s">
        <v>61</v>
      </c>
      <c r="F1631" s="1" t="s">
        <v>62</v>
      </c>
      <c r="G1631" s="1" t="s">
        <v>16</v>
      </c>
      <c r="H1631" s="1">
        <v>45</v>
      </c>
      <c r="I1631" s="1" t="s">
        <v>124</v>
      </c>
      <c r="J1631" s="3">
        <v>0.20000000000000007</v>
      </c>
      <c r="K1631" s="4">
        <v>3750</v>
      </c>
      <c r="L1631" s="5">
        <f t="shared" si="12"/>
        <v>750.00000000000023</v>
      </c>
      <c r="M1631" s="5">
        <f t="shared" si="13"/>
        <v>300.00000000000011</v>
      </c>
      <c r="N1631" s="6">
        <v>0.4</v>
      </c>
    </row>
    <row r="1632" spans="1:14" ht="15.75" customHeight="1" x14ac:dyDescent="0.45">
      <c r="A1632" s="1" t="s">
        <v>119</v>
      </c>
      <c r="B1632" s="1">
        <v>1185732</v>
      </c>
      <c r="C1632" s="2">
        <v>44784</v>
      </c>
      <c r="D1632" s="1" t="s">
        <v>26</v>
      </c>
      <c r="E1632" s="1" t="s">
        <v>61</v>
      </c>
      <c r="F1632" s="1" t="s">
        <v>62</v>
      </c>
      <c r="G1632" s="1" t="s">
        <v>17</v>
      </c>
      <c r="H1632" s="1">
        <v>20</v>
      </c>
      <c r="I1632" s="1" t="s">
        <v>124</v>
      </c>
      <c r="J1632" s="3">
        <v>0.30000000000000004</v>
      </c>
      <c r="K1632" s="4">
        <v>3500</v>
      </c>
      <c r="L1632" s="5">
        <f t="shared" si="12"/>
        <v>1050.0000000000002</v>
      </c>
      <c r="M1632" s="5">
        <f t="shared" si="13"/>
        <v>367.50000000000006</v>
      </c>
      <c r="N1632" s="6">
        <v>0.35</v>
      </c>
    </row>
    <row r="1633" spans="1:14" ht="15.75" customHeight="1" x14ac:dyDescent="0.45">
      <c r="A1633" s="1" t="s">
        <v>119</v>
      </c>
      <c r="B1633" s="1">
        <v>1185732</v>
      </c>
      <c r="C1633" s="2">
        <v>44784</v>
      </c>
      <c r="D1633" s="1" t="s">
        <v>26</v>
      </c>
      <c r="E1633" s="1" t="s">
        <v>61</v>
      </c>
      <c r="F1633" s="1" t="s">
        <v>62</v>
      </c>
      <c r="G1633" s="1" t="s">
        <v>18</v>
      </c>
      <c r="H1633" s="1">
        <v>33</v>
      </c>
      <c r="I1633" s="1" t="s">
        <v>125</v>
      </c>
      <c r="J1633" s="3">
        <v>0.35000000000000003</v>
      </c>
      <c r="K1633" s="4">
        <v>5250</v>
      </c>
      <c r="L1633" s="5">
        <f t="shared" si="12"/>
        <v>1837.5000000000002</v>
      </c>
      <c r="M1633" s="5">
        <f t="shared" si="13"/>
        <v>918.75000000000011</v>
      </c>
      <c r="N1633" s="6">
        <v>0.5</v>
      </c>
    </row>
    <row r="1634" spans="1:14" ht="15.75" customHeight="1" x14ac:dyDescent="0.45">
      <c r="A1634" s="1" t="s">
        <v>119</v>
      </c>
      <c r="B1634" s="1">
        <v>1185732</v>
      </c>
      <c r="C1634" s="2">
        <v>44816</v>
      </c>
      <c r="D1634" s="1" t="s">
        <v>26</v>
      </c>
      <c r="E1634" s="1" t="s">
        <v>61</v>
      </c>
      <c r="F1634" s="1" t="s">
        <v>62</v>
      </c>
      <c r="G1634" s="1" t="s">
        <v>13</v>
      </c>
      <c r="H1634" s="1">
        <v>32</v>
      </c>
      <c r="I1634" s="1" t="s">
        <v>126</v>
      </c>
      <c r="J1634" s="3">
        <v>0.30000000000000004</v>
      </c>
      <c r="K1634" s="4">
        <v>6500</v>
      </c>
      <c r="L1634" s="5">
        <f t="shared" si="12"/>
        <v>1950.0000000000002</v>
      </c>
      <c r="M1634" s="5">
        <f t="shared" si="13"/>
        <v>780.00000000000011</v>
      </c>
      <c r="N1634" s="6">
        <v>0.4</v>
      </c>
    </row>
    <row r="1635" spans="1:14" ht="15.75" customHeight="1" x14ac:dyDescent="0.45">
      <c r="A1635" s="1" t="s">
        <v>119</v>
      </c>
      <c r="B1635" s="1">
        <v>1185732</v>
      </c>
      <c r="C1635" s="2">
        <v>44816</v>
      </c>
      <c r="D1635" s="1" t="s">
        <v>26</v>
      </c>
      <c r="E1635" s="1" t="s">
        <v>61</v>
      </c>
      <c r="F1635" s="1" t="s">
        <v>62</v>
      </c>
      <c r="G1635" s="1" t="s">
        <v>14</v>
      </c>
      <c r="H1635" s="1">
        <v>46</v>
      </c>
      <c r="I1635" s="1" t="s">
        <v>124</v>
      </c>
      <c r="J1635" s="3">
        <v>0.25000000000000011</v>
      </c>
      <c r="K1635" s="4">
        <v>4500</v>
      </c>
      <c r="L1635" s="5">
        <f t="shared" si="12"/>
        <v>1125.0000000000005</v>
      </c>
      <c r="M1635" s="5">
        <f t="shared" si="13"/>
        <v>393.75000000000011</v>
      </c>
      <c r="N1635" s="6">
        <v>0.35</v>
      </c>
    </row>
    <row r="1636" spans="1:14" ht="15.75" customHeight="1" x14ac:dyDescent="0.45">
      <c r="A1636" s="1" t="s">
        <v>119</v>
      </c>
      <c r="B1636" s="1">
        <v>1185732</v>
      </c>
      <c r="C1636" s="2">
        <v>44816</v>
      </c>
      <c r="D1636" s="1" t="s">
        <v>26</v>
      </c>
      <c r="E1636" s="1" t="s">
        <v>61</v>
      </c>
      <c r="F1636" s="1" t="s">
        <v>62</v>
      </c>
      <c r="G1636" s="1" t="s">
        <v>15</v>
      </c>
      <c r="H1636" s="1">
        <v>27</v>
      </c>
      <c r="I1636" s="1" t="s">
        <v>124</v>
      </c>
      <c r="J1636" s="3">
        <v>0.10000000000000002</v>
      </c>
      <c r="K1636" s="4">
        <v>3500</v>
      </c>
      <c r="L1636" s="5">
        <f t="shared" si="12"/>
        <v>350.00000000000006</v>
      </c>
      <c r="M1636" s="5">
        <f t="shared" si="13"/>
        <v>122.50000000000001</v>
      </c>
      <c r="N1636" s="6">
        <v>0.35</v>
      </c>
    </row>
    <row r="1637" spans="1:14" ht="15.75" customHeight="1" x14ac:dyDescent="0.45">
      <c r="A1637" s="1" t="s">
        <v>119</v>
      </c>
      <c r="B1637" s="1">
        <v>1185732</v>
      </c>
      <c r="C1637" s="2">
        <v>44816</v>
      </c>
      <c r="D1637" s="1" t="s">
        <v>26</v>
      </c>
      <c r="E1637" s="1" t="s">
        <v>61</v>
      </c>
      <c r="F1637" s="1" t="s">
        <v>62</v>
      </c>
      <c r="G1637" s="1" t="s">
        <v>16</v>
      </c>
      <c r="H1637" s="1">
        <v>57</v>
      </c>
      <c r="I1637" s="1" t="s">
        <v>125</v>
      </c>
      <c r="J1637" s="3">
        <v>0.10000000000000002</v>
      </c>
      <c r="K1637" s="4">
        <v>3250</v>
      </c>
      <c r="L1637" s="5">
        <f t="shared" si="12"/>
        <v>325.00000000000006</v>
      </c>
      <c r="M1637" s="5">
        <f t="shared" si="13"/>
        <v>130.00000000000003</v>
      </c>
      <c r="N1637" s="6">
        <v>0.4</v>
      </c>
    </row>
    <row r="1638" spans="1:14" ht="15.75" customHeight="1" x14ac:dyDescent="0.45">
      <c r="A1638" s="1" t="s">
        <v>119</v>
      </c>
      <c r="B1638" s="1">
        <v>1185732</v>
      </c>
      <c r="C1638" s="2">
        <v>44816</v>
      </c>
      <c r="D1638" s="1" t="s">
        <v>26</v>
      </c>
      <c r="E1638" s="1" t="s">
        <v>61</v>
      </c>
      <c r="F1638" s="1" t="s">
        <v>62</v>
      </c>
      <c r="G1638" s="1" t="s">
        <v>17</v>
      </c>
      <c r="H1638" s="1">
        <v>46</v>
      </c>
      <c r="I1638" s="1" t="s">
        <v>125</v>
      </c>
      <c r="J1638" s="3">
        <v>0.2</v>
      </c>
      <c r="K1638" s="4">
        <v>3250</v>
      </c>
      <c r="L1638" s="5">
        <f t="shared" si="12"/>
        <v>650</v>
      </c>
      <c r="M1638" s="5">
        <f t="shared" si="13"/>
        <v>227.49999999999997</v>
      </c>
      <c r="N1638" s="6">
        <v>0.35</v>
      </c>
    </row>
    <row r="1639" spans="1:14" ht="15.75" customHeight="1" x14ac:dyDescent="0.45">
      <c r="A1639" s="1" t="s">
        <v>119</v>
      </c>
      <c r="B1639" s="1">
        <v>1185732</v>
      </c>
      <c r="C1639" s="2">
        <v>44816</v>
      </c>
      <c r="D1639" s="1" t="s">
        <v>26</v>
      </c>
      <c r="E1639" s="1" t="s">
        <v>61</v>
      </c>
      <c r="F1639" s="1" t="s">
        <v>62</v>
      </c>
      <c r="G1639" s="1" t="s">
        <v>18</v>
      </c>
      <c r="H1639" s="1">
        <v>54</v>
      </c>
      <c r="I1639" s="1" t="s">
        <v>125</v>
      </c>
      <c r="J1639" s="3">
        <v>0.25000000000000006</v>
      </c>
      <c r="K1639" s="4">
        <v>4000</v>
      </c>
      <c r="L1639" s="5">
        <f t="shared" si="12"/>
        <v>1000.0000000000002</v>
      </c>
      <c r="M1639" s="5">
        <f t="shared" si="13"/>
        <v>500.00000000000011</v>
      </c>
      <c r="N1639" s="6">
        <v>0.5</v>
      </c>
    </row>
    <row r="1640" spans="1:14" ht="15.75" customHeight="1" x14ac:dyDescent="0.45">
      <c r="A1640" s="1" t="s">
        <v>119</v>
      </c>
      <c r="B1640" s="1">
        <v>1185732</v>
      </c>
      <c r="C1640" s="2">
        <v>44845</v>
      </c>
      <c r="D1640" s="1" t="s">
        <v>26</v>
      </c>
      <c r="E1640" s="1" t="s">
        <v>61</v>
      </c>
      <c r="F1640" s="1" t="s">
        <v>62</v>
      </c>
      <c r="G1640" s="1" t="s">
        <v>13</v>
      </c>
      <c r="H1640" s="1">
        <v>46</v>
      </c>
      <c r="I1640" s="1" t="s">
        <v>123</v>
      </c>
      <c r="J1640" s="3">
        <v>0.3</v>
      </c>
      <c r="K1640" s="4">
        <v>5750</v>
      </c>
      <c r="L1640" s="5">
        <f t="shared" si="12"/>
        <v>1725</v>
      </c>
      <c r="M1640" s="5">
        <f t="shared" si="13"/>
        <v>690</v>
      </c>
      <c r="N1640" s="6">
        <v>0.4</v>
      </c>
    </row>
    <row r="1641" spans="1:14" ht="15.75" customHeight="1" x14ac:dyDescent="0.45">
      <c r="A1641" s="1" t="s">
        <v>119</v>
      </c>
      <c r="B1641" s="1">
        <v>1185732</v>
      </c>
      <c r="C1641" s="2">
        <v>44845</v>
      </c>
      <c r="D1641" s="1" t="s">
        <v>26</v>
      </c>
      <c r="E1641" s="1" t="s">
        <v>61</v>
      </c>
      <c r="F1641" s="1" t="s">
        <v>62</v>
      </c>
      <c r="G1641" s="1" t="s">
        <v>14</v>
      </c>
      <c r="H1641" s="1">
        <v>56</v>
      </c>
      <c r="I1641" s="1" t="s">
        <v>124</v>
      </c>
      <c r="J1641" s="3">
        <v>0.2</v>
      </c>
      <c r="K1641" s="4">
        <v>4000</v>
      </c>
      <c r="L1641" s="5">
        <f t="shared" si="12"/>
        <v>800</v>
      </c>
      <c r="M1641" s="5">
        <f t="shared" si="13"/>
        <v>280</v>
      </c>
      <c r="N1641" s="6">
        <v>0.35</v>
      </c>
    </row>
    <row r="1642" spans="1:14" ht="15.75" customHeight="1" x14ac:dyDescent="0.45">
      <c r="A1642" s="1" t="s">
        <v>119</v>
      </c>
      <c r="B1642" s="1">
        <v>1185732</v>
      </c>
      <c r="C1642" s="2">
        <v>44845</v>
      </c>
      <c r="D1642" s="1" t="s">
        <v>26</v>
      </c>
      <c r="E1642" s="1" t="s">
        <v>61</v>
      </c>
      <c r="F1642" s="1" t="s">
        <v>62</v>
      </c>
      <c r="G1642" s="1" t="s">
        <v>15</v>
      </c>
      <c r="H1642" s="1">
        <v>60</v>
      </c>
      <c r="I1642" s="1" t="s">
        <v>126</v>
      </c>
      <c r="J1642" s="3">
        <v>0.2</v>
      </c>
      <c r="K1642" s="4">
        <v>3000</v>
      </c>
      <c r="L1642" s="5">
        <f t="shared" si="12"/>
        <v>600</v>
      </c>
      <c r="M1642" s="5">
        <f t="shared" si="13"/>
        <v>210</v>
      </c>
      <c r="N1642" s="6">
        <v>0.35</v>
      </c>
    </row>
    <row r="1643" spans="1:14" ht="15.75" customHeight="1" x14ac:dyDescent="0.45">
      <c r="A1643" s="1" t="s">
        <v>119</v>
      </c>
      <c r="B1643" s="1">
        <v>1185732</v>
      </c>
      <c r="C1643" s="2">
        <v>44845</v>
      </c>
      <c r="D1643" s="1" t="s">
        <v>26</v>
      </c>
      <c r="E1643" s="1" t="s">
        <v>61</v>
      </c>
      <c r="F1643" s="1" t="s">
        <v>62</v>
      </c>
      <c r="G1643" s="1" t="s">
        <v>16</v>
      </c>
      <c r="H1643" s="1">
        <v>38</v>
      </c>
      <c r="I1643" s="1" t="s">
        <v>123</v>
      </c>
      <c r="J1643" s="3">
        <v>0.2</v>
      </c>
      <c r="K1643" s="4">
        <v>2750</v>
      </c>
      <c r="L1643" s="5">
        <f t="shared" ref="L1643:L1897" si="14">J1643*K1643</f>
        <v>550</v>
      </c>
      <c r="M1643" s="5">
        <f t="shared" ref="M1643:M1897" si="15">L1643*N1643</f>
        <v>220</v>
      </c>
      <c r="N1643" s="6">
        <v>0.4</v>
      </c>
    </row>
    <row r="1644" spans="1:14" ht="15.75" customHeight="1" x14ac:dyDescent="0.45">
      <c r="A1644" s="1" t="s">
        <v>119</v>
      </c>
      <c r="B1644" s="1">
        <v>1185732</v>
      </c>
      <c r="C1644" s="2">
        <v>44845</v>
      </c>
      <c r="D1644" s="1" t="s">
        <v>26</v>
      </c>
      <c r="E1644" s="1" t="s">
        <v>61</v>
      </c>
      <c r="F1644" s="1" t="s">
        <v>62</v>
      </c>
      <c r="G1644" s="1" t="s">
        <v>17</v>
      </c>
      <c r="H1644" s="1">
        <v>45</v>
      </c>
      <c r="I1644" s="1" t="s">
        <v>123</v>
      </c>
      <c r="J1644" s="3">
        <v>0.3</v>
      </c>
      <c r="K1644" s="4">
        <v>2750</v>
      </c>
      <c r="L1644" s="5">
        <f t="shared" si="14"/>
        <v>825</v>
      </c>
      <c r="M1644" s="5">
        <f t="shared" si="15"/>
        <v>288.75</v>
      </c>
      <c r="N1644" s="6">
        <v>0.35</v>
      </c>
    </row>
    <row r="1645" spans="1:14" ht="15.75" customHeight="1" x14ac:dyDescent="0.45">
      <c r="A1645" s="1" t="s">
        <v>119</v>
      </c>
      <c r="B1645" s="1">
        <v>1185732</v>
      </c>
      <c r="C1645" s="2">
        <v>44845</v>
      </c>
      <c r="D1645" s="1" t="s">
        <v>26</v>
      </c>
      <c r="E1645" s="1" t="s">
        <v>61</v>
      </c>
      <c r="F1645" s="1" t="s">
        <v>62</v>
      </c>
      <c r="G1645" s="1" t="s">
        <v>18</v>
      </c>
      <c r="H1645" s="1">
        <v>56</v>
      </c>
      <c r="I1645" s="1" t="s">
        <v>124</v>
      </c>
      <c r="J1645" s="3">
        <v>0.34999999999999992</v>
      </c>
      <c r="K1645" s="4">
        <v>4000</v>
      </c>
      <c r="L1645" s="5">
        <f t="shared" si="14"/>
        <v>1399.9999999999998</v>
      </c>
      <c r="M1645" s="5">
        <f t="shared" si="15"/>
        <v>699.99999999999989</v>
      </c>
      <c r="N1645" s="6">
        <v>0.5</v>
      </c>
    </row>
    <row r="1646" spans="1:14" ht="15.75" customHeight="1" x14ac:dyDescent="0.45">
      <c r="A1646" s="1" t="s">
        <v>119</v>
      </c>
      <c r="B1646" s="1">
        <v>1185732</v>
      </c>
      <c r="C1646" s="2">
        <v>44876</v>
      </c>
      <c r="D1646" s="1" t="s">
        <v>26</v>
      </c>
      <c r="E1646" s="1" t="s">
        <v>61</v>
      </c>
      <c r="F1646" s="1" t="s">
        <v>62</v>
      </c>
      <c r="G1646" s="1" t="s">
        <v>13</v>
      </c>
      <c r="H1646" s="1">
        <v>55</v>
      </c>
      <c r="I1646" s="1" t="s">
        <v>125</v>
      </c>
      <c r="J1646" s="3">
        <v>0.30000000000000004</v>
      </c>
      <c r="K1646" s="4">
        <v>5500</v>
      </c>
      <c r="L1646" s="5">
        <f t="shared" si="14"/>
        <v>1650.0000000000002</v>
      </c>
      <c r="M1646" s="5">
        <f t="shared" si="15"/>
        <v>660.00000000000011</v>
      </c>
      <c r="N1646" s="6">
        <v>0.4</v>
      </c>
    </row>
    <row r="1647" spans="1:14" ht="15.75" customHeight="1" x14ac:dyDescent="0.45">
      <c r="A1647" s="1" t="s">
        <v>119</v>
      </c>
      <c r="B1647" s="1">
        <v>1185732</v>
      </c>
      <c r="C1647" s="2">
        <v>44876</v>
      </c>
      <c r="D1647" s="1" t="s">
        <v>26</v>
      </c>
      <c r="E1647" s="1" t="s">
        <v>61</v>
      </c>
      <c r="F1647" s="1" t="s">
        <v>62</v>
      </c>
      <c r="G1647" s="1" t="s">
        <v>14</v>
      </c>
      <c r="H1647" s="1">
        <v>57</v>
      </c>
      <c r="I1647" s="1" t="s">
        <v>124</v>
      </c>
      <c r="J1647" s="3">
        <v>0.20000000000000007</v>
      </c>
      <c r="K1647" s="4">
        <v>4000</v>
      </c>
      <c r="L1647" s="5">
        <f t="shared" si="14"/>
        <v>800.00000000000023</v>
      </c>
      <c r="M1647" s="5">
        <f t="shared" si="15"/>
        <v>280.00000000000006</v>
      </c>
      <c r="N1647" s="6">
        <v>0.35</v>
      </c>
    </row>
    <row r="1648" spans="1:14" ht="15.75" customHeight="1" x14ac:dyDescent="0.45">
      <c r="A1648" s="1" t="s">
        <v>119</v>
      </c>
      <c r="B1648" s="1">
        <v>1185732</v>
      </c>
      <c r="C1648" s="2">
        <v>44876</v>
      </c>
      <c r="D1648" s="1" t="s">
        <v>26</v>
      </c>
      <c r="E1648" s="1" t="s">
        <v>61</v>
      </c>
      <c r="F1648" s="1" t="s">
        <v>62</v>
      </c>
      <c r="G1648" s="1" t="s">
        <v>15</v>
      </c>
      <c r="H1648" s="1">
        <v>60</v>
      </c>
      <c r="I1648" s="1" t="s">
        <v>123</v>
      </c>
      <c r="J1648" s="3">
        <v>0.20000000000000007</v>
      </c>
      <c r="K1648" s="4">
        <v>3450</v>
      </c>
      <c r="L1648" s="5">
        <f t="shared" si="14"/>
        <v>690.00000000000023</v>
      </c>
      <c r="M1648" s="5">
        <f t="shared" si="15"/>
        <v>241.50000000000006</v>
      </c>
      <c r="N1648" s="6">
        <v>0.35</v>
      </c>
    </row>
    <row r="1649" spans="1:14" ht="15.75" customHeight="1" x14ac:dyDescent="0.45">
      <c r="A1649" s="1" t="s">
        <v>119</v>
      </c>
      <c r="B1649" s="1">
        <v>1185732</v>
      </c>
      <c r="C1649" s="2">
        <v>44876</v>
      </c>
      <c r="D1649" s="1" t="s">
        <v>26</v>
      </c>
      <c r="E1649" s="1" t="s">
        <v>61</v>
      </c>
      <c r="F1649" s="1" t="s">
        <v>62</v>
      </c>
      <c r="G1649" s="1" t="s">
        <v>16</v>
      </c>
      <c r="H1649" s="1">
        <v>55</v>
      </c>
      <c r="I1649" s="1" t="s">
        <v>126</v>
      </c>
      <c r="J1649" s="3">
        <v>0.20000000000000007</v>
      </c>
      <c r="K1649" s="4">
        <v>3750</v>
      </c>
      <c r="L1649" s="5">
        <f t="shared" si="14"/>
        <v>750.00000000000023</v>
      </c>
      <c r="M1649" s="5">
        <f t="shared" si="15"/>
        <v>300.00000000000011</v>
      </c>
      <c r="N1649" s="6">
        <v>0.4</v>
      </c>
    </row>
    <row r="1650" spans="1:14" ht="15.75" customHeight="1" x14ac:dyDescent="0.45">
      <c r="A1650" s="1" t="s">
        <v>119</v>
      </c>
      <c r="B1650" s="1">
        <v>1185732</v>
      </c>
      <c r="C1650" s="2">
        <v>44876</v>
      </c>
      <c r="D1650" s="1" t="s">
        <v>26</v>
      </c>
      <c r="E1650" s="1" t="s">
        <v>61</v>
      </c>
      <c r="F1650" s="1" t="s">
        <v>62</v>
      </c>
      <c r="G1650" s="1" t="s">
        <v>17</v>
      </c>
      <c r="H1650" s="1">
        <v>34</v>
      </c>
      <c r="I1650" s="1" t="s">
        <v>126</v>
      </c>
      <c r="J1650" s="3">
        <v>0.39999999999999997</v>
      </c>
      <c r="K1650" s="4">
        <v>3500</v>
      </c>
      <c r="L1650" s="5">
        <f t="shared" si="14"/>
        <v>1399.9999999999998</v>
      </c>
      <c r="M1650" s="5">
        <f t="shared" si="15"/>
        <v>489.99999999999989</v>
      </c>
      <c r="N1650" s="6">
        <v>0.35</v>
      </c>
    </row>
    <row r="1651" spans="1:14" ht="15.75" customHeight="1" x14ac:dyDescent="0.45">
      <c r="A1651" s="1" t="s">
        <v>119</v>
      </c>
      <c r="B1651" s="1">
        <v>1185732</v>
      </c>
      <c r="C1651" s="2">
        <v>44876</v>
      </c>
      <c r="D1651" s="1" t="s">
        <v>26</v>
      </c>
      <c r="E1651" s="1" t="s">
        <v>61</v>
      </c>
      <c r="F1651" s="1" t="s">
        <v>62</v>
      </c>
      <c r="G1651" s="1" t="s">
        <v>18</v>
      </c>
      <c r="H1651" s="1">
        <v>33</v>
      </c>
      <c r="I1651" s="1" t="s">
        <v>125</v>
      </c>
      <c r="J1651" s="3">
        <v>0.44999999999999984</v>
      </c>
      <c r="K1651" s="4">
        <v>4500</v>
      </c>
      <c r="L1651" s="5">
        <f t="shared" si="14"/>
        <v>2024.9999999999993</v>
      </c>
      <c r="M1651" s="5">
        <f t="shared" si="15"/>
        <v>1012.4999999999997</v>
      </c>
      <c r="N1651" s="6">
        <v>0.5</v>
      </c>
    </row>
    <row r="1652" spans="1:14" ht="15.75" customHeight="1" x14ac:dyDescent="0.45">
      <c r="A1652" s="1" t="s">
        <v>119</v>
      </c>
      <c r="B1652" s="1">
        <v>1185732</v>
      </c>
      <c r="C1652" s="2">
        <v>44905</v>
      </c>
      <c r="D1652" s="1" t="s">
        <v>26</v>
      </c>
      <c r="E1652" s="1" t="s">
        <v>61</v>
      </c>
      <c r="F1652" s="1" t="s">
        <v>62</v>
      </c>
      <c r="G1652" s="1" t="s">
        <v>13</v>
      </c>
      <c r="H1652" s="1">
        <v>28</v>
      </c>
      <c r="I1652" s="1" t="s">
        <v>125</v>
      </c>
      <c r="J1652" s="3">
        <v>0.39999999999999997</v>
      </c>
      <c r="K1652" s="4">
        <v>7000</v>
      </c>
      <c r="L1652" s="5">
        <f t="shared" si="14"/>
        <v>2799.9999999999995</v>
      </c>
      <c r="M1652" s="5">
        <f t="shared" si="15"/>
        <v>1119.9999999999998</v>
      </c>
      <c r="N1652" s="6">
        <v>0.4</v>
      </c>
    </row>
    <row r="1653" spans="1:14" ht="15.75" customHeight="1" x14ac:dyDescent="0.45">
      <c r="A1653" s="1" t="s">
        <v>119</v>
      </c>
      <c r="B1653" s="1">
        <v>1185732</v>
      </c>
      <c r="C1653" s="2">
        <v>44905</v>
      </c>
      <c r="D1653" s="1" t="s">
        <v>26</v>
      </c>
      <c r="E1653" s="1" t="s">
        <v>61</v>
      </c>
      <c r="F1653" s="1" t="s">
        <v>62</v>
      </c>
      <c r="G1653" s="1" t="s">
        <v>14</v>
      </c>
      <c r="H1653" s="1">
        <v>19</v>
      </c>
      <c r="I1653" s="1" t="s">
        <v>126</v>
      </c>
      <c r="J1653" s="3">
        <v>0.30000000000000004</v>
      </c>
      <c r="K1653" s="4">
        <v>5000</v>
      </c>
      <c r="L1653" s="5">
        <f t="shared" si="14"/>
        <v>1500.0000000000002</v>
      </c>
      <c r="M1653" s="5">
        <f t="shared" si="15"/>
        <v>525</v>
      </c>
      <c r="N1653" s="6">
        <v>0.35</v>
      </c>
    </row>
    <row r="1654" spans="1:14" ht="15.75" customHeight="1" x14ac:dyDescent="0.45">
      <c r="A1654" s="1" t="s">
        <v>119</v>
      </c>
      <c r="B1654" s="1">
        <v>1185732</v>
      </c>
      <c r="C1654" s="2">
        <v>44905</v>
      </c>
      <c r="D1654" s="1" t="s">
        <v>26</v>
      </c>
      <c r="E1654" s="1" t="s">
        <v>61</v>
      </c>
      <c r="F1654" s="1" t="s">
        <v>62</v>
      </c>
      <c r="G1654" s="1" t="s">
        <v>15</v>
      </c>
      <c r="H1654" s="1">
        <v>17</v>
      </c>
      <c r="I1654" s="1" t="s">
        <v>125</v>
      </c>
      <c r="J1654" s="3">
        <v>0.30000000000000004</v>
      </c>
      <c r="K1654" s="4">
        <v>4500</v>
      </c>
      <c r="L1654" s="5">
        <f t="shared" si="14"/>
        <v>1350.0000000000002</v>
      </c>
      <c r="M1654" s="5">
        <f t="shared" si="15"/>
        <v>472.50000000000006</v>
      </c>
      <c r="N1654" s="6">
        <v>0.35</v>
      </c>
    </row>
    <row r="1655" spans="1:14" ht="15.75" customHeight="1" x14ac:dyDescent="0.45">
      <c r="A1655" s="1" t="s">
        <v>119</v>
      </c>
      <c r="B1655" s="1">
        <v>1185732</v>
      </c>
      <c r="C1655" s="2">
        <v>44905</v>
      </c>
      <c r="D1655" s="1" t="s">
        <v>26</v>
      </c>
      <c r="E1655" s="1" t="s">
        <v>61</v>
      </c>
      <c r="F1655" s="1" t="s">
        <v>62</v>
      </c>
      <c r="G1655" s="1" t="s">
        <v>16</v>
      </c>
      <c r="H1655" s="1">
        <v>52</v>
      </c>
      <c r="I1655" s="1" t="s">
        <v>125</v>
      </c>
      <c r="J1655" s="3">
        <v>0.30000000000000004</v>
      </c>
      <c r="K1655" s="4">
        <v>4000</v>
      </c>
      <c r="L1655" s="5">
        <f t="shared" si="14"/>
        <v>1200.0000000000002</v>
      </c>
      <c r="M1655" s="5">
        <f t="shared" si="15"/>
        <v>480.00000000000011</v>
      </c>
      <c r="N1655" s="6">
        <v>0.4</v>
      </c>
    </row>
    <row r="1656" spans="1:14" ht="15.75" customHeight="1" x14ac:dyDescent="0.45">
      <c r="A1656" s="1" t="s">
        <v>119</v>
      </c>
      <c r="B1656" s="1">
        <v>1185732</v>
      </c>
      <c r="C1656" s="2">
        <v>44905</v>
      </c>
      <c r="D1656" s="1" t="s">
        <v>26</v>
      </c>
      <c r="E1656" s="1" t="s">
        <v>61</v>
      </c>
      <c r="F1656" s="1" t="s">
        <v>62</v>
      </c>
      <c r="G1656" s="1" t="s">
        <v>17</v>
      </c>
      <c r="H1656" s="1">
        <v>37</v>
      </c>
      <c r="I1656" s="1" t="s">
        <v>126</v>
      </c>
      <c r="J1656" s="3">
        <v>0.39999999999999997</v>
      </c>
      <c r="K1656" s="4">
        <v>4000</v>
      </c>
      <c r="L1656" s="5">
        <f t="shared" si="14"/>
        <v>1599.9999999999998</v>
      </c>
      <c r="M1656" s="5">
        <f t="shared" si="15"/>
        <v>559.99999999999989</v>
      </c>
      <c r="N1656" s="6">
        <v>0.35</v>
      </c>
    </row>
    <row r="1657" spans="1:14" ht="15.75" customHeight="1" x14ac:dyDescent="0.45">
      <c r="A1657" s="1" t="s">
        <v>119</v>
      </c>
      <c r="B1657" s="1">
        <v>1185732</v>
      </c>
      <c r="C1657" s="2">
        <v>44905</v>
      </c>
      <c r="D1657" s="1" t="s">
        <v>26</v>
      </c>
      <c r="E1657" s="1" t="s">
        <v>61</v>
      </c>
      <c r="F1657" s="1" t="s">
        <v>62</v>
      </c>
      <c r="G1657" s="1" t="s">
        <v>18</v>
      </c>
      <c r="H1657" s="1">
        <v>44</v>
      </c>
      <c r="I1657" s="1" t="s">
        <v>125</v>
      </c>
      <c r="J1657" s="3">
        <v>0.44999999999999984</v>
      </c>
      <c r="K1657" s="4">
        <v>5000</v>
      </c>
      <c r="L1657" s="5">
        <f t="shared" si="14"/>
        <v>2249.9999999999991</v>
      </c>
      <c r="M1657" s="5">
        <f t="shared" si="15"/>
        <v>1124.9999999999995</v>
      </c>
      <c r="N1657" s="6">
        <v>0.5</v>
      </c>
    </row>
    <row r="1658" spans="1:14" ht="15.75" customHeight="1" x14ac:dyDescent="0.45">
      <c r="A1658" s="1" t="s">
        <v>121</v>
      </c>
      <c r="B1658" s="1">
        <v>1128299</v>
      </c>
      <c r="C1658" s="2">
        <v>44585</v>
      </c>
      <c r="D1658" s="1" t="s">
        <v>22</v>
      </c>
      <c r="E1658" s="1" t="s">
        <v>63</v>
      </c>
      <c r="F1658" s="1" t="s">
        <v>64</v>
      </c>
      <c r="G1658" s="1" t="s">
        <v>13</v>
      </c>
      <c r="H1658" s="1">
        <v>45</v>
      </c>
      <c r="I1658" s="1" t="s">
        <v>125</v>
      </c>
      <c r="J1658" s="3">
        <v>0.30000000000000004</v>
      </c>
      <c r="K1658" s="4">
        <v>3500</v>
      </c>
      <c r="L1658" s="5">
        <f t="shared" si="14"/>
        <v>1050.0000000000002</v>
      </c>
      <c r="M1658" s="5">
        <f t="shared" si="15"/>
        <v>367.50000000000006</v>
      </c>
      <c r="N1658" s="6">
        <v>0.35</v>
      </c>
    </row>
    <row r="1659" spans="1:14" ht="15.75" customHeight="1" x14ac:dyDescent="0.45">
      <c r="A1659" s="1" t="s">
        <v>121</v>
      </c>
      <c r="B1659" s="1">
        <v>1128299</v>
      </c>
      <c r="C1659" s="2">
        <v>44585</v>
      </c>
      <c r="D1659" s="1" t="s">
        <v>22</v>
      </c>
      <c r="E1659" s="1" t="s">
        <v>63</v>
      </c>
      <c r="F1659" s="1" t="s">
        <v>64</v>
      </c>
      <c r="G1659" s="1" t="s">
        <v>14</v>
      </c>
      <c r="H1659" s="1">
        <v>27</v>
      </c>
      <c r="I1659" s="1" t="s">
        <v>123</v>
      </c>
      <c r="J1659" s="3">
        <v>0.4</v>
      </c>
      <c r="K1659" s="4">
        <v>3500</v>
      </c>
      <c r="L1659" s="5">
        <f t="shared" si="14"/>
        <v>1400</v>
      </c>
      <c r="M1659" s="5">
        <f t="shared" si="15"/>
        <v>489.99999999999994</v>
      </c>
      <c r="N1659" s="6">
        <v>0.35</v>
      </c>
    </row>
    <row r="1660" spans="1:14" ht="15.75" customHeight="1" x14ac:dyDescent="0.45">
      <c r="A1660" s="1" t="s">
        <v>121</v>
      </c>
      <c r="B1660" s="1">
        <v>1128299</v>
      </c>
      <c r="C1660" s="2">
        <v>44585</v>
      </c>
      <c r="D1660" s="1" t="s">
        <v>22</v>
      </c>
      <c r="E1660" s="1" t="s">
        <v>63</v>
      </c>
      <c r="F1660" s="1" t="s">
        <v>64</v>
      </c>
      <c r="G1660" s="1" t="s">
        <v>15</v>
      </c>
      <c r="H1660" s="1">
        <v>45</v>
      </c>
      <c r="I1660" s="1" t="s">
        <v>126</v>
      </c>
      <c r="J1660" s="3">
        <v>0.4</v>
      </c>
      <c r="K1660" s="4">
        <v>3500</v>
      </c>
      <c r="L1660" s="5">
        <f t="shared" si="14"/>
        <v>1400</v>
      </c>
      <c r="M1660" s="5">
        <f t="shared" si="15"/>
        <v>489.99999999999994</v>
      </c>
      <c r="N1660" s="6">
        <v>0.35</v>
      </c>
    </row>
    <row r="1661" spans="1:14" ht="15.75" customHeight="1" x14ac:dyDescent="0.45">
      <c r="A1661" s="1" t="s">
        <v>121</v>
      </c>
      <c r="B1661" s="1">
        <v>1128299</v>
      </c>
      <c r="C1661" s="2">
        <v>44585</v>
      </c>
      <c r="D1661" s="1" t="s">
        <v>22</v>
      </c>
      <c r="E1661" s="1" t="s">
        <v>63</v>
      </c>
      <c r="F1661" s="1" t="s">
        <v>64</v>
      </c>
      <c r="G1661" s="1" t="s">
        <v>16</v>
      </c>
      <c r="H1661" s="1">
        <v>43</v>
      </c>
      <c r="I1661" s="1" t="s">
        <v>126</v>
      </c>
      <c r="J1661" s="3">
        <v>0.4</v>
      </c>
      <c r="K1661" s="4">
        <v>2000</v>
      </c>
      <c r="L1661" s="5">
        <f t="shared" si="14"/>
        <v>800</v>
      </c>
      <c r="M1661" s="5">
        <f t="shared" si="15"/>
        <v>280</v>
      </c>
      <c r="N1661" s="6">
        <v>0.35</v>
      </c>
    </row>
    <row r="1662" spans="1:14" ht="15.75" customHeight="1" x14ac:dyDescent="0.45">
      <c r="A1662" s="1" t="s">
        <v>121</v>
      </c>
      <c r="B1662" s="1">
        <v>1128299</v>
      </c>
      <c r="C1662" s="2">
        <v>44585</v>
      </c>
      <c r="D1662" s="1" t="s">
        <v>22</v>
      </c>
      <c r="E1662" s="1" t="s">
        <v>63</v>
      </c>
      <c r="F1662" s="1" t="s">
        <v>64</v>
      </c>
      <c r="G1662" s="1" t="s">
        <v>17</v>
      </c>
      <c r="H1662" s="1">
        <v>41</v>
      </c>
      <c r="I1662" s="1" t="s">
        <v>125</v>
      </c>
      <c r="J1662" s="3">
        <v>0.45000000000000007</v>
      </c>
      <c r="K1662" s="4">
        <v>1500</v>
      </c>
      <c r="L1662" s="5">
        <f t="shared" si="14"/>
        <v>675.00000000000011</v>
      </c>
      <c r="M1662" s="5">
        <f t="shared" si="15"/>
        <v>270.00000000000006</v>
      </c>
      <c r="N1662" s="6">
        <v>0.4</v>
      </c>
    </row>
    <row r="1663" spans="1:14" ht="15.75" customHeight="1" x14ac:dyDescent="0.45">
      <c r="A1663" s="1" t="s">
        <v>121</v>
      </c>
      <c r="B1663" s="1">
        <v>1128299</v>
      </c>
      <c r="C1663" s="2">
        <v>44585</v>
      </c>
      <c r="D1663" s="1" t="s">
        <v>22</v>
      </c>
      <c r="E1663" s="1" t="s">
        <v>63</v>
      </c>
      <c r="F1663" s="1" t="s">
        <v>64</v>
      </c>
      <c r="G1663" s="1" t="s">
        <v>18</v>
      </c>
      <c r="H1663" s="1">
        <v>43</v>
      </c>
      <c r="I1663" s="1" t="s">
        <v>124</v>
      </c>
      <c r="J1663" s="3">
        <v>0.4</v>
      </c>
      <c r="K1663" s="4">
        <v>4000</v>
      </c>
      <c r="L1663" s="5">
        <f t="shared" si="14"/>
        <v>1600</v>
      </c>
      <c r="M1663" s="5">
        <f t="shared" si="15"/>
        <v>480</v>
      </c>
      <c r="N1663" s="6">
        <v>0.3</v>
      </c>
    </row>
    <row r="1664" spans="1:14" ht="15.75" customHeight="1" x14ac:dyDescent="0.45">
      <c r="A1664" s="1" t="s">
        <v>121</v>
      </c>
      <c r="B1664" s="1">
        <v>1128299</v>
      </c>
      <c r="C1664" s="2">
        <v>44616</v>
      </c>
      <c r="D1664" s="1" t="s">
        <v>22</v>
      </c>
      <c r="E1664" s="1" t="s">
        <v>63</v>
      </c>
      <c r="F1664" s="1" t="s">
        <v>64</v>
      </c>
      <c r="G1664" s="1" t="s">
        <v>13</v>
      </c>
      <c r="H1664" s="1">
        <v>30</v>
      </c>
      <c r="I1664" s="1" t="s">
        <v>125</v>
      </c>
      <c r="J1664" s="3">
        <v>0.30000000000000004</v>
      </c>
      <c r="K1664" s="4">
        <v>4500</v>
      </c>
      <c r="L1664" s="5">
        <f t="shared" si="14"/>
        <v>1350.0000000000002</v>
      </c>
      <c r="M1664" s="5">
        <f t="shared" si="15"/>
        <v>472.50000000000006</v>
      </c>
      <c r="N1664" s="6">
        <v>0.35</v>
      </c>
    </row>
    <row r="1665" spans="1:14" ht="15.75" customHeight="1" x14ac:dyDescent="0.45">
      <c r="A1665" s="1" t="s">
        <v>121</v>
      </c>
      <c r="B1665" s="1">
        <v>1128299</v>
      </c>
      <c r="C1665" s="2">
        <v>44616</v>
      </c>
      <c r="D1665" s="1" t="s">
        <v>22</v>
      </c>
      <c r="E1665" s="1" t="s">
        <v>63</v>
      </c>
      <c r="F1665" s="1" t="s">
        <v>64</v>
      </c>
      <c r="G1665" s="1" t="s">
        <v>14</v>
      </c>
      <c r="H1665" s="1">
        <v>35</v>
      </c>
      <c r="I1665" s="1" t="s">
        <v>125</v>
      </c>
      <c r="J1665" s="3">
        <v>0.4</v>
      </c>
      <c r="K1665" s="4">
        <v>3500</v>
      </c>
      <c r="L1665" s="5">
        <f t="shared" si="14"/>
        <v>1400</v>
      </c>
      <c r="M1665" s="5">
        <f t="shared" si="15"/>
        <v>489.99999999999994</v>
      </c>
      <c r="N1665" s="6">
        <v>0.35</v>
      </c>
    </row>
    <row r="1666" spans="1:14" ht="15.75" customHeight="1" x14ac:dyDescent="0.45">
      <c r="A1666" s="1" t="s">
        <v>121</v>
      </c>
      <c r="B1666" s="1">
        <v>1128299</v>
      </c>
      <c r="C1666" s="2">
        <v>44616</v>
      </c>
      <c r="D1666" s="1" t="s">
        <v>22</v>
      </c>
      <c r="E1666" s="1" t="s">
        <v>63</v>
      </c>
      <c r="F1666" s="1" t="s">
        <v>64</v>
      </c>
      <c r="G1666" s="1" t="s">
        <v>15</v>
      </c>
      <c r="H1666" s="1">
        <v>34</v>
      </c>
      <c r="I1666" s="1" t="s">
        <v>125</v>
      </c>
      <c r="J1666" s="3">
        <v>0.4</v>
      </c>
      <c r="K1666" s="4">
        <v>3500</v>
      </c>
      <c r="L1666" s="5">
        <f t="shared" si="14"/>
        <v>1400</v>
      </c>
      <c r="M1666" s="5">
        <f t="shared" si="15"/>
        <v>489.99999999999994</v>
      </c>
      <c r="N1666" s="6">
        <v>0.35</v>
      </c>
    </row>
    <row r="1667" spans="1:14" ht="15.75" customHeight="1" x14ac:dyDescent="0.45">
      <c r="A1667" s="1" t="s">
        <v>121</v>
      </c>
      <c r="B1667" s="1">
        <v>1128299</v>
      </c>
      <c r="C1667" s="2">
        <v>44616</v>
      </c>
      <c r="D1667" s="1" t="s">
        <v>22</v>
      </c>
      <c r="E1667" s="1" t="s">
        <v>63</v>
      </c>
      <c r="F1667" s="1" t="s">
        <v>64</v>
      </c>
      <c r="G1667" s="1" t="s">
        <v>16</v>
      </c>
      <c r="H1667" s="1">
        <v>39</v>
      </c>
      <c r="I1667" s="1" t="s">
        <v>123</v>
      </c>
      <c r="J1667" s="3">
        <v>0.4</v>
      </c>
      <c r="K1667" s="4">
        <v>2000</v>
      </c>
      <c r="L1667" s="5">
        <f t="shared" si="14"/>
        <v>800</v>
      </c>
      <c r="M1667" s="5">
        <f t="shared" si="15"/>
        <v>280</v>
      </c>
      <c r="N1667" s="6">
        <v>0.35</v>
      </c>
    </row>
    <row r="1668" spans="1:14" ht="15.75" customHeight="1" x14ac:dyDescent="0.45">
      <c r="A1668" s="1" t="s">
        <v>121</v>
      </c>
      <c r="B1668" s="1">
        <v>1128299</v>
      </c>
      <c r="C1668" s="2">
        <v>44616</v>
      </c>
      <c r="D1668" s="1" t="s">
        <v>22</v>
      </c>
      <c r="E1668" s="1" t="s">
        <v>63</v>
      </c>
      <c r="F1668" s="1" t="s">
        <v>64</v>
      </c>
      <c r="G1668" s="1" t="s">
        <v>17</v>
      </c>
      <c r="H1668" s="1">
        <v>24</v>
      </c>
      <c r="I1668" s="1" t="s">
        <v>125</v>
      </c>
      <c r="J1668" s="3">
        <v>0.45000000000000007</v>
      </c>
      <c r="K1668" s="4">
        <v>1250</v>
      </c>
      <c r="L1668" s="5">
        <f t="shared" si="14"/>
        <v>562.50000000000011</v>
      </c>
      <c r="M1668" s="5">
        <f t="shared" si="15"/>
        <v>225.00000000000006</v>
      </c>
      <c r="N1668" s="6">
        <v>0.4</v>
      </c>
    </row>
    <row r="1669" spans="1:14" ht="15.75" customHeight="1" x14ac:dyDescent="0.45">
      <c r="A1669" s="1" t="s">
        <v>121</v>
      </c>
      <c r="B1669" s="1">
        <v>1128299</v>
      </c>
      <c r="C1669" s="2">
        <v>44616</v>
      </c>
      <c r="D1669" s="1" t="s">
        <v>22</v>
      </c>
      <c r="E1669" s="1" t="s">
        <v>63</v>
      </c>
      <c r="F1669" s="1" t="s">
        <v>64</v>
      </c>
      <c r="G1669" s="1" t="s">
        <v>18</v>
      </c>
      <c r="H1669" s="1">
        <v>19</v>
      </c>
      <c r="I1669" s="1" t="s">
        <v>124</v>
      </c>
      <c r="J1669" s="3">
        <v>0.4</v>
      </c>
      <c r="K1669" s="4">
        <v>3250</v>
      </c>
      <c r="L1669" s="5">
        <f t="shared" si="14"/>
        <v>1300</v>
      </c>
      <c r="M1669" s="5">
        <f t="shared" si="15"/>
        <v>390</v>
      </c>
      <c r="N1669" s="6">
        <v>0.3</v>
      </c>
    </row>
    <row r="1670" spans="1:14" ht="15.75" customHeight="1" x14ac:dyDescent="0.45">
      <c r="A1670" s="1" t="s">
        <v>121</v>
      </c>
      <c r="B1670" s="1">
        <v>1128299</v>
      </c>
      <c r="C1670" s="2">
        <v>44643</v>
      </c>
      <c r="D1670" s="1" t="s">
        <v>22</v>
      </c>
      <c r="E1670" s="1" t="s">
        <v>63</v>
      </c>
      <c r="F1670" s="1" t="s">
        <v>64</v>
      </c>
      <c r="G1670" s="1" t="s">
        <v>13</v>
      </c>
      <c r="H1670" s="1">
        <v>43</v>
      </c>
      <c r="I1670" s="1" t="s">
        <v>124</v>
      </c>
      <c r="J1670" s="3">
        <v>0.4</v>
      </c>
      <c r="K1670" s="4">
        <v>4750</v>
      </c>
      <c r="L1670" s="5">
        <f t="shared" si="14"/>
        <v>1900</v>
      </c>
      <c r="M1670" s="5">
        <f t="shared" si="15"/>
        <v>665</v>
      </c>
      <c r="N1670" s="6">
        <v>0.35</v>
      </c>
    </row>
    <row r="1671" spans="1:14" ht="15.75" customHeight="1" x14ac:dyDescent="0.45">
      <c r="A1671" s="1" t="s">
        <v>121</v>
      </c>
      <c r="B1671" s="1">
        <v>1128299</v>
      </c>
      <c r="C1671" s="2">
        <v>44643</v>
      </c>
      <c r="D1671" s="1" t="s">
        <v>22</v>
      </c>
      <c r="E1671" s="1" t="s">
        <v>63</v>
      </c>
      <c r="F1671" s="1" t="s">
        <v>64</v>
      </c>
      <c r="G1671" s="1" t="s">
        <v>14</v>
      </c>
      <c r="H1671" s="1">
        <v>50</v>
      </c>
      <c r="I1671" s="1" t="s">
        <v>125</v>
      </c>
      <c r="J1671" s="3">
        <v>0.5</v>
      </c>
      <c r="K1671" s="4">
        <v>3250</v>
      </c>
      <c r="L1671" s="5">
        <f t="shared" si="14"/>
        <v>1625</v>
      </c>
      <c r="M1671" s="5">
        <f t="shared" si="15"/>
        <v>568.75</v>
      </c>
      <c r="N1671" s="6">
        <v>0.35</v>
      </c>
    </row>
    <row r="1672" spans="1:14" ht="15.75" customHeight="1" x14ac:dyDescent="0.45">
      <c r="A1672" s="1" t="s">
        <v>121</v>
      </c>
      <c r="B1672" s="1">
        <v>1128299</v>
      </c>
      <c r="C1672" s="2">
        <v>44643</v>
      </c>
      <c r="D1672" s="1" t="s">
        <v>22</v>
      </c>
      <c r="E1672" s="1" t="s">
        <v>63</v>
      </c>
      <c r="F1672" s="1" t="s">
        <v>64</v>
      </c>
      <c r="G1672" s="1" t="s">
        <v>15</v>
      </c>
      <c r="H1672" s="1">
        <v>20</v>
      </c>
      <c r="I1672" s="1" t="s">
        <v>123</v>
      </c>
      <c r="J1672" s="3">
        <v>0.54999999999999993</v>
      </c>
      <c r="K1672" s="4">
        <v>3500</v>
      </c>
      <c r="L1672" s="5">
        <f t="shared" si="14"/>
        <v>1924.9999999999998</v>
      </c>
      <c r="M1672" s="5">
        <f t="shared" si="15"/>
        <v>673.74999999999989</v>
      </c>
      <c r="N1672" s="6">
        <v>0.35</v>
      </c>
    </row>
    <row r="1673" spans="1:14" ht="15.75" customHeight="1" x14ac:dyDescent="0.45">
      <c r="A1673" s="1" t="s">
        <v>121</v>
      </c>
      <c r="B1673" s="1">
        <v>1128299</v>
      </c>
      <c r="C1673" s="2">
        <v>44643</v>
      </c>
      <c r="D1673" s="1" t="s">
        <v>22</v>
      </c>
      <c r="E1673" s="1" t="s">
        <v>63</v>
      </c>
      <c r="F1673" s="1" t="s">
        <v>64</v>
      </c>
      <c r="G1673" s="1" t="s">
        <v>16</v>
      </c>
      <c r="H1673" s="1">
        <v>52</v>
      </c>
      <c r="I1673" s="1" t="s">
        <v>124</v>
      </c>
      <c r="J1673" s="3">
        <v>0.5</v>
      </c>
      <c r="K1673" s="4">
        <v>2500</v>
      </c>
      <c r="L1673" s="5">
        <f t="shared" si="14"/>
        <v>1250</v>
      </c>
      <c r="M1673" s="5">
        <f t="shared" si="15"/>
        <v>437.5</v>
      </c>
      <c r="N1673" s="6">
        <v>0.35</v>
      </c>
    </row>
    <row r="1674" spans="1:14" ht="15.75" customHeight="1" x14ac:dyDescent="0.45">
      <c r="A1674" s="1" t="s">
        <v>121</v>
      </c>
      <c r="B1674" s="1">
        <v>1128299</v>
      </c>
      <c r="C1674" s="2">
        <v>44643</v>
      </c>
      <c r="D1674" s="1" t="s">
        <v>22</v>
      </c>
      <c r="E1674" s="1" t="s">
        <v>63</v>
      </c>
      <c r="F1674" s="1" t="s">
        <v>64</v>
      </c>
      <c r="G1674" s="1" t="s">
        <v>17</v>
      </c>
      <c r="H1674" s="1">
        <v>37</v>
      </c>
      <c r="I1674" s="1" t="s">
        <v>125</v>
      </c>
      <c r="J1674" s="3">
        <v>0.55000000000000004</v>
      </c>
      <c r="K1674" s="4">
        <v>1000</v>
      </c>
      <c r="L1674" s="5">
        <f t="shared" si="14"/>
        <v>550</v>
      </c>
      <c r="M1674" s="5">
        <f t="shared" si="15"/>
        <v>220</v>
      </c>
      <c r="N1674" s="6">
        <v>0.4</v>
      </c>
    </row>
    <row r="1675" spans="1:14" ht="15.75" customHeight="1" x14ac:dyDescent="0.45">
      <c r="A1675" s="1" t="s">
        <v>121</v>
      </c>
      <c r="B1675" s="1">
        <v>1128299</v>
      </c>
      <c r="C1675" s="2">
        <v>44643</v>
      </c>
      <c r="D1675" s="1" t="s">
        <v>22</v>
      </c>
      <c r="E1675" s="1" t="s">
        <v>63</v>
      </c>
      <c r="F1675" s="1" t="s">
        <v>64</v>
      </c>
      <c r="G1675" s="1" t="s">
        <v>18</v>
      </c>
      <c r="H1675" s="1">
        <v>15</v>
      </c>
      <c r="I1675" s="1" t="s">
        <v>124</v>
      </c>
      <c r="J1675" s="3">
        <v>0.5</v>
      </c>
      <c r="K1675" s="4">
        <v>3000</v>
      </c>
      <c r="L1675" s="5">
        <f t="shared" si="14"/>
        <v>1500</v>
      </c>
      <c r="M1675" s="5">
        <f t="shared" si="15"/>
        <v>450</v>
      </c>
      <c r="N1675" s="6">
        <v>0.3</v>
      </c>
    </row>
    <row r="1676" spans="1:14" ht="15.75" customHeight="1" x14ac:dyDescent="0.45">
      <c r="A1676" s="1" t="s">
        <v>121</v>
      </c>
      <c r="B1676" s="1">
        <v>1128299</v>
      </c>
      <c r="C1676" s="2">
        <v>44675</v>
      </c>
      <c r="D1676" s="1" t="s">
        <v>22</v>
      </c>
      <c r="E1676" s="1" t="s">
        <v>63</v>
      </c>
      <c r="F1676" s="1" t="s">
        <v>64</v>
      </c>
      <c r="G1676" s="1" t="s">
        <v>13</v>
      </c>
      <c r="H1676" s="1">
        <v>52</v>
      </c>
      <c r="I1676" s="1" t="s">
        <v>123</v>
      </c>
      <c r="J1676" s="3">
        <v>0.55000000000000004</v>
      </c>
      <c r="K1676" s="4">
        <v>4750</v>
      </c>
      <c r="L1676" s="5">
        <f t="shared" si="14"/>
        <v>2612.5</v>
      </c>
      <c r="M1676" s="5">
        <f t="shared" si="15"/>
        <v>914.37499999999989</v>
      </c>
      <c r="N1676" s="6">
        <v>0.35</v>
      </c>
    </row>
    <row r="1677" spans="1:14" ht="15.75" customHeight="1" x14ac:dyDescent="0.45">
      <c r="A1677" s="1" t="s">
        <v>121</v>
      </c>
      <c r="B1677" s="1">
        <v>1128299</v>
      </c>
      <c r="C1677" s="2">
        <v>44675</v>
      </c>
      <c r="D1677" s="1" t="s">
        <v>22</v>
      </c>
      <c r="E1677" s="1" t="s">
        <v>63</v>
      </c>
      <c r="F1677" s="1" t="s">
        <v>64</v>
      </c>
      <c r="G1677" s="1" t="s">
        <v>14</v>
      </c>
      <c r="H1677" s="1">
        <v>18</v>
      </c>
      <c r="I1677" s="1" t="s">
        <v>124</v>
      </c>
      <c r="J1677" s="3">
        <v>0.60000000000000009</v>
      </c>
      <c r="K1677" s="4">
        <v>2750</v>
      </c>
      <c r="L1677" s="5">
        <f t="shared" si="14"/>
        <v>1650.0000000000002</v>
      </c>
      <c r="M1677" s="5">
        <f t="shared" si="15"/>
        <v>577.5</v>
      </c>
      <c r="N1677" s="6">
        <v>0.35</v>
      </c>
    </row>
    <row r="1678" spans="1:14" ht="15.75" customHeight="1" x14ac:dyDescent="0.45">
      <c r="A1678" s="1" t="s">
        <v>121</v>
      </c>
      <c r="B1678" s="1">
        <v>1128299</v>
      </c>
      <c r="C1678" s="2">
        <v>44675</v>
      </c>
      <c r="D1678" s="1" t="s">
        <v>22</v>
      </c>
      <c r="E1678" s="1" t="s">
        <v>63</v>
      </c>
      <c r="F1678" s="1" t="s">
        <v>64</v>
      </c>
      <c r="G1678" s="1" t="s">
        <v>15</v>
      </c>
      <c r="H1678" s="1">
        <v>33</v>
      </c>
      <c r="I1678" s="1" t="s">
        <v>124</v>
      </c>
      <c r="J1678" s="3">
        <v>0.60000000000000009</v>
      </c>
      <c r="K1678" s="4">
        <v>3250</v>
      </c>
      <c r="L1678" s="5">
        <f t="shared" si="14"/>
        <v>1950.0000000000002</v>
      </c>
      <c r="M1678" s="5">
        <f t="shared" si="15"/>
        <v>682.5</v>
      </c>
      <c r="N1678" s="6">
        <v>0.35</v>
      </c>
    </row>
    <row r="1679" spans="1:14" ht="15.75" customHeight="1" x14ac:dyDescent="0.45">
      <c r="A1679" s="1" t="s">
        <v>121</v>
      </c>
      <c r="B1679" s="1">
        <v>1128299</v>
      </c>
      <c r="C1679" s="2">
        <v>44675</v>
      </c>
      <c r="D1679" s="1" t="s">
        <v>22</v>
      </c>
      <c r="E1679" s="1" t="s">
        <v>63</v>
      </c>
      <c r="F1679" s="1" t="s">
        <v>64</v>
      </c>
      <c r="G1679" s="1" t="s">
        <v>16</v>
      </c>
      <c r="H1679" s="1">
        <v>16</v>
      </c>
      <c r="I1679" s="1" t="s">
        <v>125</v>
      </c>
      <c r="J1679" s="3">
        <v>0.45000000000000007</v>
      </c>
      <c r="K1679" s="4">
        <v>2250</v>
      </c>
      <c r="L1679" s="5">
        <f t="shared" si="14"/>
        <v>1012.5000000000001</v>
      </c>
      <c r="M1679" s="5">
        <f t="shared" si="15"/>
        <v>354.375</v>
      </c>
      <c r="N1679" s="6">
        <v>0.35</v>
      </c>
    </row>
    <row r="1680" spans="1:14" ht="15.75" customHeight="1" x14ac:dyDescent="0.45">
      <c r="A1680" s="1" t="s">
        <v>121</v>
      </c>
      <c r="B1680" s="1">
        <v>1128299</v>
      </c>
      <c r="C1680" s="2">
        <v>44675</v>
      </c>
      <c r="D1680" s="1" t="s">
        <v>22</v>
      </c>
      <c r="E1680" s="1" t="s">
        <v>63</v>
      </c>
      <c r="F1680" s="1" t="s">
        <v>64</v>
      </c>
      <c r="G1680" s="1" t="s">
        <v>17</v>
      </c>
      <c r="H1680" s="1">
        <v>32</v>
      </c>
      <c r="I1680" s="1" t="s">
        <v>125</v>
      </c>
      <c r="J1680" s="3">
        <v>0.50000000000000011</v>
      </c>
      <c r="K1680" s="4">
        <v>1250</v>
      </c>
      <c r="L1680" s="5">
        <f t="shared" si="14"/>
        <v>625.00000000000011</v>
      </c>
      <c r="M1680" s="5">
        <f t="shared" si="15"/>
        <v>250.00000000000006</v>
      </c>
      <c r="N1680" s="6">
        <v>0.4</v>
      </c>
    </row>
    <row r="1681" spans="1:14" ht="15.75" customHeight="1" x14ac:dyDescent="0.45">
      <c r="A1681" s="1" t="s">
        <v>121</v>
      </c>
      <c r="B1681" s="1">
        <v>1128299</v>
      </c>
      <c r="C1681" s="2">
        <v>44675</v>
      </c>
      <c r="D1681" s="1" t="s">
        <v>22</v>
      </c>
      <c r="E1681" s="1" t="s">
        <v>63</v>
      </c>
      <c r="F1681" s="1" t="s">
        <v>64</v>
      </c>
      <c r="G1681" s="1" t="s">
        <v>18</v>
      </c>
      <c r="H1681" s="1">
        <v>49</v>
      </c>
      <c r="I1681" s="1" t="s">
        <v>125</v>
      </c>
      <c r="J1681" s="3">
        <v>0.65000000000000013</v>
      </c>
      <c r="K1681" s="4">
        <v>3000</v>
      </c>
      <c r="L1681" s="5">
        <f t="shared" si="14"/>
        <v>1950.0000000000005</v>
      </c>
      <c r="M1681" s="5">
        <f t="shared" si="15"/>
        <v>585.00000000000011</v>
      </c>
      <c r="N1681" s="6">
        <v>0.3</v>
      </c>
    </row>
    <row r="1682" spans="1:14" ht="15.75" customHeight="1" x14ac:dyDescent="0.45">
      <c r="A1682" s="1" t="s">
        <v>121</v>
      </c>
      <c r="B1682" s="1">
        <v>1128299</v>
      </c>
      <c r="C1682" s="2">
        <v>44706</v>
      </c>
      <c r="D1682" s="1" t="s">
        <v>22</v>
      </c>
      <c r="E1682" s="1" t="s">
        <v>63</v>
      </c>
      <c r="F1682" s="1" t="s">
        <v>64</v>
      </c>
      <c r="G1682" s="1" t="s">
        <v>13</v>
      </c>
      <c r="H1682" s="1">
        <v>58</v>
      </c>
      <c r="I1682" s="1" t="s">
        <v>123</v>
      </c>
      <c r="J1682" s="3">
        <v>0.5</v>
      </c>
      <c r="K1682" s="4">
        <v>5000</v>
      </c>
      <c r="L1682" s="5">
        <f t="shared" si="14"/>
        <v>2500</v>
      </c>
      <c r="M1682" s="5">
        <f t="shared" si="15"/>
        <v>875</v>
      </c>
      <c r="N1682" s="6">
        <v>0.35</v>
      </c>
    </row>
    <row r="1683" spans="1:14" ht="15.75" customHeight="1" x14ac:dyDescent="0.45">
      <c r="A1683" s="1" t="s">
        <v>121</v>
      </c>
      <c r="B1683" s="1">
        <v>1128299</v>
      </c>
      <c r="C1683" s="2">
        <v>44706</v>
      </c>
      <c r="D1683" s="1" t="s">
        <v>22</v>
      </c>
      <c r="E1683" s="1" t="s">
        <v>63</v>
      </c>
      <c r="F1683" s="1" t="s">
        <v>64</v>
      </c>
      <c r="G1683" s="1" t="s">
        <v>14</v>
      </c>
      <c r="H1683" s="1">
        <v>49</v>
      </c>
      <c r="I1683" s="1" t="s">
        <v>125</v>
      </c>
      <c r="J1683" s="3">
        <v>0.55000000000000004</v>
      </c>
      <c r="K1683" s="4">
        <v>3500</v>
      </c>
      <c r="L1683" s="5">
        <f t="shared" si="14"/>
        <v>1925.0000000000002</v>
      </c>
      <c r="M1683" s="5">
        <f t="shared" si="15"/>
        <v>673.75</v>
      </c>
      <c r="N1683" s="6">
        <v>0.35</v>
      </c>
    </row>
    <row r="1684" spans="1:14" ht="15.75" customHeight="1" x14ac:dyDescent="0.45">
      <c r="A1684" s="1" t="s">
        <v>121</v>
      </c>
      <c r="B1684" s="1">
        <v>1128299</v>
      </c>
      <c r="C1684" s="2">
        <v>44706</v>
      </c>
      <c r="D1684" s="1" t="s">
        <v>22</v>
      </c>
      <c r="E1684" s="1" t="s">
        <v>63</v>
      </c>
      <c r="F1684" s="1" t="s">
        <v>64</v>
      </c>
      <c r="G1684" s="1" t="s">
        <v>15</v>
      </c>
      <c r="H1684" s="1">
        <v>29</v>
      </c>
      <c r="I1684" s="1" t="s">
        <v>125</v>
      </c>
      <c r="J1684" s="3">
        <v>0.55000000000000004</v>
      </c>
      <c r="K1684" s="4">
        <v>3500</v>
      </c>
      <c r="L1684" s="5">
        <f t="shared" si="14"/>
        <v>1925.0000000000002</v>
      </c>
      <c r="M1684" s="5">
        <f t="shared" si="15"/>
        <v>673.75</v>
      </c>
      <c r="N1684" s="6">
        <v>0.35</v>
      </c>
    </row>
    <row r="1685" spans="1:14" ht="15.75" customHeight="1" x14ac:dyDescent="0.45">
      <c r="A1685" s="1" t="s">
        <v>121</v>
      </c>
      <c r="B1685" s="1">
        <v>1128299</v>
      </c>
      <c r="C1685" s="2">
        <v>44706</v>
      </c>
      <c r="D1685" s="1" t="s">
        <v>22</v>
      </c>
      <c r="E1685" s="1" t="s">
        <v>63</v>
      </c>
      <c r="F1685" s="1" t="s">
        <v>64</v>
      </c>
      <c r="G1685" s="1" t="s">
        <v>16</v>
      </c>
      <c r="H1685" s="1">
        <v>28</v>
      </c>
      <c r="I1685" s="1" t="s">
        <v>123</v>
      </c>
      <c r="J1685" s="3">
        <v>0.5</v>
      </c>
      <c r="K1685" s="4">
        <v>2750</v>
      </c>
      <c r="L1685" s="5">
        <f t="shared" si="14"/>
        <v>1375</v>
      </c>
      <c r="M1685" s="5">
        <f t="shared" si="15"/>
        <v>481.24999999999994</v>
      </c>
      <c r="N1685" s="6">
        <v>0.35</v>
      </c>
    </row>
    <row r="1686" spans="1:14" ht="15.75" customHeight="1" x14ac:dyDescent="0.45">
      <c r="A1686" s="1" t="s">
        <v>121</v>
      </c>
      <c r="B1686" s="1">
        <v>1128299</v>
      </c>
      <c r="C1686" s="2">
        <v>44706</v>
      </c>
      <c r="D1686" s="1" t="s">
        <v>22</v>
      </c>
      <c r="E1686" s="1" t="s">
        <v>63</v>
      </c>
      <c r="F1686" s="1" t="s">
        <v>64</v>
      </c>
      <c r="G1686" s="1" t="s">
        <v>17</v>
      </c>
      <c r="H1686" s="1">
        <v>45</v>
      </c>
      <c r="I1686" s="1" t="s">
        <v>124</v>
      </c>
      <c r="J1686" s="3">
        <v>0.44999999999999996</v>
      </c>
      <c r="K1686" s="4">
        <v>1750</v>
      </c>
      <c r="L1686" s="5">
        <f t="shared" si="14"/>
        <v>787.49999999999989</v>
      </c>
      <c r="M1686" s="5">
        <f t="shared" si="15"/>
        <v>315</v>
      </c>
      <c r="N1686" s="6">
        <v>0.4</v>
      </c>
    </row>
    <row r="1687" spans="1:14" ht="15.75" customHeight="1" x14ac:dyDescent="0.45">
      <c r="A1687" s="1" t="s">
        <v>121</v>
      </c>
      <c r="B1687" s="1">
        <v>1128299</v>
      </c>
      <c r="C1687" s="2">
        <v>44706</v>
      </c>
      <c r="D1687" s="1" t="s">
        <v>22</v>
      </c>
      <c r="E1687" s="1" t="s">
        <v>63</v>
      </c>
      <c r="F1687" s="1" t="s">
        <v>64</v>
      </c>
      <c r="G1687" s="1" t="s">
        <v>18</v>
      </c>
      <c r="H1687" s="1">
        <v>23</v>
      </c>
      <c r="I1687" s="1" t="s">
        <v>124</v>
      </c>
      <c r="J1687" s="3">
        <v>0.6</v>
      </c>
      <c r="K1687" s="4">
        <v>5250</v>
      </c>
      <c r="L1687" s="5">
        <f t="shared" si="14"/>
        <v>3150</v>
      </c>
      <c r="M1687" s="5">
        <f t="shared" si="15"/>
        <v>945</v>
      </c>
      <c r="N1687" s="6">
        <v>0.3</v>
      </c>
    </row>
    <row r="1688" spans="1:14" ht="15.75" customHeight="1" x14ac:dyDescent="0.45">
      <c r="A1688" s="1" t="s">
        <v>121</v>
      </c>
      <c r="B1688" s="1">
        <v>1128299</v>
      </c>
      <c r="C1688" s="2">
        <v>44736</v>
      </c>
      <c r="D1688" s="1" t="s">
        <v>22</v>
      </c>
      <c r="E1688" s="1" t="s">
        <v>63</v>
      </c>
      <c r="F1688" s="1" t="s">
        <v>64</v>
      </c>
      <c r="G1688" s="1" t="s">
        <v>13</v>
      </c>
      <c r="H1688" s="1">
        <v>38</v>
      </c>
      <c r="I1688" s="1" t="s">
        <v>125</v>
      </c>
      <c r="J1688" s="3">
        <v>0.54999999999999993</v>
      </c>
      <c r="K1688" s="4">
        <v>7750</v>
      </c>
      <c r="L1688" s="5">
        <f t="shared" si="14"/>
        <v>4262.4999999999991</v>
      </c>
      <c r="M1688" s="5">
        <f t="shared" si="15"/>
        <v>1491.8749999999995</v>
      </c>
      <c r="N1688" s="6">
        <v>0.35</v>
      </c>
    </row>
    <row r="1689" spans="1:14" ht="15.75" customHeight="1" x14ac:dyDescent="0.45">
      <c r="A1689" s="1" t="s">
        <v>121</v>
      </c>
      <c r="B1689" s="1">
        <v>1128299</v>
      </c>
      <c r="C1689" s="2">
        <v>44736</v>
      </c>
      <c r="D1689" s="1" t="s">
        <v>22</v>
      </c>
      <c r="E1689" s="1" t="s">
        <v>63</v>
      </c>
      <c r="F1689" s="1" t="s">
        <v>64</v>
      </c>
      <c r="G1689" s="1" t="s">
        <v>14</v>
      </c>
      <c r="H1689" s="1">
        <v>45</v>
      </c>
      <c r="I1689" s="1" t="s">
        <v>126</v>
      </c>
      <c r="J1689" s="3">
        <v>0.64999999999999991</v>
      </c>
      <c r="K1689" s="4">
        <v>6500</v>
      </c>
      <c r="L1689" s="5">
        <f t="shared" si="14"/>
        <v>4224.9999999999991</v>
      </c>
      <c r="M1689" s="5">
        <f t="shared" si="15"/>
        <v>1478.7499999999995</v>
      </c>
      <c r="N1689" s="6">
        <v>0.35</v>
      </c>
    </row>
    <row r="1690" spans="1:14" ht="15.75" customHeight="1" x14ac:dyDescent="0.45">
      <c r="A1690" s="1" t="s">
        <v>121</v>
      </c>
      <c r="B1690" s="1">
        <v>1128299</v>
      </c>
      <c r="C1690" s="2">
        <v>44736</v>
      </c>
      <c r="D1690" s="1" t="s">
        <v>22</v>
      </c>
      <c r="E1690" s="1" t="s">
        <v>63</v>
      </c>
      <c r="F1690" s="1" t="s">
        <v>64</v>
      </c>
      <c r="G1690" s="1" t="s">
        <v>15</v>
      </c>
      <c r="H1690" s="1">
        <v>55</v>
      </c>
      <c r="I1690" s="1" t="s">
        <v>124</v>
      </c>
      <c r="J1690" s="3">
        <v>0.79999999999999993</v>
      </c>
      <c r="K1690" s="4">
        <v>6500</v>
      </c>
      <c r="L1690" s="5">
        <f t="shared" si="14"/>
        <v>5200</v>
      </c>
      <c r="M1690" s="5">
        <f t="shared" si="15"/>
        <v>1819.9999999999998</v>
      </c>
      <c r="N1690" s="6">
        <v>0.35</v>
      </c>
    </row>
    <row r="1691" spans="1:14" ht="15.75" customHeight="1" x14ac:dyDescent="0.45">
      <c r="A1691" s="1" t="s">
        <v>121</v>
      </c>
      <c r="B1691" s="1">
        <v>1128299</v>
      </c>
      <c r="C1691" s="2">
        <v>44736</v>
      </c>
      <c r="D1691" s="1" t="s">
        <v>22</v>
      </c>
      <c r="E1691" s="1" t="s">
        <v>63</v>
      </c>
      <c r="F1691" s="1" t="s">
        <v>64</v>
      </c>
      <c r="G1691" s="1" t="s">
        <v>16</v>
      </c>
      <c r="H1691" s="1">
        <v>34</v>
      </c>
      <c r="I1691" s="1" t="s">
        <v>126</v>
      </c>
      <c r="J1691" s="3">
        <v>0.79999999999999993</v>
      </c>
      <c r="K1691" s="4">
        <v>5250</v>
      </c>
      <c r="L1691" s="5">
        <f t="shared" si="14"/>
        <v>4200</v>
      </c>
      <c r="M1691" s="5">
        <f t="shared" si="15"/>
        <v>1470</v>
      </c>
      <c r="N1691" s="6">
        <v>0.35</v>
      </c>
    </row>
    <row r="1692" spans="1:14" ht="15.75" customHeight="1" x14ac:dyDescent="0.45">
      <c r="A1692" s="1" t="s">
        <v>121</v>
      </c>
      <c r="B1692" s="1">
        <v>1128299</v>
      </c>
      <c r="C1692" s="2">
        <v>44736</v>
      </c>
      <c r="D1692" s="1" t="s">
        <v>22</v>
      </c>
      <c r="E1692" s="1" t="s">
        <v>63</v>
      </c>
      <c r="F1692" s="1" t="s">
        <v>64</v>
      </c>
      <c r="G1692" s="1" t="s">
        <v>17</v>
      </c>
      <c r="H1692" s="1">
        <v>32</v>
      </c>
      <c r="I1692" s="1" t="s">
        <v>124</v>
      </c>
      <c r="J1692" s="3">
        <v>0.9</v>
      </c>
      <c r="K1692" s="4">
        <v>4000</v>
      </c>
      <c r="L1692" s="5">
        <f t="shared" si="14"/>
        <v>3600</v>
      </c>
      <c r="M1692" s="5">
        <f t="shared" si="15"/>
        <v>1440</v>
      </c>
      <c r="N1692" s="6">
        <v>0.4</v>
      </c>
    </row>
    <row r="1693" spans="1:14" ht="15.75" customHeight="1" x14ac:dyDescent="0.45">
      <c r="A1693" s="1" t="s">
        <v>121</v>
      </c>
      <c r="B1693" s="1">
        <v>1128299</v>
      </c>
      <c r="C1693" s="2">
        <v>44736</v>
      </c>
      <c r="D1693" s="1" t="s">
        <v>22</v>
      </c>
      <c r="E1693" s="1" t="s">
        <v>63</v>
      </c>
      <c r="F1693" s="1" t="s">
        <v>64</v>
      </c>
      <c r="G1693" s="1" t="s">
        <v>18</v>
      </c>
      <c r="H1693" s="1">
        <v>49</v>
      </c>
      <c r="I1693" s="1" t="s">
        <v>125</v>
      </c>
      <c r="J1693" s="3">
        <v>1.05</v>
      </c>
      <c r="K1693" s="4">
        <v>7000</v>
      </c>
      <c r="L1693" s="5">
        <f t="shared" si="14"/>
        <v>7350</v>
      </c>
      <c r="M1693" s="5">
        <f t="shared" si="15"/>
        <v>2205</v>
      </c>
      <c r="N1693" s="6">
        <v>0.3</v>
      </c>
    </row>
    <row r="1694" spans="1:14" ht="15.75" customHeight="1" x14ac:dyDescent="0.45">
      <c r="A1694" s="1" t="s">
        <v>121</v>
      </c>
      <c r="B1694" s="1">
        <v>1128299</v>
      </c>
      <c r="C1694" s="2">
        <v>44765</v>
      </c>
      <c r="D1694" s="1" t="s">
        <v>22</v>
      </c>
      <c r="E1694" s="1" t="s">
        <v>63</v>
      </c>
      <c r="F1694" s="1" t="s">
        <v>64</v>
      </c>
      <c r="G1694" s="1" t="s">
        <v>13</v>
      </c>
      <c r="H1694" s="1">
        <v>55</v>
      </c>
      <c r="I1694" s="1" t="s">
        <v>125</v>
      </c>
      <c r="J1694" s="3">
        <v>0.85</v>
      </c>
      <c r="K1694" s="4">
        <v>8500</v>
      </c>
      <c r="L1694" s="5">
        <f t="shared" si="14"/>
        <v>7225</v>
      </c>
      <c r="M1694" s="5">
        <f t="shared" si="15"/>
        <v>2528.75</v>
      </c>
      <c r="N1694" s="6">
        <v>0.35</v>
      </c>
    </row>
    <row r="1695" spans="1:14" ht="15.75" customHeight="1" x14ac:dyDescent="0.45">
      <c r="A1695" s="1" t="s">
        <v>121</v>
      </c>
      <c r="B1695" s="1">
        <v>1128299</v>
      </c>
      <c r="C1695" s="2">
        <v>44765</v>
      </c>
      <c r="D1695" s="1" t="s">
        <v>22</v>
      </c>
      <c r="E1695" s="1" t="s">
        <v>63</v>
      </c>
      <c r="F1695" s="1" t="s">
        <v>64</v>
      </c>
      <c r="G1695" s="1" t="s">
        <v>14</v>
      </c>
      <c r="H1695" s="1">
        <v>27</v>
      </c>
      <c r="I1695" s="1" t="s">
        <v>123</v>
      </c>
      <c r="J1695" s="3">
        <v>0.9</v>
      </c>
      <c r="K1695" s="4">
        <v>7000</v>
      </c>
      <c r="L1695" s="5">
        <f t="shared" si="14"/>
        <v>6300</v>
      </c>
      <c r="M1695" s="5">
        <f t="shared" si="15"/>
        <v>2205</v>
      </c>
      <c r="N1695" s="6">
        <v>0.35</v>
      </c>
    </row>
    <row r="1696" spans="1:14" ht="15.75" customHeight="1" x14ac:dyDescent="0.45">
      <c r="A1696" s="1" t="s">
        <v>121</v>
      </c>
      <c r="B1696" s="1">
        <v>1128299</v>
      </c>
      <c r="C1696" s="2">
        <v>44765</v>
      </c>
      <c r="D1696" s="1" t="s">
        <v>22</v>
      </c>
      <c r="E1696" s="1" t="s">
        <v>63</v>
      </c>
      <c r="F1696" s="1" t="s">
        <v>64</v>
      </c>
      <c r="G1696" s="1" t="s">
        <v>15</v>
      </c>
      <c r="H1696" s="1">
        <v>46</v>
      </c>
      <c r="I1696" s="1" t="s">
        <v>125</v>
      </c>
      <c r="J1696" s="3">
        <v>0.9</v>
      </c>
      <c r="K1696" s="4">
        <v>6500</v>
      </c>
      <c r="L1696" s="5">
        <f t="shared" si="14"/>
        <v>5850</v>
      </c>
      <c r="M1696" s="5">
        <f t="shared" si="15"/>
        <v>2047.4999999999998</v>
      </c>
      <c r="N1696" s="6">
        <v>0.35</v>
      </c>
    </row>
    <row r="1697" spans="1:14" ht="15.75" customHeight="1" x14ac:dyDescent="0.45">
      <c r="A1697" s="1" t="s">
        <v>121</v>
      </c>
      <c r="B1697" s="1">
        <v>1128299</v>
      </c>
      <c r="C1697" s="2">
        <v>44765</v>
      </c>
      <c r="D1697" s="1" t="s">
        <v>22</v>
      </c>
      <c r="E1697" s="1" t="s">
        <v>63</v>
      </c>
      <c r="F1697" s="1" t="s">
        <v>64</v>
      </c>
      <c r="G1697" s="1" t="s">
        <v>16</v>
      </c>
      <c r="H1697" s="1">
        <v>46</v>
      </c>
      <c r="I1697" s="1" t="s">
        <v>123</v>
      </c>
      <c r="J1697" s="3">
        <v>0.85</v>
      </c>
      <c r="K1697" s="4">
        <v>5500</v>
      </c>
      <c r="L1697" s="5">
        <f t="shared" si="14"/>
        <v>4675</v>
      </c>
      <c r="M1697" s="5">
        <f t="shared" si="15"/>
        <v>1636.25</v>
      </c>
      <c r="N1697" s="6">
        <v>0.35</v>
      </c>
    </row>
    <row r="1698" spans="1:14" ht="15.75" customHeight="1" x14ac:dyDescent="0.45">
      <c r="A1698" s="1" t="s">
        <v>121</v>
      </c>
      <c r="B1698" s="1">
        <v>1128299</v>
      </c>
      <c r="C1698" s="2">
        <v>44765</v>
      </c>
      <c r="D1698" s="1" t="s">
        <v>22</v>
      </c>
      <c r="E1698" s="1" t="s">
        <v>63</v>
      </c>
      <c r="F1698" s="1" t="s">
        <v>64</v>
      </c>
      <c r="G1698" s="1" t="s">
        <v>17</v>
      </c>
      <c r="H1698" s="1">
        <v>25</v>
      </c>
      <c r="I1698" s="1" t="s">
        <v>123</v>
      </c>
      <c r="J1698" s="3">
        <v>0.9</v>
      </c>
      <c r="K1698" s="4">
        <v>6000</v>
      </c>
      <c r="L1698" s="5">
        <f t="shared" si="14"/>
        <v>5400</v>
      </c>
      <c r="M1698" s="5">
        <f t="shared" si="15"/>
        <v>2160</v>
      </c>
      <c r="N1698" s="6">
        <v>0.4</v>
      </c>
    </row>
    <row r="1699" spans="1:14" ht="15.75" customHeight="1" x14ac:dyDescent="0.45">
      <c r="A1699" s="1" t="s">
        <v>121</v>
      </c>
      <c r="B1699" s="1">
        <v>1128299</v>
      </c>
      <c r="C1699" s="2">
        <v>44765</v>
      </c>
      <c r="D1699" s="1" t="s">
        <v>22</v>
      </c>
      <c r="E1699" s="1" t="s">
        <v>63</v>
      </c>
      <c r="F1699" s="1" t="s">
        <v>64</v>
      </c>
      <c r="G1699" s="1" t="s">
        <v>18</v>
      </c>
      <c r="H1699" s="1">
        <v>24</v>
      </c>
      <c r="I1699" s="1" t="s">
        <v>125</v>
      </c>
      <c r="J1699" s="3">
        <v>1.05</v>
      </c>
      <c r="K1699" s="4">
        <v>6000</v>
      </c>
      <c r="L1699" s="5">
        <f t="shared" si="14"/>
        <v>6300</v>
      </c>
      <c r="M1699" s="5">
        <f t="shared" si="15"/>
        <v>1890</v>
      </c>
      <c r="N1699" s="6">
        <v>0.3</v>
      </c>
    </row>
    <row r="1700" spans="1:14" ht="15.75" customHeight="1" x14ac:dyDescent="0.45">
      <c r="A1700" s="1" t="s">
        <v>121</v>
      </c>
      <c r="B1700" s="1">
        <v>1128299</v>
      </c>
      <c r="C1700" s="2">
        <v>44797</v>
      </c>
      <c r="D1700" s="1" t="s">
        <v>22</v>
      </c>
      <c r="E1700" s="1" t="s">
        <v>63</v>
      </c>
      <c r="F1700" s="1" t="s">
        <v>64</v>
      </c>
      <c r="G1700" s="1" t="s">
        <v>13</v>
      </c>
      <c r="H1700" s="1">
        <v>18</v>
      </c>
      <c r="I1700" s="1" t="s">
        <v>124</v>
      </c>
      <c r="J1700" s="3">
        <v>0.9</v>
      </c>
      <c r="K1700" s="4">
        <v>8000</v>
      </c>
      <c r="L1700" s="5">
        <f t="shared" si="14"/>
        <v>7200</v>
      </c>
      <c r="M1700" s="5">
        <f t="shared" si="15"/>
        <v>2520</v>
      </c>
      <c r="N1700" s="6">
        <v>0.35</v>
      </c>
    </row>
    <row r="1701" spans="1:14" ht="15.75" customHeight="1" x14ac:dyDescent="0.45">
      <c r="A1701" s="1" t="s">
        <v>121</v>
      </c>
      <c r="B1701" s="1">
        <v>1128299</v>
      </c>
      <c r="C1701" s="2">
        <v>44797</v>
      </c>
      <c r="D1701" s="1" t="s">
        <v>22</v>
      </c>
      <c r="E1701" s="1" t="s">
        <v>63</v>
      </c>
      <c r="F1701" s="1" t="s">
        <v>64</v>
      </c>
      <c r="G1701" s="1" t="s">
        <v>14</v>
      </c>
      <c r="H1701" s="1">
        <v>28</v>
      </c>
      <c r="I1701" s="1" t="s">
        <v>124</v>
      </c>
      <c r="J1701" s="3">
        <v>0.8</v>
      </c>
      <c r="K1701" s="4">
        <v>7750</v>
      </c>
      <c r="L1701" s="5">
        <f t="shared" si="14"/>
        <v>6200</v>
      </c>
      <c r="M1701" s="5">
        <f t="shared" si="15"/>
        <v>2170</v>
      </c>
      <c r="N1701" s="6">
        <v>0.35</v>
      </c>
    </row>
    <row r="1702" spans="1:14" ht="15.75" customHeight="1" x14ac:dyDescent="0.45">
      <c r="A1702" s="1" t="s">
        <v>121</v>
      </c>
      <c r="B1702" s="1">
        <v>1128299</v>
      </c>
      <c r="C1702" s="2">
        <v>44797</v>
      </c>
      <c r="D1702" s="1" t="s">
        <v>22</v>
      </c>
      <c r="E1702" s="1" t="s">
        <v>63</v>
      </c>
      <c r="F1702" s="1" t="s">
        <v>64</v>
      </c>
      <c r="G1702" s="1" t="s">
        <v>15</v>
      </c>
      <c r="H1702" s="1">
        <v>35</v>
      </c>
      <c r="I1702" s="1" t="s">
        <v>124</v>
      </c>
      <c r="J1702" s="3">
        <v>0.70000000000000007</v>
      </c>
      <c r="K1702" s="4">
        <v>6500</v>
      </c>
      <c r="L1702" s="5">
        <f t="shared" si="14"/>
        <v>4550</v>
      </c>
      <c r="M1702" s="5">
        <f t="shared" si="15"/>
        <v>1592.5</v>
      </c>
      <c r="N1702" s="6">
        <v>0.35</v>
      </c>
    </row>
    <row r="1703" spans="1:14" ht="15.75" customHeight="1" x14ac:dyDescent="0.45">
      <c r="A1703" s="1" t="s">
        <v>121</v>
      </c>
      <c r="B1703" s="1">
        <v>1128299</v>
      </c>
      <c r="C1703" s="2">
        <v>44797</v>
      </c>
      <c r="D1703" s="1" t="s">
        <v>22</v>
      </c>
      <c r="E1703" s="1" t="s">
        <v>63</v>
      </c>
      <c r="F1703" s="1" t="s">
        <v>64</v>
      </c>
      <c r="G1703" s="1" t="s">
        <v>16</v>
      </c>
      <c r="H1703" s="1">
        <v>31</v>
      </c>
      <c r="I1703" s="1" t="s">
        <v>125</v>
      </c>
      <c r="J1703" s="3">
        <v>0.70000000000000007</v>
      </c>
      <c r="K1703" s="4">
        <v>4250</v>
      </c>
      <c r="L1703" s="5">
        <f t="shared" si="14"/>
        <v>2975.0000000000005</v>
      </c>
      <c r="M1703" s="5">
        <f t="shared" si="15"/>
        <v>1041.25</v>
      </c>
      <c r="N1703" s="6">
        <v>0.35</v>
      </c>
    </row>
    <row r="1704" spans="1:14" ht="15.75" customHeight="1" x14ac:dyDescent="0.45">
      <c r="A1704" s="1" t="s">
        <v>121</v>
      </c>
      <c r="B1704" s="1">
        <v>1128299</v>
      </c>
      <c r="C1704" s="2">
        <v>44797</v>
      </c>
      <c r="D1704" s="1" t="s">
        <v>22</v>
      </c>
      <c r="E1704" s="1" t="s">
        <v>63</v>
      </c>
      <c r="F1704" s="1" t="s">
        <v>64</v>
      </c>
      <c r="G1704" s="1" t="s">
        <v>17</v>
      </c>
      <c r="H1704" s="1">
        <v>51</v>
      </c>
      <c r="I1704" s="1" t="s">
        <v>126</v>
      </c>
      <c r="J1704" s="3">
        <v>0.7</v>
      </c>
      <c r="K1704" s="4">
        <v>4250</v>
      </c>
      <c r="L1704" s="5">
        <f t="shared" si="14"/>
        <v>2975</v>
      </c>
      <c r="M1704" s="5">
        <f t="shared" si="15"/>
        <v>1190</v>
      </c>
      <c r="N1704" s="6">
        <v>0.4</v>
      </c>
    </row>
    <row r="1705" spans="1:14" ht="15.75" customHeight="1" x14ac:dyDescent="0.45">
      <c r="A1705" s="1" t="s">
        <v>121</v>
      </c>
      <c r="B1705" s="1">
        <v>1128299</v>
      </c>
      <c r="C1705" s="2">
        <v>44797</v>
      </c>
      <c r="D1705" s="1" t="s">
        <v>22</v>
      </c>
      <c r="E1705" s="1" t="s">
        <v>63</v>
      </c>
      <c r="F1705" s="1" t="s">
        <v>64</v>
      </c>
      <c r="G1705" s="1" t="s">
        <v>18</v>
      </c>
      <c r="H1705" s="1">
        <v>21</v>
      </c>
      <c r="I1705" s="1" t="s">
        <v>125</v>
      </c>
      <c r="J1705" s="3">
        <v>0.75</v>
      </c>
      <c r="K1705" s="4">
        <v>2500</v>
      </c>
      <c r="L1705" s="5">
        <f t="shared" si="14"/>
        <v>1875</v>
      </c>
      <c r="M1705" s="5">
        <f t="shared" si="15"/>
        <v>562.5</v>
      </c>
      <c r="N1705" s="6">
        <v>0.3</v>
      </c>
    </row>
    <row r="1706" spans="1:14" ht="15.75" customHeight="1" x14ac:dyDescent="0.45">
      <c r="A1706" s="1" t="s">
        <v>121</v>
      </c>
      <c r="B1706" s="1">
        <v>1128299</v>
      </c>
      <c r="C1706" s="2">
        <v>44829</v>
      </c>
      <c r="D1706" s="1" t="s">
        <v>22</v>
      </c>
      <c r="E1706" s="1" t="s">
        <v>63</v>
      </c>
      <c r="F1706" s="1" t="s">
        <v>64</v>
      </c>
      <c r="G1706" s="1" t="s">
        <v>13</v>
      </c>
      <c r="H1706" s="1">
        <v>25</v>
      </c>
      <c r="I1706" s="1" t="s">
        <v>124</v>
      </c>
      <c r="J1706" s="3">
        <v>0.50000000000000011</v>
      </c>
      <c r="K1706" s="4">
        <v>4500</v>
      </c>
      <c r="L1706" s="5">
        <f t="shared" si="14"/>
        <v>2250.0000000000005</v>
      </c>
      <c r="M1706" s="5">
        <f t="shared" si="15"/>
        <v>787.50000000000011</v>
      </c>
      <c r="N1706" s="6">
        <v>0.35</v>
      </c>
    </row>
    <row r="1707" spans="1:14" ht="15.75" customHeight="1" x14ac:dyDescent="0.45">
      <c r="A1707" s="1" t="s">
        <v>121</v>
      </c>
      <c r="B1707" s="1">
        <v>1128299</v>
      </c>
      <c r="C1707" s="2">
        <v>44829</v>
      </c>
      <c r="D1707" s="1" t="s">
        <v>22</v>
      </c>
      <c r="E1707" s="1" t="s">
        <v>63</v>
      </c>
      <c r="F1707" s="1" t="s">
        <v>64</v>
      </c>
      <c r="G1707" s="1" t="s">
        <v>14</v>
      </c>
      <c r="H1707" s="1">
        <v>42</v>
      </c>
      <c r="I1707" s="1" t="s">
        <v>123</v>
      </c>
      <c r="J1707" s="3">
        <v>0.55000000000000016</v>
      </c>
      <c r="K1707" s="4">
        <v>4500</v>
      </c>
      <c r="L1707" s="5">
        <f t="shared" si="14"/>
        <v>2475.0000000000009</v>
      </c>
      <c r="M1707" s="5">
        <f t="shared" si="15"/>
        <v>866.25000000000023</v>
      </c>
      <c r="N1707" s="6">
        <v>0.35</v>
      </c>
    </row>
    <row r="1708" spans="1:14" ht="15.75" customHeight="1" x14ac:dyDescent="0.45">
      <c r="A1708" s="1" t="s">
        <v>121</v>
      </c>
      <c r="B1708" s="1">
        <v>1128299</v>
      </c>
      <c r="C1708" s="2">
        <v>44829</v>
      </c>
      <c r="D1708" s="1" t="s">
        <v>22</v>
      </c>
      <c r="E1708" s="1" t="s">
        <v>63</v>
      </c>
      <c r="F1708" s="1" t="s">
        <v>64</v>
      </c>
      <c r="G1708" s="1" t="s">
        <v>15</v>
      </c>
      <c r="H1708" s="1">
        <v>41</v>
      </c>
      <c r="I1708" s="1" t="s">
        <v>126</v>
      </c>
      <c r="J1708" s="3">
        <v>0.50000000000000011</v>
      </c>
      <c r="K1708" s="4">
        <v>2500</v>
      </c>
      <c r="L1708" s="5">
        <f t="shared" si="14"/>
        <v>1250.0000000000002</v>
      </c>
      <c r="M1708" s="5">
        <f t="shared" si="15"/>
        <v>437.50000000000006</v>
      </c>
      <c r="N1708" s="6">
        <v>0.35</v>
      </c>
    </row>
    <row r="1709" spans="1:14" ht="15.75" customHeight="1" x14ac:dyDescent="0.45">
      <c r="A1709" s="1" t="s">
        <v>121</v>
      </c>
      <c r="B1709" s="1">
        <v>1128299</v>
      </c>
      <c r="C1709" s="2">
        <v>44829</v>
      </c>
      <c r="D1709" s="1" t="s">
        <v>22</v>
      </c>
      <c r="E1709" s="1" t="s">
        <v>63</v>
      </c>
      <c r="F1709" s="1" t="s">
        <v>64</v>
      </c>
      <c r="G1709" s="1" t="s">
        <v>16</v>
      </c>
      <c r="H1709" s="1">
        <v>31</v>
      </c>
      <c r="I1709" s="1" t="s">
        <v>124</v>
      </c>
      <c r="J1709" s="3">
        <v>0.50000000000000011</v>
      </c>
      <c r="K1709" s="4">
        <v>2000</v>
      </c>
      <c r="L1709" s="5">
        <f t="shared" si="14"/>
        <v>1000.0000000000002</v>
      </c>
      <c r="M1709" s="5">
        <f t="shared" si="15"/>
        <v>350.00000000000006</v>
      </c>
      <c r="N1709" s="6">
        <v>0.35</v>
      </c>
    </row>
    <row r="1710" spans="1:14" ht="15.75" customHeight="1" x14ac:dyDescent="0.45">
      <c r="A1710" s="1" t="s">
        <v>121</v>
      </c>
      <c r="B1710" s="1">
        <v>1128299</v>
      </c>
      <c r="C1710" s="2">
        <v>44829</v>
      </c>
      <c r="D1710" s="1" t="s">
        <v>22</v>
      </c>
      <c r="E1710" s="1" t="s">
        <v>63</v>
      </c>
      <c r="F1710" s="1" t="s">
        <v>64</v>
      </c>
      <c r="G1710" s="1" t="s">
        <v>17</v>
      </c>
      <c r="H1710" s="1">
        <v>17</v>
      </c>
      <c r="I1710" s="1" t="s">
        <v>125</v>
      </c>
      <c r="J1710" s="3">
        <v>0.60000000000000009</v>
      </c>
      <c r="K1710" s="4">
        <v>2250</v>
      </c>
      <c r="L1710" s="5">
        <f t="shared" si="14"/>
        <v>1350.0000000000002</v>
      </c>
      <c r="M1710" s="5">
        <f t="shared" si="15"/>
        <v>540.00000000000011</v>
      </c>
      <c r="N1710" s="6">
        <v>0.4</v>
      </c>
    </row>
    <row r="1711" spans="1:14" ht="15.75" customHeight="1" x14ac:dyDescent="0.45">
      <c r="A1711" s="1" t="s">
        <v>121</v>
      </c>
      <c r="B1711" s="1">
        <v>1128299</v>
      </c>
      <c r="C1711" s="2">
        <v>44829</v>
      </c>
      <c r="D1711" s="1" t="s">
        <v>22</v>
      </c>
      <c r="E1711" s="1" t="s">
        <v>63</v>
      </c>
      <c r="F1711" s="1" t="s">
        <v>64</v>
      </c>
      <c r="G1711" s="1" t="s">
        <v>18</v>
      </c>
      <c r="H1711" s="1">
        <v>36</v>
      </c>
      <c r="I1711" s="1" t="s">
        <v>125</v>
      </c>
      <c r="J1711" s="3">
        <v>0.44999999999999996</v>
      </c>
      <c r="K1711" s="4">
        <v>2500</v>
      </c>
      <c r="L1711" s="5">
        <f t="shared" si="14"/>
        <v>1125</v>
      </c>
      <c r="M1711" s="5">
        <f t="shared" si="15"/>
        <v>337.5</v>
      </c>
      <c r="N1711" s="6">
        <v>0.3</v>
      </c>
    </row>
    <row r="1712" spans="1:14" ht="15.75" customHeight="1" x14ac:dyDescent="0.45">
      <c r="A1712" s="1" t="s">
        <v>121</v>
      </c>
      <c r="B1712" s="1">
        <v>1128299</v>
      </c>
      <c r="C1712" s="2">
        <v>44858</v>
      </c>
      <c r="D1712" s="1" t="s">
        <v>22</v>
      </c>
      <c r="E1712" s="1" t="s">
        <v>63</v>
      </c>
      <c r="F1712" s="1" t="s">
        <v>64</v>
      </c>
      <c r="G1712" s="1" t="s">
        <v>13</v>
      </c>
      <c r="H1712" s="1">
        <v>22</v>
      </c>
      <c r="I1712" s="1" t="s">
        <v>123</v>
      </c>
      <c r="J1712" s="3">
        <v>0.4</v>
      </c>
      <c r="K1712" s="4">
        <v>3500</v>
      </c>
      <c r="L1712" s="5">
        <f t="shared" si="14"/>
        <v>1400</v>
      </c>
      <c r="M1712" s="5">
        <f t="shared" si="15"/>
        <v>489.99999999999994</v>
      </c>
      <c r="N1712" s="6">
        <v>0.35</v>
      </c>
    </row>
    <row r="1713" spans="1:14" ht="15.75" customHeight="1" x14ac:dyDescent="0.45">
      <c r="A1713" s="1" t="s">
        <v>121</v>
      </c>
      <c r="B1713" s="1">
        <v>1128299</v>
      </c>
      <c r="C1713" s="2">
        <v>44858</v>
      </c>
      <c r="D1713" s="1" t="s">
        <v>22</v>
      </c>
      <c r="E1713" s="1" t="s">
        <v>63</v>
      </c>
      <c r="F1713" s="1" t="s">
        <v>64</v>
      </c>
      <c r="G1713" s="1" t="s">
        <v>14</v>
      </c>
      <c r="H1713" s="1">
        <v>27</v>
      </c>
      <c r="I1713" s="1" t="s">
        <v>123</v>
      </c>
      <c r="J1713" s="3">
        <v>0.55000000000000016</v>
      </c>
      <c r="K1713" s="4">
        <v>5250</v>
      </c>
      <c r="L1713" s="5">
        <f t="shared" si="14"/>
        <v>2887.5000000000009</v>
      </c>
      <c r="M1713" s="5">
        <f t="shared" si="15"/>
        <v>1010.6250000000002</v>
      </c>
      <c r="N1713" s="6">
        <v>0.35</v>
      </c>
    </row>
    <row r="1714" spans="1:14" ht="15.75" customHeight="1" x14ac:dyDescent="0.45">
      <c r="A1714" s="1" t="s">
        <v>121</v>
      </c>
      <c r="B1714" s="1">
        <v>1128299</v>
      </c>
      <c r="C1714" s="2">
        <v>44858</v>
      </c>
      <c r="D1714" s="1" t="s">
        <v>22</v>
      </c>
      <c r="E1714" s="1" t="s">
        <v>63</v>
      </c>
      <c r="F1714" s="1" t="s">
        <v>64</v>
      </c>
      <c r="G1714" s="1" t="s">
        <v>15</v>
      </c>
      <c r="H1714" s="1">
        <v>47</v>
      </c>
      <c r="I1714" s="1" t="s">
        <v>125</v>
      </c>
      <c r="J1714" s="3">
        <v>0.50000000000000011</v>
      </c>
      <c r="K1714" s="4">
        <v>3500</v>
      </c>
      <c r="L1714" s="5">
        <f t="shared" si="14"/>
        <v>1750.0000000000005</v>
      </c>
      <c r="M1714" s="5">
        <f t="shared" si="15"/>
        <v>612.50000000000011</v>
      </c>
      <c r="N1714" s="6">
        <v>0.35</v>
      </c>
    </row>
    <row r="1715" spans="1:14" ht="15.75" customHeight="1" x14ac:dyDescent="0.45">
      <c r="A1715" s="1" t="s">
        <v>121</v>
      </c>
      <c r="B1715" s="1">
        <v>1128299</v>
      </c>
      <c r="C1715" s="2">
        <v>44858</v>
      </c>
      <c r="D1715" s="1" t="s">
        <v>22</v>
      </c>
      <c r="E1715" s="1" t="s">
        <v>63</v>
      </c>
      <c r="F1715" s="1" t="s">
        <v>64</v>
      </c>
      <c r="G1715" s="1" t="s">
        <v>16</v>
      </c>
      <c r="H1715" s="1">
        <v>36</v>
      </c>
      <c r="I1715" s="1" t="s">
        <v>125</v>
      </c>
      <c r="J1715" s="3">
        <v>0.45000000000000007</v>
      </c>
      <c r="K1715" s="4">
        <v>3250</v>
      </c>
      <c r="L1715" s="5">
        <f t="shared" si="14"/>
        <v>1462.5000000000002</v>
      </c>
      <c r="M1715" s="5">
        <f t="shared" si="15"/>
        <v>511.87500000000006</v>
      </c>
      <c r="N1715" s="6">
        <v>0.35</v>
      </c>
    </row>
    <row r="1716" spans="1:14" ht="15.75" customHeight="1" x14ac:dyDescent="0.45">
      <c r="A1716" s="1" t="s">
        <v>121</v>
      </c>
      <c r="B1716" s="1">
        <v>1128299</v>
      </c>
      <c r="C1716" s="2">
        <v>44858</v>
      </c>
      <c r="D1716" s="1" t="s">
        <v>22</v>
      </c>
      <c r="E1716" s="1" t="s">
        <v>63</v>
      </c>
      <c r="F1716" s="1" t="s">
        <v>64</v>
      </c>
      <c r="G1716" s="1" t="s">
        <v>17</v>
      </c>
      <c r="H1716" s="1">
        <v>35</v>
      </c>
      <c r="I1716" s="1" t="s">
        <v>126</v>
      </c>
      <c r="J1716" s="3">
        <v>0.55000000000000004</v>
      </c>
      <c r="K1716" s="4">
        <v>3000</v>
      </c>
      <c r="L1716" s="5">
        <f t="shared" si="14"/>
        <v>1650.0000000000002</v>
      </c>
      <c r="M1716" s="5">
        <f t="shared" si="15"/>
        <v>660.00000000000011</v>
      </c>
      <c r="N1716" s="6">
        <v>0.4</v>
      </c>
    </row>
    <row r="1717" spans="1:14" ht="15.75" customHeight="1" x14ac:dyDescent="0.45">
      <c r="A1717" s="1" t="s">
        <v>121</v>
      </c>
      <c r="B1717" s="1">
        <v>1128299</v>
      </c>
      <c r="C1717" s="2">
        <v>44858</v>
      </c>
      <c r="D1717" s="1" t="s">
        <v>22</v>
      </c>
      <c r="E1717" s="1" t="s">
        <v>63</v>
      </c>
      <c r="F1717" s="1" t="s">
        <v>64</v>
      </c>
      <c r="G1717" s="1" t="s">
        <v>18</v>
      </c>
      <c r="H1717" s="1">
        <v>30</v>
      </c>
      <c r="I1717" s="1" t="s">
        <v>123</v>
      </c>
      <c r="J1717" s="3">
        <v>0.60000000000000009</v>
      </c>
      <c r="K1717" s="4">
        <v>3500</v>
      </c>
      <c r="L1717" s="5">
        <f t="shared" si="14"/>
        <v>2100.0000000000005</v>
      </c>
      <c r="M1717" s="5">
        <f t="shared" si="15"/>
        <v>630.00000000000011</v>
      </c>
      <c r="N1717" s="6">
        <v>0.3</v>
      </c>
    </row>
    <row r="1718" spans="1:14" ht="15.75" customHeight="1" x14ac:dyDescent="0.45">
      <c r="A1718" s="1" t="s">
        <v>121</v>
      </c>
      <c r="B1718" s="1">
        <v>1128299</v>
      </c>
      <c r="C1718" s="2">
        <v>44889</v>
      </c>
      <c r="D1718" s="1" t="s">
        <v>22</v>
      </c>
      <c r="E1718" s="1" t="s">
        <v>63</v>
      </c>
      <c r="F1718" s="1" t="s">
        <v>64</v>
      </c>
      <c r="G1718" s="1" t="s">
        <v>13</v>
      </c>
      <c r="H1718" s="1">
        <v>23</v>
      </c>
      <c r="I1718" s="1" t="s">
        <v>126</v>
      </c>
      <c r="J1718" s="3">
        <v>0.45000000000000007</v>
      </c>
      <c r="K1718" s="4">
        <v>5750</v>
      </c>
      <c r="L1718" s="5">
        <f t="shared" si="14"/>
        <v>2587.5000000000005</v>
      </c>
      <c r="M1718" s="5">
        <f t="shared" si="15"/>
        <v>905.62500000000011</v>
      </c>
      <c r="N1718" s="6">
        <v>0.35</v>
      </c>
    </row>
    <row r="1719" spans="1:14" ht="15.75" customHeight="1" x14ac:dyDescent="0.45">
      <c r="A1719" s="1" t="s">
        <v>121</v>
      </c>
      <c r="B1719" s="1">
        <v>1128299</v>
      </c>
      <c r="C1719" s="2">
        <v>44889</v>
      </c>
      <c r="D1719" s="1" t="s">
        <v>22</v>
      </c>
      <c r="E1719" s="1" t="s">
        <v>63</v>
      </c>
      <c r="F1719" s="1" t="s">
        <v>64</v>
      </c>
      <c r="G1719" s="1" t="s">
        <v>14</v>
      </c>
      <c r="H1719" s="1">
        <v>30</v>
      </c>
      <c r="I1719" s="1" t="s">
        <v>125</v>
      </c>
      <c r="J1719" s="3">
        <v>0.50000000000000011</v>
      </c>
      <c r="K1719" s="4">
        <v>6500</v>
      </c>
      <c r="L1719" s="5">
        <f t="shared" si="14"/>
        <v>3250.0000000000009</v>
      </c>
      <c r="M1719" s="5">
        <f t="shared" si="15"/>
        <v>1137.5000000000002</v>
      </c>
      <c r="N1719" s="6">
        <v>0.35</v>
      </c>
    </row>
    <row r="1720" spans="1:14" ht="15.75" customHeight="1" x14ac:dyDescent="0.45">
      <c r="A1720" s="1" t="s">
        <v>121</v>
      </c>
      <c r="B1720" s="1">
        <v>1128299</v>
      </c>
      <c r="C1720" s="2">
        <v>44889</v>
      </c>
      <c r="D1720" s="1" t="s">
        <v>22</v>
      </c>
      <c r="E1720" s="1" t="s">
        <v>63</v>
      </c>
      <c r="F1720" s="1" t="s">
        <v>64</v>
      </c>
      <c r="G1720" s="1" t="s">
        <v>15</v>
      </c>
      <c r="H1720" s="1">
        <v>59</v>
      </c>
      <c r="I1720" s="1" t="s">
        <v>125</v>
      </c>
      <c r="J1720" s="3">
        <v>0.45000000000000007</v>
      </c>
      <c r="K1720" s="4">
        <v>4750</v>
      </c>
      <c r="L1720" s="5">
        <f t="shared" si="14"/>
        <v>2137.5000000000005</v>
      </c>
      <c r="M1720" s="5">
        <f t="shared" si="15"/>
        <v>748.12500000000011</v>
      </c>
      <c r="N1720" s="6">
        <v>0.35</v>
      </c>
    </row>
    <row r="1721" spans="1:14" ht="15.75" customHeight="1" x14ac:dyDescent="0.45">
      <c r="A1721" s="1" t="s">
        <v>121</v>
      </c>
      <c r="B1721" s="1">
        <v>1128299</v>
      </c>
      <c r="C1721" s="2">
        <v>44889</v>
      </c>
      <c r="D1721" s="1" t="s">
        <v>22</v>
      </c>
      <c r="E1721" s="1" t="s">
        <v>63</v>
      </c>
      <c r="F1721" s="1" t="s">
        <v>64</v>
      </c>
      <c r="G1721" s="1" t="s">
        <v>16</v>
      </c>
      <c r="H1721" s="1">
        <v>22</v>
      </c>
      <c r="I1721" s="1" t="s">
        <v>123</v>
      </c>
      <c r="J1721" s="3">
        <v>0.55000000000000016</v>
      </c>
      <c r="K1721" s="4">
        <v>4500</v>
      </c>
      <c r="L1721" s="5">
        <f t="shared" si="14"/>
        <v>2475.0000000000009</v>
      </c>
      <c r="M1721" s="5">
        <f t="shared" si="15"/>
        <v>866.25000000000023</v>
      </c>
      <c r="N1721" s="6">
        <v>0.35</v>
      </c>
    </row>
    <row r="1722" spans="1:14" ht="15.75" customHeight="1" x14ac:dyDescent="0.45">
      <c r="A1722" s="1" t="s">
        <v>121</v>
      </c>
      <c r="B1722" s="1">
        <v>1128299</v>
      </c>
      <c r="C1722" s="2">
        <v>44889</v>
      </c>
      <c r="D1722" s="1" t="s">
        <v>22</v>
      </c>
      <c r="E1722" s="1" t="s">
        <v>63</v>
      </c>
      <c r="F1722" s="1" t="s">
        <v>64</v>
      </c>
      <c r="G1722" s="1" t="s">
        <v>17</v>
      </c>
      <c r="H1722" s="1">
        <v>52</v>
      </c>
      <c r="I1722" s="1" t="s">
        <v>124</v>
      </c>
      <c r="J1722" s="3">
        <v>0.75000000000000011</v>
      </c>
      <c r="K1722" s="4">
        <v>4250</v>
      </c>
      <c r="L1722" s="5">
        <f t="shared" si="14"/>
        <v>3187.5000000000005</v>
      </c>
      <c r="M1722" s="5">
        <f t="shared" si="15"/>
        <v>1275.0000000000002</v>
      </c>
      <c r="N1722" s="6">
        <v>0.4</v>
      </c>
    </row>
    <row r="1723" spans="1:14" ht="15.75" customHeight="1" x14ac:dyDescent="0.45">
      <c r="A1723" s="1" t="s">
        <v>121</v>
      </c>
      <c r="B1723" s="1">
        <v>1128299</v>
      </c>
      <c r="C1723" s="2">
        <v>44889</v>
      </c>
      <c r="D1723" s="1" t="s">
        <v>22</v>
      </c>
      <c r="E1723" s="1" t="s">
        <v>63</v>
      </c>
      <c r="F1723" s="1" t="s">
        <v>64</v>
      </c>
      <c r="G1723" s="1" t="s">
        <v>18</v>
      </c>
      <c r="H1723" s="1">
        <v>17</v>
      </c>
      <c r="I1723" s="1" t="s">
        <v>124</v>
      </c>
      <c r="J1723" s="3">
        <v>0.80000000000000016</v>
      </c>
      <c r="K1723" s="4">
        <v>5500</v>
      </c>
      <c r="L1723" s="5">
        <f t="shared" si="14"/>
        <v>4400.0000000000009</v>
      </c>
      <c r="M1723" s="5">
        <f t="shared" si="15"/>
        <v>1320.0000000000002</v>
      </c>
      <c r="N1723" s="6">
        <v>0.3</v>
      </c>
    </row>
    <row r="1724" spans="1:14" ht="15.75" customHeight="1" x14ac:dyDescent="0.45">
      <c r="A1724" s="1" t="s">
        <v>121</v>
      </c>
      <c r="B1724" s="1">
        <v>1128299</v>
      </c>
      <c r="C1724" s="2">
        <v>44918</v>
      </c>
      <c r="D1724" s="1" t="s">
        <v>22</v>
      </c>
      <c r="E1724" s="1" t="s">
        <v>63</v>
      </c>
      <c r="F1724" s="1" t="s">
        <v>64</v>
      </c>
      <c r="G1724" s="1" t="s">
        <v>13</v>
      </c>
      <c r="H1724" s="1">
        <v>58</v>
      </c>
      <c r="I1724" s="1" t="s">
        <v>123</v>
      </c>
      <c r="J1724" s="3">
        <v>0.65000000000000013</v>
      </c>
      <c r="K1724" s="4">
        <v>7500</v>
      </c>
      <c r="L1724" s="5">
        <f t="shared" si="14"/>
        <v>4875.0000000000009</v>
      </c>
      <c r="M1724" s="5">
        <f t="shared" si="15"/>
        <v>1706.2500000000002</v>
      </c>
      <c r="N1724" s="6">
        <v>0.35</v>
      </c>
    </row>
    <row r="1725" spans="1:14" ht="15.75" customHeight="1" x14ac:dyDescent="0.45">
      <c r="A1725" s="1" t="s">
        <v>121</v>
      </c>
      <c r="B1725" s="1">
        <v>1128299</v>
      </c>
      <c r="C1725" s="2">
        <v>44918</v>
      </c>
      <c r="D1725" s="1" t="s">
        <v>22</v>
      </c>
      <c r="E1725" s="1" t="s">
        <v>63</v>
      </c>
      <c r="F1725" s="1" t="s">
        <v>64</v>
      </c>
      <c r="G1725" s="1" t="s">
        <v>14</v>
      </c>
      <c r="H1725" s="1">
        <v>56</v>
      </c>
      <c r="I1725" s="1" t="s">
        <v>124</v>
      </c>
      <c r="J1725" s="3">
        <v>0.75000000000000022</v>
      </c>
      <c r="K1725" s="4">
        <v>7500</v>
      </c>
      <c r="L1725" s="5">
        <f t="shared" si="14"/>
        <v>5625.0000000000018</v>
      </c>
      <c r="M1725" s="5">
        <f t="shared" si="15"/>
        <v>1968.7500000000005</v>
      </c>
      <c r="N1725" s="6">
        <v>0.35</v>
      </c>
    </row>
    <row r="1726" spans="1:14" ht="15.75" customHeight="1" x14ac:dyDescent="0.45">
      <c r="A1726" s="1" t="s">
        <v>121</v>
      </c>
      <c r="B1726" s="1">
        <v>1128299</v>
      </c>
      <c r="C1726" s="2">
        <v>44918</v>
      </c>
      <c r="D1726" s="1" t="s">
        <v>22</v>
      </c>
      <c r="E1726" s="1" t="s">
        <v>63</v>
      </c>
      <c r="F1726" s="1" t="s">
        <v>64</v>
      </c>
      <c r="G1726" s="1" t="s">
        <v>15</v>
      </c>
      <c r="H1726" s="1">
        <v>41</v>
      </c>
      <c r="I1726" s="1" t="s">
        <v>125</v>
      </c>
      <c r="J1726" s="3">
        <v>0.70000000000000018</v>
      </c>
      <c r="K1726" s="4">
        <v>5500</v>
      </c>
      <c r="L1726" s="5">
        <f t="shared" si="14"/>
        <v>3850.0000000000009</v>
      </c>
      <c r="M1726" s="5">
        <f t="shared" si="15"/>
        <v>1347.5000000000002</v>
      </c>
      <c r="N1726" s="6">
        <v>0.35</v>
      </c>
    </row>
    <row r="1727" spans="1:14" ht="15.75" customHeight="1" x14ac:dyDescent="0.45">
      <c r="A1727" s="1" t="s">
        <v>121</v>
      </c>
      <c r="B1727" s="1">
        <v>1128299</v>
      </c>
      <c r="C1727" s="2">
        <v>44918</v>
      </c>
      <c r="D1727" s="1" t="s">
        <v>22</v>
      </c>
      <c r="E1727" s="1" t="s">
        <v>63</v>
      </c>
      <c r="F1727" s="1" t="s">
        <v>64</v>
      </c>
      <c r="G1727" s="1" t="s">
        <v>16</v>
      </c>
      <c r="H1727" s="1">
        <v>33</v>
      </c>
      <c r="I1727" s="1" t="s">
        <v>123</v>
      </c>
      <c r="J1727" s="3">
        <v>0.70000000000000018</v>
      </c>
      <c r="K1727" s="4">
        <v>5500</v>
      </c>
      <c r="L1727" s="5">
        <f t="shared" si="14"/>
        <v>3850.0000000000009</v>
      </c>
      <c r="M1727" s="5">
        <f t="shared" si="15"/>
        <v>1347.5000000000002</v>
      </c>
      <c r="N1727" s="6">
        <v>0.35</v>
      </c>
    </row>
    <row r="1728" spans="1:14" ht="15.75" customHeight="1" x14ac:dyDescent="0.45">
      <c r="A1728" s="1" t="s">
        <v>121</v>
      </c>
      <c r="B1728" s="1">
        <v>1128299</v>
      </c>
      <c r="C1728" s="2">
        <v>44918</v>
      </c>
      <c r="D1728" s="1" t="s">
        <v>22</v>
      </c>
      <c r="E1728" s="1" t="s">
        <v>63</v>
      </c>
      <c r="F1728" s="1" t="s">
        <v>64</v>
      </c>
      <c r="G1728" s="1" t="s">
        <v>17</v>
      </c>
      <c r="H1728" s="1">
        <v>59</v>
      </c>
      <c r="I1728" s="1" t="s">
        <v>123</v>
      </c>
      <c r="J1728" s="3">
        <v>0.80000000000000016</v>
      </c>
      <c r="K1728" s="4">
        <v>4750</v>
      </c>
      <c r="L1728" s="5">
        <f t="shared" si="14"/>
        <v>3800.0000000000009</v>
      </c>
      <c r="M1728" s="5">
        <f t="shared" si="15"/>
        <v>1520.0000000000005</v>
      </c>
      <c r="N1728" s="6">
        <v>0.4</v>
      </c>
    </row>
    <row r="1729" spans="1:14" ht="15.75" customHeight="1" x14ac:dyDescent="0.45">
      <c r="A1729" s="1" t="s">
        <v>121</v>
      </c>
      <c r="B1729" s="1">
        <v>1128299</v>
      </c>
      <c r="C1729" s="2">
        <v>44918</v>
      </c>
      <c r="D1729" s="1" t="s">
        <v>22</v>
      </c>
      <c r="E1729" s="1" t="s">
        <v>63</v>
      </c>
      <c r="F1729" s="1" t="s">
        <v>64</v>
      </c>
      <c r="G1729" s="1" t="s">
        <v>18</v>
      </c>
      <c r="H1729" s="1">
        <v>60</v>
      </c>
      <c r="I1729" s="1" t="s">
        <v>123</v>
      </c>
      <c r="J1729" s="3">
        <v>0.8500000000000002</v>
      </c>
      <c r="K1729" s="4">
        <v>5750</v>
      </c>
      <c r="L1729" s="5">
        <f t="shared" si="14"/>
        <v>4887.5000000000009</v>
      </c>
      <c r="M1729" s="5">
        <f t="shared" si="15"/>
        <v>1466.2500000000002</v>
      </c>
      <c r="N1729" s="6">
        <v>0.3</v>
      </c>
    </row>
    <row r="1730" spans="1:14" ht="15.75" customHeight="1" x14ac:dyDescent="0.45">
      <c r="A1730" s="1" t="s">
        <v>121</v>
      </c>
      <c r="B1730" s="1">
        <v>1128299</v>
      </c>
      <c r="C1730" s="2">
        <v>44578</v>
      </c>
      <c r="D1730" s="1" t="s">
        <v>22</v>
      </c>
      <c r="E1730" s="1" t="s">
        <v>65</v>
      </c>
      <c r="F1730" s="1" t="s">
        <v>52</v>
      </c>
      <c r="G1730" s="1" t="s">
        <v>13</v>
      </c>
      <c r="H1730" s="1">
        <v>15</v>
      </c>
      <c r="I1730" s="1" t="s">
        <v>124</v>
      </c>
      <c r="J1730" s="3">
        <v>0.35000000000000003</v>
      </c>
      <c r="K1730" s="4">
        <v>4000</v>
      </c>
      <c r="L1730" s="5">
        <f t="shared" si="14"/>
        <v>1400.0000000000002</v>
      </c>
      <c r="M1730" s="5">
        <f t="shared" si="15"/>
        <v>560</v>
      </c>
      <c r="N1730" s="6">
        <v>0.39999999999999997</v>
      </c>
    </row>
    <row r="1731" spans="1:14" ht="15.75" customHeight="1" x14ac:dyDescent="0.45">
      <c r="A1731" s="1" t="s">
        <v>121</v>
      </c>
      <c r="B1731" s="1">
        <v>1128299</v>
      </c>
      <c r="C1731" s="2">
        <v>44578</v>
      </c>
      <c r="D1731" s="1" t="s">
        <v>22</v>
      </c>
      <c r="E1731" s="1" t="s">
        <v>65</v>
      </c>
      <c r="F1731" s="1" t="s">
        <v>52</v>
      </c>
      <c r="G1731" s="1" t="s">
        <v>14</v>
      </c>
      <c r="H1731" s="1">
        <v>56</v>
      </c>
      <c r="I1731" s="1" t="s">
        <v>125</v>
      </c>
      <c r="J1731" s="3">
        <v>0.45</v>
      </c>
      <c r="K1731" s="4">
        <v>4000</v>
      </c>
      <c r="L1731" s="5">
        <f t="shared" si="14"/>
        <v>1800</v>
      </c>
      <c r="M1731" s="5">
        <f t="shared" si="15"/>
        <v>719.99999999999989</v>
      </c>
      <c r="N1731" s="6">
        <v>0.39999999999999997</v>
      </c>
    </row>
    <row r="1732" spans="1:14" ht="15.75" customHeight="1" x14ac:dyDescent="0.45">
      <c r="A1732" s="1" t="s">
        <v>121</v>
      </c>
      <c r="B1732" s="1">
        <v>1128299</v>
      </c>
      <c r="C1732" s="2">
        <v>44578</v>
      </c>
      <c r="D1732" s="1" t="s">
        <v>22</v>
      </c>
      <c r="E1732" s="1" t="s">
        <v>65</v>
      </c>
      <c r="F1732" s="1" t="s">
        <v>52</v>
      </c>
      <c r="G1732" s="1" t="s">
        <v>15</v>
      </c>
      <c r="H1732" s="1">
        <v>22</v>
      </c>
      <c r="I1732" s="1" t="s">
        <v>126</v>
      </c>
      <c r="J1732" s="3">
        <v>0.45</v>
      </c>
      <c r="K1732" s="4">
        <v>4000</v>
      </c>
      <c r="L1732" s="5">
        <f t="shared" si="14"/>
        <v>1800</v>
      </c>
      <c r="M1732" s="5">
        <f t="shared" si="15"/>
        <v>719.99999999999989</v>
      </c>
      <c r="N1732" s="6">
        <v>0.39999999999999997</v>
      </c>
    </row>
    <row r="1733" spans="1:14" ht="15.75" customHeight="1" x14ac:dyDescent="0.45">
      <c r="A1733" s="1" t="s">
        <v>121</v>
      </c>
      <c r="B1733" s="1">
        <v>1128299</v>
      </c>
      <c r="C1733" s="2">
        <v>44578</v>
      </c>
      <c r="D1733" s="1" t="s">
        <v>22</v>
      </c>
      <c r="E1733" s="1" t="s">
        <v>65</v>
      </c>
      <c r="F1733" s="1" t="s">
        <v>52</v>
      </c>
      <c r="G1733" s="1" t="s">
        <v>16</v>
      </c>
      <c r="H1733" s="1">
        <v>43</v>
      </c>
      <c r="I1733" s="1" t="s">
        <v>124</v>
      </c>
      <c r="J1733" s="3">
        <v>0.45</v>
      </c>
      <c r="K1733" s="4">
        <v>2500</v>
      </c>
      <c r="L1733" s="5">
        <f t="shared" si="14"/>
        <v>1125</v>
      </c>
      <c r="M1733" s="5">
        <f t="shared" si="15"/>
        <v>449.99999999999994</v>
      </c>
      <c r="N1733" s="6">
        <v>0.39999999999999997</v>
      </c>
    </row>
    <row r="1734" spans="1:14" ht="15.75" customHeight="1" x14ac:dyDescent="0.45">
      <c r="A1734" s="1" t="s">
        <v>121</v>
      </c>
      <c r="B1734" s="1">
        <v>1128299</v>
      </c>
      <c r="C1734" s="2">
        <v>44578</v>
      </c>
      <c r="D1734" s="1" t="s">
        <v>22</v>
      </c>
      <c r="E1734" s="1" t="s">
        <v>65</v>
      </c>
      <c r="F1734" s="1" t="s">
        <v>52</v>
      </c>
      <c r="G1734" s="1" t="s">
        <v>17</v>
      </c>
      <c r="H1734" s="1">
        <v>51</v>
      </c>
      <c r="I1734" s="1" t="s">
        <v>124</v>
      </c>
      <c r="J1734" s="3">
        <v>0.50000000000000011</v>
      </c>
      <c r="K1734" s="4">
        <v>2000</v>
      </c>
      <c r="L1734" s="5">
        <f t="shared" si="14"/>
        <v>1000.0000000000002</v>
      </c>
      <c r="M1734" s="5">
        <f t="shared" si="15"/>
        <v>450.00000000000011</v>
      </c>
      <c r="N1734" s="6">
        <v>0.45</v>
      </c>
    </row>
    <row r="1735" spans="1:14" ht="15.75" customHeight="1" x14ac:dyDescent="0.45">
      <c r="A1735" s="1" t="s">
        <v>121</v>
      </c>
      <c r="B1735" s="1">
        <v>1128299</v>
      </c>
      <c r="C1735" s="2">
        <v>44578</v>
      </c>
      <c r="D1735" s="1" t="s">
        <v>22</v>
      </c>
      <c r="E1735" s="1" t="s">
        <v>65</v>
      </c>
      <c r="F1735" s="1" t="s">
        <v>52</v>
      </c>
      <c r="G1735" s="1" t="s">
        <v>18</v>
      </c>
      <c r="H1735" s="1">
        <v>57</v>
      </c>
      <c r="I1735" s="1" t="s">
        <v>123</v>
      </c>
      <c r="J1735" s="3">
        <v>0.45</v>
      </c>
      <c r="K1735" s="4">
        <v>4500</v>
      </c>
      <c r="L1735" s="5">
        <f t="shared" si="14"/>
        <v>2025</v>
      </c>
      <c r="M1735" s="5">
        <f t="shared" si="15"/>
        <v>708.75</v>
      </c>
      <c r="N1735" s="6">
        <v>0.35</v>
      </c>
    </row>
    <row r="1736" spans="1:14" ht="15.75" customHeight="1" x14ac:dyDescent="0.45">
      <c r="A1736" s="1" t="s">
        <v>121</v>
      </c>
      <c r="B1736" s="1">
        <v>1128299</v>
      </c>
      <c r="C1736" s="2">
        <v>44609</v>
      </c>
      <c r="D1736" s="1" t="s">
        <v>22</v>
      </c>
      <c r="E1736" s="1" t="s">
        <v>65</v>
      </c>
      <c r="F1736" s="1" t="s">
        <v>52</v>
      </c>
      <c r="G1736" s="1" t="s">
        <v>13</v>
      </c>
      <c r="H1736" s="1">
        <v>19</v>
      </c>
      <c r="I1736" s="1" t="s">
        <v>126</v>
      </c>
      <c r="J1736" s="3">
        <v>0.35000000000000003</v>
      </c>
      <c r="K1736" s="4">
        <v>5000</v>
      </c>
      <c r="L1736" s="5">
        <f t="shared" si="14"/>
        <v>1750.0000000000002</v>
      </c>
      <c r="M1736" s="5">
        <f t="shared" si="15"/>
        <v>700</v>
      </c>
      <c r="N1736" s="6">
        <v>0.39999999999999997</v>
      </c>
    </row>
    <row r="1737" spans="1:14" ht="15.75" customHeight="1" x14ac:dyDescent="0.45">
      <c r="A1737" s="1" t="s">
        <v>121</v>
      </c>
      <c r="B1737" s="1">
        <v>1128299</v>
      </c>
      <c r="C1737" s="2">
        <v>44609</v>
      </c>
      <c r="D1737" s="1" t="s">
        <v>22</v>
      </c>
      <c r="E1737" s="1" t="s">
        <v>65</v>
      </c>
      <c r="F1737" s="1" t="s">
        <v>52</v>
      </c>
      <c r="G1737" s="1" t="s">
        <v>14</v>
      </c>
      <c r="H1737" s="1">
        <v>35</v>
      </c>
      <c r="I1737" s="1" t="s">
        <v>126</v>
      </c>
      <c r="J1737" s="3">
        <v>0.45</v>
      </c>
      <c r="K1737" s="4">
        <v>4000</v>
      </c>
      <c r="L1737" s="5">
        <f t="shared" si="14"/>
        <v>1800</v>
      </c>
      <c r="M1737" s="5">
        <f t="shared" si="15"/>
        <v>719.99999999999989</v>
      </c>
      <c r="N1737" s="6">
        <v>0.39999999999999997</v>
      </c>
    </row>
    <row r="1738" spans="1:14" ht="15.75" customHeight="1" x14ac:dyDescent="0.45">
      <c r="A1738" s="1" t="s">
        <v>121</v>
      </c>
      <c r="B1738" s="1">
        <v>1128299</v>
      </c>
      <c r="C1738" s="2">
        <v>44609</v>
      </c>
      <c r="D1738" s="1" t="s">
        <v>22</v>
      </c>
      <c r="E1738" s="1" t="s">
        <v>65</v>
      </c>
      <c r="F1738" s="1" t="s">
        <v>52</v>
      </c>
      <c r="G1738" s="1" t="s">
        <v>15</v>
      </c>
      <c r="H1738" s="1">
        <v>19</v>
      </c>
      <c r="I1738" s="1" t="s">
        <v>126</v>
      </c>
      <c r="J1738" s="3">
        <v>0.45</v>
      </c>
      <c r="K1738" s="4">
        <v>4000</v>
      </c>
      <c r="L1738" s="5">
        <f t="shared" si="14"/>
        <v>1800</v>
      </c>
      <c r="M1738" s="5">
        <f t="shared" si="15"/>
        <v>719.99999999999989</v>
      </c>
      <c r="N1738" s="6">
        <v>0.39999999999999997</v>
      </c>
    </row>
    <row r="1739" spans="1:14" ht="15.75" customHeight="1" x14ac:dyDescent="0.45">
      <c r="A1739" s="1" t="s">
        <v>121</v>
      </c>
      <c r="B1739" s="1">
        <v>1128299</v>
      </c>
      <c r="C1739" s="2">
        <v>44609</v>
      </c>
      <c r="D1739" s="1" t="s">
        <v>22</v>
      </c>
      <c r="E1739" s="1" t="s">
        <v>65</v>
      </c>
      <c r="F1739" s="1" t="s">
        <v>52</v>
      </c>
      <c r="G1739" s="1" t="s">
        <v>16</v>
      </c>
      <c r="H1739" s="1">
        <v>37</v>
      </c>
      <c r="I1739" s="1" t="s">
        <v>123</v>
      </c>
      <c r="J1739" s="3">
        <v>0.45</v>
      </c>
      <c r="K1739" s="4">
        <v>2500</v>
      </c>
      <c r="L1739" s="5">
        <f t="shared" si="14"/>
        <v>1125</v>
      </c>
      <c r="M1739" s="5">
        <f t="shared" si="15"/>
        <v>449.99999999999994</v>
      </c>
      <c r="N1739" s="6">
        <v>0.39999999999999997</v>
      </c>
    </row>
    <row r="1740" spans="1:14" ht="15.75" customHeight="1" x14ac:dyDescent="0.45">
      <c r="A1740" s="1" t="s">
        <v>121</v>
      </c>
      <c r="B1740" s="1">
        <v>1128299</v>
      </c>
      <c r="C1740" s="2">
        <v>44609</v>
      </c>
      <c r="D1740" s="1" t="s">
        <v>22</v>
      </c>
      <c r="E1740" s="1" t="s">
        <v>65</v>
      </c>
      <c r="F1740" s="1" t="s">
        <v>52</v>
      </c>
      <c r="G1740" s="1" t="s">
        <v>17</v>
      </c>
      <c r="H1740" s="1">
        <v>50</v>
      </c>
      <c r="I1740" s="1" t="s">
        <v>125</v>
      </c>
      <c r="J1740" s="3">
        <v>0.50000000000000011</v>
      </c>
      <c r="K1740" s="4">
        <v>1750</v>
      </c>
      <c r="L1740" s="5">
        <f t="shared" si="14"/>
        <v>875.00000000000023</v>
      </c>
      <c r="M1740" s="5">
        <f t="shared" si="15"/>
        <v>393.75000000000011</v>
      </c>
      <c r="N1740" s="6">
        <v>0.45</v>
      </c>
    </row>
    <row r="1741" spans="1:14" ht="15.75" customHeight="1" x14ac:dyDescent="0.45">
      <c r="A1741" s="1" t="s">
        <v>121</v>
      </c>
      <c r="B1741" s="1">
        <v>1128299</v>
      </c>
      <c r="C1741" s="2">
        <v>44609</v>
      </c>
      <c r="D1741" s="1" t="s">
        <v>22</v>
      </c>
      <c r="E1741" s="1" t="s">
        <v>65</v>
      </c>
      <c r="F1741" s="1" t="s">
        <v>52</v>
      </c>
      <c r="G1741" s="1" t="s">
        <v>18</v>
      </c>
      <c r="H1741" s="1">
        <v>40</v>
      </c>
      <c r="I1741" s="1" t="s">
        <v>126</v>
      </c>
      <c r="J1741" s="3">
        <v>0.45</v>
      </c>
      <c r="K1741" s="4">
        <v>3750</v>
      </c>
      <c r="L1741" s="5">
        <f t="shared" si="14"/>
        <v>1687.5</v>
      </c>
      <c r="M1741" s="5">
        <f t="shared" si="15"/>
        <v>590.625</v>
      </c>
      <c r="N1741" s="6">
        <v>0.35</v>
      </c>
    </row>
    <row r="1742" spans="1:14" ht="15.75" customHeight="1" x14ac:dyDescent="0.45">
      <c r="A1742" s="1" t="s">
        <v>121</v>
      </c>
      <c r="B1742" s="1">
        <v>1128299</v>
      </c>
      <c r="C1742" s="2">
        <v>44636</v>
      </c>
      <c r="D1742" s="1" t="s">
        <v>22</v>
      </c>
      <c r="E1742" s="1" t="s">
        <v>65</v>
      </c>
      <c r="F1742" s="1" t="s">
        <v>52</v>
      </c>
      <c r="G1742" s="1" t="s">
        <v>13</v>
      </c>
      <c r="H1742" s="1">
        <v>37</v>
      </c>
      <c r="I1742" s="1" t="s">
        <v>126</v>
      </c>
      <c r="J1742" s="3">
        <v>0.45</v>
      </c>
      <c r="K1742" s="4">
        <v>5250</v>
      </c>
      <c r="L1742" s="5">
        <f t="shared" si="14"/>
        <v>2362.5</v>
      </c>
      <c r="M1742" s="5">
        <f t="shared" si="15"/>
        <v>944.99999999999989</v>
      </c>
      <c r="N1742" s="6">
        <v>0.39999999999999997</v>
      </c>
    </row>
    <row r="1743" spans="1:14" ht="15.75" customHeight="1" x14ac:dyDescent="0.45">
      <c r="A1743" s="1" t="s">
        <v>121</v>
      </c>
      <c r="B1743" s="1">
        <v>1128299</v>
      </c>
      <c r="C1743" s="2">
        <v>44636</v>
      </c>
      <c r="D1743" s="1" t="s">
        <v>22</v>
      </c>
      <c r="E1743" s="1" t="s">
        <v>65</v>
      </c>
      <c r="F1743" s="1" t="s">
        <v>52</v>
      </c>
      <c r="G1743" s="1" t="s">
        <v>14</v>
      </c>
      <c r="H1743" s="1">
        <v>36</v>
      </c>
      <c r="I1743" s="1" t="s">
        <v>124</v>
      </c>
      <c r="J1743" s="3">
        <v>0.55000000000000004</v>
      </c>
      <c r="K1743" s="4">
        <v>3750</v>
      </c>
      <c r="L1743" s="5">
        <f t="shared" si="14"/>
        <v>2062.5</v>
      </c>
      <c r="M1743" s="5">
        <f t="shared" si="15"/>
        <v>824.99999999999989</v>
      </c>
      <c r="N1743" s="6">
        <v>0.39999999999999997</v>
      </c>
    </row>
    <row r="1744" spans="1:14" ht="15.75" customHeight="1" x14ac:dyDescent="0.45">
      <c r="A1744" s="1" t="s">
        <v>121</v>
      </c>
      <c r="B1744" s="1">
        <v>1128299</v>
      </c>
      <c r="C1744" s="2">
        <v>44636</v>
      </c>
      <c r="D1744" s="1" t="s">
        <v>22</v>
      </c>
      <c r="E1744" s="1" t="s">
        <v>65</v>
      </c>
      <c r="F1744" s="1" t="s">
        <v>52</v>
      </c>
      <c r="G1744" s="1" t="s">
        <v>15</v>
      </c>
      <c r="H1744" s="1">
        <v>57</v>
      </c>
      <c r="I1744" s="1" t="s">
        <v>125</v>
      </c>
      <c r="J1744" s="3">
        <v>0.6</v>
      </c>
      <c r="K1744" s="4">
        <v>4000</v>
      </c>
      <c r="L1744" s="5">
        <f t="shared" si="14"/>
        <v>2400</v>
      </c>
      <c r="M1744" s="5">
        <f t="shared" si="15"/>
        <v>959.99999999999989</v>
      </c>
      <c r="N1744" s="6">
        <v>0.39999999999999997</v>
      </c>
    </row>
    <row r="1745" spans="1:14" ht="15.75" customHeight="1" x14ac:dyDescent="0.45">
      <c r="A1745" s="1" t="s">
        <v>121</v>
      </c>
      <c r="B1745" s="1">
        <v>1128299</v>
      </c>
      <c r="C1745" s="2">
        <v>44636</v>
      </c>
      <c r="D1745" s="1" t="s">
        <v>22</v>
      </c>
      <c r="E1745" s="1" t="s">
        <v>65</v>
      </c>
      <c r="F1745" s="1" t="s">
        <v>52</v>
      </c>
      <c r="G1745" s="1" t="s">
        <v>16</v>
      </c>
      <c r="H1745" s="1">
        <v>24</v>
      </c>
      <c r="I1745" s="1" t="s">
        <v>125</v>
      </c>
      <c r="J1745" s="3">
        <v>0.55000000000000004</v>
      </c>
      <c r="K1745" s="4">
        <v>3000</v>
      </c>
      <c r="L1745" s="5">
        <f t="shared" si="14"/>
        <v>1650.0000000000002</v>
      </c>
      <c r="M1745" s="5">
        <f t="shared" si="15"/>
        <v>660</v>
      </c>
      <c r="N1745" s="6">
        <v>0.39999999999999997</v>
      </c>
    </row>
    <row r="1746" spans="1:14" ht="15.75" customHeight="1" x14ac:dyDescent="0.45">
      <c r="A1746" s="1" t="s">
        <v>121</v>
      </c>
      <c r="B1746" s="1">
        <v>1128299</v>
      </c>
      <c r="C1746" s="2">
        <v>44636</v>
      </c>
      <c r="D1746" s="1" t="s">
        <v>22</v>
      </c>
      <c r="E1746" s="1" t="s">
        <v>65</v>
      </c>
      <c r="F1746" s="1" t="s">
        <v>52</v>
      </c>
      <c r="G1746" s="1" t="s">
        <v>17</v>
      </c>
      <c r="H1746" s="1">
        <v>33</v>
      </c>
      <c r="I1746" s="1" t="s">
        <v>123</v>
      </c>
      <c r="J1746" s="3">
        <v>0.60000000000000009</v>
      </c>
      <c r="K1746" s="4">
        <v>1500</v>
      </c>
      <c r="L1746" s="5">
        <f t="shared" si="14"/>
        <v>900.00000000000011</v>
      </c>
      <c r="M1746" s="5">
        <f t="shared" si="15"/>
        <v>405.00000000000006</v>
      </c>
      <c r="N1746" s="6">
        <v>0.45</v>
      </c>
    </row>
    <row r="1747" spans="1:14" ht="15.75" customHeight="1" x14ac:dyDescent="0.45">
      <c r="A1747" s="1" t="s">
        <v>121</v>
      </c>
      <c r="B1747" s="1">
        <v>1128299</v>
      </c>
      <c r="C1747" s="2">
        <v>44636</v>
      </c>
      <c r="D1747" s="1" t="s">
        <v>22</v>
      </c>
      <c r="E1747" s="1" t="s">
        <v>65</v>
      </c>
      <c r="F1747" s="1" t="s">
        <v>52</v>
      </c>
      <c r="G1747" s="1" t="s">
        <v>18</v>
      </c>
      <c r="H1747" s="1">
        <v>21</v>
      </c>
      <c r="I1747" s="1" t="s">
        <v>126</v>
      </c>
      <c r="J1747" s="3">
        <v>0.45</v>
      </c>
      <c r="K1747" s="4">
        <v>3500</v>
      </c>
      <c r="L1747" s="5">
        <f t="shared" si="14"/>
        <v>1575</v>
      </c>
      <c r="M1747" s="5">
        <f t="shared" si="15"/>
        <v>551.25</v>
      </c>
      <c r="N1747" s="6">
        <v>0.35</v>
      </c>
    </row>
    <row r="1748" spans="1:14" ht="15.75" customHeight="1" x14ac:dyDescent="0.45">
      <c r="A1748" s="1" t="s">
        <v>121</v>
      </c>
      <c r="B1748" s="1">
        <v>1128299</v>
      </c>
      <c r="C1748" s="2">
        <v>44668</v>
      </c>
      <c r="D1748" s="1" t="s">
        <v>22</v>
      </c>
      <c r="E1748" s="1" t="s">
        <v>65</v>
      </c>
      <c r="F1748" s="1" t="s">
        <v>52</v>
      </c>
      <c r="G1748" s="1" t="s">
        <v>13</v>
      </c>
      <c r="H1748" s="1">
        <v>35</v>
      </c>
      <c r="I1748" s="1" t="s">
        <v>125</v>
      </c>
      <c r="J1748" s="3">
        <v>0.5</v>
      </c>
      <c r="K1748" s="4">
        <v>5250</v>
      </c>
      <c r="L1748" s="5">
        <f t="shared" si="14"/>
        <v>2625</v>
      </c>
      <c r="M1748" s="5">
        <f t="shared" si="15"/>
        <v>1050</v>
      </c>
      <c r="N1748" s="6">
        <v>0.39999999999999997</v>
      </c>
    </row>
    <row r="1749" spans="1:14" ht="15.75" customHeight="1" x14ac:dyDescent="0.45">
      <c r="A1749" s="1" t="s">
        <v>121</v>
      </c>
      <c r="B1749" s="1">
        <v>1128299</v>
      </c>
      <c r="C1749" s="2">
        <v>44668</v>
      </c>
      <c r="D1749" s="1" t="s">
        <v>22</v>
      </c>
      <c r="E1749" s="1" t="s">
        <v>65</v>
      </c>
      <c r="F1749" s="1" t="s">
        <v>52</v>
      </c>
      <c r="G1749" s="1" t="s">
        <v>14</v>
      </c>
      <c r="H1749" s="1">
        <v>59</v>
      </c>
      <c r="I1749" s="1" t="s">
        <v>125</v>
      </c>
      <c r="J1749" s="3">
        <v>0.55000000000000004</v>
      </c>
      <c r="K1749" s="4">
        <v>3250</v>
      </c>
      <c r="L1749" s="5">
        <f t="shared" si="14"/>
        <v>1787.5000000000002</v>
      </c>
      <c r="M1749" s="5">
        <f t="shared" si="15"/>
        <v>715</v>
      </c>
      <c r="N1749" s="6">
        <v>0.39999999999999997</v>
      </c>
    </row>
    <row r="1750" spans="1:14" ht="15.75" customHeight="1" x14ac:dyDescent="0.45">
      <c r="A1750" s="1" t="s">
        <v>121</v>
      </c>
      <c r="B1750" s="1">
        <v>1128299</v>
      </c>
      <c r="C1750" s="2">
        <v>44668</v>
      </c>
      <c r="D1750" s="1" t="s">
        <v>22</v>
      </c>
      <c r="E1750" s="1" t="s">
        <v>65</v>
      </c>
      <c r="F1750" s="1" t="s">
        <v>52</v>
      </c>
      <c r="G1750" s="1" t="s">
        <v>15</v>
      </c>
      <c r="H1750" s="1">
        <v>22</v>
      </c>
      <c r="I1750" s="1" t="s">
        <v>125</v>
      </c>
      <c r="J1750" s="3">
        <v>0.55000000000000004</v>
      </c>
      <c r="K1750" s="4">
        <v>3750</v>
      </c>
      <c r="L1750" s="5">
        <f t="shared" si="14"/>
        <v>2062.5</v>
      </c>
      <c r="M1750" s="5">
        <f t="shared" si="15"/>
        <v>824.99999999999989</v>
      </c>
      <c r="N1750" s="6">
        <v>0.39999999999999997</v>
      </c>
    </row>
    <row r="1751" spans="1:14" ht="15.75" customHeight="1" x14ac:dyDescent="0.45">
      <c r="A1751" s="1" t="s">
        <v>121</v>
      </c>
      <c r="B1751" s="1">
        <v>1128299</v>
      </c>
      <c r="C1751" s="2">
        <v>44668</v>
      </c>
      <c r="D1751" s="1" t="s">
        <v>22</v>
      </c>
      <c r="E1751" s="1" t="s">
        <v>65</v>
      </c>
      <c r="F1751" s="1" t="s">
        <v>52</v>
      </c>
      <c r="G1751" s="1" t="s">
        <v>16</v>
      </c>
      <c r="H1751" s="1">
        <v>56</v>
      </c>
      <c r="I1751" s="1" t="s">
        <v>123</v>
      </c>
      <c r="J1751" s="3">
        <v>0.40000000000000008</v>
      </c>
      <c r="K1751" s="4">
        <v>2750</v>
      </c>
      <c r="L1751" s="5">
        <f t="shared" si="14"/>
        <v>1100.0000000000002</v>
      </c>
      <c r="M1751" s="5">
        <f t="shared" si="15"/>
        <v>440.00000000000006</v>
      </c>
      <c r="N1751" s="6">
        <v>0.39999999999999997</v>
      </c>
    </row>
    <row r="1752" spans="1:14" ht="15.75" customHeight="1" x14ac:dyDescent="0.45">
      <c r="A1752" s="1" t="s">
        <v>121</v>
      </c>
      <c r="B1752" s="1">
        <v>1128299</v>
      </c>
      <c r="C1752" s="2">
        <v>44668</v>
      </c>
      <c r="D1752" s="1" t="s">
        <v>22</v>
      </c>
      <c r="E1752" s="1" t="s">
        <v>65</v>
      </c>
      <c r="F1752" s="1" t="s">
        <v>52</v>
      </c>
      <c r="G1752" s="1" t="s">
        <v>17</v>
      </c>
      <c r="H1752" s="1">
        <v>60</v>
      </c>
      <c r="I1752" s="1" t="s">
        <v>123</v>
      </c>
      <c r="J1752" s="3">
        <v>0.45000000000000012</v>
      </c>
      <c r="K1752" s="4">
        <v>1750</v>
      </c>
      <c r="L1752" s="5">
        <f t="shared" si="14"/>
        <v>787.50000000000023</v>
      </c>
      <c r="M1752" s="5">
        <f t="shared" si="15"/>
        <v>354.37500000000011</v>
      </c>
      <c r="N1752" s="6">
        <v>0.45</v>
      </c>
    </row>
    <row r="1753" spans="1:14" ht="15.75" customHeight="1" x14ac:dyDescent="0.45">
      <c r="A1753" s="1" t="s">
        <v>121</v>
      </c>
      <c r="B1753" s="1">
        <v>1128299</v>
      </c>
      <c r="C1753" s="2">
        <v>44668</v>
      </c>
      <c r="D1753" s="1" t="s">
        <v>22</v>
      </c>
      <c r="E1753" s="1" t="s">
        <v>65</v>
      </c>
      <c r="F1753" s="1" t="s">
        <v>52</v>
      </c>
      <c r="G1753" s="1" t="s">
        <v>18</v>
      </c>
      <c r="H1753" s="1">
        <v>51</v>
      </c>
      <c r="I1753" s="1" t="s">
        <v>126</v>
      </c>
      <c r="J1753" s="3">
        <v>0.60000000000000009</v>
      </c>
      <c r="K1753" s="4">
        <v>3500</v>
      </c>
      <c r="L1753" s="5">
        <f t="shared" si="14"/>
        <v>2100.0000000000005</v>
      </c>
      <c r="M1753" s="5">
        <f t="shared" si="15"/>
        <v>735.00000000000011</v>
      </c>
      <c r="N1753" s="6">
        <v>0.35</v>
      </c>
    </row>
    <row r="1754" spans="1:14" ht="15.75" customHeight="1" x14ac:dyDescent="0.45">
      <c r="A1754" s="1" t="s">
        <v>121</v>
      </c>
      <c r="B1754" s="1">
        <v>1128299</v>
      </c>
      <c r="C1754" s="2">
        <v>44699</v>
      </c>
      <c r="D1754" s="1" t="s">
        <v>22</v>
      </c>
      <c r="E1754" s="1" t="s">
        <v>65</v>
      </c>
      <c r="F1754" s="1" t="s">
        <v>52</v>
      </c>
      <c r="G1754" s="1" t="s">
        <v>13</v>
      </c>
      <c r="H1754" s="1">
        <v>42</v>
      </c>
      <c r="I1754" s="1" t="s">
        <v>126</v>
      </c>
      <c r="J1754" s="3">
        <v>0.45</v>
      </c>
      <c r="K1754" s="4">
        <v>5500</v>
      </c>
      <c r="L1754" s="5">
        <f t="shared" si="14"/>
        <v>2475</v>
      </c>
      <c r="M1754" s="5">
        <f t="shared" si="15"/>
        <v>989.99999999999989</v>
      </c>
      <c r="N1754" s="6">
        <v>0.39999999999999997</v>
      </c>
    </row>
    <row r="1755" spans="1:14" ht="15.75" customHeight="1" x14ac:dyDescent="0.45">
      <c r="A1755" s="1" t="s">
        <v>121</v>
      </c>
      <c r="B1755" s="1">
        <v>1128299</v>
      </c>
      <c r="C1755" s="2">
        <v>44699</v>
      </c>
      <c r="D1755" s="1" t="s">
        <v>22</v>
      </c>
      <c r="E1755" s="1" t="s">
        <v>65</v>
      </c>
      <c r="F1755" s="1" t="s">
        <v>52</v>
      </c>
      <c r="G1755" s="1" t="s">
        <v>14</v>
      </c>
      <c r="H1755" s="1">
        <v>57</v>
      </c>
      <c r="I1755" s="1" t="s">
        <v>123</v>
      </c>
      <c r="J1755" s="3">
        <v>0.5</v>
      </c>
      <c r="K1755" s="4">
        <v>4000</v>
      </c>
      <c r="L1755" s="5">
        <f t="shared" si="14"/>
        <v>2000</v>
      </c>
      <c r="M1755" s="5">
        <f t="shared" si="15"/>
        <v>799.99999999999989</v>
      </c>
      <c r="N1755" s="6">
        <v>0.39999999999999997</v>
      </c>
    </row>
    <row r="1756" spans="1:14" ht="15.75" customHeight="1" x14ac:dyDescent="0.45">
      <c r="A1756" s="1" t="s">
        <v>121</v>
      </c>
      <c r="B1756" s="1">
        <v>1128299</v>
      </c>
      <c r="C1756" s="2">
        <v>44699</v>
      </c>
      <c r="D1756" s="1" t="s">
        <v>22</v>
      </c>
      <c r="E1756" s="1" t="s">
        <v>65</v>
      </c>
      <c r="F1756" s="1" t="s">
        <v>52</v>
      </c>
      <c r="G1756" s="1" t="s">
        <v>15</v>
      </c>
      <c r="H1756" s="1">
        <v>18</v>
      </c>
      <c r="I1756" s="1" t="s">
        <v>124</v>
      </c>
      <c r="J1756" s="3">
        <v>0.5</v>
      </c>
      <c r="K1756" s="4">
        <v>4000</v>
      </c>
      <c r="L1756" s="5">
        <f t="shared" si="14"/>
        <v>2000</v>
      </c>
      <c r="M1756" s="5">
        <f t="shared" si="15"/>
        <v>799.99999999999989</v>
      </c>
      <c r="N1756" s="6">
        <v>0.39999999999999997</v>
      </c>
    </row>
    <row r="1757" spans="1:14" ht="15.75" customHeight="1" x14ac:dyDescent="0.45">
      <c r="A1757" s="1" t="s">
        <v>121</v>
      </c>
      <c r="B1757" s="1">
        <v>1128299</v>
      </c>
      <c r="C1757" s="2">
        <v>44699</v>
      </c>
      <c r="D1757" s="1" t="s">
        <v>22</v>
      </c>
      <c r="E1757" s="1" t="s">
        <v>65</v>
      </c>
      <c r="F1757" s="1" t="s">
        <v>52</v>
      </c>
      <c r="G1757" s="1" t="s">
        <v>16</v>
      </c>
      <c r="H1757" s="1">
        <v>51</v>
      </c>
      <c r="I1757" s="1" t="s">
        <v>123</v>
      </c>
      <c r="J1757" s="3">
        <v>0.45</v>
      </c>
      <c r="K1757" s="4">
        <v>3250</v>
      </c>
      <c r="L1757" s="5">
        <f t="shared" si="14"/>
        <v>1462.5</v>
      </c>
      <c r="M1757" s="5">
        <f t="shared" si="15"/>
        <v>585</v>
      </c>
      <c r="N1757" s="6">
        <v>0.39999999999999997</v>
      </c>
    </row>
    <row r="1758" spans="1:14" ht="15.75" customHeight="1" x14ac:dyDescent="0.45">
      <c r="A1758" s="1" t="s">
        <v>121</v>
      </c>
      <c r="B1758" s="1">
        <v>1128299</v>
      </c>
      <c r="C1758" s="2">
        <v>44699</v>
      </c>
      <c r="D1758" s="1" t="s">
        <v>22</v>
      </c>
      <c r="E1758" s="1" t="s">
        <v>65</v>
      </c>
      <c r="F1758" s="1" t="s">
        <v>52</v>
      </c>
      <c r="G1758" s="1" t="s">
        <v>17</v>
      </c>
      <c r="H1758" s="1">
        <v>38</v>
      </c>
      <c r="I1758" s="1" t="s">
        <v>126</v>
      </c>
      <c r="J1758" s="3">
        <v>0.39999999999999997</v>
      </c>
      <c r="K1758" s="4">
        <v>2250</v>
      </c>
      <c r="L1758" s="5">
        <f t="shared" si="14"/>
        <v>899.99999999999989</v>
      </c>
      <c r="M1758" s="5">
        <f t="shared" si="15"/>
        <v>404.99999999999994</v>
      </c>
      <c r="N1758" s="6">
        <v>0.45</v>
      </c>
    </row>
    <row r="1759" spans="1:14" ht="15.75" customHeight="1" x14ac:dyDescent="0.45">
      <c r="A1759" s="1" t="s">
        <v>121</v>
      </c>
      <c r="B1759" s="1">
        <v>1128299</v>
      </c>
      <c r="C1759" s="2">
        <v>44699</v>
      </c>
      <c r="D1759" s="1" t="s">
        <v>22</v>
      </c>
      <c r="E1759" s="1" t="s">
        <v>65</v>
      </c>
      <c r="F1759" s="1" t="s">
        <v>52</v>
      </c>
      <c r="G1759" s="1" t="s">
        <v>18</v>
      </c>
      <c r="H1759" s="1">
        <v>36</v>
      </c>
      <c r="I1759" s="1" t="s">
        <v>124</v>
      </c>
      <c r="J1759" s="3">
        <v>0.65</v>
      </c>
      <c r="K1759" s="4">
        <v>5750</v>
      </c>
      <c r="L1759" s="5">
        <f t="shared" si="14"/>
        <v>3737.5</v>
      </c>
      <c r="M1759" s="5">
        <f t="shared" si="15"/>
        <v>1308.125</v>
      </c>
      <c r="N1759" s="6">
        <v>0.35</v>
      </c>
    </row>
    <row r="1760" spans="1:14" ht="15.75" customHeight="1" x14ac:dyDescent="0.45">
      <c r="A1760" s="1" t="s">
        <v>121</v>
      </c>
      <c r="B1760" s="1">
        <v>1128299</v>
      </c>
      <c r="C1760" s="2">
        <v>44729</v>
      </c>
      <c r="D1760" s="1" t="s">
        <v>22</v>
      </c>
      <c r="E1760" s="1" t="s">
        <v>65</v>
      </c>
      <c r="F1760" s="1" t="s">
        <v>52</v>
      </c>
      <c r="G1760" s="1" t="s">
        <v>13</v>
      </c>
      <c r="H1760" s="1">
        <v>43</v>
      </c>
      <c r="I1760" s="1" t="s">
        <v>124</v>
      </c>
      <c r="J1760" s="3">
        <v>0.6</v>
      </c>
      <c r="K1760" s="4">
        <v>8250</v>
      </c>
      <c r="L1760" s="5">
        <f t="shared" si="14"/>
        <v>4950</v>
      </c>
      <c r="M1760" s="5">
        <f t="shared" si="15"/>
        <v>1979.9999999999998</v>
      </c>
      <c r="N1760" s="6">
        <v>0.39999999999999997</v>
      </c>
    </row>
    <row r="1761" spans="1:14" ht="15.75" customHeight="1" x14ac:dyDescent="0.45">
      <c r="A1761" s="1" t="s">
        <v>121</v>
      </c>
      <c r="B1761" s="1">
        <v>1128299</v>
      </c>
      <c r="C1761" s="2">
        <v>44729</v>
      </c>
      <c r="D1761" s="1" t="s">
        <v>22</v>
      </c>
      <c r="E1761" s="1" t="s">
        <v>65</v>
      </c>
      <c r="F1761" s="1" t="s">
        <v>52</v>
      </c>
      <c r="G1761" s="1" t="s">
        <v>14</v>
      </c>
      <c r="H1761" s="1">
        <v>38</v>
      </c>
      <c r="I1761" s="1" t="s">
        <v>124</v>
      </c>
      <c r="J1761" s="3">
        <v>0.7</v>
      </c>
      <c r="K1761" s="4">
        <v>7000</v>
      </c>
      <c r="L1761" s="5">
        <f t="shared" si="14"/>
        <v>4900</v>
      </c>
      <c r="M1761" s="5">
        <f t="shared" si="15"/>
        <v>1959.9999999999998</v>
      </c>
      <c r="N1761" s="6">
        <v>0.39999999999999997</v>
      </c>
    </row>
    <row r="1762" spans="1:14" ht="15.75" customHeight="1" x14ac:dyDescent="0.45">
      <c r="A1762" s="1" t="s">
        <v>121</v>
      </c>
      <c r="B1762" s="1">
        <v>1128299</v>
      </c>
      <c r="C1762" s="2">
        <v>44729</v>
      </c>
      <c r="D1762" s="1" t="s">
        <v>22</v>
      </c>
      <c r="E1762" s="1" t="s">
        <v>65</v>
      </c>
      <c r="F1762" s="1" t="s">
        <v>52</v>
      </c>
      <c r="G1762" s="1" t="s">
        <v>15</v>
      </c>
      <c r="H1762" s="1">
        <v>51</v>
      </c>
      <c r="I1762" s="1" t="s">
        <v>126</v>
      </c>
      <c r="J1762" s="3">
        <v>0.85</v>
      </c>
      <c r="K1762" s="4">
        <v>7000</v>
      </c>
      <c r="L1762" s="5">
        <f t="shared" si="14"/>
        <v>5950</v>
      </c>
      <c r="M1762" s="5">
        <f t="shared" si="15"/>
        <v>2380</v>
      </c>
      <c r="N1762" s="6">
        <v>0.39999999999999997</v>
      </c>
    </row>
    <row r="1763" spans="1:14" ht="15.75" customHeight="1" x14ac:dyDescent="0.45">
      <c r="A1763" s="1" t="s">
        <v>121</v>
      </c>
      <c r="B1763" s="1">
        <v>1128299</v>
      </c>
      <c r="C1763" s="2">
        <v>44729</v>
      </c>
      <c r="D1763" s="1" t="s">
        <v>22</v>
      </c>
      <c r="E1763" s="1" t="s">
        <v>65</v>
      </c>
      <c r="F1763" s="1" t="s">
        <v>52</v>
      </c>
      <c r="G1763" s="1" t="s">
        <v>16</v>
      </c>
      <c r="H1763" s="1">
        <v>50</v>
      </c>
      <c r="I1763" s="1" t="s">
        <v>125</v>
      </c>
      <c r="J1763" s="3">
        <v>0.85</v>
      </c>
      <c r="K1763" s="4">
        <v>5750</v>
      </c>
      <c r="L1763" s="5">
        <f t="shared" si="14"/>
        <v>4887.5</v>
      </c>
      <c r="M1763" s="5">
        <f t="shared" si="15"/>
        <v>1954.9999999999998</v>
      </c>
      <c r="N1763" s="6">
        <v>0.39999999999999997</v>
      </c>
    </row>
    <row r="1764" spans="1:14" ht="15.75" customHeight="1" x14ac:dyDescent="0.45">
      <c r="A1764" s="1" t="s">
        <v>121</v>
      </c>
      <c r="B1764" s="1">
        <v>1128299</v>
      </c>
      <c r="C1764" s="2">
        <v>44729</v>
      </c>
      <c r="D1764" s="1" t="s">
        <v>22</v>
      </c>
      <c r="E1764" s="1" t="s">
        <v>65</v>
      </c>
      <c r="F1764" s="1" t="s">
        <v>52</v>
      </c>
      <c r="G1764" s="1" t="s">
        <v>17</v>
      </c>
      <c r="H1764" s="1">
        <v>45</v>
      </c>
      <c r="I1764" s="1" t="s">
        <v>123</v>
      </c>
      <c r="J1764" s="3">
        <v>0.95000000000000007</v>
      </c>
      <c r="K1764" s="4">
        <v>4500</v>
      </c>
      <c r="L1764" s="5">
        <f t="shared" si="14"/>
        <v>4275</v>
      </c>
      <c r="M1764" s="5">
        <f t="shared" si="15"/>
        <v>1923.75</v>
      </c>
      <c r="N1764" s="6">
        <v>0.45</v>
      </c>
    </row>
    <row r="1765" spans="1:14" ht="15.75" customHeight="1" x14ac:dyDescent="0.45">
      <c r="A1765" s="1" t="s">
        <v>121</v>
      </c>
      <c r="B1765" s="1">
        <v>1128299</v>
      </c>
      <c r="C1765" s="2">
        <v>44729</v>
      </c>
      <c r="D1765" s="1" t="s">
        <v>22</v>
      </c>
      <c r="E1765" s="1" t="s">
        <v>65</v>
      </c>
      <c r="F1765" s="1" t="s">
        <v>52</v>
      </c>
      <c r="G1765" s="1" t="s">
        <v>18</v>
      </c>
      <c r="H1765" s="1">
        <v>50</v>
      </c>
      <c r="I1765" s="1" t="s">
        <v>123</v>
      </c>
      <c r="J1765" s="3">
        <v>1.1000000000000001</v>
      </c>
      <c r="K1765" s="4">
        <v>7500</v>
      </c>
      <c r="L1765" s="5">
        <f t="shared" si="14"/>
        <v>8250</v>
      </c>
      <c r="M1765" s="5">
        <f t="shared" si="15"/>
        <v>2887.5</v>
      </c>
      <c r="N1765" s="6">
        <v>0.35</v>
      </c>
    </row>
    <row r="1766" spans="1:14" ht="15.75" customHeight="1" x14ac:dyDescent="0.45">
      <c r="A1766" s="1" t="s">
        <v>121</v>
      </c>
      <c r="B1766" s="1">
        <v>1128299</v>
      </c>
      <c r="C1766" s="2">
        <v>44758</v>
      </c>
      <c r="D1766" s="1" t="s">
        <v>22</v>
      </c>
      <c r="E1766" s="1" t="s">
        <v>65</v>
      </c>
      <c r="F1766" s="1" t="s">
        <v>52</v>
      </c>
      <c r="G1766" s="1" t="s">
        <v>13</v>
      </c>
      <c r="H1766" s="1">
        <v>36</v>
      </c>
      <c r="I1766" s="1" t="s">
        <v>126</v>
      </c>
      <c r="J1766" s="3">
        <v>0.9</v>
      </c>
      <c r="K1766" s="4">
        <v>9000</v>
      </c>
      <c r="L1766" s="5">
        <f t="shared" si="14"/>
        <v>8100</v>
      </c>
      <c r="M1766" s="5">
        <f t="shared" si="15"/>
        <v>3239.9999999999995</v>
      </c>
      <c r="N1766" s="6">
        <v>0.39999999999999997</v>
      </c>
    </row>
    <row r="1767" spans="1:14" ht="15.75" customHeight="1" x14ac:dyDescent="0.45">
      <c r="A1767" s="1" t="s">
        <v>121</v>
      </c>
      <c r="B1767" s="1">
        <v>1128299</v>
      </c>
      <c r="C1767" s="2">
        <v>44758</v>
      </c>
      <c r="D1767" s="1" t="s">
        <v>22</v>
      </c>
      <c r="E1767" s="1" t="s">
        <v>65</v>
      </c>
      <c r="F1767" s="1" t="s">
        <v>52</v>
      </c>
      <c r="G1767" s="1" t="s">
        <v>14</v>
      </c>
      <c r="H1767" s="1">
        <v>30</v>
      </c>
      <c r="I1767" s="1" t="s">
        <v>124</v>
      </c>
      <c r="J1767" s="3">
        <v>0.95000000000000007</v>
      </c>
      <c r="K1767" s="4">
        <v>7500</v>
      </c>
      <c r="L1767" s="5">
        <f t="shared" si="14"/>
        <v>7125.0000000000009</v>
      </c>
      <c r="M1767" s="5">
        <f t="shared" si="15"/>
        <v>2850</v>
      </c>
      <c r="N1767" s="6">
        <v>0.39999999999999997</v>
      </c>
    </row>
    <row r="1768" spans="1:14" ht="15.75" customHeight="1" x14ac:dyDescent="0.45">
      <c r="A1768" s="1" t="s">
        <v>121</v>
      </c>
      <c r="B1768" s="1">
        <v>1128299</v>
      </c>
      <c r="C1768" s="2">
        <v>44758</v>
      </c>
      <c r="D1768" s="1" t="s">
        <v>22</v>
      </c>
      <c r="E1768" s="1" t="s">
        <v>65</v>
      </c>
      <c r="F1768" s="1" t="s">
        <v>52</v>
      </c>
      <c r="G1768" s="1" t="s">
        <v>15</v>
      </c>
      <c r="H1768" s="1">
        <v>34</v>
      </c>
      <c r="I1768" s="1" t="s">
        <v>126</v>
      </c>
      <c r="J1768" s="3">
        <v>0.95000000000000007</v>
      </c>
      <c r="K1768" s="4">
        <v>7000</v>
      </c>
      <c r="L1768" s="5">
        <f t="shared" si="14"/>
        <v>6650.0000000000009</v>
      </c>
      <c r="M1768" s="5">
        <f t="shared" si="15"/>
        <v>2660</v>
      </c>
      <c r="N1768" s="6">
        <v>0.39999999999999997</v>
      </c>
    </row>
    <row r="1769" spans="1:14" ht="15.75" customHeight="1" x14ac:dyDescent="0.45">
      <c r="A1769" s="1" t="s">
        <v>121</v>
      </c>
      <c r="B1769" s="1">
        <v>1128299</v>
      </c>
      <c r="C1769" s="2">
        <v>44758</v>
      </c>
      <c r="D1769" s="1" t="s">
        <v>22</v>
      </c>
      <c r="E1769" s="1" t="s">
        <v>65</v>
      </c>
      <c r="F1769" s="1" t="s">
        <v>52</v>
      </c>
      <c r="G1769" s="1" t="s">
        <v>16</v>
      </c>
      <c r="H1769" s="1">
        <v>52</v>
      </c>
      <c r="I1769" s="1" t="s">
        <v>125</v>
      </c>
      <c r="J1769" s="3">
        <v>0.9</v>
      </c>
      <c r="K1769" s="4">
        <v>6000</v>
      </c>
      <c r="L1769" s="5">
        <f t="shared" si="14"/>
        <v>5400</v>
      </c>
      <c r="M1769" s="5">
        <f t="shared" si="15"/>
        <v>2160</v>
      </c>
      <c r="N1769" s="6">
        <v>0.39999999999999997</v>
      </c>
    </row>
    <row r="1770" spans="1:14" ht="15.75" customHeight="1" x14ac:dyDescent="0.45">
      <c r="A1770" s="1" t="s">
        <v>121</v>
      </c>
      <c r="B1770" s="1">
        <v>1128299</v>
      </c>
      <c r="C1770" s="2">
        <v>44758</v>
      </c>
      <c r="D1770" s="1" t="s">
        <v>22</v>
      </c>
      <c r="E1770" s="1" t="s">
        <v>65</v>
      </c>
      <c r="F1770" s="1" t="s">
        <v>52</v>
      </c>
      <c r="G1770" s="1" t="s">
        <v>17</v>
      </c>
      <c r="H1770" s="1">
        <v>20</v>
      </c>
      <c r="I1770" s="1" t="s">
        <v>124</v>
      </c>
      <c r="J1770" s="3">
        <v>0.95000000000000007</v>
      </c>
      <c r="K1770" s="4">
        <v>6500</v>
      </c>
      <c r="L1770" s="5">
        <f t="shared" si="14"/>
        <v>6175</v>
      </c>
      <c r="M1770" s="5">
        <f t="shared" si="15"/>
        <v>2778.75</v>
      </c>
      <c r="N1770" s="6">
        <v>0.45</v>
      </c>
    </row>
    <row r="1771" spans="1:14" ht="15.75" customHeight="1" x14ac:dyDescent="0.45">
      <c r="A1771" s="1" t="s">
        <v>121</v>
      </c>
      <c r="B1771" s="1">
        <v>1128299</v>
      </c>
      <c r="C1771" s="2">
        <v>44758</v>
      </c>
      <c r="D1771" s="1" t="s">
        <v>22</v>
      </c>
      <c r="E1771" s="1" t="s">
        <v>65</v>
      </c>
      <c r="F1771" s="1" t="s">
        <v>52</v>
      </c>
      <c r="G1771" s="1" t="s">
        <v>18</v>
      </c>
      <c r="H1771" s="1">
        <v>39</v>
      </c>
      <c r="I1771" s="1" t="s">
        <v>125</v>
      </c>
      <c r="J1771" s="3">
        <v>1.1000000000000001</v>
      </c>
      <c r="K1771" s="4">
        <v>6500</v>
      </c>
      <c r="L1771" s="5">
        <f t="shared" si="14"/>
        <v>7150.0000000000009</v>
      </c>
      <c r="M1771" s="5">
        <f t="shared" si="15"/>
        <v>2502.5</v>
      </c>
      <c r="N1771" s="6">
        <v>0.35</v>
      </c>
    </row>
    <row r="1772" spans="1:14" ht="15.75" customHeight="1" x14ac:dyDescent="0.45">
      <c r="A1772" s="1" t="s">
        <v>121</v>
      </c>
      <c r="B1772" s="1">
        <v>1128299</v>
      </c>
      <c r="C1772" s="2">
        <v>44790</v>
      </c>
      <c r="D1772" s="1" t="s">
        <v>22</v>
      </c>
      <c r="E1772" s="1" t="s">
        <v>65</v>
      </c>
      <c r="F1772" s="1" t="s">
        <v>52</v>
      </c>
      <c r="G1772" s="1" t="s">
        <v>13</v>
      </c>
      <c r="H1772" s="1">
        <v>52</v>
      </c>
      <c r="I1772" s="1" t="s">
        <v>125</v>
      </c>
      <c r="J1772" s="3">
        <v>0.95000000000000007</v>
      </c>
      <c r="K1772" s="4">
        <v>8500</v>
      </c>
      <c r="L1772" s="5">
        <f t="shared" si="14"/>
        <v>8075.0000000000009</v>
      </c>
      <c r="M1772" s="5">
        <f t="shared" si="15"/>
        <v>3230</v>
      </c>
      <c r="N1772" s="6">
        <v>0.39999999999999997</v>
      </c>
    </row>
    <row r="1773" spans="1:14" ht="15.75" customHeight="1" x14ac:dyDescent="0.45">
      <c r="A1773" s="1" t="s">
        <v>121</v>
      </c>
      <c r="B1773" s="1">
        <v>1128299</v>
      </c>
      <c r="C1773" s="2">
        <v>44790</v>
      </c>
      <c r="D1773" s="1" t="s">
        <v>22</v>
      </c>
      <c r="E1773" s="1" t="s">
        <v>65</v>
      </c>
      <c r="F1773" s="1" t="s">
        <v>52</v>
      </c>
      <c r="G1773" s="1" t="s">
        <v>14</v>
      </c>
      <c r="H1773" s="1">
        <v>18</v>
      </c>
      <c r="I1773" s="1" t="s">
        <v>125</v>
      </c>
      <c r="J1773" s="3">
        <v>0.85000000000000009</v>
      </c>
      <c r="K1773" s="4">
        <v>8250</v>
      </c>
      <c r="L1773" s="5">
        <f t="shared" si="14"/>
        <v>7012.5000000000009</v>
      </c>
      <c r="M1773" s="5">
        <f t="shared" si="15"/>
        <v>2805</v>
      </c>
      <c r="N1773" s="6">
        <v>0.39999999999999997</v>
      </c>
    </row>
    <row r="1774" spans="1:14" ht="15.75" customHeight="1" x14ac:dyDescent="0.45">
      <c r="A1774" s="1" t="s">
        <v>121</v>
      </c>
      <c r="B1774" s="1">
        <v>1128299</v>
      </c>
      <c r="C1774" s="2">
        <v>44790</v>
      </c>
      <c r="D1774" s="1" t="s">
        <v>22</v>
      </c>
      <c r="E1774" s="1" t="s">
        <v>65</v>
      </c>
      <c r="F1774" s="1" t="s">
        <v>52</v>
      </c>
      <c r="G1774" s="1" t="s">
        <v>15</v>
      </c>
      <c r="H1774" s="1">
        <v>24</v>
      </c>
      <c r="I1774" s="1" t="s">
        <v>124</v>
      </c>
      <c r="J1774" s="3">
        <v>0.75000000000000011</v>
      </c>
      <c r="K1774" s="4">
        <v>7000</v>
      </c>
      <c r="L1774" s="5">
        <f t="shared" si="14"/>
        <v>5250.0000000000009</v>
      </c>
      <c r="M1774" s="5">
        <f t="shared" si="15"/>
        <v>2100</v>
      </c>
      <c r="N1774" s="6">
        <v>0.39999999999999997</v>
      </c>
    </row>
    <row r="1775" spans="1:14" ht="15.75" customHeight="1" x14ac:dyDescent="0.45">
      <c r="A1775" s="1" t="s">
        <v>121</v>
      </c>
      <c r="B1775" s="1">
        <v>1128299</v>
      </c>
      <c r="C1775" s="2">
        <v>44790</v>
      </c>
      <c r="D1775" s="1" t="s">
        <v>22</v>
      </c>
      <c r="E1775" s="1" t="s">
        <v>65</v>
      </c>
      <c r="F1775" s="1" t="s">
        <v>52</v>
      </c>
      <c r="G1775" s="1" t="s">
        <v>16</v>
      </c>
      <c r="H1775" s="1">
        <v>49</v>
      </c>
      <c r="I1775" s="1" t="s">
        <v>125</v>
      </c>
      <c r="J1775" s="3">
        <v>0.75000000000000011</v>
      </c>
      <c r="K1775" s="4">
        <v>4750</v>
      </c>
      <c r="L1775" s="5">
        <f t="shared" si="14"/>
        <v>3562.5000000000005</v>
      </c>
      <c r="M1775" s="5">
        <f t="shared" si="15"/>
        <v>1425</v>
      </c>
      <c r="N1775" s="6">
        <v>0.39999999999999997</v>
      </c>
    </row>
    <row r="1776" spans="1:14" ht="15.75" customHeight="1" x14ac:dyDescent="0.45">
      <c r="A1776" s="1" t="s">
        <v>121</v>
      </c>
      <c r="B1776" s="1">
        <v>1128299</v>
      </c>
      <c r="C1776" s="2">
        <v>44790</v>
      </c>
      <c r="D1776" s="1" t="s">
        <v>22</v>
      </c>
      <c r="E1776" s="1" t="s">
        <v>65</v>
      </c>
      <c r="F1776" s="1" t="s">
        <v>52</v>
      </c>
      <c r="G1776" s="1" t="s">
        <v>17</v>
      </c>
      <c r="H1776" s="1">
        <v>50</v>
      </c>
      <c r="I1776" s="1" t="s">
        <v>126</v>
      </c>
      <c r="J1776" s="3">
        <v>0.64999999999999991</v>
      </c>
      <c r="K1776" s="4">
        <v>4750</v>
      </c>
      <c r="L1776" s="5">
        <f t="shared" si="14"/>
        <v>3087.4999999999995</v>
      </c>
      <c r="M1776" s="5">
        <f t="shared" si="15"/>
        <v>1389.3749999999998</v>
      </c>
      <c r="N1776" s="6">
        <v>0.45</v>
      </c>
    </row>
    <row r="1777" spans="1:14" ht="15.75" customHeight="1" x14ac:dyDescent="0.45">
      <c r="A1777" s="1" t="s">
        <v>121</v>
      </c>
      <c r="B1777" s="1">
        <v>1128299</v>
      </c>
      <c r="C1777" s="2">
        <v>44790</v>
      </c>
      <c r="D1777" s="1" t="s">
        <v>22</v>
      </c>
      <c r="E1777" s="1" t="s">
        <v>65</v>
      </c>
      <c r="F1777" s="1" t="s">
        <v>52</v>
      </c>
      <c r="G1777" s="1" t="s">
        <v>18</v>
      </c>
      <c r="H1777" s="1">
        <v>25</v>
      </c>
      <c r="I1777" s="1" t="s">
        <v>124</v>
      </c>
      <c r="J1777" s="3">
        <v>0.7</v>
      </c>
      <c r="K1777" s="4">
        <v>3000</v>
      </c>
      <c r="L1777" s="5">
        <f t="shared" si="14"/>
        <v>2100</v>
      </c>
      <c r="M1777" s="5">
        <f t="shared" si="15"/>
        <v>735</v>
      </c>
      <c r="N1777" s="6">
        <v>0.35</v>
      </c>
    </row>
    <row r="1778" spans="1:14" ht="15.75" customHeight="1" x14ac:dyDescent="0.45">
      <c r="A1778" s="1" t="s">
        <v>121</v>
      </c>
      <c r="B1778" s="1">
        <v>1128299</v>
      </c>
      <c r="C1778" s="2">
        <v>44822</v>
      </c>
      <c r="D1778" s="1" t="s">
        <v>22</v>
      </c>
      <c r="E1778" s="1" t="s">
        <v>65</v>
      </c>
      <c r="F1778" s="1" t="s">
        <v>52</v>
      </c>
      <c r="G1778" s="1" t="s">
        <v>13</v>
      </c>
      <c r="H1778" s="1">
        <v>54</v>
      </c>
      <c r="I1778" s="1" t="s">
        <v>124</v>
      </c>
      <c r="J1778" s="3">
        <v>0.45000000000000012</v>
      </c>
      <c r="K1778" s="4">
        <v>5000</v>
      </c>
      <c r="L1778" s="5">
        <f t="shared" si="14"/>
        <v>2250.0000000000005</v>
      </c>
      <c r="M1778" s="5">
        <f t="shared" si="15"/>
        <v>900.00000000000011</v>
      </c>
      <c r="N1778" s="6">
        <v>0.39999999999999997</v>
      </c>
    </row>
    <row r="1779" spans="1:14" ht="15.75" customHeight="1" x14ac:dyDescent="0.45">
      <c r="A1779" s="1" t="s">
        <v>121</v>
      </c>
      <c r="B1779" s="1">
        <v>1128299</v>
      </c>
      <c r="C1779" s="2">
        <v>44822</v>
      </c>
      <c r="D1779" s="1" t="s">
        <v>22</v>
      </c>
      <c r="E1779" s="1" t="s">
        <v>65</v>
      </c>
      <c r="F1779" s="1" t="s">
        <v>52</v>
      </c>
      <c r="G1779" s="1" t="s">
        <v>14</v>
      </c>
      <c r="H1779" s="1">
        <v>39</v>
      </c>
      <c r="I1779" s="1" t="s">
        <v>126</v>
      </c>
      <c r="J1779" s="3">
        <v>0.50000000000000011</v>
      </c>
      <c r="K1779" s="4">
        <v>5000</v>
      </c>
      <c r="L1779" s="5">
        <f t="shared" si="14"/>
        <v>2500.0000000000005</v>
      </c>
      <c r="M1779" s="5">
        <f t="shared" si="15"/>
        <v>1000.0000000000001</v>
      </c>
      <c r="N1779" s="6">
        <v>0.39999999999999997</v>
      </c>
    </row>
    <row r="1780" spans="1:14" ht="15.75" customHeight="1" x14ac:dyDescent="0.45">
      <c r="A1780" s="1" t="s">
        <v>121</v>
      </c>
      <c r="B1780" s="1">
        <v>1128299</v>
      </c>
      <c r="C1780" s="2">
        <v>44822</v>
      </c>
      <c r="D1780" s="1" t="s">
        <v>22</v>
      </c>
      <c r="E1780" s="1" t="s">
        <v>65</v>
      </c>
      <c r="F1780" s="1" t="s">
        <v>52</v>
      </c>
      <c r="G1780" s="1" t="s">
        <v>15</v>
      </c>
      <c r="H1780" s="1">
        <v>53</v>
      </c>
      <c r="I1780" s="1" t="s">
        <v>126</v>
      </c>
      <c r="J1780" s="3">
        <v>0.45000000000000012</v>
      </c>
      <c r="K1780" s="4">
        <v>3000</v>
      </c>
      <c r="L1780" s="5">
        <f t="shared" si="14"/>
        <v>1350.0000000000005</v>
      </c>
      <c r="M1780" s="5">
        <f t="shared" si="15"/>
        <v>540.00000000000011</v>
      </c>
      <c r="N1780" s="6">
        <v>0.39999999999999997</v>
      </c>
    </row>
    <row r="1781" spans="1:14" ht="15.75" customHeight="1" x14ac:dyDescent="0.45">
      <c r="A1781" s="1" t="s">
        <v>121</v>
      </c>
      <c r="B1781" s="1">
        <v>1128299</v>
      </c>
      <c r="C1781" s="2">
        <v>44822</v>
      </c>
      <c r="D1781" s="1" t="s">
        <v>22</v>
      </c>
      <c r="E1781" s="1" t="s">
        <v>65</v>
      </c>
      <c r="F1781" s="1" t="s">
        <v>52</v>
      </c>
      <c r="G1781" s="1" t="s">
        <v>16</v>
      </c>
      <c r="H1781" s="1">
        <v>38</v>
      </c>
      <c r="I1781" s="1" t="s">
        <v>124</v>
      </c>
      <c r="J1781" s="3">
        <v>0.45000000000000012</v>
      </c>
      <c r="K1781" s="4">
        <v>2500</v>
      </c>
      <c r="L1781" s="5">
        <f t="shared" si="14"/>
        <v>1125.0000000000002</v>
      </c>
      <c r="M1781" s="5">
        <f t="shared" si="15"/>
        <v>450.00000000000006</v>
      </c>
      <c r="N1781" s="6">
        <v>0.39999999999999997</v>
      </c>
    </row>
    <row r="1782" spans="1:14" ht="15.75" customHeight="1" x14ac:dyDescent="0.45">
      <c r="A1782" s="1" t="s">
        <v>121</v>
      </c>
      <c r="B1782" s="1">
        <v>1128299</v>
      </c>
      <c r="C1782" s="2">
        <v>44822</v>
      </c>
      <c r="D1782" s="1" t="s">
        <v>22</v>
      </c>
      <c r="E1782" s="1" t="s">
        <v>65</v>
      </c>
      <c r="F1782" s="1" t="s">
        <v>52</v>
      </c>
      <c r="G1782" s="1" t="s">
        <v>17</v>
      </c>
      <c r="H1782" s="1">
        <v>36</v>
      </c>
      <c r="I1782" s="1" t="s">
        <v>123</v>
      </c>
      <c r="J1782" s="3">
        <v>0.55000000000000004</v>
      </c>
      <c r="K1782" s="4">
        <v>2750</v>
      </c>
      <c r="L1782" s="5">
        <f t="shared" si="14"/>
        <v>1512.5000000000002</v>
      </c>
      <c r="M1782" s="5">
        <f t="shared" si="15"/>
        <v>680.62500000000011</v>
      </c>
      <c r="N1782" s="6">
        <v>0.45</v>
      </c>
    </row>
    <row r="1783" spans="1:14" ht="15.75" customHeight="1" x14ac:dyDescent="0.45">
      <c r="A1783" s="1" t="s">
        <v>121</v>
      </c>
      <c r="B1783" s="1">
        <v>1128299</v>
      </c>
      <c r="C1783" s="2">
        <v>44822</v>
      </c>
      <c r="D1783" s="1" t="s">
        <v>22</v>
      </c>
      <c r="E1783" s="1" t="s">
        <v>65</v>
      </c>
      <c r="F1783" s="1" t="s">
        <v>52</v>
      </c>
      <c r="G1783" s="1" t="s">
        <v>18</v>
      </c>
      <c r="H1783" s="1">
        <v>42</v>
      </c>
      <c r="I1783" s="1" t="s">
        <v>124</v>
      </c>
      <c r="J1783" s="3">
        <v>0.39999999999999997</v>
      </c>
      <c r="K1783" s="4">
        <v>3000</v>
      </c>
      <c r="L1783" s="5">
        <f t="shared" si="14"/>
        <v>1200</v>
      </c>
      <c r="M1783" s="5">
        <f t="shared" si="15"/>
        <v>420</v>
      </c>
      <c r="N1783" s="6">
        <v>0.35</v>
      </c>
    </row>
    <row r="1784" spans="1:14" ht="15.75" customHeight="1" x14ac:dyDescent="0.45">
      <c r="A1784" s="1" t="s">
        <v>121</v>
      </c>
      <c r="B1784" s="1">
        <v>1128299</v>
      </c>
      <c r="C1784" s="2">
        <v>44851</v>
      </c>
      <c r="D1784" s="1" t="s">
        <v>22</v>
      </c>
      <c r="E1784" s="1" t="s">
        <v>65</v>
      </c>
      <c r="F1784" s="1" t="s">
        <v>52</v>
      </c>
      <c r="G1784" s="1" t="s">
        <v>13</v>
      </c>
      <c r="H1784" s="1">
        <v>51</v>
      </c>
      <c r="I1784" s="1" t="s">
        <v>126</v>
      </c>
      <c r="J1784" s="3">
        <v>0.35000000000000003</v>
      </c>
      <c r="K1784" s="4">
        <v>4000</v>
      </c>
      <c r="L1784" s="5">
        <f t="shared" si="14"/>
        <v>1400.0000000000002</v>
      </c>
      <c r="M1784" s="5">
        <f t="shared" si="15"/>
        <v>560</v>
      </c>
      <c r="N1784" s="6">
        <v>0.39999999999999997</v>
      </c>
    </row>
    <row r="1785" spans="1:14" ht="15.75" customHeight="1" x14ac:dyDescent="0.45">
      <c r="A1785" s="1" t="s">
        <v>121</v>
      </c>
      <c r="B1785" s="1">
        <v>1128299</v>
      </c>
      <c r="C1785" s="2">
        <v>44851</v>
      </c>
      <c r="D1785" s="1" t="s">
        <v>22</v>
      </c>
      <c r="E1785" s="1" t="s">
        <v>65</v>
      </c>
      <c r="F1785" s="1" t="s">
        <v>52</v>
      </c>
      <c r="G1785" s="1" t="s">
        <v>14</v>
      </c>
      <c r="H1785" s="1">
        <v>59</v>
      </c>
      <c r="I1785" s="1" t="s">
        <v>125</v>
      </c>
      <c r="J1785" s="3">
        <v>0.50000000000000011</v>
      </c>
      <c r="K1785" s="4">
        <v>5750</v>
      </c>
      <c r="L1785" s="5">
        <f t="shared" si="14"/>
        <v>2875.0000000000005</v>
      </c>
      <c r="M1785" s="5">
        <f t="shared" si="15"/>
        <v>1150</v>
      </c>
      <c r="N1785" s="6">
        <v>0.39999999999999997</v>
      </c>
    </row>
    <row r="1786" spans="1:14" ht="15.75" customHeight="1" x14ac:dyDescent="0.45">
      <c r="A1786" s="1" t="s">
        <v>121</v>
      </c>
      <c r="B1786" s="1">
        <v>1128299</v>
      </c>
      <c r="C1786" s="2">
        <v>44851</v>
      </c>
      <c r="D1786" s="1" t="s">
        <v>22</v>
      </c>
      <c r="E1786" s="1" t="s">
        <v>65</v>
      </c>
      <c r="F1786" s="1" t="s">
        <v>52</v>
      </c>
      <c r="G1786" s="1" t="s">
        <v>15</v>
      </c>
      <c r="H1786" s="1">
        <v>30</v>
      </c>
      <c r="I1786" s="1" t="s">
        <v>125</v>
      </c>
      <c r="J1786" s="3">
        <v>0.45000000000000012</v>
      </c>
      <c r="K1786" s="4">
        <v>4000</v>
      </c>
      <c r="L1786" s="5">
        <f t="shared" si="14"/>
        <v>1800.0000000000005</v>
      </c>
      <c r="M1786" s="5">
        <f t="shared" si="15"/>
        <v>720.00000000000011</v>
      </c>
      <c r="N1786" s="6">
        <v>0.39999999999999997</v>
      </c>
    </row>
    <row r="1787" spans="1:14" ht="15.75" customHeight="1" x14ac:dyDescent="0.45">
      <c r="A1787" s="1" t="s">
        <v>121</v>
      </c>
      <c r="B1787" s="1">
        <v>1128299</v>
      </c>
      <c r="C1787" s="2">
        <v>44851</v>
      </c>
      <c r="D1787" s="1" t="s">
        <v>22</v>
      </c>
      <c r="E1787" s="1" t="s">
        <v>65</v>
      </c>
      <c r="F1787" s="1" t="s">
        <v>52</v>
      </c>
      <c r="G1787" s="1" t="s">
        <v>16</v>
      </c>
      <c r="H1787" s="1">
        <v>28</v>
      </c>
      <c r="I1787" s="1" t="s">
        <v>125</v>
      </c>
      <c r="J1787" s="3">
        <v>0.40000000000000008</v>
      </c>
      <c r="K1787" s="4">
        <v>3750</v>
      </c>
      <c r="L1787" s="5">
        <f t="shared" si="14"/>
        <v>1500.0000000000002</v>
      </c>
      <c r="M1787" s="5">
        <f t="shared" si="15"/>
        <v>600</v>
      </c>
      <c r="N1787" s="6">
        <v>0.39999999999999997</v>
      </c>
    </row>
    <row r="1788" spans="1:14" ht="15.75" customHeight="1" x14ac:dyDescent="0.45">
      <c r="A1788" s="1" t="s">
        <v>121</v>
      </c>
      <c r="B1788" s="1">
        <v>1128299</v>
      </c>
      <c r="C1788" s="2">
        <v>44851</v>
      </c>
      <c r="D1788" s="1" t="s">
        <v>22</v>
      </c>
      <c r="E1788" s="1" t="s">
        <v>65</v>
      </c>
      <c r="F1788" s="1" t="s">
        <v>52</v>
      </c>
      <c r="G1788" s="1" t="s">
        <v>17</v>
      </c>
      <c r="H1788" s="1">
        <v>36</v>
      </c>
      <c r="I1788" s="1" t="s">
        <v>124</v>
      </c>
      <c r="J1788" s="3">
        <v>0.5</v>
      </c>
      <c r="K1788" s="4">
        <v>3500</v>
      </c>
      <c r="L1788" s="5">
        <f t="shared" si="14"/>
        <v>1750</v>
      </c>
      <c r="M1788" s="5">
        <f t="shared" si="15"/>
        <v>787.5</v>
      </c>
      <c r="N1788" s="6">
        <v>0.45</v>
      </c>
    </row>
    <row r="1789" spans="1:14" ht="15.75" customHeight="1" x14ac:dyDescent="0.45">
      <c r="A1789" s="1" t="s">
        <v>121</v>
      </c>
      <c r="B1789" s="1">
        <v>1128299</v>
      </c>
      <c r="C1789" s="2">
        <v>44851</v>
      </c>
      <c r="D1789" s="1" t="s">
        <v>22</v>
      </c>
      <c r="E1789" s="1" t="s">
        <v>65</v>
      </c>
      <c r="F1789" s="1" t="s">
        <v>52</v>
      </c>
      <c r="G1789" s="1" t="s">
        <v>18</v>
      </c>
      <c r="H1789" s="1">
        <v>46</v>
      </c>
      <c r="I1789" s="1" t="s">
        <v>126</v>
      </c>
      <c r="J1789" s="3">
        <v>0.55000000000000004</v>
      </c>
      <c r="K1789" s="4">
        <v>4000</v>
      </c>
      <c r="L1789" s="5">
        <f t="shared" si="14"/>
        <v>2200</v>
      </c>
      <c r="M1789" s="5">
        <f t="shared" si="15"/>
        <v>770</v>
      </c>
      <c r="N1789" s="6">
        <v>0.35</v>
      </c>
    </row>
    <row r="1790" spans="1:14" ht="15.75" customHeight="1" x14ac:dyDescent="0.45">
      <c r="A1790" s="1" t="s">
        <v>121</v>
      </c>
      <c r="B1790" s="1">
        <v>1128299</v>
      </c>
      <c r="C1790" s="2">
        <v>44882</v>
      </c>
      <c r="D1790" s="1" t="s">
        <v>22</v>
      </c>
      <c r="E1790" s="1" t="s">
        <v>65</v>
      </c>
      <c r="F1790" s="1" t="s">
        <v>52</v>
      </c>
      <c r="G1790" s="1" t="s">
        <v>13</v>
      </c>
      <c r="H1790" s="1">
        <v>15</v>
      </c>
      <c r="I1790" s="1" t="s">
        <v>124</v>
      </c>
      <c r="J1790" s="3">
        <v>0.40000000000000008</v>
      </c>
      <c r="K1790" s="4">
        <v>6250</v>
      </c>
      <c r="L1790" s="5">
        <f t="shared" si="14"/>
        <v>2500.0000000000005</v>
      </c>
      <c r="M1790" s="5">
        <f t="shared" si="15"/>
        <v>1000.0000000000001</v>
      </c>
      <c r="N1790" s="6">
        <v>0.39999999999999997</v>
      </c>
    </row>
    <row r="1791" spans="1:14" ht="15.75" customHeight="1" x14ac:dyDescent="0.45">
      <c r="A1791" s="1" t="s">
        <v>121</v>
      </c>
      <c r="B1791" s="1">
        <v>1128299</v>
      </c>
      <c r="C1791" s="2">
        <v>44882</v>
      </c>
      <c r="D1791" s="1" t="s">
        <v>22</v>
      </c>
      <c r="E1791" s="1" t="s">
        <v>65</v>
      </c>
      <c r="F1791" s="1" t="s">
        <v>52</v>
      </c>
      <c r="G1791" s="1" t="s">
        <v>14</v>
      </c>
      <c r="H1791" s="1">
        <v>30</v>
      </c>
      <c r="I1791" s="1" t="s">
        <v>123</v>
      </c>
      <c r="J1791" s="3">
        <v>0.45000000000000012</v>
      </c>
      <c r="K1791" s="4">
        <v>7000</v>
      </c>
      <c r="L1791" s="5">
        <f t="shared" si="14"/>
        <v>3150.0000000000009</v>
      </c>
      <c r="M1791" s="5">
        <f t="shared" si="15"/>
        <v>1260.0000000000002</v>
      </c>
      <c r="N1791" s="6">
        <v>0.39999999999999997</v>
      </c>
    </row>
    <row r="1792" spans="1:14" ht="15.75" customHeight="1" x14ac:dyDescent="0.45">
      <c r="A1792" s="1" t="s">
        <v>121</v>
      </c>
      <c r="B1792" s="1">
        <v>1128299</v>
      </c>
      <c r="C1792" s="2">
        <v>44882</v>
      </c>
      <c r="D1792" s="1" t="s">
        <v>22</v>
      </c>
      <c r="E1792" s="1" t="s">
        <v>65</v>
      </c>
      <c r="F1792" s="1" t="s">
        <v>52</v>
      </c>
      <c r="G1792" s="1" t="s">
        <v>15</v>
      </c>
      <c r="H1792" s="1">
        <v>17</v>
      </c>
      <c r="I1792" s="1" t="s">
        <v>123</v>
      </c>
      <c r="J1792" s="3">
        <v>0.40000000000000008</v>
      </c>
      <c r="K1792" s="4">
        <v>5250</v>
      </c>
      <c r="L1792" s="5">
        <f t="shared" si="14"/>
        <v>2100.0000000000005</v>
      </c>
      <c r="M1792" s="5">
        <f t="shared" si="15"/>
        <v>840.00000000000011</v>
      </c>
      <c r="N1792" s="6">
        <v>0.39999999999999997</v>
      </c>
    </row>
    <row r="1793" spans="1:14" ht="15.75" customHeight="1" x14ac:dyDescent="0.45">
      <c r="A1793" s="1" t="s">
        <v>121</v>
      </c>
      <c r="B1793" s="1">
        <v>1128299</v>
      </c>
      <c r="C1793" s="2">
        <v>44882</v>
      </c>
      <c r="D1793" s="1" t="s">
        <v>22</v>
      </c>
      <c r="E1793" s="1" t="s">
        <v>65</v>
      </c>
      <c r="F1793" s="1" t="s">
        <v>52</v>
      </c>
      <c r="G1793" s="1" t="s">
        <v>16</v>
      </c>
      <c r="H1793" s="1">
        <v>54</v>
      </c>
      <c r="I1793" s="1" t="s">
        <v>123</v>
      </c>
      <c r="J1793" s="3">
        <v>0.50000000000000011</v>
      </c>
      <c r="K1793" s="4">
        <v>5000</v>
      </c>
      <c r="L1793" s="5">
        <f t="shared" si="14"/>
        <v>2500.0000000000005</v>
      </c>
      <c r="M1793" s="5">
        <f t="shared" si="15"/>
        <v>1000.0000000000001</v>
      </c>
      <c r="N1793" s="6">
        <v>0.39999999999999997</v>
      </c>
    </row>
    <row r="1794" spans="1:14" ht="15.75" customHeight="1" x14ac:dyDescent="0.45">
      <c r="A1794" s="1" t="s">
        <v>121</v>
      </c>
      <c r="B1794" s="1">
        <v>1128299</v>
      </c>
      <c r="C1794" s="2">
        <v>44882</v>
      </c>
      <c r="D1794" s="1" t="s">
        <v>22</v>
      </c>
      <c r="E1794" s="1" t="s">
        <v>65</v>
      </c>
      <c r="F1794" s="1" t="s">
        <v>52</v>
      </c>
      <c r="G1794" s="1" t="s">
        <v>17</v>
      </c>
      <c r="H1794" s="1">
        <v>51</v>
      </c>
      <c r="I1794" s="1" t="s">
        <v>126</v>
      </c>
      <c r="J1794" s="3">
        <v>0.70000000000000007</v>
      </c>
      <c r="K1794" s="4">
        <v>4750</v>
      </c>
      <c r="L1794" s="5">
        <f t="shared" si="14"/>
        <v>3325.0000000000005</v>
      </c>
      <c r="M1794" s="5">
        <f t="shared" si="15"/>
        <v>1496.2500000000002</v>
      </c>
      <c r="N1794" s="6">
        <v>0.45</v>
      </c>
    </row>
    <row r="1795" spans="1:14" ht="15.75" customHeight="1" x14ac:dyDescent="0.45">
      <c r="A1795" s="1" t="s">
        <v>121</v>
      </c>
      <c r="B1795" s="1">
        <v>1128299</v>
      </c>
      <c r="C1795" s="2">
        <v>44882</v>
      </c>
      <c r="D1795" s="1" t="s">
        <v>22</v>
      </c>
      <c r="E1795" s="1" t="s">
        <v>65</v>
      </c>
      <c r="F1795" s="1" t="s">
        <v>52</v>
      </c>
      <c r="G1795" s="1" t="s">
        <v>18</v>
      </c>
      <c r="H1795" s="1">
        <v>15</v>
      </c>
      <c r="I1795" s="1" t="s">
        <v>125</v>
      </c>
      <c r="J1795" s="3">
        <v>0.8500000000000002</v>
      </c>
      <c r="K1795" s="4">
        <v>6000</v>
      </c>
      <c r="L1795" s="5">
        <f t="shared" si="14"/>
        <v>5100.0000000000009</v>
      </c>
      <c r="M1795" s="5">
        <f t="shared" si="15"/>
        <v>1785.0000000000002</v>
      </c>
      <c r="N1795" s="6">
        <v>0.35</v>
      </c>
    </row>
    <row r="1796" spans="1:14" ht="15.75" customHeight="1" x14ac:dyDescent="0.45">
      <c r="A1796" s="1" t="s">
        <v>121</v>
      </c>
      <c r="B1796" s="1">
        <v>1128299</v>
      </c>
      <c r="C1796" s="2">
        <v>44911</v>
      </c>
      <c r="D1796" s="1" t="s">
        <v>22</v>
      </c>
      <c r="E1796" s="1" t="s">
        <v>65</v>
      </c>
      <c r="F1796" s="1" t="s">
        <v>52</v>
      </c>
      <c r="G1796" s="1" t="s">
        <v>13</v>
      </c>
      <c r="H1796" s="1">
        <v>57</v>
      </c>
      <c r="I1796" s="1" t="s">
        <v>124</v>
      </c>
      <c r="J1796" s="3">
        <v>0.70000000000000018</v>
      </c>
      <c r="K1796" s="4">
        <v>8000</v>
      </c>
      <c r="L1796" s="5">
        <f t="shared" si="14"/>
        <v>5600.0000000000018</v>
      </c>
      <c r="M1796" s="5">
        <f t="shared" si="15"/>
        <v>2240.0000000000005</v>
      </c>
      <c r="N1796" s="6">
        <v>0.39999999999999997</v>
      </c>
    </row>
    <row r="1797" spans="1:14" ht="15.75" customHeight="1" x14ac:dyDescent="0.45">
      <c r="A1797" s="1" t="s">
        <v>121</v>
      </c>
      <c r="B1797" s="1">
        <v>1128299</v>
      </c>
      <c r="C1797" s="2">
        <v>44911</v>
      </c>
      <c r="D1797" s="1" t="s">
        <v>22</v>
      </c>
      <c r="E1797" s="1" t="s">
        <v>65</v>
      </c>
      <c r="F1797" s="1" t="s">
        <v>52</v>
      </c>
      <c r="G1797" s="1" t="s">
        <v>14</v>
      </c>
      <c r="H1797" s="1">
        <v>51</v>
      </c>
      <c r="I1797" s="1" t="s">
        <v>126</v>
      </c>
      <c r="J1797" s="3">
        <v>0.80000000000000027</v>
      </c>
      <c r="K1797" s="4">
        <v>8000</v>
      </c>
      <c r="L1797" s="5">
        <f t="shared" si="14"/>
        <v>6400.0000000000018</v>
      </c>
      <c r="M1797" s="5">
        <f t="shared" si="15"/>
        <v>2560.0000000000005</v>
      </c>
      <c r="N1797" s="6">
        <v>0.39999999999999997</v>
      </c>
    </row>
    <row r="1798" spans="1:14" ht="15.75" customHeight="1" x14ac:dyDescent="0.45">
      <c r="A1798" s="1" t="s">
        <v>121</v>
      </c>
      <c r="B1798" s="1">
        <v>1128299</v>
      </c>
      <c r="C1798" s="2">
        <v>44911</v>
      </c>
      <c r="D1798" s="1" t="s">
        <v>22</v>
      </c>
      <c r="E1798" s="1" t="s">
        <v>65</v>
      </c>
      <c r="F1798" s="1" t="s">
        <v>52</v>
      </c>
      <c r="G1798" s="1" t="s">
        <v>15</v>
      </c>
      <c r="H1798" s="1">
        <v>15</v>
      </c>
      <c r="I1798" s="1" t="s">
        <v>124</v>
      </c>
      <c r="J1798" s="3">
        <v>0.75000000000000022</v>
      </c>
      <c r="K1798" s="4">
        <v>6000</v>
      </c>
      <c r="L1798" s="5">
        <f t="shared" si="14"/>
        <v>4500.0000000000009</v>
      </c>
      <c r="M1798" s="5">
        <f t="shared" si="15"/>
        <v>1800.0000000000002</v>
      </c>
      <c r="N1798" s="6">
        <v>0.39999999999999997</v>
      </c>
    </row>
    <row r="1799" spans="1:14" ht="15.75" customHeight="1" x14ac:dyDescent="0.45">
      <c r="A1799" s="1" t="s">
        <v>121</v>
      </c>
      <c r="B1799" s="1">
        <v>1128299</v>
      </c>
      <c r="C1799" s="2">
        <v>44911</v>
      </c>
      <c r="D1799" s="1" t="s">
        <v>22</v>
      </c>
      <c r="E1799" s="1" t="s">
        <v>65</v>
      </c>
      <c r="F1799" s="1" t="s">
        <v>52</v>
      </c>
      <c r="G1799" s="1" t="s">
        <v>16</v>
      </c>
      <c r="H1799" s="1">
        <v>19</v>
      </c>
      <c r="I1799" s="1" t="s">
        <v>126</v>
      </c>
      <c r="J1799" s="3">
        <v>0.75000000000000022</v>
      </c>
      <c r="K1799" s="4">
        <v>6000</v>
      </c>
      <c r="L1799" s="5">
        <f t="shared" si="14"/>
        <v>4500.0000000000009</v>
      </c>
      <c r="M1799" s="5">
        <f t="shared" si="15"/>
        <v>1800.0000000000002</v>
      </c>
      <c r="N1799" s="6">
        <v>0.39999999999999997</v>
      </c>
    </row>
    <row r="1800" spans="1:14" ht="15.75" customHeight="1" x14ac:dyDescent="0.45">
      <c r="A1800" s="1" t="s">
        <v>121</v>
      </c>
      <c r="B1800" s="1">
        <v>1128299</v>
      </c>
      <c r="C1800" s="2">
        <v>44911</v>
      </c>
      <c r="D1800" s="1" t="s">
        <v>22</v>
      </c>
      <c r="E1800" s="1" t="s">
        <v>65</v>
      </c>
      <c r="F1800" s="1" t="s">
        <v>52</v>
      </c>
      <c r="G1800" s="1" t="s">
        <v>17</v>
      </c>
      <c r="H1800" s="1">
        <v>49</v>
      </c>
      <c r="I1800" s="1" t="s">
        <v>123</v>
      </c>
      <c r="J1800" s="3">
        <v>0.8500000000000002</v>
      </c>
      <c r="K1800" s="4">
        <v>5250</v>
      </c>
      <c r="L1800" s="5">
        <f t="shared" si="14"/>
        <v>4462.5000000000009</v>
      </c>
      <c r="M1800" s="5">
        <f t="shared" si="15"/>
        <v>2008.1250000000005</v>
      </c>
      <c r="N1800" s="6">
        <v>0.45</v>
      </c>
    </row>
    <row r="1801" spans="1:14" ht="15.75" customHeight="1" x14ac:dyDescent="0.45">
      <c r="A1801" s="1" t="s">
        <v>121</v>
      </c>
      <c r="B1801" s="1">
        <v>1128299</v>
      </c>
      <c r="C1801" s="2">
        <v>44911</v>
      </c>
      <c r="D1801" s="1" t="s">
        <v>22</v>
      </c>
      <c r="E1801" s="1" t="s">
        <v>65</v>
      </c>
      <c r="F1801" s="1" t="s">
        <v>52</v>
      </c>
      <c r="G1801" s="1" t="s">
        <v>18</v>
      </c>
      <c r="H1801" s="1">
        <v>38</v>
      </c>
      <c r="I1801" s="1" t="s">
        <v>125</v>
      </c>
      <c r="J1801" s="3">
        <v>0.90000000000000024</v>
      </c>
      <c r="K1801" s="4">
        <v>6250</v>
      </c>
      <c r="L1801" s="5">
        <f t="shared" si="14"/>
        <v>5625.0000000000018</v>
      </c>
      <c r="M1801" s="5">
        <f t="shared" si="15"/>
        <v>1968.7500000000005</v>
      </c>
      <c r="N1801" s="6">
        <v>0.35</v>
      </c>
    </row>
    <row r="1802" spans="1:14" ht="15.75" customHeight="1" x14ac:dyDescent="0.45">
      <c r="A1802" s="1" t="s">
        <v>120</v>
      </c>
      <c r="B1802" s="1">
        <v>1197831</v>
      </c>
      <c r="C1802" s="2">
        <v>44566</v>
      </c>
      <c r="D1802" s="1" t="s">
        <v>19</v>
      </c>
      <c r="E1802" s="1" t="s">
        <v>66</v>
      </c>
      <c r="F1802" s="1" t="s">
        <v>67</v>
      </c>
      <c r="G1802" s="1" t="s">
        <v>13</v>
      </c>
      <c r="H1802" s="1">
        <v>33</v>
      </c>
      <c r="I1802" s="1" t="s">
        <v>123</v>
      </c>
      <c r="J1802" s="3">
        <v>0.2</v>
      </c>
      <c r="K1802" s="4">
        <v>6750</v>
      </c>
      <c r="L1802" s="5">
        <f t="shared" si="14"/>
        <v>1350</v>
      </c>
      <c r="M1802" s="5">
        <f t="shared" si="15"/>
        <v>405</v>
      </c>
      <c r="N1802" s="6">
        <v>0.3</v>
      </c>
    </row>
    <row r="1803" spans="1:14" ht="15.75" customHeight="1" x14ac:dyDescent="0.45">
      <c r="A1803" s="1" t="s">
        <v>120</v>
      </c>
      <c r="B1803" s="1">
        <v>1197831</v>
      </c>
      <c r="C1803" s="2">
        <v>44566</v>
      </c>
      <c r="D1803" s="1" t="s">
        <v>19</v>
      </c>
      <c r="E1803" s="1" t="s">
        <v>66</v>
      </c>
      <c r="F1803" s="1" t="s">
        <v>67</v>
      </c>
      <c r="G1803" s="1" t="s">
        <v>14</v>
      </c>
      <c r="H1803" s="1">
        <v>16</v>
      </c>
      <c r="I1803" s="1" t="s">
        <v>126</v>
      </c>
      <c r="J1803" s="3">
        <v>0.3</v>
      </c>
      <c r="K1803" s="4">
        <v>6750</v>
      </c>
      <c r="L1803" s="5">
        <f t="shared" si="14"/>
        <v>2025</v>
      </c>
      <c r="M1803" s="5">
        <f t="shared" si="15"/>
        <v>607.5</v>
      </c>
      <c r="N1803" s="6">
        <v>0.3</v>
      </c>
    </row>
    <row r="1804" spans="1:14" ht="15.75" customHeight="1" x14ac:dyDescent="0.45">
      <c r="A1804" s="1" t="s">
        <v>120</v>
      </c>
      <c r="B1804" s="1">
        <v>1197831</v>
      </c>
      <c r="C1804" s="2">
        <v>44566</v>
      </c>
      <c r="D1804" s="1" t="s">
        <v>19</v>
      </c>
      <c r="E1804" s="1" t="s">
        <v>66</v>
      </c>
      <c r="F1804" s="1" t="s">
        <v>67</v>
      </c>
      <c r="G1804" s="1" t="s">
        <v>15</v>
      </c>
      <c r="H1804" s="1">
        <v>54</v>
      </c>
      <c r="I1804" s="1" t="s">
        <v>124</v>
      </c>
      <c r="J1804" s="3">
        <v>0.3</v>
      </c>
      <c r="K1804" s="4">
        <v>4750</v>
      </c>
      <c r="L1804" s="5">
        <f t="shared" si="14"/>
        <v>1425</v>
      </c>
      <c r="M1804" s="5">
        <f t="shared" si="15"/>
        <v>427.5</v>
      </c>
      <c r="N1804" s="6">
        <v>0.3</v>
      </c>
    </row>
    <row r="1805" spans="1:14" ht="15.75" customHeight="1" x14ac:dyDescent="0.45">
      <c r="A1805" s="1" t="s">
        <v>120</v>
      </c>
      <c r="B1805" s="1">
        <v>1197831</v>
      </c>
      <c r="C1805" s="2">
        <v>44566</v>
      </c>
      <c r="D1805" s="1" t="s">
        <v>19</v>
      </c>
      <c r="E1805" s="1" t="s">
        <v>66</v>
      </c>
      <c r="F1805" s="1" t="s">
        <v>67</v>
      </c>
      <c r="G1805" s="1" t="s">
        <v>16</v>
      </c>
      <c r="H1805" s="1">
        <v>35</v>
      </c>
      <c r="I1805" s="1" t="s">
        <v>125</v>
      </c>
      <c r="J1805" s="3">
        <v>0.35</v>
      </c>
      <c r="K1805" s="4">
        <v>4750</v>
      </c>
      <c r="L1805" s="5">
        <f t="shared" si="14"/>
        <v>1662.5</v>
      </c>
      <c r="M1805" s="5">
        <f t="shared" si="15"/>
        <v>665</v>
      </c>
      <c r="N1805" s="6">
        <v>0.4</v>
      </c>
    </row>
    <row r="1806" spans="1:14" ht="15.75" customHeight="1" x14ac:dyDescent="0.45">
      <c r="A1806" s="1" t="s">
        <v>120</v>
      </c>
      <c r="B1806" s="1">
        <v>1197831</v>
      </c>
      <c r="C1806" s="2">
        <v>44566</v>
      </c>
      <c r="D1806" s="1" t="s">
        <v>19</v>
      </c>
      <c r="E1806" s="1" t="s">
        <v>66</v>
      </c>
      <c r="F1806" s="1" t="s">
        <v>67</v>
      </c>
      <c r="G1806" s="1" t="s">
        <v>17</v>
      </c>
      <c r="H1806" s="1">
        <v>56</v>
      </c>
      <c r="I1806" s="1" t="s">
        <v>125</v>
      </c>
      <c r="J1806" s="3">
        <v>0.4</v>
      </c>
      <c r="K1806" s="4">
        <v>3250</v>
      </c>
      <c r="L1806" s="5">
        <f t="shared" si="14"/>
        <v>1300</v>
      </c>
      <c r="M1806" s="5">
        <f t="shared" si="15"/>
        <v>325</v>
      </c>
      <c r="N1806" s="6">
        <v>0.25</v>
      </c>
    </row>
    <row r="1807" spans="1:14" ht="15.75" customHeight="1" x14ac:dyDescent="0.45">
      <c r="A1807" s="1" t="s">
        <v>120</v>
      </c>
      <c r="B1807" s="1">
        <v>1197831</v>
      </c>
      <c r="C1807" s="2">
        <v>44566</v>
      </c>
      <c r="D1807" s="1" t="s">
        <v>19</v>
      </c>
      <c r="E1807" s="1" t="s">
        <v>66</v>
      </c>
      <c r="F1807" s="1" t="s">
        <v>67</v>
      </c>
      <c r="G1807" s="1" t="s">
        <v>18</v>
      </c>
      <c r="H1807" s="1">
        <v>40</v>
      </c>
      <c r="I1807" s="1" t="s">
        <v>125</v>
      </c>
      <c r="J1807" s="3">
        <v>0.35</v>
      </c>
      <c r="K1807" s="4">
        <v>4750</v>
      </c>
      <c r="L1807" s="5">
        <f t="shared" si="14"/>
        <v>1662.5</v>
      </c>
      <c r="M1807" s="5">
        <f t="shared" si="15"/>
        <v>748.125</v>
      </c>
      <c r="N1807" s="6">
        <v>0.45</v>
      </c>
    </row>
    <row r="1808" spans="1:14" ht="15.75" customHeight="1" x14ac:dyDescent="0.45">
      <c r="A1808" s="1" t="s">
        <v>120</v>
      </c>
      <c r="B1808" s="1">
        <v>1197831</v>
      </c>
      <c r="C1808" s="2">
        <v>44596</v>
      </c>
      <c r="D1808" s="1" t="s">
        <v>19</v>
      </c>
      <c r="E1808" s="1" t="s">
        <v>66</v>
      </c>
      <c r="F1808" s="1" t="s">
        <v>67</v>
      </c>
      <c r="G1808" s="1" t="s">
        <v>13</v>
      </c>
      <c r="H1808" s="1">
        <v>50</v>
      </c>
      <c r="I1808" s="1" t="s">
        <v>126</v>
      </c>
      <c r="J1808" s="3">
        <v>0.25</v>
      </c>
      <c r="K1808" s="4">
        <v>6250</v>
      </c>
      <c r="L1808" s="5">
        <f t="shared" si="14"/>
        <v>1562.5</v>
      </c>
      <c r="M1808" s="5">
        <f t="shared" si="15"/>
        <v>468.75</v>
      </c>
      <c r="N1808" s="6">
        <v>0.3</v>
      </c>
    </row>
    <row r="1809" spans="1:14" ht="15.75" customHeight="1" x14ac:dyDescent="0.45">
      <c r="A1809" s="1" t="s">
        <v>120</v>
      </c>
      <c r="B1809" s="1">
        <v>1197831</v>
      </c>
      <c r="C1809" s="2">
        <v>44596</v>
      </c>
      <c r="D1809" s="1" t="s">
        <v>19</v>
      </c>
      <c r="E1809" s="1" t="s">
        <v>66</v>
      </c>
      <c r="F1809" s="1" t="s">
        <v>67</v>
      </c>
      <c r="G1809" s="1" t="s">
        <v>14</v>
      </c>
      <c r="H1809" s="1">
        <v>57</v>
      </c>
      <c r="I1809" s="1" t="s">
        <v>124</v>
      </c>
      <c r="J1809" s="3">
        <v>0.35</v>
      </c>
      <c r="K1809" s="4">
        <v>6000</v>
      </c>
      <c r="L1809" s="5">
        <f t="shared" si="14"/>
        <v>2100</v>
      </c>
      <c r="M1809" s="5">
        <f t="shared" si="15"/>
        <v>630</v>
      </c>
      <c r="N1809" s="6">
        <v>0.3</v>
      </c>
    </row>
    <row r="1810" spans="1:14" ht="15.75" customHeight="1" x14ac:dyDescent="0.45">
      <c r="A1810" s="1" t="s">
        <v>120</v>
      </c>
      <c r="B1810" s="1">
        <v>1197831</v>
      </c>
      <c r="C1810" s="2">
        <v>44596</v>
      </c>
      <c r="D1810" s="1" t="s">
        <v>19</v>
      </c>
      <c r="E1810" s="1" t="s">
        <v>66</v>
      </c>
      <c r="F1810" s="1" t="s">
        <v>67</v>
      </c>
      <c r="G1810" s="1" t="s">
        <v>15</v>
      </c>
      <c r="H1810" s="1">
        <v>49</v>
      </c>
      <c r="I1810" s="1" t="s">
        <v>126</v>
      </c>
      <c r="J1810" s="3">
        <v>0.35</v>
      </c>
      <c r="K1810" s="4">
        <v>4250</v>
      </c>
      <c r="L1810" s="5">
        <f t="shared" si="14"/>
        <v>1487.5</v>
      </c>
      <c r="M1810" s="5">
        <f t="shared" si="15"/>
        <v>446.25</v>
      </c>
      <c r="N1810" s="6">
        <v>0.3</v>
      </c>
    </row>
    <row r="1811" spans="1:14" ht="15.75" customHeight="1" x14ac:dyDescent="0.45">
      <c r="A1811" s="1" t="s">
        <v>120</v>
      </c>
      <c r="B1811" s="1">
        <v>1197831</v>
      </c>
      <c r="C1811" s="2">
        <v>44596</v>
      </c>
      <c r="D1811" s="1" t="s">
        <v>19</v>
      </c>
      <c r="E1811" s="1" t="s">
        <v>66</v>
      </c>
      <c r="F1811" s="1" t="s">
        <v>67</v>
      </c>
      <c r="G1811" s="1" t="s">
        <v>16</v>
      </c>
      <c r="H1811" s="1">
        <v>16</v>
      </c>
      <c r="I1811" s="1" t="s">
        <v>126</v>
      </c>
      <c r="J1811" s="3">
        <v>0.35</v>
      </c>
      <c r="K1811" s="4">
        <v>3750</v>
      </c>
      <c r="L1811" s="5">
        <f t="shared" si="14"/>
        <v>1312.5</v>
      </c>
      <c r="M1811" s="5">
        <f t="shared" si="15"/>
        <v>525</v>
      </c>
      <c r="N1811" s="6">
        <v>0.4</v>
      </c>
    </row>
    <row r="1812" spans="1:14" ht="15.75" customHeight="1" x14ac:dyDescent="0.45">
      <c r="A1812" s="1" t="s">
        <v>120</v>
      </c>
      <c r="B1812" s="1">
        <v>1197831</v>
      </c>
      <c r="C1812" s="2">
        <v>44596</v>
      </c>
      <c r="D1812" s="1" t="s">
        <v>19</v>
      </c>
      <c r="E1812" s="1" t="s">
        <v>66</v>
      </c>
      <c r="F1812" s="1" t="s">
        <v>67</v>
      </c>
      <c r="G1812" s="1" t="s">
        <v>17</v>
      </c>
      <c r="H1812" s="1">
        <v>38</v>
      </c>
      <c r="I1812" s="1" t="s">
        <v>124</v>
      </c>
      <c r="J1812" s="3">
        <v>0.4</v>
      </c>
      <c r="K1812" s="4">
        <v>2500</v>
      </c>
      <c r="L1812" s="5">
        <f t="shared" si="14"/>
        <v>1000</v>
      </c>
      <c r="M1812" s="5">
        <f t="shared" si="15"/>
        <v>250</v>
      </c>
      <c r="N1812" s="6">
        <v>0.25</v>
      </c>
    </row>
    <row r="1813" spans="1:14" ht="15.75" customHeight="1" x14ac:dyDescent="0.45">
      <c r="A1813" s="1" t="s">
        <v>120</v>
      </c>
      <c r="B1813" s="1">
        <v>1197831</v>
      </c>
      <c r="C1813" s="2">
        <v>44596</v>
      </c>
      <c r="D1813" s="1" t="s">
        <v>19</v>
      </c>
      <c r="E1813" s="1" t="s">
        <v>66</v>
      </c>
      <c r="F1813" s="1" t="s">
        <v>67</v>
      </c>
      <c r="G1813" s="1" t="s">
        <v>18</v>
      </c>
      <c r="H1813" s="1">
        <v>57</v>
      </c>
      <c r="I1813" s="1" t="s">
        <v>123</v>
      </c>
      <c r="J1813" s="3">
        <v>0.35</v>
      </c>
      <c r="K1813" s="4">
        <v>4500</v>
      </c>
      <c r="L1813" s="5">
        <f t="shared" si="14"/>
        <v>1575</v>
      </c>
      <c r="M1813" s="5">
        <f t="shared" si="15"/>
        <v>708.75</v>
      </c>
      <c r="N1813" s="6">
        <v>0.45</v>
      </c>
    </row>
    <row r="1814" spans="1:14" ht="15.75" customHeight="1" x14ac:dyDescent="0.45">
      <c r="A1814" s="1" t="s">
        <v>120</v>
      </c>
      <c r="B1814" s="1">
        <v>1197831</v>
      </c>
      <c r="C1814" s="2">
        <v>44626</v>
      </c>
      <c r="D1814" s="1" t="s">
        <v>19</v>
      </c>
      <c r="E1814" s="1" t="s">
        <v>66</v>
      </c>
      <c r="F1814" s="1" t="s">
        <v>67</v>
      </c>
      <c r="G1814" s="1" t="s">
        <v>13</v>
      </c>
      <c r="H1814" s="1">
        <v>48</v>
      </c>
      <c r="I1814" s="1" t="s">
        <v>126</v>
      </c>
      <c r="J1814" s="3">
        <v>0.3</v>
      </c>
      <c r="K1814" s="4">
        <v>6250</v>
      </c>
      <c r="L1814" s="5">
        <f t="shared" si="14"/>
        <v>1875</v>
      </c>
      <c r="M1814" s="5">
        <f t="shared" si="15"/>
        <v>656.25</v>
      </c>
      <c r="N1814" s="6">
        <v>0.35</v>
      </c>
    </row>
    <row r="1815" spans="1:14" ht="15.75" customHeight="1" x14ac:dyDescent="0.45">
      <c r="A1815" s="1" t="s">
        <v>120</v>
      </c>
      <c r="B1815" s="1">
        <v>1197831</v>
      </c>
      <c r="C1815" s="2">
        <v>44626</v>
      </c>
      <c r="D1815" s="1" t="s">
        <v>19</v>
      </c>
      <c r="E1815" s="1" t="s">
        <v>66</v>
      </c>
      <c r="F1815" s="1" t="s">
        <v>67</v>
      </c>
      <c r="G1815" s="1" t="s">
        <v>14</v>
      </c>
      <c r="H1815" s="1">
        <v>16</v>
      </c>
      <c r="I1815" s="1" t="s">
        <v>126</v>
      </c>
      <c r="J1815" s="3">
        <v>0.4</v>
      </c>
      <c r="K1815" s="4">
        <v>6250</v>
      </c>
      <c r="L1815" s="5">
        <f t="shared" si="14"/>
        <v>2500</v>
      </c>
      <c r="M1815" s="5">
        <f t="shared" si="15"/>
        <v>875</v>
      </c>
      <c r="N1815" s="6">
        <v>0.35</v>
      </c>
    </row>
    <row r="1816" spans="1:14" ht="15.75" customHeight="1" x14ac:dyDescent="0.45">
      <c r="A1816" s="1" t="s">
        <v>120</v>
      </c>
      <c r="B1816" s="1">
        <v>1197831</v>
      </c>
      <c r="C1816" s="2">
        <v>44626</v>
      </c>
      <c r="D1816" s="1" t="s">
        <v>19</v>
      </c>
      <c r="E1816" s="1" t="s">
        <v>66</v>
      </c>
      <c r="F1816" s="1" t="s">
        <v>67</v>
      </c>
      <c r="G1816" s="1" t="s">
        <v>15</v>
      </c>
      <c r="H1816" s="1">
        <v>29</v>
      </c>
      <c r="I1816" s="1" t="s">
        <v>125</v>
      </c>
      <c r="J1816" s="3">
        <v>0.3</v>
      </c>
      <c r="K1816" s="4">
        <v>4500</v>
      </c>
      <c r="L1816" s="5">
        <f t="shared" si="14"/>
        <v>1350</v>
      </c>
      <c r="M1816" s="5">
        <f t="shared" si="15"/>
        <v>472.49999999999994</v>
      </c>
      <c r="N1816" s="6">
        <v>0.35</v>
      </c>
    </row>
    <row r="1817" spans="1:14" ht="15.75" customHeight="1" x14ac:dyDescent="0.45">
      <c r="A1817" s="1" t="s">
        <v>120</v>
      </c>
      <c r="B1817" s="1">
        <v>1197831</v>
      </c>
      <c r="C1817" s="2">
        <v>44626</v>
      </c>
      <c r="D1817" s="1" t="s">
        <v>19</v>
      </c>
      <c r="E1817" s="1" t="s">
        <v>66</v>
      </c>
      <c r="F1817" s="1" t="s">
        <v>67</v>
      </c>
      <c r="G1817" s="1" t="s">
        <v>16</v>
      </c>
      <c r="H1817" s="1">
        <v>31</v>
      </c>
      <c r="I1817" s="1" t="s">
        <v>124</v>
      </c>
      <c r="J1817" s="3">
        <v>0.35000000000000003</v>
      </c>
      <c r="K1817" s="4">
        <v>3500</v>
      </c>
      <c r="L1817" s="5">
        <f t="shared" si="14"/>
        <v>1225.0000000000002</v>
      </c>
      <c r="M1817" s="5">
        <f t="shared" si="15"/>
        <v>551.25000000000011</v>
      </c>
      <c r="N1817" s="6">
        <v>0.45</v>
      </c>
    </row>
    <row r="1818" spans="1:14" ht="15.75" customHeight="1" x14ac:dyDescent="0.45">
      <c r="A1818" s="1" t="s">
        <v>120</v>
      </c>
      <c r="B1818" s="1">
        <v>1197831</v>
      </c>
      <c r="C1818" s="2">
        <v>44626</v>
      </c>
      <c r="D1818" s="1" t="s">
        <v>19</v>
      </c>
      <c r="E1818" s="1" t="s">
        <v>66</v>
      </c>
      <c r="F1818" s="1" t="s">
        <v>67</v>
      </c>
      <c r="G1818" s="1" t="s">
        <v>17</v>
      </c>
      <c r="H1818" s="1">
        <v>45</v>
      </c>
      <c r="I1818" s="1" t="s">
        <v>124</v>
      </c>
      <c r="J1818" s="3">
        <v>0.4</v>
      </c>
      <c r="K1818" s="4">
        <v>2500</v>
      </c>
      <c r="L1818" s="5">
        <f t="shared" si="14"/>
        <v>1000</v>
      </c>
      <c r="M1818" s="5">
        <f t="shared" si="15"/>
        <v>300</v>
      </c>
      <c r="N1818" s="6">
        <v>0.3</v>
      </c>
    </row>
    <row r="1819" spans="1:14" ht="15.75" customHeight="1" x14ac:dyDescent="0.45">
      <c r="A1819" s="1" t="s">
        <v>120</v>
      </c>
      <c r="B1819" s="1">
        <v>1197831</v>
      </c>
      <c r="C1819" s="2">
        <v>44626</v>
      </c>
      <c r="D1819" s="1" t="s">
        <v>19</v>
      </c>
      <c r="E1819" s="1" t="s">
        <v>66</v>
      </c>
      <c r="F1819" s="1" t="s">
        <v>67</v>
      </c>
      <c r="G1819" s="1" t="s">
        <v>18</v>
      </c>
      <c r="H1819" s="1">
        <v>45</v>
      </c>
      <c r="I1819" s="1" t="s">
        <v>126</v>
      </c>
      <c r="J1819" s="3">
        <v>0.35000000000000003</v>
      </c>
      <c r="K1819" s="4">
        <v>4000</v>
      </c>
      <c r="L1819" s="5">
        <f t="shared" si="14"/>
        <v>1400.0000000000002</v>
      </c>
      <c r="M1819" s="5">
        <f t="shared" si="15"/>
        <v>700.00000000000011</v>
      </c>
      <c r="N1819" s="6">
        <v>0.5</v>
      </c>
    </row>
    <row r="1820" spans="1:14" ht="15.75" customHeight="1" x14ac:dyDescent="0.45">
      <c r="A1820" s="1" t="s">
        <v>120</v>
      </c>
      <c r="B1820" s="1">
        <v>1197831</v>
      </c>
      <c r="C1820" s="2">
        <v>44656</v>
      </c>
      <c r="D1820" s="1" t="s">
        <v>19</v>
      </c>
      <c r="E1820" s="1" t="s">
        <v>66</v>
      </c>
      <c r="F1820" s="1" t="s">
        <v>67</v>
      </c>
      <c r="G1820" s="1" t="s">
        <v>13</v>
      </c>
      <c r="H1820" s="1">
        <v>23</v>
      </c>
      <c r="I1820" s="1" t="s">
        <v>123</v>
      </c>
      <c r="J1820" s="3">
        <v>0.19999999999999998</v>
      </c>
      <c r="K1820" s="4">
        <v>6500</v>
      </c>
      <c r="L1820" s="5">
        <f t="shared" si="14"/>
        <v>1300</v>
      </c>
      <c r="M1820" s="5">
        <f t="shared" si="15"/>
        <v>454.99999999999994</v>
      </c>
      <c r="N1820" s="6">
        <v>0.35</v>
      </c>
    </row>
    <row r="1821" spans="1:14" ht="15.75" customHeight="1" x14ac:dyDescent="0.45">
      <c r="A1821" s="1" t="s">
        <v>120</v>
      </c>
      <c r="B1821" s="1">
        <v>1197831</v>
      </c>
      <c r="C1821" s="2">
        <v>44656</v>
      </c>
      <c r="D1821" s="1" t="s">
        <v>19</v>
      </c>
      <c r="E1821" s="1" t="s">
        <v>66</v>
      </c>
      <c r="F1821" s="1" t="s">
        <v>67</v>
      </c>
      <c r="G1821" s="1" t="s">
        <v>14</v>
      </c>
      <c r="H1821" s="1">
        <v>55</v>
      </c>
      <c r="I1821" s="1" t="s">
        <v>125</v>
      </c>
      <c r="J1821" s="3">
        <v>0.30000000000000004</v>
      </c>
      <c r="K1821" s="4">
        <v>6500</v>
      </c>
      <c r="L1821" s="5">
        <f t="shared" si="14"/>
        <v>1950.0000000000002</v>
      </c>
      <c r="M1821" s="5">
        <f t="shared" si="15"/>
        <v>682.5</v>
      </c>
      <c r="N1821" s="6">
        <v>0.35</v>
      </c>
    </row>
    <row r="1822" spans="1:14" ht="15.75" customHeight="1" x14ac:dyDescent="0.45">
      <c r="A1822" s="1" t="s">
        <v>120</v>
      </c>
      <c r="B1822" s="1">
        <v>1197831</v>
      </c>
      <c r="C1822" s="2">
        <v>44656</v>
      </c>
      <c r="D1822" s="1" t="s">
        <v>19</v>
      </c>
      <c r="E1822" s="1" t="s">
        <v>66</v>
      </c>
      <c r="F1822" s="1" t="s">
        <v>67</v>
      </c>
      <c r="G1822" s="1" t="s">
        <v>15</v>
      </c>
      <c r="H1822" s="1">
        <v>40</v>
      </c>
      <c r="I1822" s="1" t="s">
        <v>125</v>
      </c>
      <c r="J1822" s="3">
        <v>0.24999999999999997</v>
      </c>
      <c r="K1822" s="4">
        <v>4750</v>
      </c>
      <c r="L1822" s="5">
        <f t="shared" si="14"/>
        <v>1187.4999999999998</v>
      </c>
      <c r="M1822" s="5">
        <f t="shared" si="15"/>
        <v>415.62499999999989</v>
      </c>
      <c r="N1822" s="6">
        <v>0.35</v>
      </c>
    </row>
    <row r="1823" spans="1:14" ht="15.75" customHeight="1" x14ac:dyDescent="0.45">
      <c r="A1823" s="1" t="s">
        <v>120</v>
      </c>
      <c r="B1823" s="1">
        <v>1197831</v>
      </c>
      <c r="C1823" s="2">
        <v>44656</v>
      </c>
      <c r="D1823" s="1" t="s">
        <v>19</v>
      </c>
      <c r="E1823" s="1" t="s">
        <v>66</v>
      </c>
      <c r="F1823" s="1" t="s">
        <v>67</v>
      </c>
      <c r="G1823" s="1" t="s">
        <v>16</v>
      </c>
      <c r="H1823" s="1">
        <v>60</v>
      </c>
      <c r="I1823" s="1" t="s">
        <v>126</v>
      </c>
      <c r="J1823" s="3">
        <v>0.30000000000000004</v>
      </c>
      <c r="K1823" s="4">
        <v>3750</v>
      </c>
      <c r="L1823" s="5">
        <f t="shared" si="14"/>
        <v>1125.0000000000002</v>
      </c>
      <c r="M1823" s="5">
        <f t="shared" si="15"/>
        <v>506.25000000000011</v>
      </c>
      <c r="N1823" s="6">
        <v>0.45</v>
      </c>
    </row>
    <row r="1824" spans="1:14" ht="15.75" customHeight="1" x14ac:dyDescent="0.45">
      <c r="A1824" s="1" t="s">
        <v>120</v>
      </c>
      <c r="B1824" s="1">
        <v>1197831</v>
      </c>
      <c r="C1824" s="2">
        <v>44656</v>
      </c>
      <c r="D1824" s="1" t="s">
        <v>19</v>
      </c>
      <c r="E1824" s="1" t="s">
        <v>66</v>
      </c>
      <c r="F1824" s="1" t="s">
        <v>67</v>
      </c>
      <c r="G1824" s="1" t="s">
        <v>17</v>
      </c>
      <c r="H1824" s="1">
        <v>42</v>
      </c>
      <c r="I1824" s="1" t="s">
        <v>126</v>
      </c>
      <c r="J1824" s="3">
        <v>0.35</v>
      </c>
      <c r="K1824" s="4">
        <v>2750</v>
      </c>
      <c r="L1824" s="5">
        <f t="shared" si="14"/>
        <v>962.49999999999989</v>
      </c>
      <c r="M1824" s="5">
        <f t="shared" si="15"/>
        <v>288.74999999999994</v>
      </c>
      <c r="N1824" s="6">
        <v>0.3</v>
      </c>
    </row>
    <row r="1825" spans="1:14" ht="15.75" customHeight="1" x14ac:dyDescent="0.45">
      <c r="A1825" s="1" t="s">
        <v>120</v>
      </c>
      <c r="B1825" s="1">
        <v>1197831</v>
      </c>
      <c r="C1825" s="2">
        <v>44656</v>
      </c>
      <c r="D1825" s="1" t="s">
        <v>19</v>
      </c>
      <c r="E1825" s="1" t="s">
        <v>66</v>
      </c>
      <c r="F1825" s="1" t="s">
        <v>67</v>
      </c>
      <c r="G1825" s="1" t="s">
        <v>18</v>
      </c>
      <c r="H1825" s="1">
        <v>38</v>
      </c>
      <c r="I1825" s="1" t="s">
        <v>125</v>
      </c>
      <c r="J1825" s="3">
        <v>0.30000000000000004</v>
      </c>
      <c r="K1825" s="4">
        <v>5500</v>
      </c>
      <c r="L1825" s="5">
        <f t="shared" si="14"/>
        <v>1650.0000000000002</v>
      </c>
      <c r="M1825" s="5">
        <f t="shared" si="15"/>
        <v>825.00000000000011</v>
      </c>
      <c r="N1825" s="6">
        <v>0.5</v>
      </c>
    </row>
    <row r="1826" spans="1:14" ht="15.75" customHeight="1" x14ac:dyDescent="0.45">
      <c r="A1826" s="1" t="s">
        <v>120</v>
      </c>
      <c r="B1826" s="1">
        <v>1197831</v>
      </c>
      <c r="C1826" s="2">
        <v>44686</v>
      </c>
      <c r="D1826" s="1" t="s">
        <v>19</v>
      </c>
      <c r="E1826" s="1" t="s">
        <v>66</v>
      </c>
      <c r="F1826" s="1" t="s">
        <v>67</v>
      </c>
      <c r="G1826" s="1" t="s">
        <v>13</v>
      </c>
      <c r="H1826" s="1">
        <v>40</v>
      </c>
      <c r="I1826" s="1" t="s">
        <v>124</v>
      </c>
      <c r="J1826" s="3">
        <v>0.19999999999999998</v>
      </c>
      <c r="K1826" s="4">
        <v>7000</v>
      </c>
      <c r="L1826" s="5">
        <f t="shared" si="14"/>
        <v>1399.9999999999998</v>
      </c>
      <c r="M1826" s="5">
        <f t="shared" si="15"/>
        <v>489.99999999999989</v>
      </c>
      <c r="N1826" s="6">
        <v>0.35</v>
      </c>
    </row>
    <row r="1827" spans="1:14" ht="15.75" customHeight="1" x14ac:dyDescent="0.45">
      <c r="A1827" s="1" t="s">
        <v>120</v>
      </c>
      <c r="B1827" s="1">
        <v>1197831</v>
      </c>
      <c r="C1827" s="2">
        <v>44686</v>
      </c>
      <c r="D1827" s="1" t="s">
        <v>19</v>
      </c>
      <c r="E1827" s="1" t="s">
        <v>66</v>
      </c>
      <c r="F1827" s="1" t="s">
        <v>67</v>
      </c>
      <c r="G1827" s="1" t="s">
        <v>14</v>
      </c>
      <c r="H1827" s="1">
        <v>42</v>
      </c>
      <c r="I1827" s="1" t="s">
        <v>126</v>
      </c>
      <c r="J1827" s="3">
        <v>0.30000000000000004</v>
      </c>
      <c r="K1827" s="4">
        <v>7250</v>
      </c>
      <c r="L1827" s="5">
        <f t="shared" si="14"/>
        <v>2175.0000000000005</v>
      </c>
      <c r="M1827" s="5">
        <f t="shared" si="15"/>
        <v>761.25000000000011</v>
      </c>
      <c r="N1827" s="6">
        <v>0.35</v>
      </c>
    </row>
    <row r="1828" spans="1:14" ht="15.75" customHeight="1" x14ac:dyDescent="0.45">
      <c r="A1828" s="1" t="s">
        <v>120</v>
      </c>
      <c r="B1828" s="1">
        <v>1197831</v>
      </c>
      <c r="C1828" s="2">
        <v>44686</v>
      </c>
      <c r="D1828" s="1" t="s">
        <v>19</v>
      </c>
      <c r="E1828" s="1" t="s">
        <v>66</v>
      </c>
      <c r="F1828" s="1" t="s">
        <v>67</v>
      </c>
      <c r="G1828" s="1" t="s">
        <v>15</v>
      </c>
      <c r="H1828" s="1">
        <v>15</v>
      </c>
      <c r="I1828" s="1" t="s">
        <v>125</v>
      </c>
      <c r="J1828" s="3">
        <v>0.24999999999999997</v>
      </c>
      <c r="K1828" s="4">
        <v>5750</v>
      </c>
      <c r="L1828" s="5">
        <f t="shared" si="14"/>
        <v>1437.4999999999998</v>
      </c>
      <c r="M1828" s="5">
        <f t="shared" si="15"/>
        <v>503.12499999999989</v>
      </c>
      <c r="N1828" s="6">
        <v>0.35</v>
      </c>
    </row>
    <row r="1829" spans="1:14" ht="15.75" customHeight="1" x14ac:dyDescent="0.45">
      <c r="A1829" s="1" t="s">
        <v>120</v>
      </c>
      <c r="B1829" s="1">
        <v>1197831</v>
      </c>
      <c r="C1829" s="2">
        <v>44686</v>
      </c>
      <c r="D1829" s="1" t="s">
        <v>19</v>
      </c>
      <c r="E1829" s="1" t="s">
        <v>66</v>
      </c>
      <c r="F1829" s="1" t="s">
        <v>67</v>
      </c>
      <c r="G1829" s="1" t="s">
        <v>16</v>
      </c>
      <c r="H1829" s="1">
        <v>53</v>
      </c>
      <c r="I1829" s="1" t="s">
        <v>125</v>
      </c>
      <c r="J1829" s="3">
        <v>0.35000000000000003</v>
      </c>
      <c r="K1829" s="4">
        <v>5000</v>
      </c>
      <c r="L1829" s="5">
        <f t="shared" si="14"/>
        <v>1750.0000000000002</v>
      </c>
      <c r="M1829" s="5">
        <f t="shared" si="15"/>
        <v>787.50000000000011</v>
      </c>
      <c r="N1829" s="6">
        <v>0.45</v>
      </c>
    </row>
    <row r="1830" spans="1:14" ht="15.75" customHeight="1" x14ac:dyDescent="0.45">
      <c r="A1830" s="1" t="s">
        <v>120</v>
      </c>
      <c r="B1830" s="1">
        <v>1197831</v>
      </c>
      <c r="C1830" s="2">
        <v>44686</v>
      </c>
      <c r="D1830" s="1" t="s">
        <v>19</v>
      </c>
      <c r="E1830" s="1" t="s">
        <v>66</v>
      </c>
      <c r="F1830" s="1" t="s">
        <v>67</v>
      </c>
      <c r="G1830" s="1" t="s">
        <v>17</v>
      </c>
      <c r="H1830" s="1">
        <v>36</v>
      </c>
      <c r="I1830" s="1" t="s">
        <v>125</v>
      </c>
      <c r="J1830" s="3">
        <v>0.5</v>
      </c>
      <c r="K1830" s="4">
        <v>4000</v>
      </c>
      <c r="L1830" s="5">
        <f t="shared" si="14"/>
        <v>2000</v>
      </c>
      <c r="M1830" s="5">
        <f t="shared" si="15"/>
        <v>600</v>
      </c>
      <c r="N1830" s="6">
        <v>0.3</v>
      </c>
    </row>
    <row r="1831" spans="1:14" ht="15.75" customHeight="1" x14ac:dyDescent="0.45">
      <c r="A1831" s="1" t="s">
        <v>120</v>
      </c>
      <c r="B1831" s="1">
        <v>1197831</v>
      </c>
      <c r="C1831" s="2">
        <v>44686</v>
      </c>
      <c r="D1831" s="1" t="s">
        <v>19</v>
      </c>
      <c r="E1831" s="1" t="s">
        <v>66</v>
      </c>
      <c r="F1831" s="1" t="s">
        <v>67</v>
      </c>
      <c r="G1831" s="1" t="s">
        <v>18</v>
      </c>
      <c r="H1831" s="1">
        <v>49</v>
      </c>
      <c r="I1831" s="1" t="s">
        <v>125</v>
      </c>
      <c r="J1831" s="3">
        <v>0.45</v>
      </c>
      <c r="K1831" s="4">
        <v>7500</v>
      </c>
      <c r="L1831" s="5">
        <f t="shared" si="14"/>
        <v>3375</v>
      </c>
      <c r="M1831" s="5">
        <f t="shared" si="15"/>
        <v>1687.5</v>
      </c>
      <c r="N1831" s="6">
        <v>0.5</v>
      </c>
    </row>
    <row r="1832" spans="1:14" ht="15.75" customHeight="1" x14ac:dyDescent="0.45">
      <c r="A1832" s="1" t="s">
        <v>120</v>
      </c>
      <c r="B1832" s="1">
        <v>1197831</v>
      </c>
      <c r="C1832" s="2">
        <v>44716</v>
      </c>
      <c r="D1832" s="1" t="s">
        <v>19</v>
      </c>
      <c r="E1832" s="1" t="s">
        <v>66</v>
      </c>
      <c r="F1832" s="1" t="s">
        <v>67</v>
      </c>
      <c r="G1832" s="1" t="s">
        <v>13</v>
      </c>
      <c r="H1832" s="1">
        <v>27</v>
      </c>
      <c r="I1832" s="1" t="s">
        <v>124</v>
      </c>
      <c r="J1832" s="3">
        <v>0.45</v>
      </c>
      <c r="K1832" s="4">
        <v>7500</v>
      </c>
      <c r="L1832" s="5">
        <f t="shared" si="14"/>
        <v>3375</v>
      </c>
      <c r="M1832" s="5">
        <f t="shared" si="15"/>
        <v>1181.25</v>
      </c>
      <c r="N1832" s="6">
        <v>0.35</v>
      </c>
    </row>
    <row r="1833" spans="1:14" ht="15.75" customHeight="1" x14ac:dyDescent="0.45">
      <c r="A1833" s="1" t="s">
        <v>120</v>
      </c>
      <c r="B1833" s="1">
        <v>1197831</v>
      </c>
      <c r="C1833" s="2">
        <v>44716</v>
      </c>
      <c r="D1833" s="1" t="s">
        <v>19</v>
      </c>
      <c r="E1833" s="1" t="s">
        <v>66</v>
      </c>
      <c r="F1833" s="1" t="s">
        <v>67</v>
      </c>
      <c r="G1833" s="1" t="s">
        <v>14</v>
      </c>
      <c r="H1833" s="1">
        <v>46</v>
      </c>
      <c r="I1833" s="1" t="s">
        <v>126</v>
      </c>
      <c r="J1833" s="3">
        <v>0.5</v>
      </c>
      <c r="K1833" s="4">
        <v>7500</v>
      </c>
      <c r="L1833" s="5">
        <f t="shared" si="14"/>
        <v>3750</v>
      </c>
      <c r="M1833" s="5">
        <f t="shared" si="15"/>
        <v>1312.5</v>
      </c>
      <c r="N1833" s="6">
        <v>0.35</v>
      </c>
    </row>
    <row r="1834" spans="1:14" ht="15.75" customHeight="1" x14ac:dyDescent="0.45">
      <c r="A1834" s="1" t="s">
        <v>120</v>
      </c>
      <c r="B1834" s="1">
        <v>1197831</v>
      </c>
      <c r="C1834" s="2">
        <v>44716</v>
      </c>
      <c r="D1834" s="1" t="s">
        <v>19</v>
      </c>
      <c r="E1834" s="1" t="s">
        <v>66</v>
      </c>
      <c r="F1834" s="1" t="s">
        <v>67</v>
      </c>
      <c r="G1834" s="1" t="s">
        <v>15</v>
      </c>
      <c r="H1834" s="1">
        <v>52</v>
      </c>
      <c r="I1834" s="1" t="s">
        <v>126</v>
      </c>
      <c r="J1834" s="3">
        <v>0.5</v>
      </c>
      <c r="K1834" s="4">
        <v>6000</v>
      </c>
      <c r="L1834" s="5">
        <f t="shared" si="14"/>
        <v>3000</v>
      </c>
      <c r="M1834" s="5">
        <f t="shared" si="15"/>
        <v>1050</v>
      </c>
      <c r="N1834" s="6">
        <v>0.35</v>
      </c>
    </row>
    <row r="1835" spans="1:14" ht="15.75" customHeight="1" x14ac:dyDescent="0.45">
      <c r="A1835" s="1" t="s">
        <v>120</v>
      </c>
      <c r="B1835" s="1">
        <v>1197831</v>
      </c>
      <c r="C1835" s="2">
        <v>44716</v>
      </c>
      <c r="D1835" s="1" t="s">
        <v>19</v>
      </c>
      <c r="E1835" s="1" t="s">
        <v>66</v>
      </c>
      <c r="F1835" s="1" t="s">
        <v>67</v>
      </c>
      <c r="G1835" s="1" t="s">
        <v>16</v>
      </c>
      <c r="H1835" s="1">
        <v>57</v>
      </c>
      <c r="I1835" s="1" t="s">
        <v>124</v>
      </c>
      <c r="J1835" s="3">
        <v>0.5</v>
      </c>
      <c r="K1835" s="4">
        <v>5500</v>
      </c>
      <c r="L1835" s="5">
        <f t="shared" si="14"/>
        <v>2750</v>
      </c>
      <c r="M1835" s="5">
        <f t="shared" si="15"/>
        <v>1237.5</v>
      </c>
      <c r="N1835" s="6">
        <v>0.45</v>
      </c>
    </row>
    <row r="1836" spans="1:14" ht="15.75" customHeight="1" x14ac:dyDescent="0.45">
      <c r="A1836" s="1" t="s">
        <v>120</v>
      </c>
      <c r="B1836" s="1">
        <v>1197831</v>
      </c>
      <c r="C1836" s="2">
        <v>44716</v>
      </c>
      <c r="D1836" s="1" t="s">
        <v>19</v>
      </c>
      <c r="E1836" s="1" t="s">
        <v>66</v>
      </c>
      <c r="F1836" s="1" t="s">
        <v>67</v>
      </c>
      <c r="G1836" s="1" t="s">
        <v>17</v>
      </c>
      <c r="H1836" s="1">
        <v>33</v>
      </c>
      <c r="I1836" s="1" t="s">
        <v>123</v>
      </c>
      <c r="J1836" s="3">
        <v>0.55000000000000004</v>
      </c>
      <c r="K1836" s="4">
        <v>4500</v>
      </c>
      <c r="L1836" s="5">
        <f t="shared" si="14"/>
        <v>2475</v>
      </c>
      <c r="M1836" s="5">
        <f t="shared" si="15"/>
        <v>742.5</v>
      </c>
      <c r="N1836" s="6">
        <v>0.3</v>
      </c>
    </row>
    <row r="1837" spans="1:14" ht="15.75" customHeight="1" x14ac:dyDescent="0.45">
      <c r="A1837" s="1" t="s">
        <v>120</v>
      </c>
      <c r="B1837" s="1">
        <v>1197831</v>
      </c>
      <c r="C1837" s="2">
        <v>44716</v>
      </c>
      <c r="D1837" s="1" t="s">
        <v>19</v>
      </c>
      <c r="E1837" s="1" t="s">
        <v>66</v>
      </c>
      <c r="F1837" s="1" t="s">
        <v>67</v>
      </c>
      <c r="G1837" s="1" t="s">
        <v>18</v>
      </c>
      <c r="H1837" s="1">
        <v>20</v>
      </c>
      <c r="I1837" s="1" t="s">
        <v>124</v>
      </c>
      <c r="J1837" s="3">
        <v>0.60000000000000009</v>
      </c>
      <c r="K1837" s="4">
        <v>8250</v>
      </c>
      <c r="L1837" s="5">
        <f t="shared" si="14"/>
        <v>4950.0000000000009</v>
      </c>
      <c r="M1837" s="5">
        <f t="shared" si="15"/>
        <v>2475.0000000000005</v>
      </c>
      <c r="N1837" s="6">
        <v>0.5</v>
      </c>
    </row>
    <row r="1838" spans="1:14" ht="15.75" customHeight="1" x14ac:dyDescent="0.45">
      <c r="A1838" s="1" t="s">
        <v>120</v>
      </c>
      <c r="B1838" s="1">
        <v>1197831</v>
      </c>
      <c r="C1838" s="2">
        <v>44748</v>
      </c>
      <c r="D1838" s="1" t="s">
        <v>19</v>
      </c>
      <c r="E1838" s="1" t="s">
        <v>66</v>
      </c>
      <c r="F1838" s="1" t="s">
        <v>67</v>
      </c>
      <c r="G1838" s="1" t="s">
        <v>13</v>
      </c>
      <c r="H1838" s="1">
        <v>19</v>
      </c>
      <c r="I1838" s="1" t="s">
        <v>123</v>
      </c>
      <c r="J1838" s="3">
        <v>0.5</v>
      </c>
      <c r="K1838" s="4">
        <v>7750</v>
      </c>
      <c r="L1838" s="5">
        <f t="shared" si="14"/>
        <v>3875</v>
      </c>
      <c r="M1838" s="5">
        <f t="shared" si="15"/>
        <v>1549.9999999999998</v>
      </c>
      <c r="N1838" s="6">
        <v>0.39999999999999997</v>
      </c>
    </row>
    <row r="1839" spans="1:14" ht="15.75" customHeight="1" x14ac:dyDescent="0.45">
      <c r="A1839" s="1" t="s">
        <v>120</v>
      </c>
      <c r="B1839" s="1">
        <v>1197831</v>
      </c>
      <c r="C1839" s="2">
        <v>44748</v>
      </c>
      <c r="D1839" s="1" t="s">
        <v>19</v>
      </c>
      <c r="E1839" s="1" t="s">
        <v>66</v>
      </c>
      <c r="F1839" s="1" t="s">
        <v>67</v>
      </c>
      <c r="G1839" s="1" t="s">
        <v>14</v>
      </c>
      <c r="H1839" s="1">
        <v>23</v>
      </c>
      <c r="I1839" s="1" t="s">
        <v>125</v>
      </c>
      <c r="J1839" s="3">
        <v>0.55000000000000004</v>
      </c>
      <c r="K1839" s="4">
        <v>7750</v>
      </c>
      <c r="L1839" s="5">
        <f t="shared" si="14"/>
        <v>4262.5</v>
      </c>
      <c r="M1839" s="5">
        <f t="shared" si="15"/>
        <v>1704.9999999999998</v>
      </c>
      <c r="N1839" s="6">
        <v>0.39999999999999997</v>
      </c>
    </row>
    <row r="1840" spans="1:14" ht="15.75" customHeight="1" x14ac:dyDescent="0.45">
      <c r="A1840" s="1" t="s">
        <v>120</v>
      </c>
      <c r="B1840" s="1">
        <v>1197831</v>
      </c>
      <c r="C1840" s="2">
        <v>44748</v>
      </c>
      <c r="D1840" s="1" t="s">
        <v>19</v>
      </c>
      <c r="E1840" s="1" t="s">
        <v>66</v>
      </c>
      <c r="F1840" s="1" t="s">
        <v>67</v>
      </c>
      <c r="G1840" s="1" t="s">
        <v>15</v>
      </c>
      <c r="H1840" s="1">
        <v>56</v>
      </c>
      <c r="I1840" s="1" t="s">
        <v>126</v>
      </c>
      <c r="J1840" s="3">
        <v>0.5</v>
      </c>
      <c r="K1840" s="4">
        <v>9250</v>
      </c>
      <c r="L1840" s="5">
        <f t="shared" si="14"/>
        <v>4625</v>
      </c>
      <c r="M1840" s="5">
        <f t="shared" si="15"/>
        <v>1849.9999999999998</v>
      </c>
      <c r="N1840" s="6">
        <v>0.39999999999999997</v>
      </c>
    </row>
    <row r="1841" spans="1:14" ht="15.75" customHeight="1" x14ac:dyDescent="0.45">
      <c r="A1841" s="1" t="s">
        <v>120</v>
      </c>
      <c r="B1841" s="1">
        <v>1197831</v>
      </c>
      <c r="C1841" s="2">
        <v>44748</v>
      </c>
      <c r="D1841" s="1" t="s">
        <v>19</v>
      </c>
      <c r="E1841" s="1" t="s">
        <v>66</v>
      </c>
      <c r="F1841" s="1" t="s">
        <v>67</v>
      </c>
      <c r="G1841" s="1" t="s">
        <v>16</v>
      </c>
      <c r="H1841" s="1">
        <v>55</v>
      </c>
      <c r="I1841" s="1" t="s">
        <v>124</v>
      </c>
      <c r="J1841" s="3">
        <v>0.5</v>
      </c>
      <c r="K1841" s="4">
        <v>5250</v>
      </c>
      <c r="L1841" s="5">
        <f t="shared" si="14"/>
        <v>2625</v>
      </c>
      <c r="M1841" s="5">
        <f t="shared" si="15"/>
        <v>1312.5</v>
      </c>
      <c r="N1841" s="6">
        <v>0.5</v>
      </c>
    </row>
    <row r="1842" spans="1:14" ht="15.75" customHeight="1" x14ac:dyDescent="0.45">
      <c r="A1842" s="1" t="s">
        <v>120</v>
      </c>
      <c r="B1842" s="1">
        <v>1197831</v>
      </c>
      <c r="C1842" s="2">
        <v>44748</v>
      </c>
      <c r="D1842" s="1" t="s">
        <v>19</v>
      </c>
      <c r="E1842" s="1" t="s">
        <v>66</v>
      </c>
      <c r="F1842" s="1" t="s">
        <v>67</v>
      </c>
      <c r="G1842" s="1" t="s">
        <v>17</v>
      </c>
      <c r="H1842" s="1">
        <v>51</v>
      </c>
      <c r="I1842" s="1" t="s">
        <v>124</v>
      </c>
      <c r="J1842" s="3">
        <v>0.55000000000000004</v>
      </c>
      <c r="K1842" s="4">
        <v>5250</v>
      </c>
      <c r="L1842" s="5">
        <f t="shared" si="14"/>
        <v>2887.5000000000005</v>
      </c>
      <c r="M1842" s="5">
        <f t="shared" si="15"/>
        <v>1010.6250000000001</v>
      </c>
      <c r="N1842" s="6">
        <v>0.35</v>
      </c>
    </row>
    <row r="1843" spans="1:14" ht="15.75" customHeight="1" x14ac:dyDescent="0.45">
      <c r="A1843" s="1" t="s">
        <v>120</v>
      </c>
      <c r="B1843" s="1">
        <v>1197831</v>
      </c>
      <c r="C1843" s="2">
        <v>44748</v>
      </c>
      <c r="D1843" s="1" t="s">
        <v>19</v>
      </c>
      <c r="E1843" s="1" t="s">
        <v>66</v>
      </c>
      <c r="F1843" s="1" t="s">
        <v>67</v>
      </c>
      <c r="G1843" s="1" t="s">
        <v>18</v>
      </c>
      <c r="H1843" s="1">
        <v>17</v>
      </c>
      <c r="I1843" s="1" t="s">
        <v>123</v>
      </c>
      <c r="J1843" s="3">
        <v>0.65</v>
      </c>
      <c r="K1843" s="4">
        <v>8000</v>
      </c>
      <c r="L1843" s="5">
        <f t="shared" si="14"/>
        <v>5200</v>
      </c>
      <c r="M1843" s="5">
        <f t="shared" si="15"/>
        <v>2860.0000000000005</v>
      </c>
      <c r="N1843" s="6">
        <v>0.55000000000000004</v>
      </c>
    </row>
    <row r="1844" spans="1:14" ht="15.75" customHeight="1" x14ac:dyDescent="0.45">
      <c r="A1844" s="1" t="s">
        <v>120</v>
      </c>
      <c r="B1844" s="1">
        <v>1197831</v>
      </c>
      <c r="C1844" s="2">
        <v>44781</v>
      </c>
      <c r="D1844" s="1" t="s">
        <v>19</v>
      </c>
      <c r="E1844" s="1" t="s">
        <v>66</v>
      </c>
      <c r="F1844" s="1" t="s">
        <v>67</v>
      </c>
      <c r="G1844" s="1" t="s">
        <v>13</v>
      </c>
      <c r="H1844" s="1">
        <v>26</v>
      </c>
      <c r="I1844" s="1" t="s">
        <v>125</v>
      </c>
      <c r="J1844" s="3">
        <v>0.5</v>
      </c>
      <c r="K1844" s="4">
        <v>7500</v>
      </c>
      <c r="L1844" s="5">
        <f t="shared" si="14"/>
        <v>3750</v>
      </c>
      <c r="M1844" s="5">
        <f t="shared" si="15"/>
        <v>1499.9999999999998</v>
      </c>
      <c r="N1844" s="6">
        <v>0.39999999999999997</v>
      </c>
    </row>
    <row r="1845" spans="1:14" ht="15.75" customHeight="1" x14ac:dyDescent="0.45">
      <c r="A1845" s="1" t="s">
        <v>120</v>
      </c>
      <c r="B1845" s="1">
        <v>1197831</v>
      </c>
      <c r="C1845" s="2">
        <v>44781</v>
      </c>
      <c r="D1845" s="1" t="s">
        <v>19</v>
      </c>
      <c r="E1845" s="1" t="s">
        <v>66</v>
      </c>
      <c r="F1845" s="1" t="s">
        <v>67</v>
      </c>
      <c r="G1845" s="1" t="s">
        <v>14</v>
      </c>
      <c r="H1845" s="1">
        <v>32</v>
      </c>
      <c r="I1845" s="1" t="s">
        <v>125</v>
      </c>
      <c r="J1845" s="3">
        <v>0.55000000000000004</v>
      </c>
      <c r="K1845" s="4">
        <v>7500</v>
      </c>
      <c r="L1845" s="5">
        <f t="shared" si="14"/>
        <v>4125</v>
      </c>
      <c r="M1845" s="5">
        <f t="shared" si="15"/>
        <v>1649.9999999999998</v>
      </c>
      <c r="N1845" s="6">
        <v>0.39999999999999997</v>
      </c>
    </row>
    <row r="1846" spans="1:14" ht="15.75" customHeight="1" x14ac:dyDescent="0.45">
      <c r="A1846" s="1" t="s">
        <v>120</v>
      </c>
      <c r="B1846" s="1">
        <v>1197831</v>
      </c>
      <c r="C1846" s="2">
        <v>44781</v>
      </c>
      <c r="D1846" s="1" t="s">
        <v>19</v>
      </c>
      <c r="E1846" s="1" t="s">
        <v>66</v>
      </c>
      <c r="F1846" s="1" t="s">
        <v>67</v>
      </c>
      <c r="G1846" s="1" t="s">
        <v>15</v>
      </c>
      <c r="H1846" s="1">
        <v>34</v>
      </c>
      <c r="I1846" s="1" t="s">
        <v>124</v>
      </c>
      <c r="J1846" s="3">
        <v>0.5</v>
      </c>
      <c r="K1846" s="4">
        <v>9250</v>
      </c>
      <c r="L1846" s="5">
        <f t="shared" si="14"/>
        <v>4625</v>
      </c>
      <c r="M1846" s="5">
        <f t="shared" si="15"/>
        <v>1849.9999999999998</v>
      </c>
      <c r="N1846" s="6">
        <v>0.39999999999999997</v>
      </c>
    </row>
    <row r="1847" spans="1:14" ht="15.75" customHeight="1" x14ac:dyDescent="0.45">
      <c r="A1847" s="1" t="s">
        <v>120</v>
      </c>
      <c r="B1847" s="1">
        <v>1197831</v>
      </c>
      <c r="C1847" s="2">
        <v>44781</v>
      </c>
      <c r="D1847" s="1" t="s">
        <v>19</v>
      </c>
      <c r="E1847" s="1" t="s">
        <v>66</v>
      </c>
      <c r="F1847" s="1" t="s">
        <v>67</v>
      </c>
      <c r="G1847" s="1" t="s">
        <v>16</v>
      </c>
      <c r="H1847" s="1">
        <v>52</v>
      </c>
      <c r="I1847" s="1" t="s">
        <v>123</v>
      </c>
      <c r="J1847" s="3">
        <v>0.5</v>
      </c>
      <c r="K1847" s="4">
        <v>4750</v>
      </c>
      <c r="L1847" s="5">
        <f t="shared" si="14"/>
        <v>2375</v>
      </c>
      <c r="M1847" s="5">
        <f t="shared" si="15"/>
        <v>1187.5</v>
      </c>
      <c r="N1847" s="6">
        <v>0.5</v>
      </c>
    </row>
    <row r="1848" spans="1:14" ht="15.75" customHeight="1" x14ac:dyDescent="0.45">
      <c r="A1848" s="1" t="s">
        <v>120</v>
      </c>
      <c r="B1848" s="1">
        <v>1197831</v>
      </c>
      <c r="C1848" s="2">
        <v>44781</v>
      </c>
      <c r="D1848" s="1" t="s">
        <v>19</v>
      </c>
      <c r="E1848" s="1" t="s">
        <v>66</v>
      </c>
      <c r="F1848" s="1" t="s">
        <v>67</v>
      </c>
      <c r="G1848" s="1" t="s">
        <v>17</v>
      </c>
      <c r="H1848" s="1">
        <v>39</v>
      </c>
      <c r="I1848" s="1" t="s">
        <v>126</v>
      </c>
      <c r="J1848" s="3">
        <v>0.55000000000000004</v>
      </c>
      <c r="K1848" s="4">
        <v>4750</v>
      </c>
      <c r="L1848" s="5">
        <f t="shared" si="14"/>
        <v>2612.5</v>
      </c>
      <c r="M1848" s="5">
        <f t="shared" si="15"/>
        <v>914.37499999999989</v>
      </c>
      <c r="N1848" s="6">
        <v>0.35</v>
      </c>
    </row>
    <row r="1849" spans="1:14" ht="15.75" customHeight="1" x14ac:dyDescent="0.45">
      <c r="A1849" s="1" t="s">
        <v>120</v>
      </c>
      <c r="B1849" s="1">
        <v>1197831</v>
      </c>
      <c r="C1849" s="2">
        <v>44781</v>
      </c>
      <c r="D1849" s="1" t="s">
        <v>19</v>
      </c>
      <c r="E1849" s="1" t="s">
        <v>66</v>
      </c>
      <c r="F1849" s="1" t="s">
        <v>67</v>
      </c>
      <c r="G1849" s="1" t="s">
        <v>18</v>
      </c>
      <c r="H1849" s="1">
        <v>23</v>
      </c>
      <c r="I1849" s="1" t="s">
        <v>123</v>
      </c>
      <c r="J1849" s="3">
        <v>0.6</v>
      </c>
      <c r="K1849" s="4">
        <v>7250</v>
      </c>
      <c r="L1849" s="5">
        <f t="shared" si="14"/>
        <v>4350</v>
      </c>
      <c r="M1849" s="5">
        <f t="shared" si="15"/>
        <v>2392.5</v>
      </c>
      <c r="N1849" s="6">
        <v>0.55000000000000004</v>
      </c>
    </row>
    <row r="1850" spans="1:14" ht="15.75" customHeight="1" x14ac:dyDescent="0.45">
      <c r="A1850" s="1" t="s">
        <v>120</v>
      </c>
      <c r="B1850" s="1">
        <v>1197831</v>
      </c>
      <c r="C1850" s="2">
        <v>44809</v>
      </c>
      <c r="D1850" s="1" t="s">
        <v>19</v>
      </c>
      <c r="E1850" s="1" t="s">
        <v>66</v>
      </c>
      <c r="F1850" s="1" t="s">
        <v>67</v>
      </c>
      <c r="G1850" s="1" t="s">
        <v>13</v>
      </c>
      <c r="H1850" s="1">
        <v>28</v>
      </c>
      <c r="I1850" s="1" t="s">
        <v>126</v>
      </c>
      <c r="J1850" s="3">
        <v>0.55000000000000004</v>
      </c>
      <c r="K1850" s="4">
        <v>6750</v>
      </c>
      <c r="L1850" s="5">
        <f t="shared" si="14"/>
        <v>3712.5000000000005</v>
      </c>
      <c r="M1850" s="5">
        <f t="shared" si="15"/>
        <v>1485</v>
      </c>
      <c r="N1850" s="6">
        <v>0.39999999999999997</v>
      </c>
    </row>
    <row r="1851" spans="1:14" ht="15.75" customHeight="1" x14ac:dyDescent="0.45">
      <c r="A1851" s="1" t="s">
        <v>120</v>
      </c>
      <c r="B1851" s="1">
        <v>1197831</v>
      </c>
      <c r="C1851" s="2">
        <v>44809</v>
      </c>
      <c r="D1851" s="1" t="s">
        <v>19</v>
      </c>
      <c r="E1851" s="1" t="s">
        <v>66</v>
      </c>
      <c r="F1851" s="1" t="s">
        <v>67</v>
      </c>
      <c r="G1851" s="1" t="s">
        <v>14</v>
      </c>
      <c r="H1851" s="1">
        <v>46</v>
      </c>
      <c r="I1851" s="1" t="s">
        <v>123</v>
      </c>
      <c r="J1851" s="3">
        <v>0.55000000000000004</v>
      </c>
      <c r="K1851" s="4">
        <v>6250</v>
      </c>
      <c r="L1851" s="5">
        <f t="shared" si="14"/>
        <v>3437.5000000000005</v>
      </c>
      <c r="M1851" s="5">
        <f t="shared" si="15"/>
        <v>1375</v>
      </c>
      <c r="N1851" s="6">
        <v>0.39999999999999997</v>
      </c>
    </row>
    <row r="1852" spans="1:14" ht="15.75" customHeight="1" x14ac:dyDescent="0.45">
      <c r="A1852" s="1" t="s">
        <v>120</v>
      </c>
      <c r="B1852" s="1">
        <v>1197831</v>
      </c>
      <c r="C1852" s="2">
        <v>44809</v>
      </c>
      <c r="D1852" s="1" t="s">
        <v>19</v>
      </c>
      <c r="E1852" s="1" t="s">
        <v>66</v>
      </c>
      <c r="F1852" s="1" t="s">
        <v>67</v>
      </c>
      <c r="G1852" s="1" t="s">
        <v>15</v>
      </c>
      <c r="H1852" s="1">
        <v>40</v>
      </c>
      <c r="I1852" s="1" t="s">
        <v>125</v>
      </c>
      <c r="J1852" s="3">
        <v>0.6</v>
      </c>
      <c r="K1852" s="4">
        <v>6750</v>
      </c>
      <c r="L1852" s="5">
        <f t="shared" si="14"/>
        <v>4050</v>
      </c>
      <c r="M1852" s="5">
        <f t="shared" si="15"/>
        <v>1619.9999999999998</v>
      </c>
      <c r="N1852" s="6">
        <v>0.39999999999999997</v>
      </c>
    </row>
    <row r="1853" spans="1:14" ht="15.75" customHeight="1" x14ac:dyDescent="0.45">
      <c r="A1853" s="1" t="s">
        <v>120</v>
      </c>
      <c r="B1853" s="1">
        <v>1197831</v>
      </c>
      <c r="C1853" s="2">
        <v>44809</v>
      </c>
      <c r="D1853" s="1" t="s">
        <v>19</v>
      </c>
      <c r="E1853" s="1" t="s">
        <v>66</v>
      </c>
      <c r="F1853" s="1" t="s">
        <v>67</v>
      </c>
      <c r="G1853" s="1" t="s">
        <v>16</v>
      </c>
      <c r="H1853" s="1">
        <v>31</v>
      </c>
      <c r="I1853" s="1" t="s">
        <v>125</v>
      </c>
      <c r="J1853" s="3">
        <v>0.6</v>
      </c>
      <c r="K1853" s="4">
        <v>4000</v>
      </c>
      <c r="L1853" s="5">
        <f t="shared" si="14"/>
        <v>2400</v>
      </c>
      <c r="M1853" s="5">
        <f t="shared" si="15"/>
        <v>1200</v>
      </c>
      <c r="N1853" s="6">
        <v>0.5</v>
      </c>
    </row>
    <row r="1854" spans="1:14" ht="15.75" customHeight="1" x14ac:dyDescent="0.45">
      <c r="A1854" s="1" t="s">
        <v>120</v>
      </c>
      <c r="B1854" s="1">
        <v>1197831</v>
      </c>
      <c r="C1854" s="2">
        <v>44809</v>
      </c>
      <c r="D1854" s="1" t="s">
        <v>19</v>
      </c>
      <c r="E1854" s="1" t="s">
        <v>66</v>
      </c>
      <c r="F1854" s="1" t="s">
        <v>67</v>
      </c>
      <c r="G1854" s="1" t="s">
        <v>17</v>
      </c>
      <c r="H1854" s="1">
        <v>33</v>
      </c>
      <c r="I1854" s="1" t="s">
        <v>126</v>
      </c>
      <c r="J1854" s="3">
        <v>0.55000000000000004</v>
      </c>
      <c r="K1854" s="4">
        <v>4000</v>
      </c>
      <c r="L1854" s="5">
        <f t="shared" si="14"/>
        <v>2200</v>
      </c>
      <c r="M1854" s="5">
        <f t="shared" si="15"/>
        <v>770</v>
      </c>
      <c r="N1854" s="6">
        <v>0.35</v>
      </c>
    </row>
    <row r="1855" spans="1:14" ht="15.75" customHeight="1" x14ac:dyDescent="0.45">
      <c r="A1855" s="1" t="s">
        <v>120</v>
      </c>
      <c r="B1855" s="1">
        <v>1197831</v>
      </c>
      <c r="C1855" s="2">
        <v>44809</v>
      </c>
      <c r="D1855" s="1" t="s">
        <v>19</v>
      </c>
      <c r="E1855" s="1" t="s">
        <v>66</v>
      </c>
      <c r="F1855" s="1" t="s">
        <v>67</v>
      </c>
      <c r="G1855" s="1" t="s">
        <v>18</v>
      </c>
      <c r="H1855" s="1">
        <v>47</v>
      </c>
      <c r="I1855" s="1" t="s">
        <v>126</v>
      </c>
      <c r="J1855" s="3">
        <v>0.5</v>
      </c>
      <c r="K1855" s="4">
        <v>6250</v>
      </c>
      <c r="L1855" s="5">
        <f t="shared" si="14"/>
        <v>3125</v>
      </c>
      <c r="M1855" s="5">
        <f t="shared" si="15"/>
        <v>1718.7500000000002</v>
      </c>
      <c r="N1855" s="6">
        <v>0.55000000000000004</v>
      </c>
    </row>
    <row r="1856" spans="1:14" ht="15.75" customHeight="1" x14ac:dyDescent="0.45">
      <c r="A1856" s="1" t="s">
        <v>120</v>
      </c>
      <c r="B1856" s="1">
        <v>1197831</v>
      </c>
      <c r="C1856" s="2">
        <v>44838</v>
      </c>
      <c r="D1856" s="1" t="s">
        <v>19</v>
      </c>
      <c r="E1856" s="1" t="s">
        <v>66</v>
      </c>
      <c r="F1856" s="1" t="s">
        <v>67</v>
      </c>
      <c r="G1856" s="1" t="s">
        <v>13</v>
      </c>
      <c r="H1856" s="1">
        <v>20</v>
      </c>
      <c r="I1856" s="1" t="s">
        <v>125</v>
      </c>
      <c r="J1856" s="3">
        <v>0.4</v>
      </c>
      <c r="K1856" s="4">
        <v>5750</v>
      </c>
      <c r="L1856" s="5">
        <f t="shared" si="14"/>
        <v>2300</v>
      </c>
      <c r="M1856" s="5">
        <f t="shared" si="15"/>
        <v>919.99999999999989</v>
      </c>
      <c r="N1856" s="6">
        <v>0.39999999999999997</v>
      </c>
    </row>
    <row r="1857" spans="1:14" ht="15.75" customHeight="1" x14ac:dyDescent="0.45">
      <c r="A1857" s="1" t="s">
        <v>120</v>
      </c>
      <c r="B1857" s="1">
        <v>1197831</v>
      </c>
      <c r="C1857" s="2">
        <v>44838</v>
      </c>
      <c r="D1857" s="1" t="s">
        <v>19</v>
      </c>
      <c r="E1857" s="1" t="s">
        <v>66</v>
      </c>
      <c r="F1857" s="1" t="s">
        <v>67</v>
      </c>
      <c r="G1857" s="1" t="s">
        <v>14</v>
      </c>
      <c r="H1857" s="1">
        <v>54</v>
      </c>
      <c r="I1857" s="1" t="s">
        <v>126</v>
      </c>
      <c r="J1857" s="3">
        <v>0.4</v>
      </c>
      <c r="K1857" s="4">
        <v>5750</v>
      </c>
      <c r="L1857" s="5">
        <f t="shared" si="14"/>
        <v>2300</v>
      </c>
      <c r="M1857" s="5">
        <f t="shared" si="15"/>
        <v>919.99999999999989</v>
      </c>
      <c r="N1857" s="6">
        <v>0.39999999999999997</v>
      </c>
    </row>
    <row r="1858" spans="1:14" ht="15.75" customHeight="1" x14ac:dyDescent="0.45">
      <c r="A1858" s="1" t="s">
        <v>120</v>
      </c>
      <c r="B1858" s="1">
        <v>1197831</v>
      </c>
      <c r="C1858" s="2">
        <v>44838</v>
      </c>
      <c r="D1858" s="1" t="s">
        <v>19</v>
      </c>
      <c r="E1858" s="1" t="s">
        <v>66</v>
      </c>
      <c r="F1858" s="1" t="s">
        <v>67</v>
      </c>
      <c r="G1858" s="1" t="s">
        <v>15</v>
      </c>
      <c r="H1858" s="1">
        <v>28</v>
      </c>
      <c r="I1858" s="1" t="s">
        <v>126</v>
      </c>
      <c r="J1858" s="3">
        <v>0.45</v>
      </c>
      <c r="K1858" s="4">
        <v>5250</v>
      </c>
      <c r="L1858" s="5">
        <f t="shared" si="14"/>
        <v>2362.5</v>
      </c>
      <c r="M1858" s="5">
        <f t="shared" si="15"/>
        <v>944.99999999999989</v>
      </c>
      <c r="N1858" s="6">
        <v>0.39999999999999997</v>
      </c>
    </row>
    <row r="1859" spans="1:14" ht="15.75" customHeight="1" x14ac:dyDescent="0.45">
      <c r="A1859" s="1" t="s">
        <v>120</v>
      </c>
      <c r="B1859" s="1">
        <v>1197831</v>
      </c>
      <c r="C1859" s="2">
        <v>44838</v>
      </c>
      <c r="D1859" s="1" t="s">
        <v>19</v>
      </c>
      <c r="E1859" s="1" t="s">
        <v>66</v>
      </c>
      <c r="F1859" s="1" t="s">
        <v>67</v>
      </c>
      <c r="G1859" s="1" t="s">
        <v>16</v>
      </c>
      <c r="H1859" s="1">
        <v>41</v>
      </c>
      <c r="I1859" s="1" t="s">
        <v>123</v>
      </c>
      <c r="J1859" s="3">
        <v>0.45</v>
      </c>
      <c r="K1859" s="4">
        <v>3750</v>
      </c>
      <c r="L1859" s="5">
        <f t="shared" si="14"/>
        <v>1687.5</v>
      </c>
      <c r="M1859" s="5">
        <f t="shared" si="15"/>
        <v>843.75</v>
      </c>
      <c r="N1859" s="6">
        <v>0.5</v>
      </c>
    </row>
    <row r="1860" spans="1:14" ht="15.75" customHeight="1" x14ac:dyDescent="0.45">
      <c r="A1860" s="1" t="s">
        <v>120</v>
      </c>
      <c r="B1860" s="1">
        <v>1197831</v>
      </c>
      <c r="C1860" s="2">
        <v>44838</v>
      </c>
      <c r="D1860" s="1" t="s">
        <v>19</v>
      </c>
      <c r="E1860" s="1" t="s">
        <v>66</v>
      </c>
      <c r="F1860" s="1" t="s">
        <v>67</v>
      </c>
      <c r="G1860" s="1" t="s">
        <v>17</v>
      </c>
      <c r="H1860" s="1">
        <v>50</v>
      </c>
      <c r="I1860" s="1" t="s">
        <v>123</v>
      </c>
      <c r="J1860" s="3">
        <v>0.35000000000000003</v>
      </c>
      <c r="K1860" s="4">
        <v>3500</v>
      </c>
      <c r="L1860" s="5">
        <f t="shared" si="14"/>
        <v>1225.0000000000002</v>
      </c>
      <c r="M1860" s="5">
        <f t="shared" si="15"/>
        <v>428.75000000000006</v>
      </c>
      <c r="N1860" s="6">
        <v>0.35</v>
      </c>
    </row>
    <row r="1861" spans="1:14" ht="15.75" customHeight="1" x14ac:dyDescent="0.45">
      <c r="A1861" s="1" t="s">
        <v>120</v>
      </c>
      <c r="B1861" s="1">
        <v>1197831</v>
      </c>
      <c r="C1861" s="2">
        <v>44838</v>
      </c>
      <c r="D1861" s="1" t="s">
        <v>19</v>
      </c>
      <c r="E1861" s="1" t="s">
        <v>66</v>
      </c>
      <c r="F1861" s="1" t="s">
        <v>67</v>
      </c>
      <c r="G1861" s="1" t="s">
        <v>18</v>
      </c>
      <c r="H1861" s="1">
        <v>16</v>
      </c>
      <c r="I1861" s="1" t="s">
        <v>123</v>
      </c>
      <c r="J1861" s="3">
        <v>0.45</v>
      </c>
      <c r="K1861" s="4">
        <v>5250</v>
      </c>
      <c r="L1861" s="5">
        <f t="shared" si="14"/>
        <v>2362.5</v>
      </c>
      <c r="M1861" s="5">
        <f t="shared" si="15"/>
        <v>1299.375</v>
      </c>
      <c r="N1861" s="6">
        <v>0.55000000000000004</v>
      </c>
    </row>
    <row r="1862" spans="1:14" ht="15.75" customHeight="1" x14ac:dyDescent="0.45">
      <c r="A1862" s="1" t="s">
        <v>120</v>
      </c>
      <c r="B1862" s="1">
        <v>1197831</v>
      </c>
      <c r="C1862" s="2">
        <v>44870</v>
      </c>
      <c r="D1862" s="1" t="s">
        <v>19</v>
      </c>
      <c r="E1862" s="1" t="s">
        <v>66</v>
      </c>
      <c r="F1862" s="1" t="s">
        <v>67</v>
      </c>
      <c r="G1862" s="1" t="s">
        <v>13</v>
      </c>
      <c r="H1862" s="1">
        <v>36</v>
      </c>
      <c r="I1862" s="1" t="s">
        <v>123</v>
      </c>
      <c r="J1862" s="3">
        <v>0.35000000000000003</v>
      </c>
      <c r="K1862" s="4">
        <v>6750</v>
      </c>
      <c r="L1862" s="5">
        <f t="shared" si="14"/>
        <v>2362.5</v>
      </c>
      <c r="M1862" s="5">
        <f t="shared" si="15"/>
        <v>944.99999999999989</v>
      </c>
      <c r="N1862" s="6">
        <v>0.39999999999999997</v>
      </c>
    </row>
    <row r="1863" spans="1:14" ht="15.75" customHeight="1" x14ac:dyDescent="0.45">
      <c r="A1863" s="1" t="s">
        <v>120</v>
      </c>
      <c r="B1863" s="1">
        <v>1197831</v>
      </c>
      <c r="C1863" s="2">
        <v>44870</v>
      </c>
      <c r="D1863" s="1" t="s">
        <v>19</v>
      </c>
      <c r="E1863" s="1" t="s">
        <v>66</v>
      </c>
      <c r="F1863" s="1" t="s">
        <v>67</v>
      </c>
      <c r="G1863" s="1" t="s">
        <v>14</v>
      </c>
      <c r="H1863" s="1">
        <v>20</v>
      </c>
      <c r="I1863" s="1" t="s">
        <v>124</v>
      </c>
      <c r="J1863" s="3">
        <v>0.35000000000000003</v>
      </c>
      <c r="K1863" s="4">
        <v>6750</v>
      </c>
      <c r="L1863" s="5">
        <f t="shared" si="14"/>
        <v>2362.5</v>
      </c>
      <c r="M1863" s="5">
        <f t="shared" si="15"/>
        <v>944.99999999999989</v>
      </c>
      <c r="N1863" s="6">
        <v>0.39999999999999997</v>
      </c>
    </row>
    <row r="1864" spans="1:14" ht="15.75" customHeight="1" x14ac:dyDescent="0.45">
      <c r="A1864" s="1" t="s">
        <v>120</v>
      </c>
      <c r="B1864" s="1">
        <v>1197831</v>
      </c>
      <c r="C1864" s="2">
        <v>44870</v>
      </c>
      <c r="D1864" s="1" t="s">
        <v>19</v>
      </c>
      <c r="E1864" s="1" t="s">
        <v>66</v>
      </c>
      <c r="F1864" s="1" t="s">
        <v>67</v>
      </c>
      <c r="G1864" s="1" t="s">
        <v>15</v>
      </c>
      <c r="H1864" s="1">
        <v>24</v>
      </c>
      <c r="I1864" s="1" t="s">
        <v>126</v>
      </c>
      <c r="J1864" s="3">
        <v>0.6</v>
      </c>
      <c r="K1864" s="4">
        <v>6000</v>
      </c>
      <c r="L1864" s="5">
        <f t="shared" si="14"/>
        <v>3600</v>
      </c>
      <c r="M1864" s="5">
        <f t="shared" si="15"/>
        <v>1439.9999999999998</v>
      </c>
      <c r="N1864" s="6">
        <v>0.39999999999999997</v>
      </c>
    </row>
    <row r="1865" spans="1:14" ht="15.75" customHeight="1" x14ac:dyDescent="0.45">
      <c r="A1865" s="1" t="s">
        <v>120</v>
      </c>
      <c r="B1865" s="1">
        <v>1197831</v>
      </c>
      <c r="C1865" s="2">
        <v>44870</v>
      </c>
      <c r="D1865" s="1" t="s">
        <v>19</v>
      </c>
      <c r="E1865" s="1" t="s">
        <v>66</v>
      </c>
      <c r="F1865" s="1" t="s">
        <v>67</v>
      </c>
      <c r="G1865" s="1" t="s">
        <v>16</v>
      </c>
      <c r="H1865" s="1">
        <v>26</v>
      </c>
      <c r="I1865" s="1" t="s">
        <v>125</v>
      </c>
      <c r="J1865" s="3">
        <v>0.6</v>
      </c>
      <c r="K1865" s="4">
        <v>4500</v>
      </c>
      <c r="L1865" s="5">
        <f t="shared" si="14"/>
        <v>2700</v>
      </c>
      <c r="M1865" s="5">
        <f t="shared" si="15"/>
        <v>1350</v>
      </c>
      <c r="N1865" s="6">
        <v>0.5</v>
      </c>
    </row>
    <row r="1866" spans="1:14" ht="15.75" customHeight="1" x14ac:dyDescent="0.45">
      <c r="A1866" s="1" t="s">
        <v>120</v>
      </c>
      <c r="B1866" s="1">
        <v>1197831</v>
      </c>
      <c r="C1866" s="2">
        <v>44870</v>
      </c>
      <c r="D1866" s="1" t="s">
        <v>19</v>
      </c>
      <c r="E1866" s="1" t="s">
        <v>66</v>
      </c>
      <c r="F1866" s="1" t="s">
        <v>67</v>
      </c>
      <c r="G1866" s="1" t="s">
        <v>17</v>
      </c>
      <c r="H1866" s="1">
        <v>33</v>
      </c>
      <c r="I1866" s="1" t="s">
        <v>126</v>
      </c>
      <c r="J1866" s="3">
        <v>0.54999999999999993</v>
      </c>
      <c r="K1866" s="4">
        <v>4250</v>
      </c>
      <c r="L1866" s="5">
        <f t="shared" si="14"/>
        <v>2337.4999999999995</v>
      </c>
      <c r="M1866" s="5">
        <f t="shared" si="15"/>
        <v>818.12499999999977</v>
      </c>
      <c r="N1866" s="6">
        <v>0.35</v>
      </c>
    </row>
    <row r="1867" spans="1:14" ht="15.75" customHeight="1" x14ac:dyDescent="0.45">
      <c r="A1867" s="1" t="s">
        <v>120</v>
      </c>
      <c r="B1867" s="1">
        <v>1197831</v>
      </c>
      <c r="C1867" s="2">
        <v>44870</v>
      </c>
      <c r="D1867" s="1" t="s">
        <v>19</v>
      </c>
      <c r="E1867" s="1" t="s">
        <v>66</v>
      </c>
      <c r="F1867" s="1" t="s">
        <v>67</v>
      </c>
      <c r="G1867" s="1" t="s">
        <v>18</v>
      </c>
      <c r="H1867" s="1">
        <v>34</v>
      </c>
      <c r="I1867" s="1" t="s">
        <v>124</v>
      </c>
      <c r="J1867" s="3">
        <v>0.65</v>
      </c>
      <c r="K1867" s="4">
        <v>6250</v>
      </c>
      <c r="L1867" s="5">
        <f t="shared" si="14"/>
        <v>4062.5</v>
      </c>
      <c r="M1867" s="5">
        <f t="shared" si="15"/>
        <v>2234.375</v>
      </c>
      <c r="N1867" s="6">
        <v>0.55000000000000004</v>
      </c>
    </row>
    <row r="1868" spans="1:14" ht="15.75" customHeight="1" x14ac:dyDescent="0.45">
      <c r="A1868" s="1" t="s">
        <v>120</v>
      </c>
      <c r="B1868" s="1">
        <v>1197831</v>
      </c>
      <c r="C1868" s="2">
        <v>44899</v>
      </c>
      <c r="D1868" s="1" t="s">
        <v>19</v>
      </c>
      <c r="E1868" s="1" t="s">
        <v>66</v>
      </c>
      <c r="F1868" s="1" t="s">
        <v>67</v>
      </c>
      <c r="G1868" s="1" t="s">
        <v>13</v>
      </c>
      <c r="H1868" s="1">
        <v>50</v>
      </c>
      <c r="I1868" s="1" t="s">
        <v>123</v>
      </c>
      <c r="J1868" s="3">
        <v>0.54999999999999993</v>
      </c>
      <c r="K1868" s="4">
        <v>7750</v>
      </c>
      <c r="L1868" s="5">
        <f t="shared" si="14"/>
        <v>4262.4999999999991</v>
      </c>
      <c r="M1868" s="5">
        <f t="shared" si="15"/>
        <v>1704.9999999999995</v>
      </c>
      <c r="N1868" s="6">
        <v>0.39999999999999997</v>
      </c>
    </row>
    <row r="1869" spans="1:14" ht="15.75" customHeight="1" x14ac:dyDescent="0.45">
      <c r="A1869" s="1" t="s">
        <v>120</v>
      </c>
      <c r="B1869" s="1">
        <v>1197831</v>
      </c>
      <c r="C1869" s="2">
        <v>44899</v>
      </c>
      <c r="D1869" s="1" t="s">
        <v>19</v>
      </c>
      <c r="E1869" s="1" t="s">
        <v>66</v>
      </c>
      <c r="F1869" s="1" t="s">
        <v>67</v>
      </c>
      <c r="G1869" s="1" t="s">
        <v>14</v>
      </c>
      <c r="H1869" s="1">
        <v>59</v>
      </c>
      <c r="I1869" s="1" t="s">
        <v>126</v>
      </c>
      <c r="J1869" s="3">
        <v>0.54999999999999993</v>
      </c>
      <c r="K1869" s="4">
        <v>7750</v>
      </c>
      <c r="L1869" s="5">
        <f t="shared" si="14"/>
        <v>4262.4999999999991</v>
      </c>
      <c r="M1869" s="5">
        <f t="shared" si="15"/>
        <v>1704.9999999999995</v>
      </c>
      <c r="N1869" s="6">
        <v>0.39999999999999997</v>
      </c>
    </row>
    <row r="1870" spans="1:14" ht="15.75" customHeight="1" x14ac:dyDescent="0.45">
      <c r="A1870" s="1" t="s">
        <v>120</v>
      </c>
      <c r="B1870" s="1">
        <v>1197831</v>
      </c>
      <c r="C1870" s="2">
        <v>44899</v>
      </c>
      <c r="D1870" s="1" t="s">
        <v>19</v>
      </c>
      <c r="E1870" s="1" t="s">
        <v>66</v>
      </c>
      <c r="F1870" s="1" t="s">
        <v>67</v>
      </c>
      <c r="G1870" s="1" t="s">
        <v>15</v>
      </c>
      <c r="H1870" s="1">
        <v>53</v>
      </c>
      <c r="I1870" s="1" t="s">
        <v>125</v>
      </c>
      <c r="J1870" s="3">
        <v>0.6</v>
      </c>
      <c r="K1870" s="4">
        <v>6750</v>
      </c>
      <c r="L1870" s="5">
        <f t="shared" si="14"/>
        <v>4050</v>
      </c>
      <c r="M1870" s="5">
        <f t="shared" si="15"/>
        <v>1619.9999999999998</v>
      </c>
      <c r="N1870" s="6">
        <v>0.39999999999999997</v>
      </c>
    </row>
    <row r="1871" spans="1:14" ht="15.75" customHeight="1" x14ac:dyDescent="0.45">
      <c r="A1871" s="1" t="s">
        <v>120</v>
      </c>
      <c r="B1871" s="1">
        <v>1197831</v>
      </c>
      <c r="C1871" s="2">
        <v>44899</v>
      </c>
      <c r="D1871" s="1" t="s">
        <v>19</v>
      </c>
      <c r="E1871" s="1" t="s">
        <v>66</v>
      </c>
      <c r="F1871" s="1" t="s">
        <v>67</v>
      </c>
      <c r="G1871" s="1" t="s">
        <v>16</v>
      </c>
      <c r="H1871" s="1">
        <v>47</v>
      </c>
      <c r="I1871" s="1" t="s">
        <v>123</v>
      </c>
      <c r="J1871" s="3">
        <v>0.6</v>
      </c>
      <c r="K1871" s="4">
        <v>5250</v>
      </c>
      <c r="L1871" s="5">
        <f t="shared" si="14"/>
        <v>3150</v>
      </c>
      <c r="M1871" s="5">
        <f t="shared" si="15"/>
        <v>1575</v>
      </c>
      <c r="N1871" s="6">
        <v>0.5</v>
      </c>
    </row>
    <row r="1872" spans="1:14" ht="15.75" customHeight="1" x14ac:dyDescent="0.45">
      <c r="A1872" s="1" t="s">
        <v>120</v>
      </c>
      <c r="B1872" s="1">
        <v>1197831</v>
      </c>
      <c r="C1872" s="2">
        <v>44899</v>
      </c>
      <c r="D1872" s="1" t="s">
        <v>19</v>
      </c>
      <c r="E1872" s="1" t="s">
        <v>66</v>
      </c>
      <c r="F1872" s="1" t="s">
        <v>67</v>
      </c>
      <c r="G1872" s="1" t="s">
        <v>17</v>
      </c>
      <c r="H1872" s="1">
        <v>51</v>
      </c>
      <c r="I1872" s="1" t="s">
        <v>126</v>
      </c>
      <c r="J1872" s="3">
        <v>0.54999999999999993</v>
      </c>
      <c r="K1872" s="4">
        <v>4750</v>
      </c>
      <c r="L1872" s="5">
        <f t="shared" si="14"/>
        <v>2612.4999999999995</v>
      </c>
      <c r="M1872" s="5">
        <f t="shared" si="15"/>
        <v>914.37499999999977</v>
      </c>
      <c r="N1872" s="6">
        <v>0.35</v>
      </c>
    </row>
    <row r="1873" spans="1:14" ht="15.75" customHeight="1" x14ac:dyDescent="0.45">
      <c r="A1873" s="1" t="s">
        <v>120</v>
      </c>
      <c r="B1873" s="1">
        <v>1197831</v>
      </c>
      <c r="C1873" s="2">
        <v>44899</v>
      </c>
      <c r="D1873" s="1" t="s">
        <v>19</v>
      </c>
      <c r="E1873" s="1" t="s">
        <v>66</v>
      </c>
      <c r="F1873" s="1" t="s">
        <v>67</v>
      </c>
      <c r="G1873" s="1" t="s">
        <v>18</v>
      </c>
      <c r="H1873" s="1">
        <v>59</v>
      </c>
      <c r="I1873" s="1" t="s">
        <v>126</v>
      </c>
      <c r="J1873" s="3">
        <v>0.65</v>
      </c>
      <c r="K1873" s="4">
        <v>7250</v>
      </c>
      <c r="L1873" s="5">
        <f t="shared" si="14"/>
        <v>4712.5</v>
      </c>
      <c r="M1873" s="5">
        <f t="shared" si="15"/>
        <v>2591.875</v>
      </c>
      <c r="N1873" s="6">
        <v>0.55000000000000004</v>
      </c>
    </row>
    <row r="1874" spans="1:14" ht="15.75" customHeight="1" x14ac:dyDescent="0.45">
      <c r="A1874" s="1" t="s">
        <v>121</v>
      </c>
      <c r="B1874" s="1">
        <v>1128299</v>
      </c>
      <c r="C1874" s="2">
        <v>44584</v>
      </c>
      <c r="D1874" s="1" t="s">
        <v>22</v>
      </c>
      <c r="E1874" s="1" t="s">
        <v>68</v>
      </c>
      <c r="F1874" s="1" t="s">
        <v>69</v>
      </c>
      <c r="G1874" s="1" t="s">
        <v>13</v>
      </c>
      <c r="H1874" s="1">
        <v>40</v>
      </c>
      <c r="I1874" s="1" t="s">
        <v>126</v>
      </c>
      <c r="J1874" s="3">
        <v>0.29999999999999993</v>
      </c>
      <c r="K1874" s="4">
        <v>4250</v>
      </c>
      <c r="L1874" s="5">
        <f t="shared" si="14"/>
        <v>1274.9999999999998</v>
      </c>
      <c r="M1874" s="5">
        <f t="shared" si="15"/>
        <v>446.24999999999989</v>
      </c>
      <c r="N1874" s="6">
        <v>0.35</v>
      </c>
    </row>
    <row r="1875" spans="1:14" ht="15.75" customHeight="1" x14ac:dyDescent="0.45">
      <c r="A1875" s="1" t="s">
        <v>121</v>
      </c>
      <c r="B1875" s="1">
        <v>1128299</v>
      </c>
      <c r="C1875" s="2">
        <v>44584</v>
      </c>
      <c r="D1875" s="1" t="s">
        <v>22</v>
      </c>
      <c r="E1875" s="1" t="s">
        <v>68</v>
      </c>
      <c r="F1875" s="1" t="s">
        <v>69</v>
      </c>
      <c r="G1875" s="1" t="s">
        <v>14</v>
      </c>
      <c r="H1875" s="1">
        <v>40</v>
      </c>
      <c r="I1875" s="1" t="s">
        <v>125</v>
      </c>
      <c r="J1875" s="3">
        <v>0.4</v>
      </c>
      <c r="K1875" s="4">
        <v>4250</v>
      </c>
      <c r="L1875" s="5">
        <f t="shared" si="14"/>
        <v>1700</v>
      </c>
      <c r="M1875" s="5">
        <f t="shared" si="15"/>
        <v>680</v>
      </c>
      <c r="N1875" s="6">
        <v>0.4</v>
      </c>
    </row>
    <row r="1876" spans="1:14" ht="15.75" customHeight="1" x14ac:dyDescent="0.45">
      <c r="A1876" s="1" t="s">
        <v>121</v>
      </c>
      <c r="B1876" s="1">
        <v>1128299</v>
      </c>
      <c r="C1876" s="2">
        <v>44584</v>
      </c>
      <c r="D1876" s="1" t="s">
        <v>22</v>
      </c>
      <c r="E1876" s="1" t="s">
        <v>68</v>
      </c>
      <c r="F1876" s="1" t="s">
        <v>69</v>
      </c>
      <c r="G1876" s="1" t="s">
        <v>15</v>
      </c>
      <c r="H1876" s="1">
        <v>60</v>
      </c>
      <c r="I1876" s="1" t="s">
        <v>125</v>
      </c>
      <c r="J1876" s="3">
        <v>0.4</v>
      </c>
      <c r="K1876" s="4">
        <v>4250</v>
      </c>
      <c r="L1876" s="5">
        <f t="shared" si="14"/>
        <v>1700</v>
      </c>
      <c r="M1876" s="5">
        <f t="shared" si="15"/>
        <v>595</v>
      </c>
      <c r="N1876" s="6">
        <v>0.35</v>
      </c>
    </row>
    <row r="1877" spans="1:14" ht="15.75" customHeight="1" x14ac:dyDescent="0.45">
      <c r="A1877" s="1" t="s">
        <v>121</v>
      </c>
      <c r="B1877" s="1">
        <v>1128299</v>
      </c>
      <c r="C1877" s="2">
        <v>44584</v>
      </c>
      <c r="D1877" s="1" t="s">
        <v>22</v>
      </c>
      <c r="E1877" s="1" t="s">
        <v>68</v>
      </c>
      <c r="F1877" s="1" t="s">
        <v>69</v>
      </c>
      <c r="G1877" s="1" t="s">
        <v>16</v>
      </c>
      <c r="H1877" s="1">
        <v>50</v>
      </c>
      <c r="I1877" s="1" t="s">
        <v>123</v>
      </c>
      <c r="J1877" s="3">
        <v>0.4</v>
      </c>
      <c r="K1877" s="4">
        <v>2750</v>
      </c>
      <c r="L1877" s="5">
        <f t="shared" si="14"/>
        <v>1100</v>
      </c>
      <c r="M1877" s="5">
        <f t="shared" si="15"/>
        <v>385</v>
      </c>
      <c r="N1877" s="6">
        <v>0.35</v>
      </c>
    </row>
    <row r="1878" spans="1:14" ht="15.75" customHeight="1" x14ac:dyDescent="0.45">
      <c r="A1878" s="1" t="s">
        <v>121</v>
      </c>
      <c r="B1878" s="1">
        <v>1128299</v>
      </c>
      <c r="C1878" s="2">
        <v>44584</v>
      </c>
      <c r="D1878" s="1" t="s">
        <v>22</v>
      </c>
      <c r="E1878" s="1" t="s">
        <v>68</v>
      </c>
      <c r="F1878" s="1" t="s">
        <v>69</v>
      </c>
      <c r="G1878" s="1" t="s">
        <v>17</v>
      </c>
      <c r="H1878" s="1">
        <v>18</v>
      </c>
      <c r="I1878" s="1" t="s">
        <v>126</v>
      </c>
      <c r="J1878" s="3">
        <v>0.45000000000000007</v>
      </c>
      <c r="K1878" s="4">
        <v>2250</v>
      </c>
      <c r="L1878" s="5">
        <f t="shared" si="14"/>
        <v>1012.5000000000001</v>
      </c>
      <c r="M1878" s="5">
        <f t="shared" si="15"/>
        <v>303.75</v>
      </c>
      <c r="N1878" s="6">
        <v>0.3</v>
      </c>
    </row>
    <row r="1879" spans="1:14" ht="15.75" customHeight="1" x14ac:dyDescent="0.45">
      <c r="A1879" s="1" t="s">
        <v>121</v>
      </c>
      <c r="B1879" s="1">
        <v>1128299</v>
      </c>
      <c r="C1879" s="2">
        <v>44584</v>
      </c>
      <c r="D1879" s="1" t="s">
        <v>22</v>
      </c>
      <c r="E1879" s="1" t="s">
        <v>68</v>
      </c>
      <c r="F1879" s="1" t="s">
        <v>69</v>
      </c>
      <c r="G1879" s="1" t="s">
        <v>18</v>
      </c>
      <c r="H1879" s="1">
        <v>19</v>
      </c>
      <c r="I1879" s="1" t="s">
        <v>125</v>
      </c>
      <c r="J1879" s="3">
        <v>0.4</v>
      </c>
      <c r="K1879" s="4">
        <v>4250</v>
      </c>
      <c r="L1879" s="5">
        <f t="shared" si="14"/>
        <v>1700</v>
      </c>
      <c r="M1879" s="5">
        <f t="shared" si="15"/>
        <v>425</v>
      </c>
      <c r="N1879" s="6">
        <v>0.25</v>
      </c>
    </row>
    <row r="1880" spans="1:14" ht="15.75" customHeight="1" x14ac:dyDescent="0.45">
      <c r="A1880" s="1" t="s">
        <v>121</v>
      </c>
      <c r="B1880" s="1">
        <v>1128299</v>
      </c>
      <c r="C1880" s="2">
        <v>44615</v>
      </c>
      <c r="D1880" s="1" t="s">
        <v>22</v>
      </c>
      <c r="E1880" s="1" t="s">
        <v>68</v>
      </c>
      <c r="F1880" s="1" t="s">
        <v>69</v>
      </c>
      <c r="G1880" s="1" t="s">
        <v>13</v>
      </c>
      <c r="H1880" s="1">
        <v>20</v>
      </c>
      <c r="I1880" s="1" t="s">
        <v>124</v>
      </c>
      <c r="J1880" s="3">
        <v>0.29999999999999993</v>
      </c>
      <c r="K1880" s="4">
        <v>4750</v>
      </c>
      <c r="L1880" s="5">
        <f t="shared" si="14"/>
        <v>1424.9999999999998</v>
      </c>
      <c r="M1880" s="5">
        <f t="shared" si="15"/>
        <v>498.74999999999989</v>
      </c>
      <c r="N1880" s="6">
        <v>0.35</v>
      </c>
    </row>
    <row r="1881" spans="1:14" ht="15.75" customHeight="1" x14ac:dyDescent="0.45">
      <c r="A1881" s="1" t="s">
        <v>121</v>
      </c>
      <c r="B1881" s="1">
        <v>1128299</v>
      </c>
      <c r="C1881" s="2">
        <v>44615</v>
      </c>
      <c r="D1881" s="1" t="s">
        <v>22</v>
      </c>
      <c r="E1881" s="1" t="s">
        <v>68</v>
      </c>
      <c r="F1881" s="1" t="s">
        <v>69</v>
      </c>
      <c r="G1881" s="1" t="s">
        <v>14</v>
      </c>
      <c r="H1881" s="1">
        <v>41</v>
      </c>
      <c r="I1881" s="1" t="s">
        <v>123</v>
      </c>
      <c r="J1881" s="3">
        <v>0.4</v>
      </c>
      <c r="K1881" s="4">
        <v>3750</v>
      </c>
      <c r="L1881" s="5">
        <f t="shared" si="14"/>
        <v>1500</v>
      </c>
      <c r="M1881" s="5">
        <f t="shared" si="15"/>
        <v>600</v>
      </c>
      <c r="N1881" s="6">
        <v>0.4</v>
      </c>
    </row>
    <row r="1882" spans="1:14" ht="15.75" customHeight="1" x14ac:dyDescent="0.45">
      <c r="A1882" s="1" t="s">
        <v>121</v>
      </c>
      <c r="B1882" s="1">
        <v>1128299</v>
      </c>
      <c r="C1882" s="2">
        <v>44615</v>
      </c>
      <c r="D1882" s="1" t="s">
        <v>22</v>
      </c>
      <c r="E1882" s="1" t="s">
        <v>68</v>
      </c>
      <c r="F1882" s="1" t="s">
        <v>69</v>
      </c>
      <c r="G1882" s="1" t="s">
        <v>15</v>
      </c>
      <c r="H1882" s="1">
        <v>32</v>
      </c>
      <c r="I1882" s="1" t="s">
        <v>124</v>
      </c>
      <c r="J1882" s="3">
        <v>0.4</v>
      </c>
      <c r="K1882" s="4">
        <v>3750</v>
      </c>
      <c r="L1882" s="5">
        <f t="shared" si="14"/>
        <v>1500</v>
      </c>
      <c r="M1882" s="5">
        <f t="shared" si="15"/>
        <v>525</v>
      </c>
      <c r="N1882" s="6">
        <v>0.35</v>
      </c>
    </row>
    <row r="1883" spans="1:14" ht="15.75" customHeight="1" x14ac:dyDescent="0.45">
      <c r="A1883" s="1" t="s">
        <v>121</v>
      </c>
      <c r="B1883" s="1">
        <v>1128299</v>
      </c>
      <c r="C1883" s="2">
        <v>44615</v>
      </c>
      <c r="D1883" s="1" t="s">
        <v>22</v>
      </c>
      <c r="E1883" s="1" t="s">
        <v>68</v>
      </c>
      <c r="F1883" s="1" t="s">
        <v>69</v>
      </c>
      <c r="G1883" s="1" t="s">
        <v>16</v>
      </c>
      <c r="H1883" s="1">
        <v>47</v>
      </c>
      <c r="I1883" s="1" t="s">
        <v>126</v>
      </c>
      <c r="J1883" s="3">
        <v>0.4</v>
      </c>
      <c r="K1883" s="4">
        <v>2250</v>
      </c>
      <c r="L1883" s="5">
        <f t="shared" si="14"/>
        <v>900</v>
      </c>
      <c r="M1883" s="5">
        <f t="shared" si="15"/>
        <v>315</v>
      </c>
      <c r="N1883" s="6">
        <v>0.35</v>
      </c>
    </row>
    <row r="1884" spans="1:14" ht="15.75" customHeight="1" x14ac:dyDescent="0.45">
      <c r="A1884" s="1" t="s">
        <v>121</v>
      </c>
      <c r="B1884" s="1">
        <v>1128299</v>
      </c>
      <c r="C1884" s="2">
        <v>44615</v>
      </c>
      <c r="D1884" s="1" t="s">
        <v>22</v>
      </c>
      <c r="E1884" s="1" t="s">
        <v>68</v>
      </c>
      <c r="F1884" s="1" t="s">
        <v>69</v>
      </c>
      <c r="G1884" s="1" t="s">
        <v>17</v>
      </c>
      <c r="H1884" s="1">
        <v>52</v>
      </c>
      <c r="I1884" s="1" t="s">
        <v>125</v>
      </c>
      <c r="J1884" s="3">
        <v>0.45000000000000007</v>
      </c>
      <c r="K1884" s="4">
        <v>1500</v>
      </c>
      <c r="L1884" s="5">
        <f t="shared" si="14"/>
        <v>675.00000000000011</v>
      </c>
      <c r="M1884" s="5">
        <f t="shared" si="15"/>
        <v>202.50000000000003</v>
      </c>
      <c r="N1884" s="6">
        <v>0.3</v>
      </c>
    </row>
    <row r="1885" spans="1:14" ht="15.75" customHeight="1" x14ac:dyDescent="0.45">
      <c r="A1885" s="1" t="s">
        <v>121</v>
      </c>
      <c r="B1885" s="1">
        <v>1128299</v>
      </c>
      <c r="C1885" s="2">
        <v>44615</v>
      </c>
      <c r="D1885" s="1" t="s">
        <v>22</v>
      </c>
      <c r="E1885" s="1" t="s">
        <v>68</v>
      </c>
      <c r="F1885" s="1" t="s">
        <v>69</v>
      </c>
      <c r="G1885" s="1" t="s">
        <v>18</v>
      </c>
      <c r="H1885" s="1">
        <v>43</v>
      </c>
      <c r="I1885" s="1" t="s">
        <v>123</v>
      </c>
      <c r="J1885" s="3">
        <v>0.4</v>
      </c>
      <c r="K1885" s="4">
        <v>3500</v>
      </c>
      <c r="L1885" s="5">
        <f t="shared" si="14"/>
        <v>1400</v>
      </c>
      <c r="M1885" s="5">
        <f t="shared" si="15"/>
        <v>350</v>
      </c>
      <c r="N1885" s="6">
        <v>0.25</v>
      </c>
    </row>
    <row r="1886" spans="1:14" ht="15.75" customHeight="1" x14ac:dyDescent="0.45">
      <c r="A1886" s="1" t="s">
        <v>121</v>
      </c>
      <c r="B1886" s="1">
        <v>1128299</v>
      </c>
      <c r="C1886" s="2">
        <v>44642</v>
      </c>
      <c r="D1886" s="1" t="s">
        <v>22</v>
      </c>
      <c r="E1886" s="1" t="s">
        <v>68</v>
      </c>
      <c r="F1886" s="1" t="s">
        <v>69</v>
      </c>
      <c r="G1886" s="1" t="s">
        <v>13</v>
      </c>
      <c r="H1886" s="1">
        <v>24</v>
      </c>
      <c r="I1886" s="1" t="s">
        <v>123</v>
      </c>
      <c r="J1886" s="3">
        <v>0.4</v>
      </c>
      <c r="K1886" s="4">
        <v>5000</v>
      </c>
      <c r="L1886" s="5">
        <f t="shared" si="14"/>
        <v>2000</v>
      </c>
      <c r="M1886" s="5">
        <f t="shared" si="15"/>
        <v>700</v>
      </c>
      <c r="N1886" s="6">
        <v>0.35</v>
      </c>
    </row>
    <row r="1887" spans="1:14" ht="15.75" customHeight="1" x14ac:dyDescent="0.45">
      <c r="A1887" s="1" t="s">
        <v>121</v>
      </c>
      <c r="B1887" s="1">
        <v>1128299</v>
      </c>
      <c r="C1887" s="2">
        <v>44642</v>
      </c>
      <c r="D1887" s="1" t="s">
        <v>22</v>
      </c>
      <c r="E1887" s="1" t="s">
        <v>68</v>
      </c>
      <c r="F1887" s="1" t="s">
        <v>69</v>
      </c>
      <c r="G1887" s="1" t="s">
        <v>14</v>
      </c>
      <c r="H1887" s="1">
        <v>39</v>
      </c>
      <c r="I1887" s="1" t="s">
        <v>123</v>
      </c>
      <c r="J1887" s="3">
        <v>0.5</v>
      </c>
      <c r="K1887" s="4">
        <v>3500</v>
      </c>
      <c r="L1887" s="5">
        <f t="shared" si="14"/>
        <v>1750</v>
      </c>
      <c r="M1887" s="5">
        <f t="shared" si="15"/>
        <v>700</v>
      </c>
      <c r="N1887" s="6">
        <v>0.4</v>
      </c>
    </row>
    <row r="1888" spans="1:14" ht="15.75" customHeight="1" x14ac:dyDescent="0.45">
      <c r="A1888" s="1" t="s">
        <v>121</v>
      </c>
      <c r="B1888" s="1">
        <v>1128299</v>
      </c>
      <c r="C1888" s="2">
        <v>44642</v>
      </c>
      <c r="D1888" s="1" t="s">
        <v>22</v>
      </c>
      <c r="E1888" s="1" t="s">
        <v>68</v>
      </c>
      <c r="F1888" s="1" t="s">
        <v>69</v>
      </c>
      <c r="G1888" s="1" t="s">
        <v>15</v>
      </c>
      <c r="H1888" s="1">
        <v>35</v>
      </c>
      <c r="I1888" s="1" t="s">
        <v>124</v>
      </c>
      <c r="J1888" s="3">
        <v>0.5</v>
      </c>
      <c r="K1888" s="4">
        <v>3500</v>
      </c>
      <c r="L1888" s="5">
        <f t="shared" si="14"/>
        <v>1750</v>
      </c>
      <c r="M1888" s="5">
        <f t="shared" si="15"/>
        <v>612.5</v>
      </c>
      <c r="N1888" s="6">
        <v>0.35</v>
      </c>
    </row>
    <row r="1889" spans="1:14" ht="15.75" customHeight="1" x14ac:dyDescent="0.45">
      <c r="A1889" s="1" t="s">
        <v>121</v>
      </c>
      <c r="B1889" s="1">
        <v>1128299</v>
      </c>
      <c r="C1889" s="2">
        <v>44642</v>
      </c>
      <c r="D1889" s="1" t="s">
        <v>22</v>
      </c>
      <c r="E1889" s="1" t="s">
        <v>68</v>
      </c>
      <c r="F1889" s="1" t="s">
        <v>69</v>
      </c>
      <c r="G1889" s="1" t="s">
        <v>16</v>
      </c>
      <c r="H1889" s="1">
        <v>30</v>
      </c>
      <c r="I1889" s="1" t="s">
        <v>124</v>
      </c>
      <c r="J1889" s="3">
        <v>0.5</v>
      </c>
      <c r="K1889" s="4">
        <v>2250</v>
      </c>
      <c r="L1889" s="5">
        <f t="shared" si="14"/>
        <v>1125</v>
      </c>
      <c r="M1889" s="5">
        <f t="shared" si="15"/>
        <v>393.75</v>
      </c>
      <c r="N1889" s="6">
        <v>0.35</v>
      </c>
    </row>
    <row r="1890" spans="1:14" ht="15.75" customHeight="1" x14ac:dyDescent="0.45">
      <c r="A1890" s="1" t="s">
        <v>121</v>
      </c>
      <c r="B1890" s="1">
        <v>1128299</v>
      </c>
      <c r="C1890" s="2">
        <v>44642</v>
      </c>
      <c r="D1890" s="1" t="s">
        <v>22</v>
      </c>
      <c r="E1890" s="1" t="s">
        <v>68</v>
      </c>
      <c r="F1890" s="1" t="s">
        <v>69</v>
      </c>
      <c r="G1890" s="1" t="s">
        <v>17</v>
      </c>
      <c r="H1890" s="1">
        <v>30</v>
      </c>
      <c r="I1890" s="1" t="s">
        <v>123</v>
      </c>
      <c r="J1890" s="3">
        <v>0.55000000000000004</v>
      </c>
      <c r="K1890" s="4">
        <v>1250</v>
      </c>
      <c r="L1890" s="5">
        <f t="shared" si="14"/>
        <v>687.5</v>
      </c>
      <c r="M1890" s="5">
        <f t="shared" si="15"/>
        <v>206.25</v>
      </c>
      <c r="N1890" s="6">
        <v>0.3</v>
      </c>
    </row>
    <row r="1891" spans="1:14" ht="15.75" customHeight="1" x14ac:dyDescent="0.45">
      <c r="A1891" s="1" t="s">
        <v>121</v>
      </c>
      <c r="B1891" s="1">
        <v>1128299</v>
      </c>
      <c r="C1891" s="2">
        <v>44642</v>
      </c>
      <c r="D1891" s="1" t="s">
        <v>22</v>
      </c>
      <c r="E1891" s="1" t="s">
        <v>68</v>
      </c>
      <c r="F1891" s="1" t="s">
        <v>69</v>
      </c>
      <c r="G1891" s="1" t="s">
        <v>18</v>
      </c>
      <c r="H1891" s="1">
        <v>43</v>
      </c>
      <c r="I1891" s="1" t="s">
        <v>125</v>
      </c>
      <c r="J1891" s="3">
        <v>0.5</v>
      </c>
      <c r="K1891" s="4">
        <v>3250</v>
      </c>
      <c r="L1891" s="5">
        <f t="shared" si="14"/>
        <v>1625</v>
      </c>
      <c r="M1891" s="5">
        <f t="shared" si="15"/>
        <v>406.25</v>
      </c>
      <c r="N1891" s="6">
        <v>0.25</v>
      </c>
    </row>
    <row r="1892" spans="1:14" ht="15.75" customHeight="1" x14ac:dyDescent="0.45">
      <c r="A1892" s="1" t="s">
        <v>121</v>
      </c>
      <c r="B1892" s="1">
        <v>1128299</v>
      </c>
      <c r="C1892" s="2">
        <v>44674</v>
      </c>
      <c r="D1892" s="1" t="s">
        <v>22</v>
      </c>
      <c r="E1892" s="1" t="s">
        <v>68</v>
      </c>
      <c r="F1892" s="1" t="s">
        <v>69</v>
      </c>
      <c r="G1892" s="1" t="s">
        <v>13</v>
      </c>
      <c r="H1892" s="1">
        <v>55</v>
      </c>
      <c r="I1892" s="1" t="s">
        <v>124</v>
      </c>
      <c r="J1892" s="3">
        <v>0.5</v>
      </c>
      <c r="K1892" s="4">
        <v>5000</v>
      </c>
      <c r="L1892" s="5">
        <f t="shared" si="14"/>
        <v>2500</v>
      </c>
      <c r="M1892" s="5">
        <f t="shared" si="15"/>
        <v>875</v>
      </c>
      <c r="N1892" s="6">
        <v>0.35</v>
      </c>
    </row>
    <row r="1893" spans="1:14" ht="15.75" customHeight="1" x14ac:dyDescent="0.45">
      <c r="A1893" s="1" t="s">
        <v>121</v>
      </c>
      <c r="B1893" s="1">
        <v>1128299</v>
      </c>
      <c r="C1893" s="2">
        <v>44674</v>
      </c>
      <c r="D1893" s="1" t="s">
        <v>22</v>
      </c>
      <c r="E1893" s="1" t="s">
        <v>68</v>
      </c>
      <c r="F1893" s="1" t="s">
        <v>69</v>
      </c>
      <c r="G1893" s="1" t="s">
        <v>14</v>
      </c>
      <c r="H1893" s="1">
        <v>30</v>
      </c>
      <c r="I1893" s="1" t="s">
        <v>125</v>
      </c>
      <c r="J1893" s="3">
        <v>0.55000000000000004</v>
      </c>
      <c r="K1893" s="4">
        <v>3000</v>
      </c>
      <c r="L1893" s="5">
        <f t="shared" si="14"/>
        <v>1650.0000000000002</v>
      </c>
      <c r="M1893" s="5">
        <f t="shared" si="15"/>
        <v>660.00000000000011</v>
      </c>
      <c r="N1893" s="6">
        <v>0.4</v>
      </c>
    </row>
    <row r="1894" spans="1:14" ht="15.75" customHeight="1" x14ac:dyDescent="0.45">
      <c r="A1894" s="1" t="s">
        <v>121</v>
      </c>
      <c r="B1894" s="1">
        <v>1128299</v>
      </c>
      <c r="C1894" s="2">
        <v>44674</v>
      </c>
      <c r="D1894" s="1" t="s">
        <v>22</v>
      </c>
      <c r="E1894" s="1" t="s">
        <v>68</v>
      </c>
      <c r="F1894" s="1" t="s">
        <v>69</v>
      </c>
      <c r="G1894" s="1" t="s">
        <v>15</v>
      </c>
      <c r="H1894" s="1">
        <v>39</v>
      </c>
      <c r="I1894" s="1" t="s">
        <v>124</v>
      </c>
      <c r="J1894" s="3">
        <v>0.55000000000000004</v>
      </c>
      <c r="K1894" s="4">
        <v>3500</v>
      </c>
      <c r="L1894" s="5">
        <f t="shared" si="14"/>
        <v>1925.0000000000002</v>
      </c>
      <c r="M1894" s="5">
        <f t="shared" si="15"/>
        <v>673.75</v>
      </c>
      <c r="N1894" s="6">
        <v>0.35</v>
      </c>
    </row>
    <row r="1895" spans="1:14" ht="15.75" customHeight="1" x14ac:dyDescent="0.45">
      <c r="A1895" s="1" t="s">
        <v>121</v>
      </c>
      <c r="B1895" s="1">
        <v>1128299</v>
      </c>
      <c r="C1895" s="2">
        <v>44674</v>
      </c>
      <c r="D1895" s="1" t="s">
        <v>22</v>
      </c>
      <c r="E1895" s="1" t="s">
        <v>68</v>
      </c>
      <c r="F1895" s="1" t="s">
        <v>69</v>
      </c>
      <c r="G1895" s="1" t="s">
        <v>16</v>
      </c>
      <c r="H1895" s="1">
        <v>21</v>
      </c>
      <c r="I1895" s="1" t="s">
        <v>123</v>
      </c>
      <c r="J1895" s="3">
        <v>0.5</v>
      </c>
      <c r="K1895" s="4">
        <v>2500</v>
      </c>
      <c r="L1895" s="5">
        <f t="shared" si="14"/>
        <v>1250</v>
      </c>
      <c r="M1895" s="5">
        <f t="shared" si="15"/>
        <v>437.5</v>
      </c>
      <c r="N1895" s="6">
        <v>0.35</v>
      </c>
    </row>
    <row r="1896" spans="1:14" ht="15.75" customHeight="1" x14ac:dyDescent="0.45">
      <c r="A1896" s="1" t="s">
        <v>121</v>
      </c>
      <c r="B1896" s="1">
        <v>1128299</v>
      </c>
      <c r="C1896" s="2">
        <v>44674</v>
      </c>
      <c r="D1896" s="1" t="s">
        <v>22</v>
      </c>
      <c r="E1896" s="1" t="s">
        <v>68</v>
      </c>
      <c r="F1896" s="1" t="s">
        <v>69</v>
      </c>
      <c r="G1896" s="1" t="s">
        <v>17</v>
      </c>
      <c r="H1896" s="1">
        <v>54</v>
      </c>
      <c r="I1896" s="1" t="s">
        <v>124</v>
      </c>
      <c r="J1896" s="3">
        <v>0.55000000000000004</v>
      </c>
      <c r="K1896" s="4">
        <v>1500</v>
      </c>
      <c r="L1896" s="5">
        <f t="shared" si="14"/>
        <v>825.00000000000011</v>
      </c>
      <c r="M1896" s="5">
        <f t="shared" si="15"/>
        <v>247.50000000000003</v>
      </c>
      <c r="N1896" s="6">
        <v>0.3</v>
      </c>
    </row>
    <row r="1897" spans="1:14" ht="15.75" customHeight="1" x14ac:dyDescent="0.45">
      <c r="A1897" s="1" t="s">
        <v>121</v>
      </c>
      <c r="B1897" s="1">
        <v>1128299</v>
      </c>
      <c r="C1897" s="2">
        <v>44674</v>
      </c>
      <c r="D1897" s="1" t="s">
        <v>22</v>
      </c>
      <c r="E1897" s="1" t="s">
        <v>68</v>
      </c>
      <c r="F1897" s="1" t="s">
        <v>69</v>
      </c>
      <c r="G1897" s="1" t="s">
        <v>18</v>
      </c>
      <c r="H1897" s="1">
        <v>35</v>
      </c>
      <c r="I1897" s="1" t="s">
        <v>124</v>
      </c>
      <c r="J1897" s="3">
        <v>0.70000000000000007</v>
      </c>
      <c r="K1897" s="4">
        <v>3250</v>
      </c>
      <c r="L1897" s="5">
        <f t="shared" si="14"/>
        <v>2275</v>
      </c>
      <c r="M1897" s="5">
        <f t="shared" si="15"/>
        <v>568.75</v>
      </c>
      <c r="N1897" s="6">
        <v>0.25</v>
      </c>
    </row>
    <row r="1898" spans="1:14" ht="15.75" customHeight="1" x14ac:dyDescent="0.45">
      <c r="A1898" s="1" t="s">
        <v>121</v>
      </c>
      <c r="B1898" s="1">
        <v>1128299</v>
      </c>
      <c r="C1898" s="2">
        <v>44705</v>
      </c>
      <c r="D1898" s="1" t="s">
        <v>22</v>
      </c>
      <c r="E1898" s="1" t="s">
        <v>68</v>
      </c>
      <c r="F1898" s="1" t="s">
        <v>69</v>
      </c>
      <c r="G1898" s="1" t="s">
        <v>13</v>
      </c>
      <c r="H1898" s="1">
        <v>40</v>
      </c>
      <c r="I1898" s="1" t="s">
        <v>124</v>
      </c>
      <c r="J1898" s="3">
        <v>0.5</v>
      </c>
      <c r="K1898" s="4">
        <v>5250</v>
      </c>
      <c r="L1898" s="5">
        <f t="shared" ref="L1898:L2152" si="16">J1898*K1898</f>
        <v>2625</v>
      </c>
      <c r="M1898" s="5">
        <f t="shared" ref="M1898:M2152" si="17">L1898*N1898</f>
        <v>918.74999999999989</v>
      </c>
      <c r="N1898" s="6">
        <v>0.35</v>
      </c>
    </row>
    <row r="1899" spans="1:14" ht="15.75" customHeight="1" x14ac:dyDescent="0.45">
      <c r="A1899" s="1" t="s">
        <v>121</v>
      </c>
      <c r="B1899" s="1">
        <v>1128299</v>
      </c>
      <c r="C1899" s="2">
        <v>44705</v>
      </c>
      <c r="D1899" s="1" t="s">
        <v>22</v>
      </c>
      <c r="E1899" s="1" t="s">
        <v>68</v>
      </c>
      <c r="F1899" s="1" t="s">
        <v>69</v>
      </c>
      <c r="G1899" s="1" t="s">
        <v>14</v>
      </c>
      <c r="H1899" s="1">
        <v>43</v>
      </c>
      <c r="I1899" s="1" t="s">
        <v>124</v>
      </c>
      <c r="J1899" s="3">
        <v>0.55000000000000004</v>
      </c>
      <c r="K1899" s="4">
        <v>3750</v>
      </c>
      <c r="L1899" s="5">
        <f t="shared" si="16"/>
        <v>2062.5</v>
      </c>
      <c r="M1899" s="5">
        <f t="shared" si="17"/>
        <v>825</v>
      </c>
      <c r="N1899" s="6">
        <v>0.4</v>
      </c>
    </row>
    <row r="1900" spans="1:14" ht="15.75" customHeight="1" x14ac:dyDescent="0.45">
      <c r="A1900" s="1" t="s">
        <v>121</v>
      </c>
      <c r="B1900" s="1">
        <v>1128299</v>
      </c>
      <c r="C1900" s="2">
        <v>44705</v>
      </c>
      <c r="D1900" s="1" t="s">
        <v>22</v>
      </c>
      <c r="E1900" s="1" t="s">
        <v>68</v>
      </c>
      <c r="F1900" s="1" t="s">
        <v>69</v>
      </c>
      <c r="G1900" s="1" t="s">
        <v>15</v>
      </c>
      <c r="H1900" s="1">
        <v>50</v>
      </c>
      <c r="I1900" s="1" t="s">
        <v>123</v>
      </c>
      <c r="J1900" s="3">
        <v>0.55000000000000004</v>
      </c>
      <c r="K1900" s="4">
        <v>4000</v>
      </c>
      <c r="L1900" s="5">
        <f t="shared" si="16"/>
        <v>2200</v>
      </c>
      <c r="M1900" s="5">
        <f t="shared" si="17"/>
        <v>770</v>
      </c>
      <c r="N1900" s="6">
        <v>0.35</v>
      </c>
    </row>
    <row r="1901" spans="1:14" ht="15.75" customHeight="1" x14ac:dyDescent="0.45">
      <c r="A1901" s="1" t="s">
        <v>121</v>
      </c>
      <c r="B1901" s="1">
        <v>1128299</v>
      </c>
      <c r="C1901" s="2">
        <v>44705</v>
      </c>
      <c r="D1901" s="1" t="s">
        <v>22</v>
      </c>
      <c r="E1901" s="1" t="s">
        <v>68</v>
      </c>
      <c r="F1901" s="1" t="s">
        <v>69</v>
      </c>
      <c r="G1901" s="1" t="s">
        <v>16</v>
      </c>
      <c r="H1901" s="1">
        <v>25</v>
      </c>
      <c r="I1901" s="1" t="s">
        <v>126</v>
      </c>
      <c r="J1901" s="3">
        <v>0.5</v>
      </c>
      <c r="K1901" s="4">
        <v>3000</v>
      </c>
      <c r="L1901" s="5">
        <f t="shared" si="16"/>
        <v>1500</v>
      </c>
      <c r="M1901" s="5">
        <f t="shared" si="17"/>
        <v>525</v>
      </c>
      <c r="N1901" s="6">
        <v>0.35</v>
      </c>
    </row>
    <row r="1902" spans="1:14" ht="15.75" customHeight="1" x14ac:dyDescent="0.45">
      <c r="A1902" s="1" t="s">
        <v>121</v>
      </c>
      <c r="B1902" s="1">
        <v>1128299</v>
      </c>
      <c r="C1902" s="2">
        <v>44705</v>
      </c>
      <c r="D1902" s="1" t="s">
        <v>22</v>
      </c>
      <c r="E1902" s="1" t="s">
        <v>68</v>
      </c>
      <c r="F1902" s="1" t="s">
        <v>69</v>
      </c>
      <c r="G1902" s="1" t="s">
        <v>17</v>
      </c>
      <c r="H1902" s="1">
        <v>21</v>
      </c>
      <c r="I1902" s="1" t="s">
        <v>124</v>
      </c>
      <c r="J1902" s="3">
        <v>0.55000000000000004</v>
      </c>
      <c r="K1902" s="4">
        <v>2000</v>
      </c>
      <c r="L1902" s="5">
        <f t="shared" si="16"/>
        <v>1100</v>
      </c>
      <c r="M1902" s="5">
        <f t="shared" si="17"/>
        <v>330</v>
      </c>
      <c r="N1902" s="6">
        <v>0.3</v>
      </c>
    </row>
    <row r="1903" spans="1:14" ht="15.75" customHeight="1" x14ac:dyDescent="0.45">
      <c r="A1903" s="1" t="s">
        <v>121</v>
      </c>
      <c r="B1903" s="1">
        <v>1128299</v>
      </c>
      <c r="C1903" s="2">
        <v>44705</v>
      </c>
      <c r="D1903" s="1" t="s">
        <v>22</v>
      </c>
      <c r="E1903" s="1" t="s">
        <v>68</v>
      </c>
      <c r="F1903" s="1" t="s">
        <v>69</v>
      </c>
      <c r="G1903" s="1" t="s">
        <v>18</v>
      </c>
      <c r="H1903" s="1">
        <v>29</v>
      </c>
      <c r="I1903" s="1" t="s">
        <v>125</v>
      </c>
      <c r="J1903" s="3">
        <v>0.70000000000000007</v>
      </c>
      <c r="K1903" s="4">
        <v>3750</v>
      </c>
      <c r="L1903" s="5">
        <f t="shared" si="16"/>
        <v>2625.0000000000005</v>
      </c>
      <c r="M1903" s="5">
        <f t="shared" si="17"/>
        <v>656.25000000000011</v>
      </c>
      <c r="N1903" s="6">
        <v>0.25</v>
      </c>
    </row>
    <row r="1904" spans="1:14" ht="15.75" customHeight="1" x14ac:dyDescent="0.45">
      <c r="A1904" s="1" t="s">
        <v>121</v>
      </c>
      <c r="B1904" s="1">
        <v>1128299</v>
      </c>
      <c r="C1904" s="2">
        <v>44735</v>
      </c>
      <c r="D1904" s="1" t="s">
        <v>22</v>
      </c>
      <c r="E1904" s="1" t="s">
        <v>68</v>
      </c>
      <c r="F1904" s="1" t="s">
        <v>69</v>
      </c>
      <c r="G1904" s="1" t="s">
        <v>13</v>
      </c>
      <c r="H1904" s="1">
        <v>29</v>
      </c>
      <c r="I1904" s="1" t="s">
        <v>124</v>
      </c>
      <c r="J1904" s="3">
        <v>0.5</v>
      </c>
      <c r="K1904" s="4">
        <v>6250</v>
      </c>
      <c r="L1904" s="5">
        <f t="shared" si="16"/>
        <v>3125</v>
      </c>
      <c r="M1904" s="5">
        <f t="shared" si="17"/>
        <v>1093.75</v>
      </c>
      <c r="N1904" s="6">
        <v>0.35</v>
      </c>
    </row>
    <row r="1905" spans="1:14" ht="15.75" customHeight="1" x14ac:dyDescent="0.45">
      <c r="A1905" s="1" t="s">
        <v>121</v>
      </c>
      <c r="B1905" s="1">
        <v>1128299</v>
      </c>
      <c r="C1905" s="2">
        <v>44735</v>
      </c>
      <c r="D1905" s="1" t="s">
        <v>22</v>
      </c>
      <c r="E1905" s="1" t="s">
        <v>68</v>
      </c>
      <c r="F1905" s="1" t="s">
        <v>69</v>
      </c>
      <c r="G1905" s="1" t="s">
        <v>14</v>
      </c>
      <c r="H1905" s="1">
        <v>45</v>
      </c>
      <c r="I1905" s="1" t="s">
        <v>123</v>
      </c>
      <c r="J1905" s="3">
        <v>0.55000000000000004</v>
      </c>
      <c r="K1905" s="4">
        <v>4750</v>
      </c>
      <c r="L1905" s="5">
        <f t="shared" si="16"/>
        <v>2612.5</v>
      </c>
      <c r="M1905" s="5">
        <f t="shared" si="17"/>
        <v>1045</v>
      </c>
      <c r="N1905" s="6">
        <v>0.4</v>
      </c>
    </row>
    <row r="1906" spans="1:14" ht="15.75" customHeight="1" x14ac:dyDescent="0.45">
      <c r="A1906" s="1" t="s">
        <v>121</v>
      </c>
      <c r="B1906" s="1">
        <v>1128299</v>
      </c>
      <c r="C1906" s="2">
        <v>44735</v>
      </c>
      <c r="D1906" s="1" t="s">
        <v>22</v>
      </c>
      <c r="E1906" s="1" t="s">
        <v>68</v>
      </c>
      <c r="F1906" s="1" t="s">
        <v>69</v>
      </c>
      <c r="G1906" s="1" t="s">
        <v>15</v>
      </c>
      <c r="H1906" s="1">
        <v>38</v>
      </c>
      <c r="I1906" s="1" t="s">
        <v>125</v>
      </c>
      <c r="J1906" s="3">
        <v>0.55000000000000004</v>
      </c>
      <c r="K1906" s="4">
        <v>4750</v>
      </c>
      <c r="L1906" s="5">
        <f t="shared" si="16"/>
        <v>2612.5</v>
      </c>
      <c r="M1906" s="5">
        <f t="shared" si="17"/>
        <v>914.37499999999989</v>
      </c>
      <c r="N1906" s="6">
        <v>0.35</v>
      </c>
    </row>
    <row r="1907" spans="1:14" ht="15.75" customHeight="1" x14ac:dyDescent="0.45">
      <c r="A1907" s="1" t="s">
        <v>121</v>
      </c>
      <c r="B1907" s="1">
        <v>1128299</v>
      </c>
      <c r="C1907" s="2">
        <v>44735</v>
      </c>
      <c r="D1907" s="1" t="s">
        <v>22</v>
      </c>
      <c r="E1907" s="1" t="s">
        <v>68</v>
      </c>
      <c r="F1907" s="1" t="s">
        <v>69</v>
      </c>
      <c r="G1907" s="1" t="s">
        <v>16</v>
      </c>
      <c r="H1907" s="1">
        <v>40</v>
      </c>
      <c r="I1907" s="1" t="s">
        <v>123</v>
      </c>
      <c r="J1907" s="3">
        <v>0.5</v>
      </c>
      <c r="K1907" s="4">
        <v>3500</v>
      </c>
      <c r="L1907" s="5">
        <f t="shared" si="16"/>
        <v>1750</v>
      </c>
      <c r="M1907" s="5">
        <f t="shared" si="17"/>
        <v>612.5</v>
      </c>
      <c r="N1907" s="6">
        <v>0.35</v>
      </c>
    </row>
    <row r="1908" spans="1:14" ht="15.75" customHeight="1" x14ac:dyDescent="0.45">
      <c r="A1908" s="1" t="s">
        <v>121</v>
      </c>
      <c r="B1908" s="1">
        <v>1128299</v>
      </c>
      <c r="C1908" s="2">
        <v>44735</v>
      </c>
      <c r="D1908" s="1" t="s">
        <v>22</v>
      </c>
      <c r="E1908" s="1" t="s">
        <v>68</v>
      </c>
      <c r="F1908" s="1" t="s">
        <v>69</v>
      </c>
      <c r="G1908" s="1" t="s">
        <v>17</v>
      </c>
      <c r="H1908" s="1">
        <v>52</v>
      </c>
      <c r="I1908" s="1" t="s">
        <v>125</v>
      </c>
      <c r="J1908" s="3">
        <v>0.55000000000000004</v>
      </c>
      <c r="K1908" s="4">
        <v>2250</v>
      </c>
      <c r="L1908" s="5">
        <f t="shared" si="16"/>
        <v>1237.5</v>
      </c>
      <c r="M1908" s="5">
        <f t="shared" si="17"/>
        <v>371.25</v>
      </c>
      <c r="N1908" s="6">
        <v>0.3</v>
      </c>
    </row>
    <row r="1909" spans="1:14" ht="15.75" customHeight="1" x14ac:dyDescent="0.45">
      <c r="A1909" s="1" t="s">
        <v>121</v>
      </c>
      <c r="B1909" s="1">
        <v>1128299</v>
      </c>
      <c r="C1909" s="2">
        <v>44735</v>
      </c>
      <c r="D1909" s="1" t="s">
        <v>22</v>
      </c>
      <c r="E1909" s="1" t="s">
        <v>68</v>
      </c>
      <c r="F1909" s="1" t="s">
        <v>69</v>
      </c>
      <c r="G1909" s="1" t="s">
        <v>18</v>
      </c>
      <c r="H1909" s="1">
        <v>27</v>
      </c>
      <c r="I1909" s="1" t="s">
        <v>123</v>
      </c>
      <c r="J1909" s="3">
        <v>0.70000000000000007</v>
      </c>
      <c r="K1909" s="4">
        <v>5250</v>
      </c>
      <c r="L1909" s="5">
        <f t="shared" si="16"/>
        <v>3675.0000000000005</v>
      </c>
      <c r="M1909" s="5">
        <f t="shared" si="17"/>
        <v>918.75000000000011</v>
      </c>
      <c r="N1909" s="6">
        <v>0.25</v>
      </c>
    </row>
    <row r="1910" spans="1:14" ht="15.75" customHeight="1" x14ac:dyDescent="0.45">
      <c r="A1910" s="1" t="s">
        <v>121</v>
      </c>
      <c r="B1910" s="1">
        <v>1128299</v>
      </c>
      <c r="C1910" s="2">
        <v>44764</v>
      </c>
      <c r="D1910" s="1" t="s">
        <v>22</v>
      </c>
      <c r="E1910" s="1" t="s">
        <v>68</v>
      </c>
      <c r="F1910" s="1" t="s">
        <v>69</v>
      </c>
      <c r="G1910" s="1" t="s">
        <v>13</v>
      </c>
      <c r="H1910" s="1">
        <v>43</v>
      </c>
      <c r="I1910" s="1" t="s">
        <v>125</v>
      </c>
      <c r="J1910" s="3">
        <v>0.5</v>
      </c>
      <c r="K1910" s="4">
        <v>6750</v>
      </c>
      <c r="L1910" s="5">
        <f t="shared" si="16"/>
        <v>3375</v>
      </c>
      <c r="M1910" s="5">
        <f t="shared" si="17"/>
        <v>1181.25</v>
      </c>
      <c r="N1910" s="6">
        <v>0.35</v>
      </c>
    </row>
    <row r="1911" spans="1:14" ht="15.75" customHeight="1" x14ac:dyDescent="0.45">
      <c r="A1911" s="1" t="s">
        <v>121</v>
      </c>
      <c r="B1911" s="1">
        <v>1128299</v>
      </c>
      <c r="C1911" s="2">
        <v>44764</v>
      </c>
      <c r="D1911" s="1" t="s">
        <v>22</v>
      </c>
      <c r="E1911" s="1" t="s">
        <v>68</v>
      </c>
      <c r="F1911" s="1" t="s">
        <v>69</v>
      </c>
      <c r="G1911" s="1" t="s">
        <v>14</v>
      </c>
      <c r="H1911" s="1">
        <v>41</v>
      </c>
      <c r="I1911" s="1" t="s">
        <v>123</v>
      </c>
      <c r="J1911" s="3">
        <v>0.55000000000000004</v>
      </c>
      <c r="K1911" s="4">
        <v>5250</v>
      </c>
      <c r="L1911" s="5">
        <f t="shared" si="16"/>
        <v>2887.5000000000005</v>
      </c>
      <c r="M1911" s="5">
        <f t="shared" si="17"/>
        <v>1155.0000000000002</v>
      </c>
      <c r="N1911" s="6">
        <v>0.4</v>
      </c>
    </row>
    <row r="1912" spans="1:14" ht="15.75" customHeight="1" x14ac:dyDescent="0.45">
      <c r="A1912" s="1" t="s">
        <v>121</v>
      </c>
      <c r="B1912" s="1">
        <v>1128299</v>
      </c>
      <c r="C1912" s="2">
        <v>44764</v>
      </c>
      <c r="D1912" s="1" t="s">
        <v>22</v>
      </c>
      <c r="E1912" s="1" t="s">
        <v>68</v>
      </c>
      <c r="F1912" s="1" t="s">
        <v>69</v>
      </c>
      <c r="G1912" s="1" t="s">
        <v>15</v>
      </c>
      <c r="H1912" s="1">
        <v>24</v>
      </c>
      <c r="I1912" s="1" t="s">
        <v>123</v>
      </c>
      <c r="J1912" s="3">
        <v>0.55000000000000004</v>
      </c>
      <c r="K1912" s="4">
        <v>4750</v>
      </c>
      <c r="L1912" s="5">
        <f t="shared" si="16"/>
        <v>2612.5</v>
      </c>
      <c r="M1912" s="5">
        <f t="shared" si="17"/>
        <v>914.37499999999989</v>
      </c>
      <c r="N1912" s="6">
        <v>0.35</v>
      </c>
    </row>
    <row r="1913" spans="1:14" ht="15.75" customHeight="1" x14ac:dyDescent="0.45">
      <c r="A1913" s="1" t="s">
        <v>121</v>
      </c>
      <c r="B1913" s="1">
        <v>1128299</v>
      </c>
      <c r="C1913" s="2">
        <v>44764</v>
      </c>
      <c r="D1913" s="1" t="s">
        <v>22</v>
      </c>
      <c r="E1913" s="1" t="s">
        <v>68</v>
      </c>
      <c r="F1913" s="1" t="s">
        <v>69</v>
      </c>
      <c r="G1913" s="1" t="s">
        <v>16</v>
      </c>
      <c r="H1913" s="1">
        <v>16</v>
      </c>
      <c r="I1913" s="1" t="s">
        <v>126</v>
      </c>
      <c r="J1913" s="3">
        <v>0.5</v>
      </c>
      <c r="K1913" s="4">
        <v>3750</v>
      </c>
      <c r="L1913" s="5">
        <f t="shared" si="16"/>
        <v>1875</v>
      </c>
      <c r="M1913" s="5">
        <f t="shared" si="17"/>
        <v>656.25</v>
      </c>
      <c r="N1913" s="6">
        <v>0.35</v>
      </c>
    </row>
    <row r="1914" spans="1:14" ht="15.75" customHeight="1" x14ac:dyDescent="0.45">
      <c r="A1914" s="1" t="s">
        <v>121</v>
      </c>
      <c r="B1914" s="1">
        <v>1128299</v>
      </c>
      <c r="C1914" s="2">
        <v>44764</v>
      </c>
      <c r="D1914" s="1" t="s">
        <v>22</v>
      </c>
      <c r="E1914" s="1" t="s">
        <v>68</v>
      </c>
      <c r="F1914" s="1" t="s">
        <v>69</v>
      </c>
      <c r="G1914" s="1" t="s">
        <v>17</v>
      </c>
      <c r="H1914" s="1">
        <v>40</v>
      </c>
      <c r="I1914" s="1" t="s">
        <v>123</v>
      </c>
      <c r="J1914" s="3">
        <v>0.55000000000000004</v>
      </c>
      <c r="K1914" s="4">
        <v>4250</v>
      </c>
      <c r="L1914" s="5">
        <f t="shared" si="16"/>
        <v>2337.5</v>
      </c>
      <c r="M1914" s="5">
        <f t="shared" si="17"/>
        <v>701.25</v>
      </c>
      <c r="N1914" s="6">
        <v>0.3</v>
      </c>
    </row>
    <row r="1915" spans="1:14" ht="15.75" customHeight="1" x14ac:dyDescent="0.45">
      <c r="A1915" s="1" t="s">
        <v>121</v>
      </c>
      <c r="B1915" s="1">
        <v>1128299</v>
      </c>
      <c r="C1915" s="2">
        <v>44764</v>
      </c>
      <c r="D1915" s="1" t="s">
        <v>22</v>
      </c>
      <c r="E1915" s="1" t="s">
        <v>68</v>
      </c>
      <c r="F1915" s="1" t="s">
        <v>69</v>
      </c>
      <c r="G1915" s="1" t="s">
        <v>18</v>
      </c>
      <c r="H1915" s="1">
        <v>48</v>
      </c>
      <c r="I1915" s="1" t="s">
        <v>125</v>
      </c>
      <c r="J1915" s="3">
        <v>0.70000000000000007</v>
      </c>
      <c r="K1915" s="4">
        <v>4250</v>
      </c>
      <c r="L1915" s="5">
        <f t="shared" si="16"/>
        <v>2975.0000000000005</v>
      </c>
      <c r="M1915" s="5">
        <f t="shared" si="17"/>
        <v>743.75000000000011</v>
      </c>
      <c r="N1915" s="6">
        <v>0.25</v>
      </c>
    </row>
    <row r="1916" spans="1:14" ht="15.75" customHeight="1" x14ac:dyDescent="0.45">
      <c r="A1916" s="1" t="s">
        <v>121</v>
      </c>
      <c r="B1916" s="1">
        <v>1128299</v>
      </c>
      <c r="C1916" s="2">
        <v>44796</v>
      </c>
      <c r="D1916" s="1" t="s">
        <v>22</v>
      </c>
      <c r="E1916" s="1" t="s">
        <v>68</v>
      </c>
      <c r="F1916" s="1" t="s">
        <v>69</v>
      </c>
      <c r="G1916" s="1" t="s">
        <v>13</v>
      </c>
      <c r="H1916" s="1">
        <v>43</v>
      </c>
      <c r="I1916" s="1" t="s">
        <v>123</v>
      </c>
      <c r="J1916" s="3">
        <v>0.55000000000000004</v>
      </c>
      <c r="K1916" s="4">
        <v>6250</v>
      </c>
      <c r="L1916" s="5">
        <f t="shared" si="16"/>
        <v>3437.5000000000005</v>
      </c>
      <c r="M1916" s="5">
        <f t="shared" si="17"/>
        <v>1203.125</v>
      </c>
      <c r="N1916" s="6">
        <v>0.35</v>
      </c>
    </row>
    <row r="1917" spans="1:14" ht="15.75" customHeight="1" x14ac:dyDescent="0.45">
      <c r="A1917" s="1" t="s">
        <v>121</v>
      </c>
      <c r="B1917" s="1">
        <v>1128299</v>
      </c>
      <c r="C1917" s="2">
        <v>44796</v>
      </c>
      <c r="D1917" s="1" t="s">
        <v>22</v>
      </c>
      <c r="E1917" s="1" t="s">
        <v>68</v>
      </c>
      <c r="F1917" s="1" t="s">
        <v>69</v>
      </c>
      <c r="G1917" s="1" t="s">
        <v>14</v>
      </c>
      <c r="H1917" s="1">
        <v>47</v>
      </c>
      <c r="I1917" s="1" t="s">
        <v>125</v>
      </c>
      <c r="J1917" s="3">
        <v>0.60000000000000009</v>
      </c>
      <c r="K1917" s="4">
        <v>5750</v>
      </c>
      <c r="L1917" s="5">
        <f t="shared" si="16"/>
        <v>3450.0000000000005</v>
      </c>
      <c r="M1917" s="5">
        <f t="shared" si="17"/>
        <v>1380.0000000000002</v>
      </c>
      <c r="N1917" s="6">
        <v>0.4</v>
      </c>
    </row>
    <row r="1918" spans="1:14" ht="15.75" customHeight="1" x14ac:dyDescent="0.45">
      <c r="A1918" s="1" t="s">
        <v>121</v>
      </c>
      <c r="B1918" s="1">
        <v>1128299</v>
      </c>
      <c r="C1918" s="2">
        <v>44796</v>
      </c>
      <c r="D1918" s="1" t="s">
        <v>22</v>
      </c>
      <c r="E1918" s="1" t="s">
        <v>68</v>
      </c>
      <c r="F1918" s="1" t="s">
        <v>69</v>
      </c>
      <c r="G1918" s="1" t="s">
        <v>15</v>
      </c>
      <c r="H1918" s="1">
        <v>21</v>
      </c>
      <c r="I1918" s="1" t="s">
        <v>126</v>
      </c>
      <c r="J1918" s="3">
        <v>0.55000000000000004</v>
      </c>
      <c r="K1918" s="4">
        <v>4500</v>
      </c>
      <c r="L1918" s="5">
        <f t="shared" si="16"/>
        <v>2475</v>
      </c>
      <c r="M1918" s="5">
        <f t="shared" si="17"/>
        <v>866.25</v>
      </c>
      <c r="N1918" s="6">
        <v>0.35</v>
      </c>
    </row>
    <row r="1919" spans="1:14" ht="15.75" customHeight="1" x14ac:dyDescent="0.45">
      <c r="A1919" s="1" t="s">
        <v>121</v>
      </c>
      <c r="B1919" s="1">
        <v>1128299</v>
      </c>
      <c r="C1919" s="2">
        <v>44796</v>
      </c>
      <c r="D1919" s="1" t="s">
        <v>22</v>
      </c>
      <c r="E1919" s="1" t="s">
        <v>68</v>
      </c>
      <c r="F1919" s="1" t="s">
        <v>69</v>
      </c>
      <c r="G1919" s="1" t="s">
        <v>16</v>
      </c>
      <c r="H1919" s="1">
        <v>56</v>
      </c>
      <c r="I1919" s="1" t="s">
        <v>123</v>
      </c>
      <c r="J1919" s="3">
        <v>0.55000000000000004</v>
      </c>
      <c r="K1919" s="4">
        <v>4000</v>
      </c>
      <c r="L1919" s="5">
        <f t="shared" si="16"/>
        <v>2200</v>
      </c>
      <c r="M1919" s="5">
        <f t="shared" si="17"/>
        <v>770</v>
      </c>
      <c r="N1919" s="6">
        <v>0.35</v>
      </c>
    </row>
    <row r="1920" spans="1:14" ht="15.75" customHeight="1" x14ac:dyDescent="0.45">
      <c r="A1920" s="1" t="s">
        <v>121</v>
      </c>
      <c r="B1920" s="1">
        <v>1128299</v>
      </c>
      <c r="C1920" s="2">
        <v>44796</v>
      </c>
      <c r="D1920" s="1" t="s">
        <v>22</v>
      </c>
      <c r="E1920" s="1" t="s">
        <v>68</v>
      </c>
      <c r="F1920" s="1" t="s">
        <v>69</v>
      </c>
      <c r="G1920" s="1" t="s">
        <v>17</v>
      </c>
      <c r="H1920" s="1">
        <v>58</v>
      </c>
      <c r="I1920" s="1" t="s">
        <v>126</v>
      </c>
      <c r="J1920" s="3">
        <v>0.65</v>
      </c>
      <c r="K1920" s="4">
        <v>4000</v>
      </c>
      <c r="L1920" s="5">
        <f t="shared" si="16"/>
        <v>2600</v>
      </c>
      <c r="M1920" s="5">
        <f t="shared" si="17"/>
        <v>780</v>
      </c>
      <c r="N1920" s="6">
        <v>0.3</v>
      </c>
    </row>
    <row r="1921" spans="1:14" ht="15.75" customHeight="1" x14ac:dyDescent="0.45">
      <c r="A1921" s="1" t="s">
        <v>121</v>
      </c>
      <c r="B1921" s="1">
        <v>1128299</v>
      </c>
      <c r="C1921" s="2">
        <v>44796</v>
      </c>
      <c r="D1921" s="1" t="s">
        <v>22</v>
      </c>
      <c r="E1921" s="1" t="s">
        <v>68</v>
      </c>
      <c r="F1921" s="1" t="s">
        <v>69</v>
      </c>
      <c r="G1921" s="1" t="s">
        <v>18</v>
      </c>
      <c r="H1921" s="1">
        <v>40</v>
      </c>
      <c r="I1921" s="1" t="s">
        <v>125</v>
      </c>
      <c r="J1921" s="3">
        <v>0.70000000000000007</v>
      </c>
      <c r="K1921" s="4">
        <v>3750</v>
      </c>
      <c r="L1921" s="5">
        <f t="shared" si="16"/>
        <v>2625.0000000000005</v>
      </c>
      <c r="M1921" s="5">
        <f t="shared" si="17"/>
        <v>656.25000000000011</v>
      </c>
      <c r="N1921" s="6">
        <v>0.25</v>
      </c>
    </row>
    <row r="1922" spans="1:14" ht="15.75" customHeight="1" x14ac:dyDescent="0.45">
      <c r="A1922" s="1" t="s">
        <v>121</v>
      </c>
      <c r="B1922" s="1">
        <v>1128299</v>
      </c>
      <c r="C1922" s="2">
        <v>44828</v>
      </c>
      <c r="D1922" s="1" t="s">
        <v>22</v>
      </c>
      <c r="E1922" s="1" t="s">
        <v>68</v>
      </c>
      <c r="F1922" s="1" t="s">
        <v>69</v>
      </c>
      <c r="G1922" s="1" t="s">
        <v>13</v>
      </c>
      <c r="H1922" s="1">
        <v>44</v>
      </c>
      <c r="I1922" s="1" t="s">
        <v>125</v>
      </c>
      <c r="J1922" s="3">
        <v>0.45000000000000007</v>
      </c>
      <c r="K1922" s="4">
        <v>5750</v>
      </c>
      <c r="L1922" s="5">
        <f t="shared" si="16"/>
        <v>2587.5000000000005</v>
      </c>
      <c r="M1922" s="5">
        <f t="shared" si="17"/>
        <v>905.62500000000011</v>
      </c>
      <c r="N1922" s="6">
        <v>0.35</v>
      </c>
    </row>
    <row r="1923" spans="1:14" ht="15.75" customHeight="1" x14ac:dyDescent="0.45">
      <c r="A1923" s="1" t="s">
        <v>121</v>
      </c>
      <c r="B1923" s="1">
        <v>1128299</v>
      </c>
      <c r="C1923" s="2">
        <v>44828</v>
      </c>
      <c r="D1923" s="1" t="s">
        <v>22</v>
      </c>
      <c r="E1923" s="1" t="s">
        <v>68</v>
      </c>
      <c r="F1923" s="1" t="s">
        <v>69</v>
      </c>
      <c r="G1923" s="1" t="s">
        <v>14</v>
      </c>
      <c r="H1923" s="1">
        <v>30</v>
      </c>
      <c r="I1923" s="1" t="s">
        <v>124</v>
      </c>
      <c r="J1923" s="3">
        <v>0.50000000000000011</v>
      </c>
      <c r="K1923" s="4">
        <v>5750</v>
      </c>
      <c r="L1923" s="5">
        <f t="shared" si="16"/>
        <v>2875.0000000000005</v>
      </c>
      <c r="M1923" s="5">
        <f t="shared" si="17"/>
        <v>1150.0000000000002</v>
      </c>
      <c r="N1923" s="6">
        <v>0.4</v>
      </c>
    </row>
    <row r="1924" spans="1:14" ht="15.75" customHeight="1" x14ac:dyDescent="0.45">
      <c r="A1924" s="1" t="s">
        <v>121</v>
      </c>
      <c r="B1924" s="1">
        <v>1128299</v>
      </c>
      <c r="C1924" s="2">
        <v>44828</v>
      </c>
      <c r="D1924" s="1" t="s">
        <v>22</v>
      </c>
      <c r="E1924" s="1" t="s">
        <v>68</v>
      </c>
      <c r="F1924" s="1" t="s">
        <v>69</v>
      </c>
      <c r="G1924" s="1" t="s">
        <v>15</v>
      </c>
      <c r="H1924" s="1">
        <v>37</v>
      </c>
      <c r="I1924" s="1" t="s">
        <v>126</v>
      </c>
      <c r="J1924" s="3">
        <v>0.45000000000000007</v>
      </c>
      <c r="K1924" s="4">
        <v>4250</v>
      </c>
      <c r="L1924" s="5">
        <f t="shared" si="16"/>
        <v>1912.5000000000002</v>
      </c>
      <c r="M1924" s="5">
        <f t="shared" si="17"/>
        <v>669.375</v>
      </c>
      <c r="N1924" s="6">
        <v>0.35</v>
      </c>
    </row>
    <row r="1925" spans="1:14" ht="15.75" customHeight="1" x14ac:dyDescent="0.45">
      <c r="A1925" s="1" t="s">
        <v>121</v>
      </c>
      <c r="B1925" s="1">
        <v>1128299</v>
      </c>
      <c r="C1925" s="2">
        <v>44828</v>
      </c>
      <c r="D1925" s="1" t="s">
        <v>22</v>
      </c>
      <c r="E1925" s="1" t="s">
        <v>68</v>
      </c>
      <c r="F1925" s="1" t="s">
        <v>69</v>
      </c>
      <c r="G1925" s="1" t="s">
        <v>16</v>
      </c>
      <c r="H1925" s="1">
        <v>32</v>
      </c>
      <c r="I1925" s="1" t="s">
        <v>126</v>
      </c>
      <c r="J1925" s="3">
        <v>0.45000000000000007</v>
      </c>
      <c r="K1925" s="4">
        <v>3750</v>
      </c>
      <c r="L1925" s="5">
        <f t="shared" si="16"/>
        <v>1687.5000000000002</v>
      </c>
      <c r="M1925" s="5">
        <f t="shared" si="17"/>
        <v>590.625</v>
      </c>
      <c r="N1925" s="6">
        <v>0.35</v>
      </c>
    </row>
    <row r="1926" spans="1:14" ht="15.75" customHeight="1" x14ac:dyDescent="0.45">
      <c r="A1926" s="1" t="s">
        <v>121</v>
      </c>
      <c r="B1926" s="1">
        <v>1128299</v>
      </c>
      <c r="C1926" s="2">
        <v>44828</v>
      </c>
      <c r="D1926" s="1" t="s">
        <v>22</v>
      </c>
      <c r="E1926" s="1" t="s">
        <v>68</v>
      </c>
      <c r="F1926" s="1" t="s">
        <v>69</v>
      </c>
      <c r="G1926" s="1" t="s">
        <v>17</v>
      </c>
      <c r="H1926" s="1">
        <v>51</v>
      </c>
      <c r="I1926" s="1" t="s">
        <v>125</v>
      </c>
      <c r="J1926" s="3">
        <v>0.55000000000000004</v>
      </c>
      <c r="K1926" s="4">
        <v>3750</v>
      </c>
      <c r="L1926" s="5">
        <f t="shared" si="16"/>
        <v>2062.5</v>
      </c>
      <c r="M1926" s="5">
        <f t="shared" si="17"/>
        <v>618.75</v>
      </c>
      <c r="N1926" s="6">
        <v>0.3</v>
      </c>
    </row>
    <row r="1927" spans="1:14" ht="15.75" customHeight="1" x14ac:dyDescent="0.45">
      <c r="A1927" s="1" t="s">
        <v>121</v>
      </c>
      <c r="B1927" s="1">
        <v>1128299</v>
      </c>
      <c r="C1927" s="2">
        <v>44828</v>
      </c>
      <c r="D1927" s="1" t="s">
        <v>22</v>
      </c>
      <c r="E1927" s="1" t="s">
        <v>68</v>
      </c>
      <c r="F1927" s="1" t="s">
        <v>69</v>
      </c>
      <c r="G1927" s="1" t="s">
        <v>18</v>
      </c>
      <c r="H1927" s="1">
        <v>30</v>
      </c>
      <c r="I1927" s="1" t="s">
        <v>123</v>
      </c>
      <c r="J1927" s="3">
        <v>0.60000000000000009</v>
      </c>
      <c r="K1927" s="4">
        <v>4250</v>
      </c>
      <c r="L1927" s="5">
        <f t="shared" si="16"/>
        <v>2550.0000000000005</v>
      </c>
      <c r="M1927" s="5">
        <f t="shared" si="17"/>
        <v>637.50000000000011</v>
      </c>
      <c r="N1927" s="6">
        <v>0.25</v>
      </c>
    </row>
    <row r="1928" spans="1:14" ht="15.75" customHeight="1" x14ac:dyDescent="0.45">
      <c r="A1928" s="1" t="s">
        <v>121</v>
      </c>
      <c r="B1928" s="1">
        <v>1128299</v>
      </c>
      <c r="C1928" s="2">
        <v>44857</v>
      </c>
      <c r="D1928" s="1" t="s">
        <v>22</v>
      </c>
      <c r="E1928" s="1" t="s">
        <v>68</v>
      </c>
      <c r="F1928" s="1" t="s">
        <v>69</v>
      </c>
      <c r="G1928" s="1" t="s">
        <v>13</v>
      </c>
      <c r="H1928" s="1">
        <v>31</v>
      </c>
      <c r="I1928" s="1" t="s">
        <v>124</v>
      </c>
      <c r="J1928" s="3">
        <v>0.45000000000000007</v>
      </c>
      <c r="K1928" s="4">
        <v>5000</v>
      </c>
      <c r="L1928" s="5">
        <f t="shared" si="16"/>
        <v>2250.0000000000005</v>
      </c>
      <c r="M1928" s="5">
        <f t="shared" si="17"/>
        <v>787.50000000000011</v>
      </c>
      <c r="N1928" s="6">
        <v>0.35</v>
      </c>
    </row>
    <row r="1929" spans="1:14" ht="15.75" customHeight="1" x14ac:dyDescent="0.45">
      <c r="A1929" s="1" t="s">
        <v>121</v>
      </c>
      <c r="B1929" s="1">
        <v>1128299</v>
      </c>
      <c r="C1929" s="2">
        <v>44857</v>
      </c>
      <c r="D1929" s="1" t="s">
        <v>22</v>
      </c>
      <c r="E1929" s="1" t="s">
        <v>68</v>
      </c>
      <c r="F1929" s="1" t="s">
        <v>69</v>
      </c>
      <c r="G1929" s="1" t="s">
        <v>14</v>
      </c>
      <c r="H1929" s="1">
        <v>22</v>
      </c>
      <c r="I1929" s="1" t="s">
        <v>124</v>
      </c>
      <c r="J1929" s="3">
        <v>0.50000000000000011</v>
      </c>
      <c r="K1929" s="4">
        <v>5000</v>
      </c>
      <c r="L1929" s="5">
        <f t="shared" si="16"/>
        <v>2500.0000000000005</v>
      </c>
      <c r="M1929" s="5">
        <f t="shared" si="17"/>
        <v>1000.0000000000002</v>
      </c>
      <c r="N1929" s="6">
        <v>0.4</v>
      </c>
    </row>
    <row r="1930" spans="1:14" ht="15.75" customHeight="1" x14ac:dyDescent="0.45">
      <c r="A1930" s="1" t="s">
        <v>121</v>
      </c>
      <c r="B1930" s="1">
        <v>1128299</v>
      </c>
      <c r="C1930" s="2">
        <v>44857</v>
      </c>
      <c r="D1930" s="1" t="s">
        <v>22</v>
      </c>
      <c r="E1930" s="1" t="s">
        <v>68</v>
      </c>
      <c r="F1930" s="1" t="s">
        <v>69</v>
      </c>
      <c r="G1930" s="1" t="s">
        <v>15</v>
      </c>
      <c r="H1930" s="1">
        <v>23</v>
      </c>
      <c r="I1930" s="1" t="s">
        <v>125</v>
      </c>
      <c r="J1930" s="3">
        <v>0.45000000000000007</v>
      </c>
      <c r="K1930" s="4">
        <v>3250</v>
      </c>
      <c r="L1930" s="5">
        <f t="shared" si="16"/>
        <v>1462.5000000000002</v>
      </c>
      <c r="M1930" s="5">
        <f t="shared" si="17"/>
        <v>511.87500000000006</v>
      </c>
      <c r="N1930" s="6">
        <v>0.35</v>
      </c>
    </row>
    <row r="1931" spans="1:14" ht="15.75" customHeight="1" x14ac:dyDescent="0.45">
      <c r="A1931" s="1" t="s">
        <v>121</v>
      </c>
      <c r="B1931" s="1">
        <v>1128299</v>
      </c>
      <c r="C1931" s="2">
        <v>44857</v>
      </c>
      <c r="D1931" s="1" t="s">
        <v>22</v>
      </c>
      <c r="E1931" s="1" t="s">
        <v>68</v>
      </c>
      <c r="F1931" s="1" t="s">
        <v>69</v>
      </c>
      <c r="G1931" s="1" t="s">
        <v>16</v>
      </c>
      <c r="H1931" s="1">
        <v>33</v>
      </c>
      <c r="I1931" s="1" t="s">
        <v>126</v>
      </c>
      <c r="J1931" s="3">
        <v>0.45000000000000007</v>
      </c>
      <c r="K1931" s="4">
        <v>3000</v>
      </c>
      <c r="L1931" s="5">
        <f t="shared" si="16"/>
        <v>1350.0000000000002</v>
      </c>
      <c r="M1931" s="5">
        <f t="shared" si="17"/>
        <v>472.50000000000006</v>
      </c>
      <c r="N1931" s="6">
        <v>0.35</v>
      </c>
    </row>
    <row r="1932" spans="1:14" ht="15.75" customHeight="1" x14ac:dyDescent="0.45">
      <c r="A1932" s="1" t="s">
        <v>121</v>
      </c>
      <c r="B1932" s="1">
        <v>1128299</v>
      </c>
      <c r="C1932" s="2">
        <v>44857</v>
      </c>
      <c r="D1932" s="1" t="s">
        <v>22</v>
      </c>
      <c r="E1932" s="1" t="s">
        <v>68</v>
      </c>
      <c r="F1932" s="1" t="s">
        <v>69</v>
      </c>
      <c r="G1932" s="1" t="s">
        <v>17</v>
      </c>
      <c r="H1932" s="1">
        <v>50</v>
      </c>
      <c r="I1932" s="1" t="s">
        <v>125</v>
      </c>
      <c r="J1932" s="3">
        <v>0.55000000000000004</v>
      </c>
      <c r="K1932" s="4">
        <v>2750</v>
      </c>
      <c r="L1932" s="5">
        <f t="shared" si="16"/>
        <v>1512.5000000000002</v>
      </c>
      <c r="M1932" s="5">
        <f t="shared" si="17"/>
        <v>453.75000000000006</v>
      </c>
      <c r="N1932" s="6">
        <v>0.3</v>
      </c>
    </row>
    <row r="1933" spans="1:14" ht="15.75" customHeight="1" x14ac:dyDescent="0.45">
      <c r="A1933" s="1" t="s">
        <v>121</v>
      </c>
      <c r="B1933" s="1">
        <v>1128299</v>
      </c>
      <c r="C1933" s="2">
        <v>44857</v>
      </c>
      <c r="D1933" s="1" t="s">
        <v>22</v>
      </c>
      <c r="E1933" s="1" t="s">
        <v>68</v>
      </c>
      <c r="F1933" s="1" t="s">
        <v>69</v>
      </c>
      <c r="G1933" s="1" t="s">
        <v>18</v>
      </c>
      <c r="H1933" s="1">
        <v>16</v>
      </c>
      <c r="I1933" s="1" t="s">
        <v>125</v>
      </c>
      <c r="J1933" s="3">
        <v>0.60000000000000009</v>
      </c>
      <c r="K1933" s="4">
        <v>3250</v>
      </c>
      <c r="L1933" s="5">
        <f t="shared" si="16"/>
        <v>1950.0000000000002</v>
      </c>
      <c r="M1933" s="5">
        <f t="shared" si="17"/>
        <v>487.50000000000006</v>
      </c>
      <c r="N1933" s="6">
        <v>0.25</v>
      </c>
    </row>
    <row r="1934" spans="1:14" ht="15.75" customHeight="1" x14ac:dyDescent="0.45">
      <c r="A1934" s="1" t="s">
        <v>121</v>
      </c>
      <c r="B1934" s="1">
        <v>1128299</v>
      </c>
      <c r="C1934" s="2">
        <v>44888</v>
      </c>
      <c r="D1934" s="1" t="s">
        <v>22</v>
      </c>
      <c r="E1934" s="1" t="s">
        <v>68</v>
      </c>
      <c r="F1934" s="1" t="s">
        <v>69</v>
      </c>
      <c r="G1934" s="1" t="s">
        <v>13</v>
      </c>
      <c r="H1934" s="1">
        <v>17</v>
      </c>
      <c r="I1934" s="1" t="s">
        <v>125</v>
      </c>
      <c r="J1934" s="3">
        <v>0.45000000000000007</v>
      </c>
      <c r="K1934" s="4">
        <v>5000</v>
      </c>
      <c r="L1934" s="5">
        <f t="shared" si="16"/>
        <v>2250.0000000000005</v>
      </c>
      <c r="M1934" s="5">
        <f t="shared" si="17"/>
        <v>787.50000000000011</v>
      </c>
      <c r="N1934" s="6">
        <v>0.35</v>
      </c>
    </row>
    <row r="1935" spans="1:14" ht="15.75" customHeight="1" x14ac:dyDescent="0.45">
      <c r="A1935" s="1" t="s">
        <v>121</v>
      </c>
      <c r="B1935" s="1">
        <v>1128299</v>
      </c>
      <c r="C1935" s="2">
        <v>44888</v>
      </c>
      <c r="D1935" s="1" t="s">
        <v>22</v>
      </c>
      <c r="E1935" s="1" t="s">
        <v>68</v>
      </c>
      <c r="F1935" s="1" t="s">
        <v>69</v>
      </c>
      <c r="G1935" s="1" t="s">
        <v>14</v>
      </c>
      <c r="H1935" s="1">
        <v>39</v>
      </c>
      <c r="I1935" s="1" t="s">
        <v>124</v>
      </c>
      <c r="J1935" s="3">
        <v>0.50000000000000011</v>
      </c>
      <c r="K1935" s="4">
        <v>5250</v>
      </c>
      <c r="L1935" s="5">
        <f t="shared" si="16"/>
        <v>2625.0000000000005</v>
      </c>
      <c r="M1935" s="5">
        <f t="shared" si="17"/>
        <v>1050.0000000000002</v>
      </c>
      <c r="N1935" s="6">
        <v>0.4</v>
      </c>
    </row>
    <row r="1936" spans="1:14" ht="15.75" customHeight="1" x14ac:dyDescent="0.45">
      <c r="A1936" s="1" t="s">
        <v>121</v>
      </c>
      <c r="B1936" s="1">
        <v>1128299</v>
      </c>
      <c r="C1936" s="2">
        <v>44888</v>
      </c>
      <c r="D1936" s="1" t="s">
        <v>22</v>
      </c>
      <c r="E1936" s="1" t="s">
        <v>68</v>
      </c>
      <c r="F1936" s="1" t="s">
        <v>69</v>
      </c>
      <c r="G1936" s="1" t="s">
        <v>15</v>
      </c>
      <c r="H1936" s="1">
        <v>20</v>
      </c>
      <c r="I1936" s="1" t="s">
        <v>124</v>
      </c>
      <c r="J1936" s="3">
        <v>0.45000000000000007</v>
      </c>
      <c r="K1936" s="4">
        <v>3750</v>
      </c>
      <c r="L1936" s="5">
        <f t="shared" si="16"/>
        <v>1687.5000000000002</v>
      </c>
      <c r="M1936" s="5">
        <f t="shared" si="17"/>
        <v>590.625</v>
      </c>
      <c r="N1936" s="6">
        <v>0.35</v>
      </c>
    </row>
    <row r="1937" spans="1:14" ht="15.75" customHeight="1" x14ac:dyDescent="0.45">
      <c r="A1937" s="1" t="s">
        <v>121</v>
      </c>
      <c r="B1937" s="1">
        <v>1128299</v>
      </c>
      <c r="C1937" s="2">
        <v>44888</v>
      </c>
      <c r="D1937" s="1" t="s">
        <v>22</v>
      </c>
      <c r="E1937" s="1" t="s">
        <v>68</v>
      </c>
      <c r="F1937" s="1" t="s">
        <v>69</v>
      </c>
      <c r="G1937" s="1" t="s">
        <v>16</v>
      </c>
      <c r="H1937" s="1">
        <v>49</v>
      </c>
      <c r="I1937" s="1" t="s">
        <v>124</v>
      </c>
      <c r="J1937" s="3">
        <v>0.45000000000000007</v>
      </c>
      <c r="K1937" s="4">
        <v>3500</v>
      </c>
      <c r="L1937" s="5">
        <f t="shared" si="16"/>
        <v>1575.0000000000002</v>
      </c>
      <c r="M1937" s="5">
        <f t="shared" si="17"/>
        <v>551.25</v>
      </c>
      <c r="N1937" s="6">
        <v>0.35</v>
      </c>
    </row>
    <row r="1938" spans="1:14" ht="15.75" customHeight="1" x14ac:dyDescent="0.45">
      <c r="A1938" s="1" t="s">
        <v>121</v>
      </c>
      <c r="B1938" s="1">
        <v>1128299</v>
      </c>
      <c r="C1938" s="2">
        <v>44888</v>
      </c>
      <c r="D1938" s="1" t="s">
        <v>22</v>
      </c>
      <c r="E1938" s="1" t="s">
        <v>68</v>
      </c>
      <c r="F1938" s="1" t="s">
        <v>69</v>
      </c>
      <c r="G1938" s="1" t="s">
        <v>17</v>
      </c>
      <c r="H1938" s="1">
        <v>35</v>
      </c>
      <c r="I1938" s="1" t="s">
        <v>123</v>
      </c>
      <c r="J1938" s="3">
        <v>0.55000000000000004</v>
      </c>
      <c r="K1938" s="4">
        <v>3000</v>
      </c>
      <c r="L1938" s="5">
        <f t="shared" si="16"/>
        <v>1650.0000000000002</v>
      </c>
      <c r="M1938" s="5">
        <f t="shared" si="17"/>
        <v>495.00000000000006</v>
      </c>
      <c r="N1938" s="6">
        <v>0.3</v>
      </c>
    </row>
    <row r="1939" spans="1:14" ht="15.75" customHeight="1" x14ac:dyDescent="0.45">
      <c r="A1939" s="1" t="s">
        <v>121</v>
      </c>
      <c r="B1939" s="1">
        <v>1128299</v>
      </c>
      <c r="C1939" s="2">
        <v>44888</v>
      </c>
      <c r="D1939" s="1" t="s">
        <v>22</v>
      </c>
      <c r="E1939" s="1" t="s">
        <v>68</v>
      </c>
      <c r="F1939" s="1" t="s">
        <v>69</v>
      </c>
      <c r="G1939" s="1" t="s">
        <v>18</v>
      </c>
      <c r="H1939" s="1">
        <v>15</v>
      </c>
      <c r="I1939" s="1" t="s">
        <v>124</v>
      </c>
      <c r="J1939" s="3">
        <v>0.60000000000000009</v>
      </c>
      <c r="K1939" s="4">
        <v>4250</v>
      </c>
      <c r="L1939" s="5">
        <f t="shared" si="16"/>
        <v>2550.0000000000005</v>
      </c>
      <c r="M1939" s="5">
        <f t="shared" si="17"/>
        <v>637.50000000000011</v>
      </c>
      <c r="N1939" s="6">
        <v>0.25</v>
      </c>
    </row>
    <row r="1940" spans="1:14" ht="15.75" customHeight="1" x14ac:dyDescent="0.45">
      <c r="A1940" s="1" t="s">
        <v>121</v>
      </c>
      <c r="B1940" s="1">
        <v>1128299</v>
      </c>
      <c r="C1940" s="2">
        <v>44917</v>
      </c>
      <c r="D1940" s="1" t="s">
        <v>22</v>
      </c>
      <c r="E1940" s="1" t="s">
        <v>68</v>
      </c>
      <c r="F1940" s="1" t="s">
        <v>69</v>
      </c>
      <c r="G1940" s="1" t="s">
        <v>13</v>
      </c>
      <c r="H1940" s="1">
        <v>49</v>
      </c>
      <c r="I1940" s="1" t="s">
        <v>124</v>
      </c>
      <c r="J1940" s="3">
        <v>0.45000000000000007</v>
      </c>
      <c r="K1940" s="4">
        <v>6250</v>
      </c>
      <c r="L1940" s="5">
        <f t="shared" si="16"/>
        <v>2812.5000000000005</v>
      </c>
      <c r="M1940" s="5">
        <f t="shared" si="17"/>
        <v>984.37500000000011</v>
      </c>
      <c r="N1940" s="6">
        <v>0.35</v>
      </c>
    </row>
    <row r="1941" spans="1:14" ht="15.75" customHeight="1" x14ac:dyDescent="0.45">
      <c r="A1941" s="1" t="s">
        <v>121</v>
      </c>
      <c r="B1941" s="1">
        <v>1128299</v>
      </c>
      <c r="C1941" s="2">
        <v>44917</v>
      </c>
      <c r="D1941" s="1" t="s">
        <v>22</v>
      </c>
      <c r="E1941" s="1" t="s">
        <v>68</v>
      </c>
      <c r="F1941" s="1" t="s">
        <v>69</v>
      </c>
      <c r="G1941" s="1" t="s">
        <v>14</v>
      </c>
      <c r="H1941" s="1">
        <v>44</v>
      </c>
      <c r="I1941" s="1" t="s">
        <v>125</v>
      </c>
      <c r="J1941" s="3">
        <v>0.50000000000000011</v>
      </c>
      <c r="K1941" s="4">
        <v>6250</v>
      </c>
      <c r="L1941" s="5">
        <f t="shared" si="16"/>
        <v>3125.0000000000009</v>
      </c>
      <c r="M1941" s="5">
        <f t="shared" si="17"/>
        <v>1250.0000000000005</v>
      </c>
      <c r="N1941" s="6">
        <v>0.4</v>
      </c>
    </row>
    <row r="1942" spans="1:14" ht="15.75" customHeight="1" x14ac:dyDescent="0.45">
      <c r="A1942" s="1" t="s">
        <v>121</v>
      </c>
      <c r="B1942" s="1">
        <v>1128299</v>
      </c>
      <c r="C1942" s="2">
        <v>44917</v>
      </c>
      <c r="D1942" s="1" t="s">
        <v>22</v>
      </c>
      <c r="E1942" s="1" t="s">
        <v>68</v>
      </c>
      <c r="F1942" s="1" t="s">
        <v>69</v>
      </c>
      <c r="G1942" s="1" t="s">
        <v>15</v>
      </c>
      <c r="H1942" s="1">
        <v>40</v>
      </c>
      <c r="I1942" s="1" t="s">
        <v>124</v>
      </c>
      <c r="J1942" s="3">
        <v>0.45000000000000007</v>
      </c>
      <c r="K1942" s="4">
        <v>4250</v>
      </c>
      <c r="L1942" s="5">
        <f t="shared" si="16"/>
        <v>1912.5000000000002</v>
      </c>
      <c r="M1942" s="5">
        <f t="shared" si="17"/>
        <v>669.375</v>
      </c>
      <c r="N1942" s="6">
        <v>0.35</v>
      </c>
    </row>
    <row r="1943" spans="1:14" ht="15.75" customHeight="1" x14ac:dyDescent="0.45">
      <c r="A1943" s="1" t="s">
        <v>121</v>
      </c>
      <c r="B1943" s="1">
        <v>1128299</v>
      </c>
      <c r="C1943" s="2">
        <v>44917</v>
      </c>
      <c r="D1943" s="1" t="s">
        <v>22</v>
      </c>
      <c r="E1943" s="1" t="s">
        <v>68</v>
      </c>
      <c r="F1943" s="1" t="s">
        <v>69</v>
      </c>
      <c r="G1943" s="1" t="s">
        <v>16</v>
      </c>
      <c r="H1943" s="1">
        <v>17</v>
      </c>
      <c r="I1943" s="1" t="s">
        <v>126</v>
      </c>
      <c r="J1943" s="3">
        <v>0.45000000000000007</v>
      </c>
      <c r="K1943" s="4">
        <v>4250</v>
      </c>
      <c r="L1943" s="5">
        <f t="shared" si="16"/>
        <v>1912.5000000000002</v>
      </c>
      <c r="M1943" s="5">
        <f t="shared" si="17"/>
        <v>669.375</v>
      </c>
      <c r="N1943" s="6">
        <v>0.35</v>
      </c>
    </row>
    <row r="1944" spans="1:14" ht="15.75" customHeight="1" x14ac:dyDescent="0.45">
      <c r="A1944" s="1" t="s">
        <v>121</v>
      </c>
      <c r="B1944" s="1">
        <v>1128299</v>
      </c>
      <c r="C1944" s="2">
        <v>44917</v>
      </c>
      <c r="D1944" s="1" t="s">
        <v>22</v>
      </c>
      <c r="E1944" s="1" t="s">
        <v>68</v>
      </c>
      <c r="F1944" s="1" t="s">
        <v>69</v>
      </c>
      <c r="G1944" s="1" t="s">
        <v>17</v>
      </c>
      <c r="H1944" s="1">
        <v>16</v>
      </c>
      <c r="I1944" s="1" t="s">
        <v>126</v>
      </c>
      <c r="J1944" s="3">
        <v>0.55000000000000004</v>
      </c>
      <c r="K1944" s="4">
        <v>3500</v>
      </c>
      <c r="L1944" s="5">
        <f t="shared" si="16"/>
        <v>1925.0000000000002</v>
      </c>
      <c r="M1944" s="5">
        <f t="shared" si="17"/>
        <v>577.5</v>
      </c>
      <c r="N1944" s="6">
        <v>0.3</v>
      </c>
    </row>
    <row r="1945" spans="1:14" ht="15.75" customHeight="1" x14ac:dyDescent="0.45">
      <c r="A1945" s="1" t="s">
        <v>121</v>
      </c>
      <c r="B1945" s="1">
        <v>1128299</v>
      </c>
      <c r="C1945" s="2">
        <v>44917</v>
      </c>
      <c r="D1945" s="1" t="s">
        <v>22</v>
      </c>
      <c r="E1945" s="1" t="s">
        <v>68</v>
      </c>
      <c r="F1945" s="1" t="s">
        <v>69</v>
      </c>
      <c r="G1945" s="1" t="s">
        <v>18</v>
      </c>
      <c r="H1945" s="1">
        <v>39</v>
      </c>
      <c r="I1945" s="1" t="s">
        <v>126</v>
      </c>
      <c r="J1945" s="3">
        <v>0.60000000000000009</v>
      </c>
      <c r="K1945" s="4">
        <v>4500</v>
      </c>
      <c r="L1945" s="5">
        <f t="shared" si="16"/>
        <v>2700.0000000000005</v>
      </c>
      <c r="M1945" s="5">
        <f t="shared" si="17"/>
        <v>675.00000000000011</v>
      </c>
      <c r="N1945" s="6">
        <v>0.25</v>
      </c>
    </row>
    <row r="1946" spans="1:14" ht="15.75" customHeight="1" x14ac:dyDescent="0.45">
      <c r="A1946" s="1" t="s">
        <v>121</v>
      </c>
      <c r="B1946" s="1">
        <v>1128299</v>
      </c>
      <c r="C1946" s="2">
        <v>44587</v>
      </c>
      <c r="D1946" s="1" t="s">
        <v>22</v>
      </c>
      <c r="E1946" s="1" t="s">
        <v>70</v>
      </c>
      <c r="F1946" s="1" t="s">
        <v>71</v>
      </c>
      <c r="G1946" s="1" t="s">
        <v>13</v>
      </c>
      <c r="H1946" s="1">
        <v>57</v>
      </c>
      <c r="I1946" s="1" t="s">
        <v>123</v>
      </c>
      <c r="J1946" s="3">
        <v>0.34999999999999992</v>
      </c>
      <c r="K1946" s="4">
        <v>4750</v>
      </c>
      <c r="L1946" s="5">
        <f t="shared" si="16"/>
        <v>1662.4999999999995</v>
      </c>
      <c r="M1946" s="5">
        <f t="shared" si="17"/>
        <v>581.87499999999977</v>
      </c>
      <c r="N1946" s="6">
        <v>0.35</v>
      </c>
    </row>
    <row r="1947" spans="1:14" ht="15.75" customHeight="1" x14ac:dyDescent="0.45">
      <c r="A1947" s="1" t="s">
        <v>121</v>
      </c>
      <c r="B1947" s="1">
        <v>1128299</v>
      </c>
      <c r="C1947" s="2">
        <v>44587</v>
      </c>
      <c r="D1947" s="1" t="s">
        <v>22</v>
      </c>
      <c r="E1947" s="1" t="s">
        <v>70</v>
      </c>
      <c r="F1947" s="1" t="s">
        <v>71</v>
      </c>
      <c r="G1947" s="1" t="s">
        <v>14</v>
      </c>
      <c r="H1947" s="1">
        <v>33</v>
      </c>
      <c r="I1947" s="1" t="s">
        <v>123</v>
      </c>
      <c r="J1947" s="3">
        <v>0.45</v>
      </c>
      <c r="K1947" s="4">
        <v>4750</v>
      </c>
      <c r="L1947" s="5">
        <f t="shared" si="16"/>
        <v>2137.5</v>
      </c>
      <c r="M1947" s="5">
        <f t="shared" si="17"/>
        <v>855</v>
      </c>
      <c r="N1947" s="6">
        <v>0.4</v>
      </c>
    </row>
    <row r="1948" spans="1:14" ht="15.75" customHeight="1" x14ac:dyDescent="0.45">
      <c r="A1948" s="1" t="s">
        <v>121</v>
      </c>
      <c r="B1948" s="1">
        <v>1128299</v>
      </c>
      <c r="C1948" s="2">
        <v>44587</v>
      </c>
      <c r="D1948" s="1" t="s">
        <v>22</v>
      </c>
      <c r="E1948" s="1" t="s">
        <v>70</v>
      </c>
      <c r="F1948" s="1" t="s">
        <v>71</v>
      </c>
      <c r="G1948" s="1" t="s">
        <v>15</v>
      </c>
      <c r="H1948" s="1">
        <v>47</v>
      </c>
      <c r="I1948" s="1" t="s">
        <v>125</v>
      </c>
      <c r="J1948" s="3">
        <v>0.45</v>
      </c>
      <c r="K1948" s="4">
        <v>4750</v>
      </c>
      <c r="L1948" s="5">
        <f t="shared" si="16"/>
        <v>2137.5</v>
      </c>
      <c r="M1948" s="5">
        <f t="shared" si="17"/>
        <v>748.125</v>
      </c>
      <c r="N1948" s="6">
        <v>0.35</v>
      </c>
    </row>
    <row r="1949" spans="1:14" ht="15.75" customHeight="1" x14ac:dyDescent="0.45">
      <c r="A1949" s="1" t="s">
        <v>121</v>
      </c>
      <c r="B1949" s="1">
        <v>1128299</v>
      </c>
      <c r="C1949" s="2">
        <v>44587</v>
      </c>
      <c r="D1949" s="1" t="s">
        <v>22</v>
      </c>
      <c r="E1949" s="1" t="s">
        <v>70</v>
      </c>
      <c r="F1949" s="1" t="s">
        <v>71</v>
      </c>
      <c r="G1949" s="1" t="s">
        <v>16</v>
      </c>
      <c r="H1949" s="1">
        <v>51</v>
      </c>
      <c r="I1949" s="1" t="s">
        <v>125</v>
      </c>
      <c r="J1949" s="3">
        <v>0.45</v>
      </c>
      <c r="K1949" s="4">
        <v>3250</v>
      </c>
      <c r="L1949" s="5">
        <f t="shared" si="16"/>
        <v>1462.5</v>
      </c>
      <c r="M1949" s="5">
        <f t="shared" si="17"/>
        <v>511.87499999999994</v>
      </c>
      <c r="N1949" s="6">
        <v>0.35</v>
      </c>
    </row>
    <row r="1950" spans="1:14" ht="15.75" customHeight="1" x14ac:dyDescent="0.45">
      <c r="A1950" s="1" t="s">
        <v>121</v>
      </c>
      <c r="B1950" s="1">
        <v>1128299</v>
      </c>
      <c r="C1950" s="2">
        <v>44587</v>
      </c>
      <c r="D1950" s="1" t="s">
        <v>22</v>
      </c>
      <c r="E1950" s="1" t="s">
        <v>70</v>
      </c>
      <c r="F1950" s="1" t="s">
        <v>71</v>
      </c>
      <c r="G1950" s="1" t="s">
        <v>17</v>
      </c>
      <c r="H1950" s="1">
        <v>24</v>
      </c>
      <c r="I1950" s="1" t="s">
        <v>123</v>
      </c>
      <c r="J1950" s="3">
        <v>0.50000000000000011</v>
      </c>
      <c r="K1950" s="4">
        <v>2750</v>
      </c>
      <c r="L1950" s="5">
        <f t="shared" si="16"/>
        <v>1375.0000000000002</v>
      </c>
      <c r="M1950" s="5">
        <f t="shared" si="17"/>
        <v>412.50000000000006</v>
      </c>
      <c r="N1950" s="6">
        <v>0.3</v>
      </c>
    </row>
    <row r="1951" spans="1:14" ht="15.75" customHeight="1" x14ac:dyDescent="0.45">
      <c r="A1951" s="1" t="s">
        <v>121</v>
      </c>
      <c r="B1951" s="1">
        <v>1128299</v>
      </c>
      <c r="C1951" s="2">
        <v>44587</v>
      </c>
      <c r="D1951" s="1" t="s">
        <v>22</v>
      </c>
      <c r="E1951" s="1" t="s">
        <v>70</v>
      </c>
      <c r="F1951" s="1" t="s">
        <v>71</v>
      </c>
      <c r="G1951" s="1" t="s">
        <v>18</v>
      </c>
      <c r="H1951" s="1">
        <v>58</v>
      </c>
      <c r="I1951" s="1" t="s">
        <v>123</v>
      </c>
      <c r="J1951" s="3">
        <v>0.45</v>
      </c>
      <c r="K1951" s="4">
        <v>4750</v>
      </c>
      <c r="L1951" s="5">
        <f t="shared" si="16"/>
        <v>2137.5</v>
      </c>
      <c r="M1951" s="5">
        <f t="shared" si="17"/>
        <v>534.375</v>
      </c>
      <c r="N1951" s="6">
        <v>0.25</v>
      </c>
    </row>
    <row r="1952" spans="1:14" ht="15.75" customHeight="1" x14ac:dyDescent="0.45">
      <c r="A1952" s="1" t="s">
        <v>121</v>
      </c>
      <c r="B1952" s="1">
        <v>1128299</v>
      </c>
      <c r="C1952" s="2">
        <v>44618</v>
      </c>
      <c r="D1952" s="1" t="s">
        <v>22</v>
      </c>
      <c r="E1952" s="1" t="s">
        <v>70</v>
      </c>
      <c r="F1952" s="1" t="s">
        <v>71</v>
      </c>
      <c r="G1952" s="1" t="s">
        <v>13</v>
      </c>
      <c r="H1952" s="1">
        <v>57</v>
      </c>
      <c r="I1952" s="1" t="s">
        <v>123</v>
      </c>
      <c r="J1952" s="3">
        <v>0.34999999999999992</v>
      </c>
      <c r="K1952" s="4">
        <v>5250</v>
      </c>
      <c r="L1952" s="5">
        <f t="shared" si="16"/>
        <v>1837.4999999999995</v>
      </c>
      <c r="M1952" s="5">
        <f t="shared" si="17"/>
        <v>643.12499999999977</v>
      </c>
      <c r="N1952" s="6">
        <v>0.35</v>
      </c>
    </row>
    <row r="1953" spans="1:14" ht="15.75" customHeight="1" x14ac:dyDescent="0.45">
      <c r="A1953" s="1" t="s">
        <v>121</v>
      </c>
      <c r="B1953" s="1">
        <v>1128299</v>
      </c>
      <c r="C1953" s="2">
        <v>44618</v>
      </c>
      <c r="D1953" s="1" t="s">
        <v>22</v>
      </c>
      <c r="E1953" s="1" t="s">
        <v>70</v>
      </c>
      <c r="F1953" s="1" t="s">
        <v>71</v>
      </c>
      <c r="G1953" s="1" t="s">
        <v>14</v>
      </c>
      <c r="H1953" s="1">
        <v>27</v>
      </c>
      <c r="I1953" s="1" t="s">
        <v>123</v>
      </c>
      <c r="J1953" s="3">
        <v>0.45</v>
      </c>
      <c r="K1953" s="4">
        <v>4250</v>
      </c>
      <c r="L1953" s="5">
        <f t="shared" si="16"/>
        <v>1912.5</v>
      </c>
      <c r="M1953" s="5">
        <f t="shared" si="17"/>
        <v>765</v>
      </c>
      <c r="N1953" s="6">
        <v>0.4</v>
      </c>
    </row>
    <row r="1954" spans="1:14" ht="15.75" customHeight="1" x14ac:dyDescent="0.45">
      <c r="A1954" s="1" t="s">
        <v>121</v>
      </c>
      <c r="B1954" s="1">
        <v>1128299</v>
      </c>
      <c r="C1954" s="2">
        <v>44618</v>
      </c>
      <c r="D1954" s="1" t="s">
        <v>22</v>
      </c>
      <c r="E1954" s="1" t="s">
        <v>70</v>
      </c>
      <c r="F1954" s="1" t="s">
        <v>71</v>
      </c>
      <c r="G1954" s="1" t="s">
        <v>15</v>
      </c>
      <c r="H1954" s="1">
        <v>34</v>
      </c>
      <c r="I1954" s="1" t="s">
        <v>124</v>
      </c>
      <c r="J1954" s="3">
        <v>0.45</v>
      </c>
      <c r="K1954" s="4">
        <v>4250</v>
      </c>
      <c r="L1954" s="5">
        <f t="shared" si="16"/>
        <v>1912.5</v>
      </c>
      <c r="M1954" s="5">
        <f t="shared" si="17"/>
        <v>669.375</v>
      </c>
      <c r="N1954" s="6">
        <v>0.35</v>
      </c>
    </row>
    <row r="1955" spans="1:14" ht="15.75" customHeight="1" x14ac:dyDescent="0.45">
      <c r="A1955" s="1" t="s">
        <v>121</v>
      </c>
      <c r="B1955" s="1">
        <v>1128299</v>
      </c>
      <c r="C1955" s="2">
        <v>44618</v>
      </c>
      <c r="D1955" s="1" t="s">
        <v>22</v>
      </c>
      <c r="E1955" s="1" t="s">
        <v>70</v>
      </c>
      <c r="F1955" s="1" t="s">
        <v>71</v>
      </c>
      <c r="G1955" s="1" t="s">
        <v>16</v>
      </c>
      <c r="H1955" s="1">
        <v>22</v>
      </c>
      <c r="I1955" s="1" t="s">
        <v>126</v>
      </c>
      <c r="J1955" s="3">
        <v>0.45</v>
      </c>
      <c r="K1955" s="4">
        <v>2750</v>
      </c>
      <c r="L1955" s="5">
        <f t="shared" si="16"/>
        <v>1237.5</v>
      </c>
      <c r="M1955" s="5">
        <f t="shared" si="17"/>
        <v>433.125</v>
      </c>
      <c r="N1955" s="6">
        <v>0.35</v>
      </c>
    </row>
    <row r="1956" spans="1:14" ht="15.75" customHeight="1" x14ac:dyDescent="0.45">
      <c r="A1956" s="1" t="s">
        <v>121</v>
      </c>
      <c r="B1956" s="1">
        <v>1128299</v>
      </c>
      <c r="C1956" s="2">
        <v>44618</v>
      </c>
      <c r="D1956" s="1" t="s">
        <v>22</v>
      </c>
      <c r="E1956" s="1" t="s">
        <v>70</v>
      </c>
      <c r="F1956" s="1" t="s">
        <v>71</v>
      </c>
      <c r="G1956" s="1" t="s">
        <v>17</v>
      </c>
      <c r="H1956" s="1">
        <v>28</v>
      </c>
      <c r="I1956" s="1" t="s">
        <v>126</v>
      </c>
      <c r="J1956" s="3">
        <v>0.50000000000000011</v>
      </c>
      <c r="K1956" s="4">
        <v>2000</v>
      </c>
      <c r="L1956" s="5">
        <f t="shared" si="16"/>
        <v>1000.0000000000002</v>
      </c>
      <c r="M1956" s="5">
        <f t="shared" si="17"/>
        <v>300.00000000000006</v>
      </c>
      <c r="N1956" s="6">
        <v>0.3</v>
      </c>
    </row>
    <row r="1957" spans="1:14" ht="15.75" customHeight="1" x14ac:dyDescent="0.45">
      <c r="A1957" s="1" t="s">
        <v>121</v>
      </c>
      <c r="B1957" s="1">
        <v>1128299</v>
      </c>
      <c r="C1957" s="2">
        <v>44618</v>
      </c>
      <c r="D1957" s="1" t="s">
        <v>22</v>
      </c>
      <c r="E1957" s="1" t="s">
        <v>70</v>
      </c>
      <c r="F1957" s="1" t="s">
        <v>71</v>
      </c>
      <c r="G1957" s="1" t="s">
        <v>18</v>
      </c>
      <c r="H1957" s="1">
        <v>47</v>
      </c>
      <c r="I1957" s="1" t="s">
        <v>124</v>
      </c>
      <c r="J1957" s="3">
        <v>0.45</v>
      </c>
      <c r="K1957" s="4">
        <v>4000</v>
      </c>
      <c r="L1957" s="5">
        <f t="shared" si="16"/>
        <v>1800</v>
      </c>
      <c r="M1957" s="5">
        <f t="shared" si="17"/>
        <v>450</v>
      </c>
      <c r="N1957" s="6">
        <v>0.25</v>
      </c>
    </row>
    <row r="1958" spans="1:14" ht="15.75" customHeight="1" x14ac:dyDescent="0.45">
      <c r="A1958" s="1" t="s">
        <v>121</v>
      </c>
      <c r="B1958" s="1">
        <v>1128299</v>
      </c>
      <c r="C1958" s="2">
        <v>44645</v>
      </c>
      <c r="D1958" s="1" t="s">
        <v>22</v>
      </c>
      <c r="E1958" s="1" t="s">
        <v>70</v>
      </c>
      <c r="F1958" s="1" t="s">
        <v>71</v>
      </c>
      <c r="G1958" s="1" t="s">
        <v>13</v>
      </c>
      <c r="H1958" s="1">
        <v>50</v>
      </c>
      <c r="I1958" s="1" t="s">
        <v>123</v>
      </c>
      <c r="J1958" s="3">
        <v>0.45</v>
      </c>
      <c r="K1958" s="4">
        <v>5500</v>
      </c>
      <c r="L1958" s="5">
        <f t="shared" si="16"/>
        <v>2475</v>
      </c>
      <c r="M1958" s="5">
        <f t="shared" si="17"/>
        <v>866.25</v>
      </c>
      <c r="N1958" s="6">
        <v>0.35</v>
      </c>
    </row>
    <row r="1959" spans="1:14" ht="15.75" customHeight="1" x14ac:dyDescent="0.45">
      <c r="A1959" s="1" t="s">
        <v>121</v>
      </c>
      <c r="B1959" s="1">
        <v>1128299</v>
      </c>
      <c r="C1959" s="2">
        <v>44645</v>
      </c>
      <c r="D1959" s="1" t="s">
        <v>22</v>
      </c>
      <c r="E1959" s="1" t="s">
        <v>70</v>
      </c>
      <c r="F1959" s="1" t="s">
        <v>71</v>
      </c>
      <c r="G1959" s="1" t="s">
        <v>14</v>
      </c>
      <c r="H1959" s="1">
        <v>24</v>
      </c>
      <c r="I1959" s="1" t="s">
        <v>123</v>
      </c>
      <c r="J1959" s="3">
        <v>0.55000000000000004</v>
      </c>
      <c r="K1959" s="4">
        <v>4000</v>
      </c>
      <c r="L1959" s="5">
        <f t="shared" si="16"/>
        <v>2200</v>
      </c>
      <c r="M1959" s="5">
        <f t="shared" si="17"/>
        <v>880</v>
      </c>
      <c r="N1959" s="6">
        <v>0.4</v>
      </c>
    </row>
    <row r="1960" spans="1:14" ht="15.75" customHeight="1" x14ac:dyDescent="0.45">
      <c r="A1960" s="1" t="s">
        <v>121</v>
      </c>
      <c r="B1960" s="1">
        <v>1128299</v>
      </c>
      <c r="C1960" s="2">
        <v>44645</v>
      </c>
      <c r="D1960" s="1" t="s">
        <v>22</v>
      </c>
      <c r="E1960" s="1" t="s">
        <v>70</v>
      </c>
      <c r="F1960" s="1" t="s">
        <v>71</v>
      </c>
      <c r="G1960" s="1" t="s">
        <v>15</v>
      </c>
      <c r="H1960" s="1">
        <v>16</v>
      </c>
      <c r="I1960" s="1" t="s">
        <v>124</v>
      </c>
      <c r="J1960" s="3">
        <v>0.55000000000000004</v>
      </c>
      <c r="K1960" s="4">
        <v>4000</v>
      </c>
      <c r="L1960" s="5">
        <f t="shared" si="16"/>
        <v>2200</v>
      </c>
      <c r="M1960" s="5">
        <f t="shared" si="17"/>
        <v>770</v>
      </c>
      <c r="N1960" s="6">
        <v>0.35</v>
      </c>
    </row>
    <row r="1961" spans="1:14" ht="15.75" customHeight="1" x14ac:dyDescent="0.45">
      <c r="A1961" s="1" t="s">
        <v>121</v>
      </c>
      <c r="B1961" s="1">
        <v>1128299</v>
      </c>
      <c r="C1961" s="2">
        <v>44645</v>
      </c>
      <c r="D1961" s="1" t="s">
        <v>22</v>
      </c>
      <c r="E1961" s="1" t="s">
        <v>70</v>
      </c>
      <c r="F1961" s="1" t="s">
        <v>71</v>
      </c>
      <c r="G1961" s="1" t="s">
        <v>16</v>
      </c>
      <c r="H1961" s="1">
        <v>43</v>
      </c>
      <c r="I1961" s="1" t="s">
        <v>123</v>
      </c>
      <c r="J1961" s="3">
        <v>0.55000000000000004</v>
      </c>
      <c r="K1961" s="4">
        <v>2750</v>
      </c>
      <c r="L1961" s="5">
        <f t="shared" si="16"/>
        <v>1512.5000000000002</v>
      </c>
      <c r="M1961" s="5">
        <f t="shared" si="17"/>
        <v>529.375</v>
      </c>
      <c r="N1961" s="6">
        <v>0.35</v>
      </c>
    </row>
    <row r="1962" spans="1:14" ht="15.75" customHeight="1" x14ac:dyDescent="0.45">
      <c r="A1962" s="1" t="s">
        <v>121</v>
      </c>
      <c r="B1962" s="1">
        <v>1128299</v>
      </c>
      <c r="C1962" s="2">
        <v>44645</v>
      </c>
      <c r="D1962" s="1" t="s">
        <v>22</v>
      </c>
      <c r="E1962" s="1" t="s">
        <v>70</v>
      </c>
      <c r="F1962" s="1" t="s">
        <v>71</v>
      </c>
      <c r="G1962" s="1" t="s">
        <v>17</v>
      </c>
      <c r="H1962" s="1">
        <v>27</v>
      </c>
      <c r="I1962" s="1" t="s">
        <v>125</v>
      </c>
      <c r="J1962" s="3">
        <v>0.60000000000000009</v>
      </c>
      <c r="K1962" s="4">
        <v>1750</v>
      </c>
      <c r="L1962" s="5">
        <f t="shared" si="16"/>
        <v>1050.0000000000002</v>
      </c>
      <c r="M1962" s="5">
        <f t="shared" si="17"/>
        <v>315.00000000000006</v>
      </c>
      <c r="N1962" s="6">
        <v>0.3</v>
      </c>
    </row>
    <row r="1963" spans="1:14" ht="15.75" customHeight="1" x14ac:dyDescent="0.45">
      <c r="A1963" s="1" t="s">
        <v>121</v>
      </c>
      <c r="B1963" s="1">
        <v>1128299</v>
      </c>
      <c r="C1963" s="2">
        <v>44645</v>
      </c>
      <c r="D1963" s="1" t="s">
        <v>22</v>
      </c>
      <c r="E1963" s="1" t="s">
        <v>70</v>
      </c>
      <c r="F1963" s="1" t="s">
        <v>71</v>
      </c>
      <c r="G1963" s="1" t="s">
        <v>18</v>
      </c>
      <c r="H1963" s="1">
        <v>22</v>
      </c>
      <c r="I1963" s="1" t="s">
        <v>124</v>
      </c>
      <c r="J1963" s="3">
        <v>0.55000000000000004</v>
      </c>
      <c r="K1963" s="4">
        <v>3750</v>
      </c>
      <c r="L1963" s="5">
        <f t="shared" si="16"/>
        <v>2062.5</v>
      </c>
      <c r="M1963" s="5">
        <f t="shared" si="17"/>
        <v>515.625</v>
      </c>
      <c r="N1963" s="6">
        <v>0.25</v>
      </c>
    </row>
    <row r="1964" spans="1:14" ht="15.75" customHeight="1" x14ac:dyDescent="0.45">
      <c r="A1964" s="1" t="s">
        <v>121</v>
      </c>
      <c r="B1964" s="1">
        <v>1128299</v>
      </c>
      <c r="C1964" s="2">
        <v>44677</v>
      </c>
      <c r="D1964" s="1" t="s">
        <v>22</v>
      </c>
      <c r="E1964" s="1" t="s">
        <v>70</v>
      </c>
      <c r="F1964" s="1" t="s">
        <v>71</v>
      </c>
      <c r="G1964" s="1" t="s">
        <v>13</v>
      </c>
      <c r="H1964" s="1">
        <v>16</v>
      </c>
      <c r="I1964" s="1" t="s">
        <v>124</v>
      </c>
      <c r="J1964" s="3">
        <v>0.55000000000000004</v>
      </c>
      <c r="K1964" s="4">
        <v>5500</v>
      </c>
      <c r="L1964" s="5">
        <f t="shared" si="16"/>
        <v>3025.0000000000005</v>
      </c>
      <c r="M1964" s="5">
        <f t="shared" si="17"/>
        <v>1058.75</v>
      </c>
      <c r="N1964" s="6">
        <v>0.35</v>
      </c>
    </row>
    <row r="1965" spans="1:14" ht="15.75" customHeight="1" x14ac:dyDescent="0.45">
      <c r="A1965" s="1" t="s">
        <v>121</v>
      </c>
      <c r="B1965" s="1">
        <v>1128299</v>
      </c>
      <c r="C1965" s="2">
        <v>44677</v>
      </c>
      <c r="D1965" s="1" t="s">
        <v>22</v>
      </c>
      <c r="E1965" s="1" t="s">
        <v>70</v>
      </c>
      <c r="F1965" s="1" t="s">
        <v>71</v>
      </c>
      <c r="G1965" s="1" t="s">
        <v>14</v>
      </c>
      <c r="H1965" s="1">
        <v>39</v>
      </c>
      <c r="I1965" s="1" t="s">
        <v>124</v>
      </c>
      <c r="J1965" s="3">
        <v>0.60000000000000009</v>
      </c>
      <c r="K1965" s="4">
        <v>3500</v>
      </c>
      <c r="L1965" s="5">
        <f t="shared" si="16"/>
        <v>2100.0000000000005</v>
      </c>
      <c r="M1965" s="5">
        <f t="shared" si="17"/>
        <v>840.00000000000023</v>
      </c>
      <c r="N1965" s="6">
        <v>0.4</v>
      </c>
    </row>
    <row r="1966" spans="1:14" ht="15.75" customHeight="1" x14ac:dyDescent="0.45">
      <c r="A1966" s="1" t="s">
        <v>121</v>
      </c>
      <c r="B1966" s="1">
        <v>1128299</v>
      </c>
      <c r="C1966" s="2">
        <v>44677</v>
      </c>
      <c r="D1966" s="1" t="s">
        <v>22</v>
      </c>
      <c r="E1966" s="1" t="s">
        <v>70</v>
      </c>
      <c r="F1966" s="1" t="s">
        <v>71</v>
      </c>
      <c r="G1966" s="1" t="s">
        <v>15</v>
      </c>
      <c r="H1966" s="1">
        <v>24</v>
      </c>
      <c r="I1966" s="1" t="s">
        <v>125</v>
      </c>
      <c r="J1966" s="3">
        <v>0.60000000000000009</v>
      </c>
      <c r="K1966" s="4">
        <v>4000</v>
      </c>
      <c r="L1966" s="5">
        <f t="shared" si="16"/>
        <v>2400.0000000000005</v>
      </c>
      <c r="M1966" s="5">
        <f t="shared" si="17"/>
        <v>840.00000000000011</v>
      </c>
      <c r="N1966" s="6">
        <v>0.35</v>
      </c>
    </row>
    <row r="1967" spans="1:14" ht="15.75" customHeight="1" x14ac:dyDescent="0.45">
      <c r="A1967" s="1" t="s">
        <v>121</v>
      </c>
      <c r="B1967" s="1">
        <v>1128299</v>
      </c>
      <c r="C1967" s="2">
        <v>44677</v>
      </c>
      <c r="D1967" s="1" t="s">
        <v>22</v>
      </c>
      <c r="E1967" s="1" t="s">
        <v>70</v>
      </c>
      <c r="F1967" s="1" t="s">
        <v>71</v>
      </c>
      <c r="G1967" s="1" t="s">
        <v>16</v>
      </c>
      <c r="H1967" s="1">
        <v>34</v>
      </c>
      <c r="I1967" s="1" t="s">
        <v>125</v>
      </c>
      <c r="J1967" s="3">
        <v>0.55000000000000004</v>
      </c>
      <c r="K1967" s="4">
        <v>3000</v>
      </c>
      <c r="L1967" s="5">
        <f t="shared" si="16"/>
        <v>1650.0000000000002</v>
      </c>
      <c r="M1967" s="5">
        <f t="shared" si="17"/>
        <v>577.5</v>
      </c>
      <c r="N1967" s="6">
        <v>0.35</v>
      </c>
    </row>
    <row r="1968" spans="1:14" ht="15.75" customHeight="1" x14ac:dyDescent="0.45">
      <c r="A1968" s="1" t="s">
        <v>121</v>
      </c>
      <c r="B1968" s="1">
        <v>1128299</v>
      </c>
      <c r="C1968" s="2">
        <v>44677</v>
      </c>
      <c r="D1968" s="1" t="s">
        <v>22</v>
      </c>
      <c r="E1968" s="1" t="s">
        <v>70</v>
      </c>
      <c r="F1968" s="1" t="s">
        <v>71</v>
      </c>
      <c r="G1968" s="1" t="s">
        <v>17</v>
      </c>
      <c r="H1968" s="1">
        <v>36</v>
      </c>
      <c r="I1968" s="1" t="s">
        <v>124</v>
      </c>
      <c r="J1968" s="3">
        <v>0.60000000000000009</v>
      </c>
      <c r="K1968" s="4">
        <v>2000</v>
      </c>
      <c r="L1968" s="5">
        <f t="shared" si="16"/>
        <v>1200.0000000000002</v>
      </c>
      <c r="M1968" s="5">
        <f t="shared" si="17"/>
        <v>360.00000000000006</v>
      </c>
      <c r="N1968" s="6">
        <v>0.3</v>
      </c>
    </row>
    <row r="1969" spans="1:14" ht="15.75" customHeight="1" x14ac:dyDescent="0.45">
      <c r="A1969" s="1" t="s">
        <v>121</v>
      </c>
      <c r="B1969" s="1">
        <v>1128299</v>
      </c>
      <c r="C1969" s="2">
        <v>44677</v>
      </c>
      <c r="D1969" s="1" t="s">
        <v>22</v>
      </c>
      <c r="E1969" s="1" t="s">
        <v>70</v>
      </c>
      <c r="F1969" s="1" t="s">
        <v>71</v>
      </c>
      <c r="G1969" s="1" t="s">
        <v>18</v>
      </c>
      <c r="H1969" s="1">
        <v>18</v>
      </c>
      <c r="I1969" s="1" t="s">
        <v>125</v>
      </c>
      <c r="J1969" s="3">
        <v>0.75000000000000011</v>
      </c>
      <c r="K1969" s="4">
        <v>3750</v>
      </c>
      <c r="L1969" s="5">
        <f t="shared" si="16"/>
        <v>2812.5000000000005</v>
      </c>
      <c r="M1969" s="5">
        <f t="shared" si="17"/>
        <v>703.12500000000011</v>
      </c>
      <c r="N1969" s="6">
        <v>0.25</v>
      </c>
    </row>
    <row r="1970" spans="1:14" ht="15.75" customHeight="1" x14ac:dyDescent="0.45">
      <c r="A1970" s="1" t="s">
        <v>121</v>
      </c>
      <c r="B1970" s="1">
        <v>1128299</v>
      </c>
      <c r="C1970" s="2">
        <v>44708</v>
      </c>
      <c r="D1970" s="1" t="s">
        <v>22</v>
      </c>
      <c r="E1970" s="1" t="s">
        <v>70</v>
      </c>
      <c r="F1970" s="1" t="s">
        <v>71</v>
      </c>
      <c r="G1970" s="1" t="s">
        <v>13</v>
      </c>
      <c r="H1970" s="1">
        <v>39</v>
      </c>
      <c r="I1970" s="1" t="s">
        <v>124</v>
      </c>
      <c r="J1970" s="3">
        <v>0.55000000000000004</v>
      </c>
      <c r="K1970" s="4">
        <v>5750</v>
      </c>
      <c r="L1970" s="5">
        <f t="shared" si="16"/>
        <v>3162.5000000000005</v>
      </c>
      <c r="M1970" s="5">
        <f t="shared" si="17"/>
        <v>1106.875</v>
      </c>
      <c r="N1970" s="6">
        <v>0.35</v>
      </c>
    </row>
    <row r="1971" spans="1:14" ht="15.75" customHeight="1" x14ac:dyDescent="0.45">
      <c r="A1971" s="1" t="s">
        <v>121</v>
      </c>
      <c r="B1971" s="1">
        <v>1128299</v>
      </c>
      <c r="C1971" s="2">
        <v>44708</v>
      </c>
      <c r="D1971" s="1" t="s">
        <v>22</v>
      </c>
      <c r="E1971" s="1" t="s">
        <v>70</v>
      </c>
      <c r="F1971" s="1" t="s">
        <v>71</v>
      </c>
      <c r="G1971" s="1" t="s">
        <v>14</v>
      </c>
      <c r="H1971" s="1">
        <v>34</v>
      </c>
      <c r="I1971" s="1" t="s">
        <v>126</v>
      </c>
      <c r="J1971" s="3">
        <v>0.60000000000000009</v>
      </c>
      <c r="K1971" s="4">
        <v>4250</v>
      </c>
      <c r="L1971" s="5">
        <f t="shared" si="16"/>
        <v>2550.0000000000005</v>
      </c>
      <c r="M1971" s="5">
        <f t="shared" si="17"/>
        <v>1020.0000000000002</v>
      </c>
      <c r="N1971" s="6">
        <v>0.4</v>
      </c>
    </row>
    <row r="1972" spans="1:14" ht="15.75" customHeight="1" x14ac:dyDescent="0.45">
      <c r="A1972" s="1" t="s">
        <v>121</v>
      </c>
      <c r="B1972" s="1">
        <v>1128299</v>
      </c>
      <c r="C1972" s="2">
        <v>44708</v>
      </c>
      <c r="D1972" s="1" t="s">
        <v>22</v>
      </c>
      <c r="E1972" s="1" t="s">
        <v>70</v>
      </c>
      <c r="F1972" s="1" t="s">
        <v>71</v>
      </c>
      <c r="G1972" s="1" t="s">
        <v>15</v>
      </c>
      <c r="H1972" s="1">
        <v>37</v>
      </c>
      <c r="I1972" s="1" t="s">
        <v>124</v>
      </c>
      <c r="J1972" s="3">
        <v>0.60000000000000009</v>
      </c>
      <c r="K1972" s="4">
        <v>4500</v>
      </c>
      <c r="L1972" s="5">
        <f t="shared" si="16"/>
        <v>2700.0000000000005</v>
      </c>
      <c r="M1972" s="5">
        <f t="shared" si="17"/>
        <v>945.00000000000011</v>
      </c>
      <c r="N1972" s="6">
        <v>0.35</v>
      </c>
    </row>
    <row r="1973" spans="1:14" ht="15.75" customHeight="1" x14ac:dyDescent="0.45">
      <c r="A1973" s="1" t="s">
        <v>121</v>
      </c>
      <c r="B1973" s="1">
        <v>1128299</v>
      </c>
      <c r="C1973" s="2">
        <v>44708</v>
      </c>
      <c r="D1973" s="1" t="s">
        <v>22</v>
      </c>
      <c r="E1973" s="1" t="s">
        <v>70</v>
      </c>
      <c r="F1973" s="1" t="s">
        <v>71</v>
      </c>
      <c r="G1973" s="1" t="s">
        <v>16</v>
      </c>
      <c r="H1973" s="1">
        <v>15</v>
      </c>
      <c r="I1973" s="1" t="s">
        <v>123</v>
      </c>
      <c r="J1973" s="3">
        <v>0.55000000000000004</v>
      </c>
      <c r="K1973" s="4">
        <v>3500</v>
      </c>
      <c r="L1973" s="5">
        <f t="shared" si="16"/>
        <v>1925.0000000000002</v>
      </c>
      <c r="M1973" s="5">
        <f t="shared" si="17"/>
        <v>673.75</v>
      </c>
      <c r="N1973" s="6">
        <v>0.35</v>
      </c>
    </row>
    <row r="1974" spans="1:14" ht="15.75" customHeight="1" x14ac:dyDescent="0.45">
      <c r="A1974" s="1" t="s">
        <v>121</v>
      </c>
      <c r="B1974" s="1">
        <v>1128299</v>
      </c>
      <c r="C1974" s="2">
        <v>44708</v>
      </c>
      <c r="D1974" s="1" t="s">
        <v>22</v>
      </c>
      <c r="E1974" s="1" t="s">
        <v>70</v>
      </c>
      <c r="F1974" s="1" t="s">
        <v>71</v>
      </c>
      <c r="G1974" s="1" t="s">
        <v>17</v>
      </c>
      <c r="H1974" s="1">
        <v>30</v>
      </c>
      <c r="I1974" s="1" t="s">
        <v>124</v>
      </c>
      <c r="J1974" s="3">
        <v>0.60000000000000009</v>
      </c>
      <c r="K1974" s="4">
        <v>2500</v>
      </c>
      <c r="L1974" s="5">
        <f t="shared" si="16"/>
        <v>1500.0000000000002</v>
      </c>
      <c r="M1974" s="5">
        <f t="shared" si="17"/>
        <v>450.00000000000006</v>
      </c>
      <c r="N1974" s="6">
        <v>0.3</v>
      </c>
    </row>
    <row r="1975" spans="1:14" ht="15.75" customHeight="1" x14ac:dyDescent="0.45">
      <c r="A1975" s="1" t="s">
        <v>121</v>
      </c>
      <c r="B1975" s="1">
        <v>1128299</v>
      </c>
      <c r="C1975" s="2">
        <v>44708</v>
      </c>
      <c r="D1975" s="1" t="s">
        <v>22</v>
      </c>
      <c r="E1975" s="1" t="s">
        <v>70</v>
      </c>
      <c r="F1975" s="1" t="s">
        <v>71</v>
      </c>
      <c r="G1975" s="1" t="s">
        <v>18</v>
      </c>
      <c r="H1975" s="1">
        <v>30</v>
      </c>
      <c r="I1975" s="1" t="s">
        <v>125</v>
      </c>
      <c r="J1975" s="3">
        <v>0.75000000000000011</v>
      </c>
      <c r="K1975" s="4">
        <v>4250</v>
      </c>
      <c r="L1975" s="5">
        <f t="shared" si="16"/>
        <v>3187.5000000000005</v>
      </c>
      <c r="M1975" s="5">
        <f t="shared" si="17"/>
        <v>796.87500000000011</v>
      </c>
      <c r="N1975" s="6">
        <v>0.25</v>
      </c>
    </row>
    <row r="1976" spans="1:14" ht="15.75" customHeight="1" x14ac:dyDescent="0.45">
      <c r="A1976" s="1" t="s">
        <v>121</v>
      </c>
      <c r="B1976" s="1">
        <v>1128299</v>
      </c>
      <c r="C1976" s="2">
        <v>44738</v>
      </c>
      <c r="D1976" s="1" t="s">
        <v>22</v>
      </c>
      <c r="E1976" s="1" t="s">
        <v>70</v>
      </c>
      <c r="F1976" s="1" t="s">
        <v>71</v>
      </c>
      <c r="G1976" s="1" t="s">
        <v>13</v>
      </c>
      <c r="H1976" s="1">
        <v>15</v>
      </c>
      <c r="I1976" s="1" t="s">
        <v>123</v>
      </c>
      <c r="J1976" s="3">
        <v>0.55000000000000004</v>
      </c>
      <c r="K1976" s="4">
        <v>7000</v>
      </c>
      <c r="L1976" s="5">
        <f t="shared" si="16"/>
        <v>3850.0000000000005</v>
      </c>
      <c r="M1976" s="5">
        <f t="shared" si="17"/>
        <v>1347.5</v>
      </c>
      <c r="N1976" s="6">
        <v>0.35</v>
      </c>
    </row>
    <row r="1977" spans="1:14" ht="15.75" customHeight="1" x14ac:dyDescent="0.45">
      <c r="A1977" s="1" t="s">
        <v>121</v>
      </c>
      <c r="B1977" s="1">
        <v>1128299</v>
      </c>
      <c r="C1977" s="2">
        <v>44738</v>
      </c>
      <c r="D1977" s="1" t="s">
        <v>22</v>
      </c>
      <c r="E1977" s="1" t="s">
        <v>70</v>
      </c>
      <c r="F1977" s="1" t="s">
        <v>71</v>
      </c>
      <c r="G1977" s="1" t="s">
        <v>14</v>
      </c>
      <c r="H1977" s="1">
        <v>36</v>
      </c>
      <c r="I1977" s="1" t="s">
        <v>123</v>
      </c>
      <c r="J1977" s="3">
        <v>0.60000000000000009</v>
      </c>
      <c r="K1977" s="4">
        <v>5500</v>
      </c>
      <c r="L1977" s="5">
        <f t="shared" si="16"/>
        <v>3300.0000000000005</v>
      </c>
      <c r="M1977" s="5">
        <f t="shared" si="17"/>
        <v>1320.0000000000002</v>
      </c>
      <c r="N1977" s="6">
        <v>0.4</v>
      </c>
    </row>
    <row r="1978" spans="1:14" ht="15.75" customHeight="1" x14ac:dyDescent="0.45">
      <c r="A1978" s="1" t="s">
        <v>121</v>
      </c>
      <c r="B1978" s="1">
        <v>1128299</v>
      </c>
      <c r="C1978" s="2">
        <v>44738</v>
      </c>
      <c r="D1978" s="1" t="s">
        <v>22</v>
      </c>
      <c r="E1978" s="1" t="s">
        <v>70</v>
      </c>
      <c r="F1978" s="1" t="s">
        <v>71</v>
      </c>
      <c r="G1978" s="1" t="s">
        <v>15</v>
      </c>
      <c r="H1978" s="1">
        <v>50</v>
      </c>
      <c r="I1978" s="1" t="s">
        <v>124</v>
      </c>
      <c r="J1978" s="3">
        <v>0.60000000000000009</v>
      </c>
      <c r="K1978" s="4">
        <v>5500</v>
      </c>
      <c r="L1978" s="5">
        <f t="shared" si="16"/>
        <v>3300.0000000000005</v>
      </c>
      <c r="M1978" s="5">
        <f t="shared" si="17"/>
        <v>1155</v>
      </c>
      <c r="N1978" s="6">
        <v>0.35</v>
      </c>
    </row>
    <row r="1979" spans="1:14" ht="15.75" customHeight="1" x14ac:dyDescent="0.45">
      <c r="A1979" s="1" t="s">
        <v>121</v>
      </c>
      <c r="B1979" s="1">
        <v>1128299</v>
      </c>
      <c r="C1979" s="2">
        <v>44738</v>
      </c>
      <c r="D1979" s="1" t="s">
        <v>22</v>
      </c>
      <c r="E1979" s="1" t="s">
        <v>70</v>
      </c>
      <c r="F1979" s="1" t="s">
        <v>71</v>
      </c>
      <c r="G1979" s="1" t="s">
        <v>16</v>
      </c>
      <c r="H1979" s="1">
        <v>34</v>
      </c>
      <c r="I1979" s="1" t="s">
        <v>123</v>
      </c>
      <c r="J1979" s="3">
        <v>0.55000000000000004</v>
      </c>
      <c r="K1979" s="4">
        <v>4250</v>
      </c>
      <c r="L1979" s="5">
        <f t="shared" si="16"/>
        <v>2337.5</v>
      </c>
      <c r="M1979" s="5">
        <f t="shared" si="17"/>
        <v>818.125</v>
      </c>
      <c r="N1979" s="6">
        <v>0.35</v>
      </c>
    </row>
    <row r="1980" spans="1:14" ht="15.75" customHeight="1" x14ac:dyDescent="0.45">
      <c r="A1980" s="1" t="s">
        <v>121</v>
      </c>
      <c r="B1980" s="1">
        <v>1128299</v>
      </c>
      <c r="C1980" s="2">
        <v>44738</v>
      </c>
      <c r="D1980" s="1" t="s">
        <v>22</v>
      </c>
      <c r="E1980" s="1" t="s">
        <v>70</v>
      </c>
      <c r="F1980" s="1" t="s">
        <v>71</v>
      </c>
      <c r="G1980" s="1" t="s">
        <v>17</v>
      </c>
      <c r="H1980" s="1">
        <v>21</v>
      </c>
      <c r="I1980" s="1" t="s">
        <v>123</v>
      </c>
      <c r="J1980" s="3">
        <v>0.60000000000000009</v>
      </c>
      <c r="K1980" s="4">
        <v>3000</v>
      </c>
      <c r="L1980" s="5">
        <f t="shared" si="16"/>
        <v>1800.0000000000002</v>
      </c>
      <c r="M1980" s="5">
        <f t="shared" si="17"/>
        <v>540</v>
      </c>
      <c r="N1980" s="6">
        <v>0.3</v>
      </c>
    </row>
    <row r="1981" spans="1:14" ht="15.75" customHeight="1" x14ac:dyDescent="0.45">
      <c r="A1981" s="1" t="s">
        <v>121</v>
      </c>
      <c r="B1981" s="1">
        <v>1128299</v>
      </c>
      <c r="C1981" s="2">
        <v>44738</v>
      </c>
      <c r="D1981" s="1" t="s">
        <v>22</v>
      </c>
      <c r="E1981" s="1" t="s">
        <v>70</v>
      </c>
      <c r="F1981" s="1" t="s">
        <v>71</v>
      </c>
      <c r="G1981" s="1" t="s">
        <v>18</v>
      </c>
      <c r="H1981" s="1">
        <v>52</v>
      </c>
      <c r="I1981" s="1" t="s">
        <v>125</v>
      </c>
      <c r="J1981" s="3">
        <v>0.75000000000000011</v>
      </c>
      <c r="K1981" s="4">
        <v>6000</v>
      </c>
      <c r="L1981" s="5">
        <f t="shared" si="16"/>
        <v>4500.0000000000009</v>
      </c>
      <c r="M1981" s="5">
        <f t="shared" si="17"/>
        <v>1125.0000000000002</v>
      </c>
      <c r="N1981" s="6">
        <v>0.25</v>
      </c>
    </row>
    <row r="1982" spans="1:14" ht="15.75" customHeight="1" x14ac:dyDescent="0.45">
      <c r="A1982" s="1" t="s">
        <v>121</v>
      </c>
      <c r="B1982" s="1">
        <v>1128299</v>
      </c>
      <c r="C1982" s="2">
        <v>44767</v>
      </c>
      <c r="D1982" s="1" t="s">
        <v>22</v>
      </c>
      <c r="E1982" s="1" t="s">
        <v>70</v>
      </c>
      <c r="F1982" s="1" t="s">
        <v>71</v>
      </c>
      <c r="G1982" s="1" t="s">
        <v>13</v>
      </c>
      <c r="H1982" s="1">
        <v>51</v>
      </c>
      <c r="I1982" s="1" t="s">
        <v>125</v>
      </c>
      <c r="J1982" s="3">
        <v>0.55000000000000004</v>
      </c>
      <c r="K1982" s="4">
        <v>7500</v>
      </c>
      <c r="L1982" s="5">
        <f t="shared" si="16"/>
        <v>4125</v>
      </c>
      <c r="M1982" s="5">
        <f t="shared" si="17"/>
        <v>1443.75</v>
      </c>
      <c r="N1982" s="6">
        <v>0.35</v>
      </c>
    </row>
    <row r="1983" spans="1:14" ht="15.75" customHeight="1" x14ac:dyDescent="0.45">
      <c r="A1983" s="1" t="s">
        <v>121</v>
      </c>
      <c r="B1983" s="1">
        <v>1128299</v>
      </c>
      <c r="C1983" s="2">
        <v>44767</v>
      </c>
      <c r="D1983" s="1" t="s">
        <v>22</v>
      </c>
      <c r="E1983" s="1" t="s">
        <v>70</v>
      </c>
      <c r="F1983" s="1" t="s">
        <v>71</v>
      </c>
      <c r="G1983" s="1" t="s">
        <v>14</v>
      </c>
      <c r="H1983" s="1">
        <v>21</v>
      </c>
      <c r="I1983" s="1" t="s">
        <v>125</v>
      </c>
      <c r="J1983" s="3">
        <v>0.60000000000000009</v>
      </c>
      <c r="K1983" s="4">
        <v>6000</v>
      </c>
      <c r="L1983" s="5">
        <f t="shared" si="16"/>
        <v>3600.0000000000005</v>
      </c>
      <c r="M1983" s="5">
        <f t="shared" si="17"/>
        <v>1440.0000000000002</v>
      </c>
      <c r="N1983" s="6">
        <v>0.4</v>
      </c>
    </row>
    <row r="1984" spans="1:14" ht="15.75" customHeight="1" x14ac:dyDescent="0.45">
      <c r="A1984" s="1" t="s">
        <v>121</v>
      </c>
      <c r="B1984" s="1">
        <v>1128299</v>
      </c>
      <c r="C1984" s="2">
        <v>44767</v>
      </c>
      <c r="D1984" s="1" t="s">
        <v>22</v>
      </c>
      <c r="E1984" s="1" t="s">
        <v>70</v>
      </c>
      <c r="F1984" s="1" t="s">
        <v>71</v>
      </c>
      <c r="G1984" s="1" t="s">
        <v>15</v>
      </c>
      <c r="H1984" s="1">
        <v>43</v>
      </c>
      <c r="I1984" s="1" t="s">
        <v>125</v>
      </c>
      <c r="J1984" s="3">
        <v>0.60000000000000009</v>
      </c>
      <c r="K1984" s="4">
        <v>5500</v>
      </c>
      <c r="L1984" s="5">
        <f t="shared" si="16"/>
        <v>3300.0000000000005</v>
      </c>
      <c r="M1984" s="5">
        <f t="shared" si="17"/>
        <v>1155</v>
      </c>
      <c r="N1984" s="6">
        <v>0.35</v>
      </c>
    </row>
    <row r="1985" spans="1:14" ht="15.75" customHeight="1" x14ac:dyDescent="0.45">
      <c r="A1985" s="1" t="s">
        <v>121</v>
      </c>
      <c r="B1985" s="1">
        <v>1128299</v>
      </c>
      <c r="C1985" s="2">
        <v>44767</v>
      </c>
      <c r="D1985" s="1" t="s">
        <v>22</v>
      </c>
      <c r="E1985" s="1" t="s">
        <v>70</v>
      </c>
      <c r="F1985" s="1" t="s">
        <v>71</v>
      </c>
      <c r="G1985" s="1" t="s">
        <v>16</v>
      </c>
      <c r="H1985" s="1">
        <v>26</v>
      </c>
      <c r="I1985" s="1" t="s">
        <v>126</v>
      </c>
      <c r="J1985" s="3">
        <v>0.55000000000000004</v>
      </c>
      <c r="K1985" s="4">
        <v>4500</v>
      </c>
      <c r="L1985" s="5">
        <f t="shared" si="16"/>
        <v>2475</v>
      </c>
      <c r="M1985" s="5">
        <f t="shared" si="17"/>
        <v>866.25</v>
      </c>
      <c r="N1985" s="6">
        <v>0.35</v>
      </c>
    </row>
    <row r="1986" spans="1:14" ht="15.75" customHeight="1" x14ac:dyDescent="0.45">
      <c r="A1986" s="1" t="s">
        <v>121</v>
      </c>
      <c r="B1986" s="1">
        <v>1128299</v>
      </c>
      <c r="C1986" s="2">
        <v>44767</v>
      </c>
      <c r="D1986" s="1" t="s">
        <v>22</v>
      </c>
      <c r="E1986" s="1" t="s">
        <v>70</v>
      </c>
      <c r="F1986" s="1" t="s">
        <v>71</v>
      </c>
      <c r="G1986" s="1" t="s">
        <v>17</v>
      </c>
      <c r="H1986" s="1">
        <v>42</v>
      </c>
      <c r="I1986" s="1" t="s">
        <v>125</v>
      </c>
      <c r="J1986" s="3">
        <v>0.60000000000000009</v>
      </c>
      <c r="K1986" s="4">
        <v>5000</v>
      </c>
      <c r="L1986" s="5">
        <f t="shared" si="16"/>
        <v>3000.0000000000005</v>
      </c>
      <c r="M1986" s="5">
        <f t="shared" si="17"/>
        <v>900.00000000000011</v>
      </c>
      <c r="N1986" s="6">
        <v>0.3</v>
      </c>
    </row>
    <row r="1987" spans="1:14" ht="15.75" customHeight="1" x14ac:dyDescent="0.45">
      <c r="A1987" s="1" t="s">
        <v>121</v>
      </c>
      <c r="B1987" s="1">
        <v>1128299</v>
      </c>
      <c r="C1987" s="2">
        <v>44767</v>
      </c>
      <c r="D1987" s="1" t="s">
        <v>22</v>
      </c>
      <c r="E1987" s="1" t="s">
        <v>70</v>
      </c>
      <c r="F1987" s="1" t="s">
        <v>71</v>
      </c>
      <c r="G1987" s="1" t="s">
        <v>18</v>
      </c>
      <c r="H1987" s="1">
        <v>29</v>
      </c>
      <c r="I1987" s="1" t="s">
        <v>125</v>
      </c>
      <c r="J1987" s="3">
        <v>0.75000000000000011</v>
      </c>
      <c r="K1987" s="4">
        <v>5000</v>
      </c>
      <c r="L1987" s="5">
        <f t="shared" si="16"/>
        <v>3750.0000000000005</v>
      </c>
      <c r="M1987" s="5">
        <f t="shared" si="17"/>
        <v>937.50000000000011</v>
      </c>
      <c r="N1987" s="6">
        <v>0.25</v>
      </c>
    </row>
    <row r="1988" spans="1:14" ht="15.75" customHeight="1" x14ac:dyDescent="0.45">
      <c r="A1988" s="1" t="s">
        <v>121</v>
      </c>
      <c r="B1988" s="1">
        <v>1128299</v>
      </c>
      <c r="C1988" s="2">
        <v>44799</v>
      </c>
      <c r="D1988" s="1" t="s">
        <v>22</v>
      </c>
      <c r="E1988" s="1" t="s">
        <v>70</v>
      </c>
      <c r="F1988" s="1" t="s">
        <v>71</v>
      </c>
      <c r="G1988" s="1" t="s">
        <v>13</v>
      </c>
      <c r="H1988" s="1">
        <v>42</v>
      </c>
      <c r="I1988" s="1" t="s">
        <v>125</v>
      </c>
      <c r="J1988" s="3">
        <v>0.60000000000000009</v>
      </c>
      <c r="K1988" s="4">
        <v>7000</v>
      </c>
      <c r="L1988" s="5">
        <f t="shared" si="16"/>
        <v>4200.0000000000009</v>
      </c>
      <c r="M1988" s="5">
        <f t="shared" si="17"/>
        <v>1470.0000000000002</v>
      </c>
      <c r="N1988" s="6">
        <v>0.35</v>
      </c>
    </row>
    <row r="1989" spans="1:14" ht="15.75" customHeight="1" x14ac:dyDescent="0.45">
      <c r="A1989" s="1" t="s">
        <v>121</v>
      </c>
      <c r="B1989" s="1">
        <v>1128299</v>
      </c>
      <c r="C1989" s="2">
        <v>44799</v>
      </c>
      <c r="D1989" s="1" t="s">
        <v>22</v>
      </c>
      <c r="E1989" s="1" t="s">
        <v>70</v>
      </c>
      <c r="F1989" s="1" t="s">
        <v>71</v>
      </c>
      <c r="G1989" s="1" t="s">
        <v>14</v>
      </c>
      <c r="H1989" s="1">
        <v>26</v>
      </c>
      <c r="I1989" s="1" t="s">
        <v>125</v>
      </c>
      <c r="J1989" s="3">
        <v>0.65000000000000013</v>
      </c>
      <c r="K1989" s="4">
        <v>6500</v>
      </c>
      <c r="L1989" s="5">
        <f t="shared" si="16"/>
        <v>4225.0000000000009</v>
      </c>
      <c r="M1989" s="5">
        <f t="shared" si="17"/>
        <v>1690.0000000000005</v>
      </c>
      <c r="N1989" s="6">
        <v>0.4</v>
      </c>
    </row>
    <row r="1990" spans="1:14" ht="15.75" customHeight="1" x14ac:dyDescent="0.45">
      <c r="A1990" s="1" t="s">
        <v>121</v>
      </c>
      <c r="B1990" s="1">
        <v>1128299</v>
      </c>
      <c r="C1990" s="2">
        <v>44799</v>
      </c>
      <c r="D1990" s="1" t="s">
        <v>22</v>
      </c>
      <c r="E1990" s="1" t="s">
        <v>70</v>
      </c>
      <c r="F1990" s="1" t="s">
        <v>71</v>
      </c>
      <c r="G1990" s="1" t="s">
        <v>15</v>
      </c>
      <c r="H1990" s="1">
        <v>54</v>
      </c>
      <c r="I1990" s="1" t="s">
        <v>125</v>
      </c>
      <c r="J1990" s="3">
        <v>0.60000000000000009</v>
      </c>
      <c r="K1990" s="4">
        <v>5250</v>
      </c>
      <c r="L1990" s="5">
        <f t="shared" si="16"/>
        <v>3150.0000000000005</v>
      </c>
      <c r="M1990" s="5">
        <f t="shared" si="17"/>
        <v>1102.5</v>
      </c>
      <c r="N1990" s="6">
        <v>0.35</v>
      </c>
    </row>
    <row r="1991" spans="1:14" ht="15.75" customHeight="1" x14ac:dyDescent="0.45">
      <c r="A1991" s="1" t="s">
        <v>121</v>
      </c>
      <c r="B1991" s="1">
        <v>1128299</v>
      </c>
      <c r="C1991" s="2">
        <v>44799</v>
      </c>
      <c r="D1991" s="1" t="s">
        <v>22</v>
      </c>
      <c r="E1991" s="1" t="s">
        <v>70</v>
      </c>
      <c r="F1991" s="1" t="s">
        <v>71</v>
      </c>
      <c r="G1991" s="1" t="s">
        <v>16</v>
      </c>
      <c r="H1991" s="1">
        <v>43</v>
      </c>
      <c r="I1991" s="1" t="s">
        <v>125</v>
      </c>
      <c r="J1991" s="3">
        <v>0.60000000000000009</v>
      </c>
      <c r="K1991" s="4">
        <v>4750</v>
      </c>
      <c r="L1991" s="5">
        <f t="shared" si="16"/>
        <v>2850.0000000000005</v>
      </c>
      <c r="M1991" s="5">
        <f t="shared" si="17"/>
        <v>997.50000000000011</v>
      </c>
      <c r="N1991" s="6">
        <v>0.35</v>
      </c>
    </row>
    <row r="1992" spans="1:14" ht="15.75" customHeight="1" x14ac:dyDescent="0.45">
      <c r="A1992" s="1" t="s">
        <v>121</v>
      </c>
      <c r="B1992" s="1">
        <v>1128299</v>
      </c>
      <c r="C1992" s="2">
        <v>44799</v>
      </c>
      <c r="D1992" s="1" t="s">
        <v>22</v>
      </c>
      <c r="E1992" s="1" t="s">
        <v>70</v>
      </c>
      <c r="F1992" s="1" t="s">
        <v>71</v>
      </c>
      <c r="G1992" s="1" t="s">
        <v>17</v>
      </c>
      <c r="H1992" s="1">
        <v>23</v>
      </c>
      <c r="I1992" s="1" t="s">
        <v>125</v>
      </c>
      <c r="J1992" s="3">
        <v>0.70000000000000007</v>
      </c>
      <c r="K1992" s="4">
        <v>4750</v>
      </c>
      <c r="L1992" s="5">
        <f t="shared" si="16"/>
        <v>3325.0000000000005</v>
      </c>
      <c r="M1992" s="5">
        <f t="shared" si="17"/>
        <v>997.50000000000011</v>
      </c>
      <c r="N1992" s="6">
        <v>0.3</v>
      </c>
    </row>
    <row r="1993" spans="1:14" ht="15.75" customHeight="1" x14ac:dyDescent="0.45">
      <c r="A1993" s="1" t="s">
        <v>121</v>
      </c>
      <c r="B1993" s="1">
        <v>1128299</v>
      </c>
      <c r="C1993" s="2">
        <v>44799</v>
      </c>
      <c r="D1993" s="1" t="s">
        <v>22</v>
      </c>
      <c r="E1993" s="1" t="s">
        <v>70</v>
      </c>
      <c r="F1993" s="1" t="s">
        <v>71</v>
      </c>
      <c r="G1993" s="1" t="s">
        <v>18</v>
      </c>
      <c r="H1993" s="1">
        <v>19</v>
      </c>
      <c r="I1993" s="1" t="s">
        <v>124</v>
      </c>
      <c r="J1993" s="3">
        <v>0.75000000000000011</v>
      </c>
      <c r="K1993" s="4">
        <v>4500</v>
      </c>
      <c r="L1993" s="5">
        <f t="shared" si="16"/>
        <v>3375.0000000000005</v>
      </c>
      <c r="M1993" s="5">
        <f t="shared" si="17"/>
        <v>843.75000000000011</v>
      </c>
      <c r="N1993" s="6">
        <v>0.25</v>
      </c>
    </row>
    <row r="1994" spans="1:14" ht="15.75" customHeight="1" x14ac:dyDescent="0.45">
      <c r="A1994" s="1" t="s">
        <v>121</v>
      </c>
      <c r="B1994" s="1">
        <v>1128299</v>
      </c>
      <c r="C1994" s="2">
        <v>44831</v>
      </c>
      <c r="D1994" s="1" t="s">
        <v>22</v>
      </c>
      <c r="E1994" s="1" t="s">
        <v>70</v>
      </c>
      <c r="F1994" s="1" t="s">
        <v>71</v>
      </c>
      <c r="G1994" s="1" t="s">
        <v>13</v>
      </c>
      <c r="H1994" s="1">
        <v>30</v>
      </c>
      <c r="I1994" s="1" t="s">
        <v>123</v>
      </c>
      <c r="J1994" s="3">
        <v>0.50000000000000011</v>
      </c>
      <c r="K1994" s="4">
        <v>6250</v>
      </c>
      <c r="L1994" s="5">
        <f t="shared" si="16"/>
        <v>3125.0000000000009</v>
      </c>
      <c r="M1994" s="5">
        <f t="shared" si="17"/>
        <v>1093.7500000000002</v>
      </c>
      <c r="N1994" s="6">
        <v>0.35</v>
      </c>
    </row>
    <row r="1995" spans="1:14" ht="15.75" customHeight="1" x14ac:dyDescent="0.45">
      <c r="A1995" s="1" t="s">
        <v>121</v>
      </c>
      <c r="B1995" s="1">
        <v>1128299</v>
      </c>
      <c r="C1995" s="2">
        <v>44831</v>
      </c>
      <c r="D1995" s="1" t="s">
        <v>22</v>
      </c>
      <c r="E1995" s="1" t="s">
        <v>70</v>
      </c>
      <c r="F1995" s="1" t="s">
        <v>71</v>
      </c>
      <c r="G1995" s="1" t="s">
        <v>14</v>
      </c>
      <c r="H1995" s="1">
        <v>59</v>
      </c>
      <c r="I1995" s="1" t="s">
        <v>124</v>
      </c>
      <c r="J1995" s="3">
        <v>0.55000000000000016</v>
      </c>
      <c r="K1995" s="4">
        <v>6250</v>
      </c>
      <c r="L1995" s="5">
        <f t="shared" si="16"/>
        <v>3437.5000000000009</v>
      </c>
      <c r="M1995" s="5">
        <f t="shared" si="17"/>
        <v>1375.0000000000005</v>
      </c>
      <c r="N1995" s="6">
        <v>0.4</v>
      </c>
    </row>
    <row r="1996" spans="1:14" ht="15.75" customHeight="1" x14ac:dyDescent="0.45">
      <c r="A1996" s="1" t="s">
        <v>121</v>
      </c>
      <c r="B1996" s="1">
        <v>1128299</v>
      </c>
      <c r="C1996" s="2">
        <v>44831</v>
      </c>
      <c r="D1996" s="1" t="s">
        <v>22</v>
      </c>
      <c r="E1996" s="1" t="s">
        <v>70</v>
      </c>
      <c r="F1996" s="1" t="s">
        <v>71</v>
      </c>
      <c r="G1996" s="1" t="s">
        <v>15</v>
      </c>
      <c r="H1996" s="1">
        <v>39</v>
      </c>
      <c r="I1996" s="1" t="s">
        <v>126</v>
      </c>
      <c r="J1996" s="3">
        <v>0.50000000000000011</v>
      </c>
      <c r="K1996" s="4">
        <v>4750</v>
      </c>
      <c r="L1996" s="5">
        <f t="shared" si="16"/>
        <v>2375.0000000000005</v>
      </c>
      <c r="M1996" s="5">
        <f t="shared" si="17"/>
        <v>831.25000000000011</v>
      </c>
      <c r="N1996" s="6">
        <v>0.35</v>
      </c>
    </row>
    <row r="1997" spans="1:14" ht="15.75" customHeight="1" x14ac:dyDescent="0.45">
      <c r="A1997" s="1" t="s">
        <v>121</v>
      </c>
      <c r="B1997" s="1">
        <v>1128299</v>
      </c>
      <c r="C1997" s="2">
        <v>44831</v>
      </c>
      <c r="D1997" s="1" t="s">
        <v>22</v>
      </c>
      <c r="E1997" s="1" t="s">
        <v>70</v>
      </c>
      <c r="F1997" s="1" t="s">
        <v>71</v>
      </c>
      <c r="G1997" s="1" t="s">
        <v>16</v>
      </c>
      <c r="H1997" s="1">
        <v>35</v>
      </c>
      <c r="I1997" s="1" t="s">
        <v>125</v>
      </c>
      <c r="J1997" s="3">
        <v>0.50000000000000011</v>
      </c>
      <c r="K1997" s="4">
        <v>4250</v>
      </c>
      <c r="L1997" s="5">
        <f t="shared" si="16"/>
        <v>2125.0000000000005</v>
      </c>
      <c r="M1997" s="5">
        <f t="shared" si="17"/>
        <v>743.75000000000011</v>
      </c>
      <c r="N1997" s="6">
        <v>0.35</v>
      </c>
    </row>
    <row r="1998" spans="1:14" ht="15.75" customHeight="1" x14ac:dyDescent="0.45">
      <c r="A1998" s="1" t="s">
        <v>121</v>
      </c>
      <c r="B1998" s="1">
        <v>1128299</v>
      </c>
      <c r="C1998" s="2">
        <v>44831</v>
      </c>
      <c r="D1998" s="1" t="s">
        <v>22</v>
      </c>
      <c r="E1998" s="1" t="s">
        <v>70</v>
      </c>
      <c r="F1998" s="1" t="s">
        <v>71</v>
      </c>
      <c r="G1998" s="1" t="s">
        <v>17</v>
      </c>
      <c r="H1998" s="1">
        <v>17</v>
      </c>
      <c r="I1998" s="1" t="s">
        <v>126</v>
      </c>
      <c r="J1998" s="3">
        <v>0.60000000000000009</v>
      </c>
      <c r="K1998" s="4">
        <v>4250</v>
      </c>
      <c r="L1998" s="5">
        <f t="shared" si="16"/>
        <v>2550.0000000000005</v>
      </c>
      <c r="M1998" s="5">
        <f t="shared" si="17"/>
        <v>765.00000000000011</v>
      </c>
      <c r="N1998" s="6">
        <v>0.3</v>
      </c>
    </row>
    <row r="1999" spans="1:14" ht="15.75" customHeight="1" x14ac:dyDescent="0.45">
      <c r="A1999" s="1" t="s">
        <v>121</v>
      </c>
      <c r="B1999" s="1">
        <v>1128299</v>
      </c>
      <c r="C1999" s="2">
        <v>44831</v>
      </c>
      <c r="D1999" s="1" t="s">
        <v>22</v>
      </c>
      <c r="E1999" s="1" t="s">
        <v>70</v>
      </c>
      <c r="F1999" s="1" t="s">
        <v>71</v>
      </c>
      <c r="G1999" s="1" t="s">
        <v>18</v>
      </c>
      <c r="H1999" s="1">
        <v>34</v>
      </c>
      <c r="I1999" s="1" t="s">
        <v>124</v>
      </c>
      <c r="J1999" s="3">
        <v>0.65000000000000013</v>
      </c>
      <c r="K1999" s="4">
        <v>4750</v>
      </c>
      <c r="L1999" s="5">
        <f t="shared" si="16"/>
        <v>3087.5000000000005</v>
      </c>
      <c r="M1999" s="5">
        <f t="shared" si="17"/>
        <v>771.87500000000011</v>
      </c>
      <c r="N1999" s="6">
        <v>0.25</v>
      </c>
    </row>
    <row r="2000" spans="1:14" ht="15.75" customHeight="1" x14ac:dyDescent="0.45">
      <c r="A2000" s="1" t="s">
        <v>121</v>
      </c>
      <c r="B2000" s="1">
        <v>1128299</v>
      </c>
      <c r="C2000" s="2">
        <v>44860</v>
      </c>
      <c r="D2000" s="1" t="s">
        <v>22</v>
      </c>
      <c r="E2000" s="1" t="s">
        <v>70</v>
      </c>
      <c r="F2000" s="1" t="s">
        <v>71</v>
      </c>
      <c r="G2000" s="1" t="s">
        <v>13</v>
      </c>
      <c r="H2000" s="1">
        <v>28</v>
      </c>
      <c r="I2000" s="1" t="s">
        <v>124</v>
      </c>
      <c r="J2000" s="3">
        <v>0.50000000000000011</v>
      </c>
      <c r="K2000" s="4">
        <v>5500</v>
      </c>
      <c r="L2000" s="5">
        <f t="shared" si="16"/>
        <v>2750.0000000000005</v>
      </c>
      <c r="M2000" s="5">
        <f t="shared" si="17"/>
        <v>962.50000000000011</v>
      </c>
      <c r="N2000" s="6">
        <v>0.35</v>
      </c>
    </row>
    <row r="2001" spans="1:14" ht="15.75" customHeight="1" x14ac:dyDescent="0.45">
      <c r="A2001" s="1" t="s">
        <v>121</v>
      </c>
      <c r="B2001" s="1">
        <v>1128299</v>
      </c>
      <c r="C2001" s="2">
        <v>44860</v>
      </c>
      <c r="D2001" s="1" t="s">
        <v>22</v>
      </c>
      <c r="E2001" s="1" t="s">
        <v>70</v>
      </c>
      <c r="F2001" s="1" t="s">
        <v>71</v>
      </c>
      <c r="G2001" s="1" t="s">
        <v>14</v>
      </c>
      <c r="H2001" s="1">
        <v>23</v>
      </c>
      <c r="I2001" s="1" t="s">
        <v>125</v>
      </c>
      <c r="J2001" s="3">
        <v>0.55000000000000016</v>
      </c>
      <c r="K2001" s="4">
        <v>5500</v>
      </c>
      <c r="L2001" s="5">
        <f t="shared" si="16"/>
        <v>3025.0000000000009</v>
      </c>
      <c r="M2001" s="5">
        <f t="shared" si="17"/>
        <v>1210.0000000000005</v>
      </c>
      <c r="N2001" s="6">
        <v>0.4</v>
      </c>
    </row>
    <row r="2002" spans="1:14" ht="15.75" customHeight="1" x14ac:dyDescent="0.45">
      <c r="A2002" s="1" t="s">
        <v>121</v>
      </c>
      <c r="B2002" s="1">
        <v>1128299</v>
      </c>
      <c r="C2002" s="2">
        <v>44860</v>
      </c>
      <c r="D2002" s="1" t="s">
        <v>22</v>
      </c>
      <c r="E2002" s="1" t="s">
        <v>70</v>
      </c>
      <c r="F2002" s="1" t="s">
        <v>71</v>
      </c>
      <c r="G2002" s="1" t="s">
        <v>15</v>
      </c>
      <c r="H2002" s="1">
        <v>54</v>
      </c>
      <c r="I2002" s="1" t="s">
        <v>126</v>
      </c>
      <c r="J2002" s="3">
        <v>0.50000000000000011</v>
      </c>
      <c r="K2002" s="4">
        <v>3750</v>
      </c>
      <c r="L2002" s="5">
        <f t="shared" si="16"/>
        <v>1875.0000000000005</v>
      </c>
      <c r="M2002" s="5">
        <f t="shared" si="17"/>
        <v>656.25000000000011</v>
      </c>
      <c r="N2002" s="6">
        <v>0.35</v>
      </c>
    </row>
    <row r="2003" spans="1:14" ht="15.75" customHeight="1" x14ac:dyDescent="0.45">
      <c r="A2003" s="1" t="s">
        <v>121</v>
      </c>
      <c r="B2003" s="1">
        <v>1128299</v>
      </c>
      <c r="C2003" s="2">
        <v>44860</v>
      </c>
      <c r="D2003" s="1" t="s">
        <v>22</v>
      </c>
      <c r="E2003" s="1" t="s">
        <v>70</v>
      </c>
      <c r="F2003" s="1" t="s">
        <v>71</v>
      </c>
      <c r="G2003" s="1" t="s">
        <v>16</v>
      </c>
      <c r="H2003" s="1">
        <v>36</v>
      </c>
      <c r="I2003" s="1" t="s">
        <v>124</v>
      </c>
      <c r="J2003" s="3">
        <v>0.50000000000000011</v>
      </c>
      <c r="K2003" s="4">
        <v>3500</v>
      </c>
      <c r="L2003" s="5">
        <f t="shared" si="16"/>
        <v>1750.0000000000005</v>
      </c>
      <c r="M2003" s="5">
        <f t="shared" si="17"/>
        <v>612.50000000000011</v>
      </c>
      <c r="N2003" s="6">
        <v>0.35</v>
      </c>
    </row>
    <row r="2004" spans="1:14" ht="15.75" customHeight="1" x14ac:dyDescent="0.45">
      <c r="A2004" s="1" t="s">
        <v>121</v>
      </c>
      <c r="B2004" s="1">
        <v>1128299</v>
      </c>
      <c r="C2004" s="2">
        <v>44860</v>
      </c>
      <c r="D2004" s="1" t="s">
        <v>22</v>
      </c>
      <c r="E2004" s="1" t="s">
        <v>70</v>
      </c>
      <c r="F2004" s="1" t="s">
        <v>71</v>
      </c>
      <c r="G2004" s="1" t="s">
        <v>17</v>
      </c>
      <c r="H2004" s="1">
        <v>52</v>
      </c>
      <c r="I2004" s="1" t="s">
        <v>126</v>
      </c>
      <c r="J2004" s="3">
        <v>0.60000000000000009</v>
      </c>
      <c r="K2004" s="4">
        <v>3250</v>
      </c>
      <c r="L2004" s="5">
        <f t="shared" si="16"/>
        <v>1950.0000000000002</v>
      </c>
      <c r="M2004" s="5">
        <f t="shared" si="17"/>
        <v>585</v>
      </c>
      <c r="N2004" s="6">
        <v>0.3</v>
      </c>
    </row>
    <row r="2005" spans="1:14" ht="15.75" customHeight="1" x14ac:dyDescent="0.45">
      <c r="A2005" s="1" t="s">
        <v>121</v>
      </c>
      <c r="B2005" s="1">
        <v>1128299</v>
      </c>
      <c r="C2005" s="2">
        <v>44860</v>
      </c>
      <c r="D2005" s="1" t="s">
        <v>22</v>
      </c>
      <c r="E2005" s="1" t="s">
        <v>70</v>
      </c>
      <c r="F2005" s="1" t="s">
        <v>71</v>
      </c>
      <c r="G2005" s="1" t="s">
        <v>18</v>
      </c>
      <c r="H2005" s="1">
        <v>36</v>
      </c>
      <c r="I2005" s="1" t="s">
        <v>123</v>
      </c>
      <c r="J2005" s="3">
        <v>0.75000000000000011</v>
      </c>
      <c r="K2005" s="4">
        <v>3750</v>
      </c>
      <c r="L2005" s="5">
        <f t="shared" si="16"/>
        <v>2812.5000000000005</v>
      </c>
      <c r="M2005" s="5">
        <f t="shared" si="17"/>
        <v>703.12500000000011</v>
      </c>
      <c r="N2005" s="6">
        <v>0.25</v>
      </c>
    </row>
    <row r="2006" spans="1:14" ht="15.75" customHeight="1" x14ac:dyDescent="0.45">
      <c r="A2006" s="1" t="s">
        <v>121</v>
      </c>
      <c r="B2006" s="1">
        <v>1128299</v>
      </c>
      <c r="C2006" s="2">
        <v>44891</v>
      </c>
      <c r="D2006" s="1" t="s">
        <v>22</v>
      </c>
      <c r="E2006" s="1" t="s">
        <v>70</v>
      </c>
      <c r="F2006" s="1" t="s">
        <v>71</v>
      </c>
      <c r="G2006" s="1" t="s">
        <v>13</v>
      </c>
      <c r="H2006" s="1">
        <v>26</v>
      </c>
      <c r="I2006" s="1" t="s">
        <v>123</v>
      </c>
      <c r="J2006" s="3">
        <v>0.60000000000000009</v>
      </c>
      <c r="K2006" s="4">
        <v>5500</v>
      </c>
      <c r="L2006" s="5">
        <f t="shared" si="16"/>
        <v>3300.0000000000005</v>
      </c>
      <c r="M2006" s="5">
        <f t="shared" si="17"/>
        <v>1155</v>
      </c>
      <c r="N2006" s="6">
        <v>0.35</v>
      </c>
    </row>
    <row r="2007" spans="1:14" ht="15.75" customHeight="1" x14ac:dyDescent="0.45">
      <c r="A2007" s="1" t="s">
        <v>121</v>
      </c>
      <c r="B2007" s="1">
        <v>1128299</v>
      </c>
      <c r="C2007" s="2">
        <v>44891</v>
      </c>
      <c r="D2007" s="1" t="s">
        <v>22</v>
      </c>
      <c r="E2007" s="1" t="s">
        <v>70</v>
      </c>
      <c r="F2007" s="1" t="s">
        <v>71</v>
      </c>
      <c r="G2007" s="1" t="s">
        <v>14</v>
      </c>
      <c r="H2007" s="1">
        <v>18</v>
      </c>
      <c r="I2007" s="1" t="s">
        <v>125</v>
      </c>
      <c r="J2007" s="3">
        <v>0.65000000000000013</v>
      </c>
      <c r="K2007" s="4">
        <v>6000</v>
      </c>
      <c r="L2007" s="5">
        <f t="shared" si="16"/>
        <v>3900.0000000000009</v>
      </c>
      <c r="M2007" s="5">
        <f t="shared" si="17"/>
        <v>1560.0000000000005</v>
      </c>
      <c r="N2007" s="6">
        <v>0.4</v>
      </c>
    </row>
    <row r="2008" spans="1:14" ht="15.75" customHeight="1" x14ac:dyDescent="0.45">
      <c r="A2008" s="1" t="s">
        <v>121</v>
      </c>
      <c r="B2008" s="1">
        <v>1128299</v>
      </c>
      <c r="C2008" s="2">
        <v>44891</v>
      </c>
      <c r="D2008" s="1" t="s">
        <v>22</v>
      </c>
      <c r="E2008" s="1" t="s">
        <v>70</v>
      </c>
      <c r="F2008" s="1" t="s">
        <v>71</v>
      </c>
      <c r="G2008" s="1" t="s">
        <v>15</v>
      </c>
      <c r="H2008" s="1">
        <v>24</v>
      </c>
      <c r="I2008" s="1" t="s">
        <v>125</v>
      </c>
      <c r="J2008" s="3">
        <v>0.60000000000000009</v>
      </c>
      <c r="K2008" s="4">
        <v>4500</v>
      </c>
      <c r="L2008" s="5">
        <f t="shared" si="16"/>
        <v>2700.0000000000005</v>
      </c>
      <c r="M2008" s="5">
        <f t="shared" si="17"/>
        <v>945.00000000000011</v>
      </c>
      <c r="N2008" s="6">
        <v>0.35</v>
      </c>
    </row>
    <row r="2009" spans="1:14" ht="15.75" customHeight="1" x14ac:dyDescent="0.45">
      <c r="A2009" s="1" t="s">
        <v>121</v>
      </c>
      <c r="B2009" s="1">
        <v>1128299</v>
      </c>
      <c r="C2009" s="2">
        <v>44891</v>
      </c>
      <c r="D2009" s="1" t="s">
        <v>22</v>
      </c>
      <c r="E2009" s="1" t="s">
        <v>70</v>
      </c>
      <c r="F2009" s="1" t="s">
        <v>71</v>
      </c>
      <c r="G2009" s="1" t="s">
        <v>16</v>
      </c>
      <c r="H2009" s="1">
        <v>51</v>
      </c>
      <c r="I2009" s="1" t="s">
        <v>125</v>
      </c>
      <c r="J2009" s="3">
        <v>0.60000000000000009</v>
      </c>
      <c r="K2009" s="4">
        <v>4250</v>
      </c>
      <c r="L2009" s="5">
        <f t="shared" si="16"/>
        <v>2550.0000000000005</v>
      </c>
      <c r="M2009" s="5">
        <f t="shared" si="17"/>
        <v>892.50000000000011</v>
      </c>
      <c r="N2009" s="6">
        <v>0.35</v>
      </c>
    </row>
    <row r="2010" spans="1:14" ht="15.75" customHeight="1" x14ac:dyDescent="0.45">
      <c r="A2010" s="1" t="s">
        <v>121</v>
      </c>
      <c r="B2010" s="1">
        <v>1128299</v>
      </c>
      <c r="C2010" s="2">
        <v>44891</v>
      </c>
      <c r="D2010" s="1" t="s">
        <v>22</v>
      </c>
      <c r="E2010" s="1" t="s">
        <v>70</v>
      </c>
      <c r="F2010" s="1" t="s">
        <v>71</v>
      </c>
      <c r="G2010" s="1" t="s">
        <v>17</v>
      </c>
      <c r="H2010" s="1">
        <v>24</v>
      </c>
      <c r="I2010" s="1" t="s">
        <v>123</v>
      </c>
      <c r="J2010" s="3">
        <v>0.70000000000000007</v>
      </c>
      <c r="K2010" s="4">
        <v>3750</v>
      </c>
      <c r="L2010" s="5">
        <f t="shared" si="16"/>
        <v>2625.0000000000005</v>
      </c>
      <c r="M2010" s="5">
        <f t="shared" si="17"/>
        <v>787.50000000000011</v>
      </c>
      <c r="N2010" s="6">
        <v>0.3</v>
      </c>
    </row>
    <row r="2011" spans="1:14" ht="15.75" customHeight="1" x14ac:dyDescent="0.45">
      <c r="A2011" s="1" t="s">
        <v>121</v>
      </c>
      <c r="B2011" s="1">
        <v>1128299</v>
      </c>
      <c r="C2011" s="2">
        <v>44891</v>
      </c>
      <c r="D2011" s="1" t="s">
        <v>22</v>
      </c>
      <c r="E2011" s="1" t="s">
        <v>70</v>
      </c>
      <c r="F2011" s="1" t="s">
        <v>71</v>
      </c>
      <c r="G2011" s="1" t="s">
        <v>18</v>
      </c>
      <c r="H2011" s="1">
        <v>31</v>
      </c>
      <c r="I2011" s="1" t="s">
        <v>125</v>
      </c>
      <c r="J2011" s="3">
        <v>0.75000000000000011</v>
      </c>
      <c r="K2011" s="4">
        <v>5000</v>
      </c>
      <c r="L2011" s="5">
        <f t="shared" si="16"/>
        <v>3750.0000000000005</v>
      </c>
      <c r="M2011" s="5">
        <f t="shared" si="17"/>
        <v>937.50000000000011</v>
      </c>
      <c r="N2011" s="6">
        <v>0.25</v>
      </c>
    </row>
    <row r="2012" spans="1:14" ht="15.75" customHeight="1" x14ac:dyDescent="0.45">
      <c r="A2012" s="1" t="s">
        <v>121</v>
      </c>
      <c r="B2012" s="1">
        <v>1128299</v>
      </c>
      <c r="C2012" s="2">
        <v>44920</v>
      </c>
      <c r="D2012" s="1" t="s">
        <v>22</v>
      </c>
      <c r="E2012" s="1" t="s">
        <v>70</v>
      </c>
      <c r="F2012" s="1" t="s">
        <v>71</v>
      </c>
      <c r="G2012" s="1" t="s">
        <v>13</v>
      </c>
      <c r="H2012" s="1">
        <v>32</v>
      </c>
      <c r="I2012" s="1" t="s">
        <v>126</v>
      </c>
      <c r="J2012" s="3">
        <v>0.60000000000000009</v>
      </c>
      <c r="K2012" s="4">
        <v>7000</v>
      </c>
      <c r="L2012" s="5">
        <f t="shared" si="16"/>
        <v>4200.0000000000009</v>
      </c>
      <c r="M2012" s="5">
        <f t="shared" si="17"/>
        <v>1470.0000000000002</v>
      </c>
      <c r="N2012" s="6">
        <v>0.35</v>
      </c>
    </row>
    <row r="2013" spans="1:14" ht="15.75" customHeight="1" x14ac:dyDescent="0.45">
      <c r="A2013" s="1" t="s">
        <v>121</v>
      </c>
      <c r="B2013" s="1">
        <v>1128299</v>
      </c>
      <c r="C2013" s="2">
        <v>44920</v>
      </c>
      <c r="D2013" s="1" t="s">
        <v>22</v>
      </c>
      <c r="E2013" s="1" t="s">
        <v>70</v>
      </c>
      <c r="F2013" s="1" t="s">
        <v>71</v>
      </c>
      <c r="G2013" s="1" t="s">
        <v>14</v>
      </c>
      <c r="H2013" s="1">
        <v>15</v>
      </c>
      <c r="I2013" s="1" t="s">
        <v>123</v>
      </c>
      <c r="J2013" s="3">
        <v>0.65000000000000013</v>
      </c>
      <c r="K2013" s="4">
        <v>7000</v>
      </c>
      <c r="L2013" s="5">
        <f t="shared" si="16"/>
        <v>4550.0000000000009</v>
      </c>
      <c r="M2013" s="5">
        <f t="shared" si="17"/>
        <v>1820.0000000000005</v>
      </c>
      <c r="N2013" s="6">
        <v>0.4</v>
      </c>
    </row>
    <row r="2014" spans="1:14" ht="15.75" customHeight="1" x14ac:dyDescent="0.45">
      <c r="A2014" s="1" t="s">
        <v>121</v>
      </c>
      <c r="B2014" s="1">
        <v>1128299</v>
      </c>
      <c r="C2014" s="2">
        <v>44920</v>
      </c>
      <c r="D2014" s="1" t="s">
        <v>22</v>
      </c>
      <c r="E2014" s="1" t="s">
        <v>70</v>
      </c>
      <c r="F2014" s="1" t="s">
        <v>71</v>
      </c>
      <c r="G2014" s="1" t="s">
        <v>15</v>
      </c>
      <c r="H2014" s="1">
        <v>47</v>
      </c>
      <c r="I2014" s="1" t="s">
        <v>124</v>
      </c>
      <c r="J2014" s="3">
        <v>0.60000000000000009</v>
      </c>
      <c r="K2014" s="4">
        <v>5000</v>
      </c>
      <c r="L2014" s="5">
        <f t="shared" si="16"/>
        <v>3000.0000000000005</v>
      </c>
      <c r="M2014" s="5">
        <f t="shared" si="17"/>
        <v>1050</v>
      </c>
      <c r="N2014" s="6">
        <v>0.35</v>
      </c>
    </row>
    <row r="2015" spans="1:14" ht="15.75" customHeight="1" x14ac:dyDescent="0.45">
      <c r="A2015" s="1" t="s">
        <v>121</v>
      </c>
      <c r="B2015" s="1">
        <v>1128299</v>
      </c>
      <c r="C2015" s="2">
        <v>44920</v>
      </c>
      <c r="D2015" s="1" t="s">
        <v>22</v>
      </c>
      <c r="E2015" s="1" t="s">
        <v>70</v>
      </c>
      <c r="F2015" s="1" t="s">
        <v>71</v>
      </c>
      <c r="G2015" s="1" t="s">
        <v>16</v>
      </c>
      <c r="H2015" s="1">
        <v>25</v>
      </c>
      <c r="I2015" s="1" t="s">
        <v>125</v>
      </c>
      <c r="J2015" s="3">
        <v>0.60000000000000009</v>
      </c>
      <c r="K2015" s="4">
        <v>5000</v>
      </c>
      <c r="L2015" s="5">
        <f t="shared" si="16"/>
        <v>3000.0000000000005</v>
      </c>
      <c r="M2015" s="5">
        <f t="shared" si="17"/>
        <v>1050</v>
      </c>
      <c r="N2015" s="6">
        <v>0.35</v>
      </c>
    </row>
    <row r="2016" spans="1:14" ht="15.75" customHeight="1" x14ac:dyDescent="0.45">
      <c r="A2016" s="1" t="s">
        <v>121</v>
      </c>
      <c r="B2016" s="1">
        <v>1128299</v>
      </c>
      <c r="C2016" s="2">
        <v>44920</v>
      </c>
      <c r="D2016" s="1" t="s">
        <v>22</v>
      </c>
      <c r="E2016" s="1" t="s">
        <v>70</v>
      </c>
      <c r="F2016" s="1" t="s">
        <v>71</v>
      </c>
      <c r="G2016" s="1" t="s">
        <v>17</v>
      </c>
      <c r="H2016" s="1">
        <v>28</v>
      </c>
      <c r="I2016" s="1" t="s">
        <v>123</v>
      </c>
      <c r="J2016" s="3">
        <v>0.70000000000000007</v>
      </c>
      <c r="K2016" s="4">
        <v>4250</v>
      </c>
      <c r="L2016" s="5">
        <f t="shared" si="16"/>
        <v>2975.0000000000005</v>
      </c>
      <c r="M2016" s="5">
        <f t="shared" si="17"/>
        <v>892.50000000000011</v>
      </c>
      <c r="N2016" s="6">
        <v>0.3</v>
      </c>
    </row>
    <row r="2017" spans="1:14" ht="15.75" customHeight="1" x14ac:dyDescent="0.45">
      <c r="A2017" s="1" t="s">
        <v>121</v>
      </c>
      <c r="B2017" s="1">
        <v>1128299</v>
      </c>
      <c r="C2017" s="2">
        <v>44920</v>
      </c>
      <c r="D2017" s="1" t="s">
        <v>22</v>
      </c>
      <c r="E2017" s="1" t="s">
        <v>70</v>
      </c>
      <c r="F2017" s="1" t="s">
        <v>71</v>
      </c>
      <c r="G2017" s="1" t="s">
        <v>18</v>
      </c>
      <c r="H2017" s="1">
        <v>27</v>
      </c>
      <c r="I2017" s="1" t="s">
        <v>123</v>
      </c>
      <c r="J2017" s="3">
        <v>0.75000000000000011</v>
      </c>
      <c r="K2017" s="4">
        <v>5250</v>
      </c>
      <c r="L2017" s="5">
        <f t="shared" si="16"/>
        <v>3937.5000000000005</v>
      </c>
      <c r="M2017" s="5">
        <f t="shared" si="17"/>
        <v>984.37500000000011</v>
      </c>
      <c r="N2017" s="6">
        <v>0.25</v>
      </c>
    </row>
    <row r="2018" spans="1:14" ht="15.75" customHeight="1" x14ac:dyDescent="0.45">
      <c r="A2018" s="1" t="s">
        <v>121</v>
      </c>
      <c r="B2018" s="1">
        <v>1128299</v>
      </c>
      <c r="C2018" s="2">
        <v>44574</v>
      </c>
      <c r="D2018" s="1" t="s">
        <v>22</v>
      </c>
      <c r="E2018" s="1" t="s">
        <v>72</v>
      </c>
      <c r="F2018" s="1" t="s">
        <v>73</v>
      </c>
      <c r="G2018" s="1" t="s">
        <v>13</v>
      </c>
      <c r="H2018" s="1">
        <v>55</v>
      </c>
      <c r="I2018" s="1" t="s">
        <v>123</v>
      </c>
      <c r="J2018" s="3">
        <v>0.29999999999999993</v>
      </c>
      <c r="K2018" s="4">
        <v>4500</v>
      </c>
      <c r="L2018" s="5">
        <f t="shared" si="16"/>
        <v>1349.9999999999998</v>
      </c>
      <c r="M2018" s="5">
        <f t="shared" si="17"/>
        <v>539.99999999999989</v>
      </c>
      <c r="N2018" s="6">
        <v>0.4</v>
      </c>
    </row>
    <row r="2019" spans="1:14" ht="15.75" customHeight="1" x14ac:dyDescent="0.45">
      <c r="A2019" s="1" t="s">
        <v>121</v>
      </c>
      <c r="B2019" s="1">
        <v>1128299</v>
      </c>
      <c r="C2019" s="2">
        <v>44574</v>
      </c>
      <c r="D2019" s="1" t="s">
        <v>22</v>
      </c>
      <c r="E2019" s="1" t="s">
        <v>72</v>
      </c>
      <c r="F2019" s="1" t="s">
        <v>73</v>
      </c>
      <c r="G2019" s="1" t="s">
        <v>14</v>
      </c>
      <c r="H2019" s="1">
        <v>47</v>
      </c>
      <c r="I2019" s="1" t="s">
        <v>123</v>
      </c>
      <c r="J2019" s="3">
        <v>0.4</v>
      </c>
      <c r="K2019" s="4">
        <v>4500</v>
      </c>
      <c r="L2019" s="5">
        <f t="shared" si="16"/>
        <v>1800</v>
      </c>
      <c r="M2019" s="5">
        <f t="shared" si="17"/>
        <v>720</v>
      </c>
      <c r="N2019" s="6">
        <v>0.4</v>
      </c>
    </row>
    <row r="2020" spans="1:14" ht="15.75" customHeight="1" x14ac:dyDescent="0.45">
      <c r="A2020" s="1" t="s">
        <v>121</v>
      </c>
      <c r="B2020" s="1">
        <v>1128299</v>
      </c>
      <c r="C2020" s="2">
        <v>44574</v>
      </c>
      <c r="D2020" s="1" t="s">
        <v>22</v>
      </c>
      <c r="E2020" s="1" t="s">
        <v>72</v>
      </c>
      <c r="F2020" s="1" t="s">
        <v>73</v>
      </c>
      <c r="G2020" s="1" t="s">
        <v>15</v>
      </c>
      <c r="H2020" s="1">
        <v>17</v>
      </c>
      <c r="I2020" s="1" t="s">
        <v>123</v>
      </c>
      <c r="J2020" s="3">
        <v>0.4</v>
      </c>
      <c r="K2020" s="4">
        <v>4500</v>
      </c>
      <c r="L2020" s="5">
        <f t="shared" si="16"/>
        <v>1800</v>
      </c>
      <c r="M2020" s="5">
        <f t="shared" si="17"/>
        <v>630</v>
      </c>
      <c r="N2020" s="6">
        <v>0.35</v>
      </c>
    </row>
    <row r="2021" spans="1:14" ht="15.75" customHeight="1" x14ac:dyDescent="0.45">
      <c r="A2021" s="1" t="s">
        <v>121</v>
      </c>
      <c r="B2021" s="1">
        <v>1128299</v>
      </c>
      <c r="C2021" s="2">
        <v>44574</v>
      </c>
      <c r="D2021" s="1" t="s">
        <v>22</v>
      </c>
      <c r="E2021" s="1" t="s">
        <v>72</v>
      </c>
      <c r="F2021" s="1" t="s">
        <v>73</v>
      </c>
      <c r="G2021" s="1" t="s">
        <v>16</v>
      </c>
      <c r="H2021" s="1">
        <v>52</v>
      </c>
      <c r="I2021" s="1" t="s">
        <v>124</v>
      </c>
      <c r="J2021" s="3">
        <v>0.4</v>
      </c>
      <c r="K2021" s="4">
        <v>3000</v>
      </c>
      <c r="L2021" s="5">
        <f t="shared" si="16"/>
        <v>1200</v>
      </c>
      <c r="M2021" s="5">
        <f t="shared" si="17"/>
        <v>480</v>
      </c>
      <c r="N2021" s="6">
        <v>0.4</v>
      </c>
    </row>
    <row r="2022" spans="1:14" ht="15.75" customHeight="1" x14ac:dyDescent="0.45">
      <c r="A2022" s="1" t="s">
        <v>121</v>
      </c>
      <c r="B2022" s="1">
        <v>1128299</v>
      </c>
      <c r="C2022" s="2">
        <v>44574</v>
      </c>
      <c r="D2022" s="1" t="s">
        <v>22</v>
      </c>
      <c r="E2022" s="1" t="s">
        <v>72</v>
      </c>
      <c r="F2022" s="1" t="s">
        <v>73</v>
      </c>
      <c r="G2022" s="1" t="s">
        <v>17</v>
      </c>
      <c r="H2022" s="1">
        <v>43</v>
      </c>
      <c r="I2022" s="1" t="s">
        <v>126</v>
      </c>
      <c r="J2022" s="3">
        <v>0.45000000000000012</v>
      </c>
      <c r="K2022" s="4">
        <v>2500</v>
      </c>
      <c r="L2022" s="5">
        <f t="shared" si="16"/>
        <v>1125.0000000000002</v>
      </c>
      <c r="M2022" s="5">
        <f t="shared" si="17"/>
        <v>393.75000000000006</v>
      </c>
      <c r="N2022" s="6">
        <v>0.35</v>
      </c>
    </row>
    <row r="2023" spans="1:14" ht="15.75" customHeight="1" x14ac:dyDescent="0.45">
      <c r="A2023" s="1" t="s">
        <v>121</v>
      </c>
      <c r="B2023" s="1">
        <v>1128299</v>
      </c>
      <c r="C2023" s="2">
        <v>44574</v>
      </c>
      <c r="D2023" s="1" t="s">
        <v>22</v>
      </c>
      <c r="E2023" s="1" t="s">
        <v>72</v>
      </c>
      <c r="F2023" s="1" t="s">
        <v>73</v>
      </c>
      <c r="G2023" s="1" t="s">
        <v>18</v>
      </c>
      <c r="H2023" s="1">
        <v>20</v>
      </c>
      <c r="I2023" s="1" t="s">
        <v>124</v>
      </c>
      <c r="J2023" s="3">
        <v>0.4</v>
      </c>
      <c r="K2023" s="4">
        <v>4500</v>
      </c>
      <c r="L2023" s="5">
        <f t="shared" si="16"/>
        <v>1800</v>
      </c>
      <c r="M2023" s="5">
        <f t="shared" si="17"/>
        <v>450</v>
      </c>
      <c r="N2023" s="6">
        <v>0.25</v>
      </c>
    </row>
    <row r="2024" spans="1:14" ht="15.75" customHeight="1" x14ac:dyDescent="0.45">
      <c r="A2024" s="1" t="s">
        <v>121</v>
      </c>
      <c r="B2024" s="1">
        <v>1128299</v>
      </c>
      <c r="C2024" s="2">
        <v>44605</v>
      </c>
      <c r="D2024" s="1" t="s">
        <v>22</v>
      </c>
      <c r="E2024" s="1" t="s">
        <v>72</v>
      </c>
      <c r="F2024" s="1" t="s">
        <v>73</v>
      </c>
      <c r="G2024" s="1" t="s">
        <v>13</v>
      </c>
      <c r="H2024" s="1">
        <v>27</v>
      </c>
      <c r="I2024" s="1" t="s">
        <v>124</v>
      </c>
      <c r="J2024" s="3">
        <v>0.29999999999999993</v>
      </c>
      <c r="K2024" s="4">
        <v>5000</v>
      </c>
      <c r="L2024" s="5">
        <f t="shared" si="16"/>
        <v>1499.9999999999998</v>
      </c>
      <c r="M2024" s="5">
        <f t="shared" si="17"/>
        <v>599.99999999999989</v>
      </c>
      <c r="N2024" s="6">
        <v>0.4</v>
      </c>
    </row>
    <row r="2025" spans="1:14" ht="15.75" customHeight="1" x14ac:dyDescent="0.45">
      <c r="A2025" s="1" t="s">
        <v>121</v>
      </c>
      <c r="B2025" s="1">
        <v>1128299</v>
      </c>
      <c r="C2025" s="2">
        <v>44605</v>
      </c>
      <c r="D2025" s="1" t="s">
        <v>22</v>
      </c>
      <c r="E2025" s="1" t="s">
        <v>72</v>
      </c>
      <c r="F2025" s="1" t="s">
        <v>73</v>
      </c>
      <c r="G2025" s="1" t="s">
        <v>14</v>
      </c>
      <c r="H2025" s="1">
        <v>21</v>
      </c>
      <c r="I2025" s="1" t="s">
        <v>124</v>
      </c>
      <c r="J2025" s="3">
        <v>0.4</v>
      </c>
      <c r="K2025" s="4">
        <v>4000</v>
      </c>
      <c r="L2025" s="5">
        <f t="shared" si="16"/>
        <v>1600</v>
      </c>
      <c r="M2025" s="5">
        <f t="shared" si="17"/>
        <v>640</v>
      </c>
      <c r="N2025" s="6">
        <v>0.4</v>
      </c>
    </row>
    <row r="2026" spans="1:14" ht="15.75" customHeight="1" x14ac:dyDescent="0.45">
      <c r="A2026" s="1" t="s">
        <v>121</v>
      </c>
      <c r="B2026" s="1">
        <v>1128299</v>
      </c>
      <c r="C2026" s="2">
        <v>44605</v>
      </c>
      <c r="D2026" s="1" t="s">
        <v>22</v>
      </c>
      <c r="E2026" s="1" t="s">
        <v>72</v>
      </c>
      <c r="F2026" s="1" t="s">
        <v>73</v>
      </c>
      <c r="G2026" s="1" t="s">
        <v>15</v>
      </c>
      <c r="H2026" s="1">
        <v>30</v>
      </c>
      <c r="I2026" s="1" t="s">
        <v>125</v>
      </c>
      <c r="J2026" s="3">
        <v>0.4</v>
      </c>
      <c r="K2026" s="4">
        <v>4000</v>
      </c>
      <c r="L2026" s="5">
        <f t="shared" si="16"/>
        <v>1600</v>
      </c>
      <c r="M2026" s="5">
        <f t="shared" si="17"/>
        <v>560</v>
      </c>
      <c r="N2026" s="6">
        <v>0.35</v>
      </c>
    </row>
    <row r="2027" spans="1:14" ht="15.75" customHeight="1" x14ac:dyDescent="0.45">
      <c r="A2027" s="1" t="s">
        <v>121</v>
      </c>
      <c r="B2027" s="1">
        <v>1128299</v>
      </c>
      <c r="C2027" s="2">
        <v>44605</v>
      </c>
      <c r="D2027" s="1" t="s">
        <v>22</v>
      </c>
      <c r="E2027" s="1" t="s">
        <v>72</v>
      </c>
      <c r="F2027" s="1" t="s">
        <v>73</v>
      </c>
      <c r="G2027" s="1" t="s">
        <v>16</v>
      </c>
      <c r="H2027" s="1">
        <v>19</v>
      </c>
      <c r="I2027" s="1" t="s">
        <v>123</v>
      </c>
      <c r="J2027" s="3">
        <v>0.4</v>
      </c>
      <c r="K2027" s="4">
        <v>2500</v>
      </c>
      <c r="L2027" s="5">
        <f t="shared" si="16"/>
        <v>1000</v>
      </c>
      <c r="M2027" s="5">
        <f t="shared" si="17"/>
        <v>400</v>
      </c>
      <c r="N2027" s="6">
        <v>0.4</v>
      </c>
    </row>
    <row r="2028" spans="1:14" ht="15.75" customHeight="1" x14ac:dyDescent="0.45">
      <c r="A2028" s="1" t="s">
        <v>121</v>
      </c>
      <c r="B2028" s="1">
        <v>1128299</v>
      </c>
      <c r="C2028" s="2">
        <v>44605</v>
      </c>
      <c r="D2028" s="1" t="s">
        <v>22</v>
      </c>
      <c r="E2028" s="1" t="s">
        <v>72</v>
      </c>
      <c r="F2028" s="1" t="s">
        <v>73</v>
      </c>
      <c r="G2028" s="1" t="s">
        <v>17</v>
      </c>
      <c r="H2028" s="1">
        <v>29</v>
      </c>
      <c r="I2028" s="1" t="s">
        <v>124</v>
      </c>
      <c r="J2028" s="3">
        <v>0.45000000000000012</v>
      </c>
      <c r="K2028" s="4">
        <v>1750</v>
      </c>
      <c r="L2028" s="5">
        <f t="shared" si="16"/>
        <v>787.50000000000023</v>
      </c>
      <c r="M2028" s="5">
        <f t="shared" si="17"/>
        <v>275.62500000000006</v>
      </c>
      <c r="N2028" s="6">
        <v>0.35</v>
      </c>
    </row>
    <row r="2029" spans="1:14" ht="15.75" customHeight="1" x14ac:dyDescent="0.45">
      <c r="A2029" s="1" t="s">
        <v>121</v>
      </c>
      <c r="B2029" s="1">
        <v>1128299</v>
      </c>
      <c r="C2029" s="2">
        <v>44605</v>
      </c>
      <c r="D2029" s="1" t="s">
        <v>22</v>
      </c>
      <c r="E2029" s="1" t="s">
        <v>72</v>
      </c>
      <c r="F2029" s="1" t="s">
        <v>73</v>
      </c>
      <c r="G2029" s="1" t="s">
        <v>18</v>
      </c>
      <c r="H2029" s="1">
        <v>20</v>
      </c>
      <c r="I2029" s="1" t="s">
        <v>124</v>
      </c>
      <c r="J2029" s="3">
        <v>0.4</v>
      </c>
      <c r="K2029" s="4">
        <v>3750</v>
      </c>
      <c r="L2029" s="5">
        <f t="shared" si="16"/>
        <v>1500</v>
      </c>
      <c r="M2029" s="5">
        <f t="shared" si="17"/>
        <v>375</v>
      </c>
      <c r="N2029" s="6">
        <v>0.25</v>
      </c>
    </row>
    <row r="2030" spans="1:14" ht="15.75" customHeight="1" x14ac:dyDescent="0.45">
      <c r="A2030" s="1" t="s">
        <v>121</v>
      </c>
      <c r="B2030" s="1">
        <v>1128299</v>
      </c>
      <c r="C2030" s="2">
        <v>44632</v>
      </c>
      <c r="D2030" s="1" t="s">
        <v>22</v>
      </c>
      <c r="E2030" s="1" t="s">
        <v>72</v>
      </c>
      <c r="F2030" s="1" t="s">
        <v>73</v>
      </c>
      <c r="G2030" s="1" t="s">
        <v>13</v>
      </c>
      <c r="H2030" s="1">
        <v>20</v>
      </c>
      <c r="I2030" s="1" t="s">
        <v>124</v>
      </c>
      <c r="J2030" s="3">
        <v>0.4</v>
      </c>
      <c r="K2030" s="4">
        <v>5250</v>
      </c>
      <c r="L2030" s="5">
        <f t="shared" si="16"/>
        <v>2100</v>
      </c>
      <c r="M2030" s="5">
        <f t="shared" si="17"/>
        <v>840</v>
      </c>
      <c r="N2030" s="6">
        <v>0.4</v>
      </c>
    </row>
    <row r="2031" spans="1:14" ht="15.75" customHeight="1" x14ac:dyDescent="0.45">
      <c r="A2031" s="1" t="s">
        <v>121</v>
      </c>
      <c r="B2031" s="1">
        <v>1128299</v>
      </c>
      <c r="C2031" s="2">
        <v>44632</v>
      </c>
      <c r="D2031" s="1" t="s">
        <v>22</v>
      </c>
      <c r="E2031" s="1" t="s">
        <v>72</v>
      </c>
      <c r="F2031" s="1" t="s">
        <v>73</v>
      </c>
      <c r="G2031" s="1" t="s">
        <v>14</v>
      </c>
      <c r="H2031" s="1">
        <v>50</v>
      </c>
      <c r="I2031" s="1" t="s">
        <v>125</v>
      </c>
      <c r="J2031" s="3">
        <v>0.5</v>
      </c>
      <c r="K2031" s="4">
        <v>3750</v>
      </c>
      <c r="L2031" s="5">
        <f t="shared" si="16"/>
        <v>1875</v>
      </c>
      <c r="M2031" s="5">
        <f t="shared" si="17"/>
        <v>750</v>
      </c>
      <c r="N2031" s="6">
        <v>0.4</v>
      </c>
    </row>
    <row r="2032" spans="1:14" ht="15.75" customHeight="1" x14ac:dyDescent="0.45">
      <c r="A2032" s="1" t="s">
        <v>121</v>
      </c>
      <c r="B2032" s="1">
        <v>1128299</v>
      </c>
      <c r="C2032" s="2">
        <v>44632</v>
      </c>
      <c r="D2032" s="1" t="s">
        <v>22</v>
      </c>
      <c r="E2032" s="1" t="s">
        <v>72</v>
      </c>
      <c r="F2032" s="1" t="s">
        <v>73</v>
      </c>
      <c r="G2032" s="1" t="s">
        <v>15</v>
      </c>
      <c r="H2032" s="1">
        <v>58</v>
      </c>
      <c r="I2032" s="1" t="s">
        <v>124</v>
      </c>
      <c r="J2032" s="3">
        <v>0.5</v>
      </c>
      <c r="K2032" s="4">
        <v>3750</v>
      </c>
      <c r="L2032" s="5">
        <f t="shared" si="16"/>
        <v>1875</v>
      </c>
      <c r="M2032" s="5">
        <f t="shared" si="17"/>
        <v>656.25</v>
      </c>
      <c r="N2032" s="6">
        <v>0.35</v>
      </c>
    </row>
    <row r="2033" spans="1:14" ht="15.75" customHeight="1" x14ac:dyDescent="0.45">
      <c r="A2033" s="1" t="s">
        <v>121</v>
      </c>
      <c r="B2033" s="1">
        <v>1128299</v>
      </c>
      <c r="C2033" s="2">
        <v>44632</v>
      </c>
      <c r="D2033" s="1" t="s">
        <v>22</v>
      </c>
      <c r="E2033" s="1" t="s">
        <v>72</v>
      </c>
      <c r="F2033" s="1" t="s">
        <v>73</v>
      </c>
      <c r="G2033" s="1" t="s">
        <v>16</v>
      </c>
      <c r="H2033" s="1">
        <v>33</v>
      </c>
      <c r="I2033" s="1" t="s">
        <v>126</v>
      </c>
      <c r="J2033" s="3">
        <v>0.5</v>
      </c>
      <c r="K2033" s="4">
        <v>2500</v>
      </c>
      <c r="L2033" s="5">
        <f t="shared" si="16"/>
        <v>1250</v>
      </c>
      <c r="M2033" s="5">
        <f t="shared" si="17"/>
        <v>500</v>
      </c>
      <c r="N2033" s="6">
        <v>0.4</v>
      </c>
    </row>
    <row r="2034" spans="1:14" ht="15.75" customHeight="1" x14ac:dyDescent="0.45">
      <c r="A2034" s="1" t="s">
        <v>121</v>
      </c>
      <c r="B2034" s="1">
        <v>1128299</v>
      </c>
      <c r="C2034" s="2">
        <v>44632</v>
      </c>
      <c r="D2034" s="1" t="s">
        <v>22</v>
      </c>
      <c r="E2034" s="1" t="s">
        <v>72</v>
      </c>
      <c r="F2034" s="1" t="s">
        <v>73</v>
      </c>
      <c r="G2034" s="1" t="s">
        <v>17</v>
      </c>
      <c r="H2034" s="1">
        <v>43</v>
      </c>
      <c r="I2034" s="1" t="s">
        <v>125</v>
      </c>
      <c r="J2034" s="3">
        <v>0.55000000000000004</v>
      </c>
      <c r="K2034" s="4">
        <v>1500</v>
      </c>
      <c r="L2034" s="5">
        <f t="shared" si="16"/>
        <v>825.00000000000011</v>
      </c>
      <c r="M2034" s="5">
        <f t="shared" si="17"/>
        <v>288.75</v>
      </c>
      <c r="N2034" s="6">
        <v>0.35</v>
      </c>
    </row>
    <row r="2035" spans="1:14" ht="15.75" customHeight="1" x14ac:dyDescent="0.45">
      <c r="A2035" s="1" t="s">
        <v>121</v>
      </c>
      <c r="B2035" s="1">
        <v>1128299</v>
      </c>
      <c r="C2035" s="2">
        <v>44632</v>
      </c>
      <c r="D2035" s="1" t="s">
        <v>22</v>
      </c>
      <c r="E2035" s="1" t="s">
        <v>72</v>
      </c>
      <c r="F2035" s="1" t="s">
        <v>73</v>
      </c>
      <c r="G2035" s="1" t="s">
        <v>18</v>
      </c>
      <c r="H2035" s="1">
        <v>60</v>
      </c>
      <c r="I2035" s="1" t="s">
        <v>124</v>
      </c>
      <c r="J2035" s="3">
        <v>0.5</v>
      </c>
      <c r="K2035" s="4">
        <v>3500</v>
      </c>
      <c r="L2035" s="5">
        <f t="shared" si="16"/>
        <v>1750</v>
      </c>
      <c r="M2035" s="5">
        <f t="shared" si="17"/>
        <v>437.5</v>
      </c>
      <c r="N2035" s="6">
        <v>0.25</v>
      </c>
    </row>
    <row r="2036" spans="1:14" ht="15.75" customHeight="1" x14ac:dyDescent="0.45">
      <c r="A2036" s="1" t="s">
        <v>121</v>
      </c>
      <c r="B2036" s="1">
        <v>1128299</v>
      </c>
      <c r="C2036" s="2">
        <v>44664</v>
      </c>
      <c r="D2036" s="1" t="s">
        <v>22</v>
      </c>
      <c r="E2036" s="1" t="s">
        <v>72</v>
      </c>
      <c r="F2036" s="1" t="s">
        <v>73</v>
      </c>
      <c r="G2036" s="1" t="s">
        <v>13</v>
      </c>
      <c r="H2036" s="1">
        <v>49</v>
      </c>
      <c r="I2036" s="1" t="s">
        <v>124</v>
      </c>
      <c r="J2036" s="3">
        <v>0.5</v>
      </c>
      <c r="K2036" s="4">
        <v>5250</v>
      </c>
      <c r="L2036" s="5">
        <f t="shared" si="16"/>
        <v>2625</v>
      </c>
      <c r="M2036" s="5">
        <f t="shared" si="17"/>
        <v>1050</v>
      </c>
      <c r="N2036" s="6">
        <v>0.4</v>
      </c>
    </row>
    <row r="2037" spans="1:14" ht="15.75" customHeight="1" x14ac:dyDescent="0.45">
      <c r="A2037" s="1" t="s">
        <v>121</v>
      </c>
      <c r="B2037" s="1">
        <v>1128299</v>
      </c>
      <c r="C2037" s="2">
        <v>44664</v>
      </c>
      <c r="D2037" s="1" t="s">
        <v>22</v>
      </c>
      <c r="E2037" s="1" t="s">
        <v>72</v>
      </c>
      <c r="F2037" s="1" t="s">
        <v>73</v>
      </c>
      <c r="G2037" s="1" t="s">
        <v>14</v>
      </c>
      <c r="H2037" s="1">
        <v>60</v>
      </c>
      <c r="I2037" s="1" t="s">
        <v>124</v>
      </c>
      <c r="J2037" s="3">
        <v>0.55000000000000004</v>
      </c>
      <c r="K2037" s="4">
        <v>3250</v>
      </c>
      <c r="L2037" s="5">
        <f t="shared" si="16"/>
        <v>1787.5000000000002</v>
      </c>
      <c r="M2037" s="5">
        <f t="shared" si="17"/>
        <v>715.00000000000011</v>
      </c>
      <c r="N2037" s="6">
        <v>0.4</v>
      </c>
    </row>
    <row r="2038" spans="1:14" ht="15.75" customHeight="1" x14ac:dyDescent="0.45">
      <c r="A2038" s="1" t="s">
        <v>121</v>
      </c>
      <c r="B2038" s="1">
        <v>1128299</v>
      </c>
      <c r="C2038" s="2">
        <v>44664</v>
      </c>
      <c r="D2038" s="1" t="s">
        <v>22</v>
      </c>
      <c r="E2038" s="1" t="s">
        <v>72</v>
      </c>
      <c r="F2038" s="1" t="s">
        <v>73</v>
      </c>
      <c r="G2038" s="1" t="s">
        <v>15</v>
      </c>
      <c r="H2038" s="1">
        <v>53</v>
      </c>
      <c r="I2038" s="1" t="s">
        <v>125</v>
      </c>
      <c r="J2038" s="3">
        <v>0.55000000000000004</v>
      </c>
      <c r="K2038" s="4">
        <v>3750</v>
      </c>
      <c r="L2038" s="5">
        <f t="shared" si="16"/>
        <v>2062.5</v>
      </c>
      <c r="M2038" s="5">
        <f t="shared" si="17"/>
        <v>721.875</v>
      </c>
      <c r="N2038" s="6">
        <v>0.35</v>
      </c>
    </row>
    <row r="2039" spans="1:14" ht="15.75" customHeight="1" x14ac:dyDescent="0.45">
      <c r="A2039" s="1" t="s">
        <v>121</v>
      </c>
      <c r="B2039" s="1">
        <v>1128299</v>
      </c>
      <c r="C2039" s="2">
        <v>44664</v>
      </c>
      <c r="D2039" s="1" t="s">
        <v>22</v>
      </c>
      <c r="E2039" s="1" t="s">
        <v>72</v>
      </c>
      <c r="F2039" s="1" t="s">
        <v>73</v>
      </c>
      <c r="G2039" s="1" t="s">
        <v>16</v>
      </c>
      <c r="H2039" s="1">
        <v>21</v>
      </c>
      <c r="I2039" s="1" t="s">
        <v>125</v>
      </c>
      <c r="J2039" s="3">
        <v>0.5</v>
      </c>
      <c r="K2039" s="4">
        <v>2750</v>
      </c>
      <c r="L2039" s="5">
        <f t="shared" si="16"/>
        <v>1375</v>
      </c>
      <c r="M2039" s="5">
        <f t="shared" si="17"/>
        <v>550</v>
      </c>
      <c r="N2039" s="6">
        <v>0.4</v>
      </c>
    </row>
    <row r="2040" spans="1:14" ht="15.75" customHeight="1" x14ac:dyDescent="0.45">
      <c r="A2040" s="1" t="s">
        <v>121</v>
      </c>
      <c r="B2040" s="1">
        <v>1128299</v>
      </c>
      <c r="C2040" s="2">
        <v>44664</v>
      </c>
      <c r="D2040" s="1" t="s">
        <v>22</v>
      </c>
      <c r="E2040" s="1" t="s">
        <v>72</v>
      </c>
      <c r="F2040" s="1" t="s">
        <v>73</v>
      </c>
      <c r="G2040" s="1" t="s">
        <v>17</v>
      </c>
      <c r="H2040" s="1">
        <v>28</v>
      </c>
      <c r="I2040" s="1" t="s">
        <v>124</v>
      </c>
      <c r="J2040" s="3">
        <v>0.55000000000000004</v>
      </c>
      <c r="K2040" s="4">
        <v>1750</v>
      </c>
      <c r="L2040" s="5">
        <f t="shared" si="16"/>
        <v>962.50000000000011</v>
      </c>
      <c r="M2040" s="5">
        <f t="shared" si="17"/>
        <v>336.875</v>
      </c>
      <c r="N2040" s="6">
        <v>0.35</v>
      </c>
    </row>
    <row r="2041" spans="1:14" ht="15.75" customHeight="1" x14ac:dyDescent="0.45">
      <c r="A2041" s="1" t="s">
        <v>121</v>
      </c>
      <c r="B2041" s="1">
        <v>1128299</v>
      </c>
      <c r="C2041" s="2">
        <v>44664</v>
      </c>
      <c r="D2041" s="1" t="s">
        <v>22</v>
      </c>
      <c r="E2041" s="1" t="s">
        <v>72</v>
      </c>
      <c r="F2041" s="1" t="s">
        <v>73</v>
      </c>
      <c r="G2041" s="1" t="s">
        <v>18</v>
      </c>
      <c r="H2041" s="1">
        <v>19</v>
      </c>
      <c r="I2041" s="1" t="s">
        <v>125</v>
      </c>
      <c r="J2041" s="3">
        <v>0.70000000000000007</v>
      </c>
      <c r="K2041" s="4">
        <v>3500</v>
      </c>
      <c r="L2041" s="5">
        <f t="shared" si="16"/>
        <v>2450.0000000000005</v>
      </c>
      <c r="M2041" s="5">
        <f t="shared" si="17"/>
        <v>612.50000000000011</v>
      </c>
      <c r="N2041" s="6">
        <v>0.25</v>
      </c>
    </row>
    <row r="2042" spans="1:14" ht="15.75" customHeight="1" x14ac:dyDescent="0.45">
      <c r="A2042" s="1" t="s">
        <v>121</v>
      </c>
      <c r="B2042" s="1">
        <v>1128299</v>
      </c>
      <c r="C2042" s="2">
        <v>44695</v>
      </c>
      <c r="D2042" s="1" t="s">
        <v>22</v>
      </c>
      <c r="E2042" s="1" t="s">
        <v>72</v>
      </c>
      <c r="F2042" s="1" t="s">
        <v>73</v>
      </c>
      <c r="G2042" s="1" t="s">
        <v>13</v>
      </c>
      <c r="H2042" s="1">
        <v>37</v>
      </c>
      <c r="I2042" s="1" t="s">
        <v>126</v>
      </c>
      <c r="J2042" s="3">
        <v>0.5</v>
      </c>
      <c r="K2042" s="4">
        <v>5500</v>
      </c>
      <c r="L2042" s="5">
        <f t="shared" si="16"/>
        <v>2750</v>
      </c>
      <c r="M2042" s="5">
        <f t="shared" si="17"/>
        <v>1100</v>
      </c>
      <c r="N2042" s="6">
        <v>0.4</v>
      </c>
    </row>
    <row r="2043" spans="1:14" ht="15.75" customHeight="1" x14ac:dyDescent="0.45">
      <c r="A2043" s="1" t="s">
        <v>121</v>
      </c>
      <c r="B2043" s="1">
        <v>1128299</v>
      </c>
      <c r="C2043" s="2">
        <v>44695</v>
      </c>
      <c r="D2043" s="1" t="s">
        <v>22</v>
      </c>
      <c r="E2043" s="1" t="s">
        <v>72</v>
      </c>
      <c r="F2043" s="1" t="s">
        <v>73</v>
      </c>
      <c r="G2043" s="1" t="s">
        <v>14</v>
      </c>
      <c r="H2043" s="1">
        <v>30</v>
      </c>
      <c r="I2043" s="1" t="s">
        <v>124</v>
      </c>
      <c r="J2043" s="3">
        <v>0.55000000000000004</v>
      </c>
      <c r="K2043" s="4">
        <v>4000</v>
      </c>
      <c r="L2043" s="5">
        <f t="shared" si="16"/>
        <v>2200</v>
      </c>
      <c r="M2043" s="5">
        <f t="shared" si="17"/>
        <v>880</v>
      </c>
      <c r="N2043" s="6">
        <v>0.4</v>
      </c>
    </row>
    <row r="2044" spans="1:14" ht="15.75" customHeight="1" x14ac:dyDescent="0.45">
      <c r="A2044" s="1" t="s">
        <v>121</v>
      </c>
      <c r="B2044" s="1">
        <v>1128299</v>
      </c>
      <c r="C2044" s="2">
        <v>44695</v>
      </c>
      <c r="D2044" s="1" t="s">
        <v>22</v>
      </c>
      <c r="E2044" s="1" t="s">
        <v>72</v>
      </c>
      <c r="F2044" s="1" t="s">
        <v>73</v>
      </c>
      <c r="G2044" s="1" t="s">
        <v>15</v>
      </c>
      <c r="H2044" s="1">
        <v>41</v>
      </c>
      <c r="I2044" s="1" t="s">
        <v>125</v>
      </c>
      <c r="J2044" s="3">
        <v>0.55000000000000004</v>
      </c>
      <c r="K2044" s="4">
        <v>4250</v>
      </c>
      <c r="L2044" s="5">
        <f t="shared" si="16"/>
        <v>2337.5</v>
      </c>
      <c r="M2044" s="5">
        <f t="shared" si="17"/>
        <v>818.125</v>
      </c>
      <c r="N2044" s="6">
        <v>0.35</v>
      </c>
    </row>
    <row r="2045" spans="1:14" ht="15.75" customHeight="1" x14ac:dyDescent="0.45">
      <c r="A2045" s="1" t="s">
        <v>121</v>
      </c>
      <c r="B2045" s="1">
        <v>1128299</v>
      </c>
      <c r="C2045" s="2">
        <v>44695</v>
      </c>
      <c r="D2045" s="1" t="s">
        <v>22</v>
      </c>
      <c r="E2045" s="1" t="s">
        <v>72</v>
      </c>
      <c r="F2045" s="1" t="s">
        <v>73</v>
      </c>
      <c r="G2045" s="1" t="s">
        <v>16</v>
      </c>
      <c r="H2045" s="1">
        <v>49</v>
      </c>
      <c r="I2045" s="1" t="s">
        <v>123</v>
      </c>
      <c r="J2045" s="3">
        <v>0.5</v>
      </c>
      <c r="K2045" s="4">
        <v>3250</v>
      </c>
      <c r="L2045" s="5">
        <f t="shared" si="16"/>
        <v>1625</v>
      </c>
      <c r="M2045" s="5">
        <f t="shared" si="17"/>
        <v>650</v>
      </c>
      <c r="N2045" s="6">
        <v>0.4</v>
      </c>
    </row>
    <row r="2046" spans="1:14" ht="15.75" customHeight="1" x14ac:dyDescent="0.45">
      <c r="A2046" s="1" t="s">
        <v>121</v>
      </c>
      <c r="B2046" s="1">
        <v>1128299</v>
      </c>
      <c r="C2046" s="2">
        <v>44695</v>
      </c>
      <c r="D2046" s="1" t="s">
        <v>22</v>
      </c>
      <c r="E2046" s="1" t="s">
        <v>72</v>
      </c>
      <c r="F2046" s="1" t="s">
        <v>73</v>
      </c>
      <c r="G2046" s="1" t="s">
        <v>17</v>
      </c>
      <c r="H2046" s="1">
        <v>19</v>
      </c>
      <c r="I2046" s="1" t="s">
        <v>124</v>
      </c>
      <c r="J2046" s="3">
        <v>0.55000000000000004</v>
      </c>
      <c r="K2046" s="4">
        <v>2250</v>
      </c>
      <c r="L2046" s="5">
        <f t="shared" si="16"/>
        <v>1237.5</v>
      </c>
      <c r="M2046" s="5">
        <f t="shared" si="17"/>
        <v>433.125</v>
      </c>
      <c r="N2046" s="6">
        <v>0.35</v>
      </c>
    </row>
    <row r="2047" spans="1:14" ht="15.75" customHeight="1" x14ac:dyDescent="0.45">
      <c r="A2047" s="1" t="s">
        <v>121</v>
      </c>
      <c r="B2047" s="1">
        <v>1128299</v>
      </c>
      <c r="C2047" s="2">
        <v>44695</v>
      </c>
      <c r="D2047" s="1" t="s">
        <v>22</v>
      </c>
      <c r="E2047" s="1" t="s">
        <v>72</v>
      </c>
      <c r="F2047" s="1" t="s">
        <v>73</v>
      </c>
      <c r="G2047" s="1" t="s">
        <v>18</v>
      </c>
      <c r="H2047" s="1">
        <v>17</v>
      </c>
      <c r="I2047" s="1" t="s">
        <v>124</v>
      </c>
      <c r="J2047" s="3">
        <v>0.70000000000000007</v>
      </c>
      <c r="K2047" s="4">
        <v>4000</v>
      </c>
      <c r="L2047" s="5">
        <f t="shared" si="16"/>
        <v>2800.0000000000005</v>
      </c>
      <c r="M2047" s="5">
        <f t="shared" si="17"/>
        <v>700.00000000000011</v>
      </c>
      <c r="N2047" s="6">
        <v>0.25</v>
      </c>
    </row>
    <row r="2048" spans="1:14" ht="15.75" customHeight="1" x14ac:dyDescent="0.45">
      <c r="A2048" s="1" t="s">
        <v>121</v>
      </c>
      <c r="B2048" s="1">
        <v>1128299</v>
      </c>
      <c r="C2048" s="2">
        <v>44725</v>
      </c>
      <c r="D2048" s="1" t="s">
        <v>22</v>
      </c>
      <c r="E2048" s="1" t="s">
        <v>72</v>
      </c>
      <c r="F2048" s="1" t="s">
        <v>73</v>
      </c>
      <c r="G2048" s="1" t="s">
        <v>13</v>
      </c>
      <c r="H2048" s="1">
        <v>58</v>
      </c>
      <c r="I2048" s="1" t="s">
        <v>125</v>
      </c>
      <c r="J2048" s="3">
        <v>0.5</v>
      </c>
      <c r="K2048" s="4">
        <v>6750</v>
      </c>
      <c r="L2048" s="5">
        <f t="shared" si="16"/>
        <v>3375</v>
      </c>
      <c r="M2048" s="5">
        <f t="shared" si="17"/>
        <v>1350</v>
      </c>
      <c r="N2048" s="6">
        <v>0.4</v>
      </c>
    </row>
    <row r="2049" spans="1:14" ht="15.75" customHeight="1" x14ac:dyDescent="0.45">
      <c r="A2049" s="1" t="s">
        <v>121</v>
      </c>
      <c r="B2049" s="1">
        <v>1128299</v>
      </c>
      <c r="C2049" s="2">
        <v>44725</v>
      </c>
      <c r="D2049" s="1" t="s">
        <v>22</v>
      </c>
      <c r="E2049" s="1" t="s">
        <v>72</v>
      </c>
      <c r="F2049" s="1" t="s">
        <v>73</v>
      </c>
      <c r="G2049" s="1" t="s">
        <v>14</v>
      </c>
      <c r="H2049" s="1">
        <v>24</v>
      </c>
      <c r="I2049" s="1" t="s">
        <v>123</v>
      </c>
      <c r="J2049" s="3">
        <v>0.55000000000000004</v>
      </c>
      <c r="K2049" s="4">
        <v>5250</v>
      </c>
      <c r="L2049" s="5">
        <f t="shared" si="16"/>
        <v>2887.5000000000005</v>
      </c>
      <c r="M2049" s="5">
        <f t="shared" si="17"/>
        <v>1155.0000000000002</v>
      </c>
      <c r="N2049" s="6">
        <v>0.4</v>
      </c>
    </row>
    <row r="2050" spans="1:14" ht="15.75" customHeight="1" x14ac:dyDescent="0.45">
      <c r="A2050" s="1" t="s">
        <v>121</v>
      </c>
      <c r="B2050" s="1">
        <v>1128299</v>
      </c>
      <c r="C2050" s="2">
        <v>44725</v>
      </c>
      <c r="D2050" s="1" t="s">
        <v>22</v>
      </c>
      <c r="E2050" s="1" t="s">
        <v>72</v>
      </c>
      <c r="F2050" s="1" t="s">
        <v>73</v>
      </c>
      <c r="G2050" s="1" t="s">
        <v>15</v>
      </c>
      <c r="H2050" s="1">
        <v>37</v>
      </c>
      <c r="I2050" s="1" t="s">
        <v>125</v>
      </c>
      <c r="J2050" s="3">
        <v>0.55000000000000004</v>
      </c>
      <c r="K2050" s="4">
        <v>5250</v>
      </c>
      <c r="L2050" s="5">
        <f t="shared" si="16"/>
        <v>2887.5000000000005</v>
      </c>
      <c r="M2050" s="5">
        <f t="shared" si="17"/>
        <v>1010.6250000000001</v>
      </c>
      <c r="N2050" s="6">
        <v>0.35</v>
      </c>
    </row>
    <row r="2051" spans="1:14" ht="15.75" customHeight="1" x14ac:dyDescent="0.45">
      <c r="A2051" s="1" t="s">
        <v>121</v>
      </c>
      <c r="B2051" s="1">
        <v>1128299</v>
      </c>
      <c r="C2051" s="2">
        <v>44725</v>
      </c>
      <c r="D2051" s="1" t="s">
        <v>22</v>
      </c>
      <c r="E2051" s="1" t="s">
        <v>72</v>
      </c>
      <c r="F2051" s="1" t="s">
        <v>73</v>
      </c>
      <c r="G2051" s="1" t="s">
        <v>16</v>
      </c>
      <c r="H2051" s="1">
        <v>22</v>
      </c>
      <c r="I2051" s="1" t="s">
        <v>124</v>
      </c>
      <c r="J2051" s="3">
        <v>0.5</v>
      </c>
      <c r="K2051" s="4">
        <v>4000</v>
      </c>
      <c r="L2051" s="5">
        <f t="shared" si="16"/>
        <v>2000</v>
      </c>
      <c r="M2051" s="5">
        <f t="shared" si="17"/>
        <v>800</v>
      </c>
      <c r="N2051" s="6">
        <v>0.4</v>
      </c>
    </row>
    <row r="2052" spans="1:14" ht="15.75" customHeight="1" x14ac:dyDescent="0.45">
      <c r="A2052" s="1" t="s">
        <v>121</v>
      </c>
      <c r="B2052" s="1">
        <v>1128299</v>
      </c>
      <c r="C2052" s="2">
        <v>44725</v>
      </c>
      <c r="D2052" s="1" t="s">
        <v>22</v>
      </c>
      <c r="E2052" s="1" t="s">
        <v>72</v>
      </c>
      <c r="F2052" s="1" t="s">
        <v>73</v>
      </c>
      <c r="G2052" s="1" t="s">
        <v>17</v>
      </c>
      <c r="H2052" s="1">
        <v>32</v>
      </c>
      <c r="I2052" s="1" t="s">
        <v>126</v>
      </c>
      <c r="J2052" s="3">
        <v>0.55000000000000004</v>
      </c>
      <c r="K2052" s="4">
        <v>2750</v>
      </c>
      <c r="L2052" s="5">
        <f t="shared" si="16"/>
        <v>1512.5000000000002</v>
      </c>
      <c r="M2052" s="5">
        <f t="shared" si="17"/>
        <v>529.375</v>
      </c>
      <c r="N2052" s="6">
        <v>0.35</v>
      </c>
    </row>
    <row r="2053" spans="1:14" ht="15.75" customHeight="1" x14ac:dyDescent="0.45">
      <c r="A2053" s="1" t="s">
        <v>121</v>
      </c>
      <c r="B2053" s="1">
        <v>1128299</v>
      </c>
      <c r="C2053" s="2">
        <v>44725</v>
      </c>
      <c r="D2053" s="1" t="s">
        <v>22</v>
      </c>
      <c r="E2053" s="1" t="s">
        <v>72</v>
      </c>
      <c r="F2053" s="1" t="s">
        <v>73</v>
      </c>
      <c r="G2053" s="1" t="s">
        <v>18</v>
      </c>
      <c r="H2053" s="1">
        <v>56</v>
      </c>
      <c r="I2053" s="1" t="s">
        <v>124</v>
      </c>
      <c r="J2053" s="3">
        <v>0.70000000000000007</v>
      </c>
      <c r="K2053" s="4">
        <v>5750</v>
      </c>
      <c r="L2053" s="5">
        <f t="shared" si="16"/>
        <v>4025.0000000000005</v>
      </c>
      <c r="M2053" s="5">
        <f t="shared" si="17"/>
        <v>1006.2500000000001</v>
      </c>
      <c r="N2053" s="6">
        <v>0.25</v>
      </c>
    </row>
    <row r="2054" spans="1:14" ht="15.75" customHeight="1" x14ac:dyDescent="0.45">
      <c r="A2054" s="1" t="s">
        <v>121</v>
      </c>
      <c r="B2054" s="1">
        <v>1128299</v>
      </c>
      <c r="C2054" s="2">
        <v>44754</v>
      </c>
      <c r="D2054" s="1" t="s">
        <v>22</v>
      </c>
      <c r="E2054" s="1" t="s">
        <v>72</v>
      </c>
      <c r="F2054" s="1" t="s">
        <v>73</v>
      </c>
      <c r="G2054" s="1" t="s">
        <v>13</v>
      </c>
      <c r="H2054" s="1">
        <v>34</v>
      </c>
      <c r="I2054" s="1" t="s">
        <v>124</v>
      </c>
      <c r="J2054" s="3">
        <v>0.5</v>
      </c>
      <c r="K2054" s="4">
        <v>7250</v>
      </c>
      <c r="L2054" s="5">
        <f t="shared" si="16"/>
        <v>3625</v>
      </c>
      <c r="M2054" s="5">
        <f t="shared" si="17"/>
        <v>1450</v>
      </c>
      <c r="N2054" s="6">
        <v>0.4</v>
      </c>
    </row>
    <row r="2055" spans="1:14" ht="15.75" customHeight="1" x14ac:dyDescent="0.45">
      <c r="A2055" s="1" t="s">
        <v>121</v>
      </c>
      <c r="B2055" s="1">
        <v>1128299</v>
      </c>
      <c r="C2055" s="2">
        <v>44754</v>
      </c>
      <c r="D2055" s="1" t="s">
        <v>22</v>
      </c>
      <c r="E2055" s="1" t="s">
        <v>72</v>
      </c>
      <c r="F2055" s="1" t="s">
        <v>73</v>
      </c>
      <c r="G2055" s="1" t="s">
        <v>14</v>
      </c>
      <c r="H2055" s="1">
        <v>15</v>
      </c>
      <c r="I2055" s="1" t="s">
        <v>125</v>
      </c>
      <c r="J2055" s="3">
        <v>0.55000000000000004</v>
      </c>
      <c r="K2055" s="4">
        <v>5750</v>
      </c>
      <c r="L2055" s="5">
        <f t="shared" si="16"/>
        <v>3162.5000000000005</v>
      </c>
      <c r="M2055" s="5">
        <f t="shared" si="17"/>
        <v>1265.0000000000002</v>
      </c>
      <c r="N2055" s="6">
        <v>0.4</v>
      </c>
    </row>
    <row r="2056" spans="1:14" ht="15.75" customHeight="1" x14ac:dyDescent="0.45">
      <c r="A2056" s="1" t="s">
        <v>121</v>
      </c>
      <c r="B2056" s="1">
        <v>1128299</v>
      </c>
      <c r="C2056" s="2">
        <v>44754</v>
      </c>
      <c r="D2056" s="1" t="s">
        <v>22</v>
      </c>
      <c r="E2056" s="1" t="s">
        <v>72</v>
      </c>
      <c r="F2056" s="1" t="s">
        <v>73</v>
      </c>
      <c r="G2056" s="1" t="s">
        <v>15</v>
      </c>
      <c r="H2056" s="1">
        <v>48</v>
      </c>
      <c r="I2056" s="1" t="s">
        <v>124</v>
      </c>
      <c r="J2056" s="3">
        <v>0.55000000000000004</v>
      </c>
      <c r="K2056" s="4">
        <v>5250</v>
      </c>
      <c r="L2056" s="5">
        <f t="shared" si="16"/>
        <v>2887.5000000000005</v>
      </c>
      <c r="M2056" s="5">
        <f t="shared" si="17"/>
        <v>1010.6250000000001</v>
      </c>
      <c r="N2056" s="6">
        <v>0.35</v>
      </c>
    </row>
    <row r="2057" spans="1:14" ht="15.75" customHeight="1" x14ac:dyDescent="0.45">
      <c r="A2057" s="1" t="s">
        <v>121</v>
      </c>
      <c r="B2057" s="1">
        <v>1128299</v>
      </c>
      <c r="C2057" s="2">
        <v>44754</v>
      </c>
      <c r="D2057" s="1" t="s">
        <v>22</v>
      </c>
      <c r="E2057" s="1" t="s">
        <v>72</v>
      </c>
      <c r="F2057" s="1" t="s">
        <v>73</v>
      </c>
      <c r="G2057" s="1" t="s">
        <v>16</v>
      </c>
      <c r="H2057" s="1">
        <v>33</v>
      </c>
      <c r="I2057" s="1" t="s">
        <v>125</v>
      </c>
      <c r="J2057" s="3">
        <v>0.5</v>
      </c>
      <c r="K2057" s="4">
        <v>4250</v>
      </c>
      <c r="L2057" s="5">
        <f t="shared" si="16"/>
        <v>2125</v>
      </c>
      <c r="M2057" s="5">
        <f t="shared" si="17"/>
        <v>850</v>
      </c>
      <c r="N2057" s="6">
        <v>0.4</v>
      </c>
    </row>
    <row r="2058" spans="1:14" ht="15.75" customHeight="1" x14ac:dyDescent="0.45">
      <c r="A2058" s="1" t="s">
        <v>121</v>
      </c>
      <c r="B2058" s="1">
        <v>1128299</v>
      </c>
      <c r="C2058" s="2">
        <v>44754</v>
      </c>
      <c r="D2058" s="1" t="s">
        <v>22</v>
      </c>
      <c r="E2058" s="1" t="s">
        <v>72</v>
      </c>
      <c r="F2058" s="1" t="s">
        <v>73</v>
      </c>
      <c r="G2058" s="1" t="s">
        <v>17</v>
      </c>
      <c r="H2058" s="1">
        <v>17</v>
      </c>
      <c r="I2058" s="1" t="s">
        <v>125</v>
      </c>
      <c r="J2058" s="3">
        <v>0.55000000000000004</v>
      </c>
      <c r="K2058" s="4">
        <v>4750</v>
      </c>
      <c r="L2058" s="5">
        <f t="shared" si="16"/>
        <v>2612.5</v>
      </c>
      <c r="M2058" s="5">
        <f t="shared" si="17"/>
        <v>914.37499999999989</v>
      </c>
      <c r="N2058" s="6">
        <v>0.35</v>
      </c>
    </row>
    <row r="2059" spans="1:14" ht="15.75" customHeight="1" x14ac:dyDescent="0.45">
      <c r="A2059" s="1" t="s">
        <v>121</v>
      </c>
      <c r="B2059" s="1">
        <v>1128299</v>
      </c>
      <c r="C2059" s="2">
        <v>44754</v>
      </c>
      <c r="D2059" s="1" t="s">
        <v>22</v>
      </c>
      <c r="E2059" s="1" t="s">
        <v>72</v>
      </c>
      <c r="F2059" s="1" t="s">
        <v>73</v>
      </c>
      <c r="G2059" s="1" t="s">
        <v>18</v>
      </c>
      <c r="H2059" s="1">
        <v>37</v>
      </c>
      <c r="I2059" s="1" t="s">
        <v>126</v>
      </c>
      <c r="J2059" s="3">
        <v>0.70000000000000007</v>
      </c>
      <c r="K2059" s="4">
        <v>4750</v>
      </c>
      <c r="L2059" s="5">
        <f t="shared" si="16"/>
        <v>3325.0000000000005</v>
      </c>
      <c r="M2059" s="5">
        <f t="shared" si="17"/>
        <v>831.25000000000011</v>
      </c>
      <c r="N2059" s="6">
        <v>0.25</v>
      </c>
    </row>
    <row r="2060" spans="1:14" ht="15.75" customHeight="1" x14ac:dyDescent="0.45">
      <c r="A2060" s="1" t="s">
        <v>121</v>
      </c>
      <c r="B2060" s="1">
        <v>1128299</v>
      </c>
      <c r="C2060" s="2">
        <v>44786</v>
      </c>
      <c r="D2060" s="1" t="s">
        <v>22</v>
      </c>
      <c r="E2060" s="1" t="s">
        <v>72</v>
      </c>
      <c r="F2060" s="1" t="s">
        <v>73</v>
      </c>
      <c r="G2060" s="1" t="s">
        <v>13</v>
      </c>
      <c r="H2060" s="1">
        <v>26</v>
      </c>
      <c r="I2060" s="1" t="s">
        <v>123</v>
      </c>
      <c r="J2060" s="3">
        <v>0.55000000000000004</v>
      </c>
      <c r="K2060" s="4">
        <v>6750</v>
      </c>
      <c r="L2060" s="5">
        <f t="shared" si="16"/>
        <v>3712.5000000000005</v>
      </c>
      <c r="M2060" s="5">
        <f t="shared" si="17"/>
        <v>1485.0000000000002</v>
      </c>
      <c r="N2060" s="6">
        <v>0.4</v>
      </c>
    </row>
    <row r="2061" spans="1:14" ht="15.75" customHeight="1" x14ac:dyDescent="0.45">
      <c r="A2061" s="1" t="s">
        <v>121</v>
      </c>
      <c r="B2061" s="1">
        <v>1128299</v>
      </c>
      <c r="C2061" s="2">
        <v>44786</v>
      </c>
      <c r="D2061" s="1" t="s">
        <v>22</v>
      </c>
      <c r="E2061" s="1" t="s">
        <v>72</v>
      </c>
      <c r="F2061" s="1" t="s">
        <v>73</v>
      </c>
      <c r="G2061" s="1" t="s">
        <v>14</v>
      </c>
      <c r="H2061" s="1">
        <v>23</v>
      </c>
      <c r="I2061" s="1" t="s">
        <v>123</v>
      </c>
      <c r="J2061" s="3">
        <v>0.60000000000000009</v>
      </c>
      <c r="K2061" s="4">
        <v>6250</v>
      </c>
      <c r="L2061" s="5">
        <f t="shared" si="16"/>
        <v>3750.0000000000005</v>
      </c>
      <c r="M2061" s="5">
        <f t="shared" si="17"/>
        <v>1500.0000000000002</v>
      </c>
      <c r="N2061" s="6">
        <v>0.4</v>
      </c>
    </row>
    <row r="2062" spans="1:14" ht="15.75" customHeight="1" x14ac:dyDescent="0.45">
      <c r="A2062" s="1" t="s">
        <v>121</v>
      </c>
      <c r="B2062" s="1">
        <v>1128299</v>
      </c>
      <c r="C2062" s="2">
        <v>44786</v>
      </c>
      <c r="D2062" s="1" t="s">
        <v>22</v>
      </c>
      <c r="E2062" s="1" t="s">
        <v>72</v>
      </c>
      <c r="F2062" s="1" t="s">
        <v>73</v>
      </c>
      <c r="G2062" s="1" t="s">
        <v>15</v>
      </c>
      <c r="H2062" s="1">
        <v>15</v>
      </c>
      <c r="I2062" s="1" t="s">
        <v>126</v>
      </c>
      <c r="J2062" s="3">
        <v>0.55000000000000004</v>
      </c>
      <c r="K2062" s="4">
        <v>5000</v>
      </c>
      <c r="L2062" s="5">
        <f t="shared" si="16"/>
        <v>2750</v>
      </c>
      <c r="M2062" s="5">
        <f t="shared" si="17"/>
        <v>962.49999999999989</v>
      </c>
      <c r="N2062" s="6">
        <v>0.35</v>
      </c>
    </row>
    <row r="2063" spans="1:14" ht="15.75" customHeight="1" x14ac:dyDescent="0.45">
      <c r="A2063" s="1" t="s">
        <v>121</v>
      </c>
      <c r="B2063" s="1">
        <v>1128299</v>
      </c>
      <c r="C2063" s="2">
        <v>44786</v>
      </c>
      <c r="D2063" s="1" t="s">
        <v>22</v>
      </c>
      <c r="E2063" s="1" t="s">
        <v>72</v>
      </c>
      <c r="F2063" s="1" t="s">
        <v>73</v>
      </c>
      <c r="G2063" s="1" t="s">
        <v>16</v>
      </c>
      <c r="H2063" s="1">
        <v>51</v>
      </c>
      <c r="I2063" s="1" t="s">
        <v>124</v>
      </c>
      <c r="J2063" s="3">
        <v>0.55000000000000004</v>
      </c>
      <c r="K2063" s="4">
        <v>4500</v>
      </c>
      <c r="L2063" s="5">
        <f t="shared" si="16"/>
        <v>2475</v>
      </c>
      <c r="M2063" s="5">
        <f t="shared" si="17"/>
        <v>990</v>
      </c>
      <c r="N2063" s="6">
        <v>0.4</v>
      </c>
    </row>
    <row r="2064" spans="1:14" ht="15.75" customHeight="1" x14ac:dyDescent="0.45">
      <c r="A2064" s="1" t="s">
        <v>121</v>
      </c>
      <c r="B2064" s="1">
        <v>1128299</v>
      </c>
      <c r="C2064" s="2">
        <v>44786</v>
      </c>
      <c r="D2064" s="1" t="s">
        <v>22</v>
      </c>
      <c r="E2064" s="1" t="s">
        <v>72</v>
      </c>
      <c r="F2064" s="1" t="s">
        <v>73</v>
      </c>
      <c r="G2064" s="1" t="s">
        <v>17</v>
      </c>
      <c r="H2064" s="1">
        <v>38</v>
      </c>
      <c r="I2064" s="1" t="s">
        <v>126</v>
      </c>
      <c r="J2064" s="3">
        <v>0.65</v>
      </c>
      <c r="K2064" s="4">
        <v>4500</v>
      </c>
      <c r="L2064" s="5">
        <f t="shared" si="16"/>
        <v>2925</v>
      </c>
      <c r="M2064" s="5">
        <f t="shared" si="17"/>
        <v>1023.7499999999999</v>
      </c>
      <c r="N2064" s="6">
        <v>0.35</v>
      </c>
    </row>
    <row r="2065" spans="1:14" ht="15.75" customHeight="1" x14ac:dyDescent="0.45">
      <c r="A2065" s="1" t="s">
        <v>121</v>
      </c>
      <c r="B2065" s="1">
        <v>1128299</v>
      </c>
      <c r="C2065" s="2">
        <v>44786</v>
      </c>
      <c r="D2065" s="1" t="s">
        <v>22</v>
      </c>
      <c r="E2065" s="1" t="s">
        <v>72</v>
      </c>
      <c r="F2065" s="1" t="s">
        <v>73</v>
      </c>
      <c r="G2065" s="1" t="s">
        <v>18</v>
      </c>
      <c r="H2065" s="1">
        <v>15</v>
      </c>
      <c r="I2065" s="1" t="s">
        <v>124</v>
      </c>
      <c r="J2065" s="3">
        <v>0.70000000000000007</v>
      </c>
      <c r="K2065" s="4">
        <v>4250</v>
      </c>
      <c r="L2065" s="5">
        <f t="shared" si="16"/>
        <v>2975.0000000000005</v>
      </c>
      <c r="M2065" s="5">
        <f t="shared" si="17"/>
        <v>743.75000000000011</v>
      </c>
      <c r="N2065" s="6">
        <v>0.25</v>
      </c>
    </row>
    <row r="2066" spans="1:14" ht="15.75" customHeight="1" x14ac:dyDescent="0.45">
      <c r="A2066" s="1" t="s">
        <v>121</v>
      </c>
      <c r="B2066" s="1">
        <v>1128299</v>
      </c>
      <c r="C2066" s="2">
        <v>44818</v>
      </c>
      <c r="D2066" s="1" t="s">
        <v>22</v>
      </c>
      <c r="E2066" s="1" t="s">
        <v>72</v>
      </c>
      <c r="F2066" s="1" t="s">
        <v>73</v>
      </c>
      <c r="G2066" s="1" t="s">
        <v>13</v>
      </c>
      <c r="H2066" s="1">
        <v>43</v>
      </c>
      <c r="I2066" s="1" t="s">
        <v>125</v>
      </c>
      <c r="J2066" s="3">
        <v>0.45000000000000012</v>
      </c>
      <c r="K2066" s="4">
        <v>6000</v>
      </c>
      <c r="L2066" s="5">
        <f t="shared" si="16"/>
        <v>2700.0000000000009</v>
      </c>
      <c r="M2066" s="5">
        <f t="shared" si="17"/>
        <v>1080.0000000000005</v>
      </c>
      <c r="N2066" s="6">
        <v>0.4</v>
      </c>
    </row>
    <row r="2067" spans="1:14" ht="15.75" customHeight="1" x14ac:dyDescent="0.45">
      <c r="A2067" s="1" t="s">
        <v>121</v>
      </c>
      <c r="B2067" s="1">
        <v>1128299</v>
      </c>
      <c r="C2067" s="2">
        <v>44818</v>
      </c>
      <c r="D2067" s="1" t="s">
        <v>22</v>
      </c>
      <c r="E2067" s="1" t="s">
        <v>72</v>
      </c>
      <c r="F2067" s="1" t="s">
        <v>73</v>
      </c>
      <c r="G2067" s="1" t="s">
        <v>14</v>
      </c>
      <c r="H2067" s="1">
        <v>35</v>
      </c>
      <c r="I2067" s="1" t="s">
        <v>123</v>
      </c>
      <c r="J2067" s="3">
        <v>0.50000000000000011</v>
      </c>
      <c r="K2067" s="4">
        <v>6000</v>
      </c>
      <c r="L2067" s="5">
        <f t="shared" si="16"/>
        <v>3000.0000000000005</v>
      </c>
      <c r="M2067" s="5">
        <f t="shared" si="17"/>
        <v>1200.0000000000002</v>
      </c>
      <c r="N2067" s="6">
        <v>0.4</v>
      </c>
    </row>
    <row r="2068" spans="1:14" ht="15.75" customHeight="1" x14ac:dyDescent="0.45">
      <c r="A2068" s="1" t="s">
        <v>121</v>
      </c>
      <c r="B2068" s="1">
        <v>1128299</v>
      </c>
      <c r="C2068" s="2">
        <v>44818</v>
      </c>
      <c r="D2068" s="1" t="s">
        <v>22</v>
      </c>
      <c r="E2068" s="1" t="s">
        <v>72</v>
      </c>
      <c r="F2068" s="1" t="s">
        <v>73</v>
      </c>
      <c r="G2068" s="1" t="s">
        <v>15</v>
      </c>
      <c r="H2068" s="1">
        <v>21</v>
      </c>
      <c r="I2068" s="1" t="s">
        <v>124</v>
      </c>
      <c r="J2068" s="3">
        <v>0.45000000000000012</v>
      </c>
      <c r="K2068" s="4">
        <v>4500</v>
      </c>
      <c r="L2068" s="5">
        <f t="shared" si="16"/>
        <v>2025.0000000000005</v>
      </c>
      <c r="M2068" s="5">
        <f t="shared" si="17"/>
        <v>708.75000000000011</v>
      </c>
      <c r="N2068" s="6">
        <v>0.35</v>
      </c>
    </row>
    <row r="2069" spans="1:14" ht="15.75" customHeight="1" x14ac:dyDescent="0.45">
      <c r="A2069" s="1" t="s">
        <v>121</v>
      </c>
      <c r="B2069" s="1">
        <v>1128299</v>
      </c>
      <c r="C2069" s="2">
        <v>44818</v>
      </c>
      <c r="D2069" s="1" t="s">
        <v>22</v>
      </c>
      <c r="E2069" s="1" t="s">
        <v>72</v>
      </c>
      <c r="F2069" s="1" t="s">
        <v>73</v>
      </c>
      <c r="G2069" s="1" t="s">
        <v>16</v>
      </c>
      <c r="H2069" s="1">
        <v>21</v>
      </c>
      <c r="I2069" s="1" t="s">
        <v>124</v>
      </c>
      <c r="J2069" s="3">
        <v>0.45000000000000012</v>
      </c>
      <c r="K2069" s="4">
        <v>4000</v>
      </c>
      <c r="L2069" s="5">
        <f t="shared" si="16"/>
        <v>1800.0000000000005</v>
      </c>
      <c r="M2069" s="5">
        <f t="shared" si="17"/>
        <v>720.00000000000023</v>
      </c>
      <c r="N2069" s="6">
        <v>0.4</v>
      </c>
    </row>
    <row r="2070" spans="1:14" ht="15.75" customHeight="1" x14ac:dyDescent="0.45">
      <c r="A2070" s="1" t="s">
        <v>121</v>
      </c>
      <c r="B2070" s="1">
        <v>1128299</v>
      </c>
      <c r="C2070" s="2">
        <v>44818</v>
      </c>
      <c r="D2070" s="1" t="s">
        <v>22</v>
      </c>
      <c r="E2070" s="1" t="s">
        <v>72</v>
      </c>
      <c r="F2070" s="1" t="s">
        <v>73</v>
      </c>
      <c r="G2070" s="1" t="s">
        <v>17</v>
      </c>
      <c r="H2070" s="1">
        <v>15</v>
      </c>
      <c r="I2070" s="1" t="s">
        <v>124</v>
      </c>
      <c r="J2070" s="3">
        <v>0.55000000000000004</v>
      </c>
      <c r="K2070" s="4">
        <v>4000</v>
      </c>
      <c r="L2070" s="5">
        <f t="shared" si="16"/>
        <v>2200</v>
      </c>
      <c r="M2070" s="5">
        <f t="shared" si="17"/>
        <v>770</v>
      </c>
      <c r="N2070" s="6">
        <v>0.35</v>
      </c>
    </row>
    <row r="2071" spans="1:14" ht="15.75" customHeight="1" x14ac:dyDescent="0.45">
      <c r="A2071" s="1" t="s">
        <v>121</v>
      </c>
      <c r="B2071" s="1">
        <v>1128299</v>
      </c>
      <c r="C2071" s="2">
        <v>44818</v>
      </c>
      <c r="D2071" s="1" t="s">
        <v>22</v>
      </c>
      <c r="E2071" s="1" t="s">
        <v>72</v>
      </c>
      <c r="F2071" s="1" t="s">
        <v>73</v>
      </c>
      <c r="G2071" s="1" t="s">
        <v>18</v>
      </c>
      <c r="H2071" s="1">
        <v>47</v>
      </c>
      <c r="I2071" s="1" t="s">
        <v>123</v>
      </c>
      <c r="J2071" s="3">
        <v>0.60000000000000009</v>
      </c>
      <c r="K2071" s="4">
        <v>4500</v>
      </c>
      <c r="L2071" s="5">
        <f t="shared" si="16"/>
        <v>2700.0000000000005</v>
      </c>
      <c r="M2071" s="5">
        <f t="shared" si="17"/>
        <v>675.00000000000011</v>
      </c>
      <c r="N2071" s="6">
        <v>0.25</v>
      </c>
    </row>
    <row r="2072" spans="1:14" ht="15.75" customHeight="1" x14ac:dyDescent="0.45">
      <c r="A2072" s="1" t="s">
        <v>121</v>
      </c>
      <c r="B2072" s="1">
        <v>1128299</v>
      </c>
      <c r="C2072" s="2">
        <v>44847</v>
      </c>
      <c r="D2072" s="1" t="s">
        <v>22</v>
      </c>
      <c r="E2072" s="1" t="s">
        <v>72</v>
      </c>
      <c r="F2072" s="1" t="s">
        <v>73</v>
      </c>
      <c r="G2072" s="1" t="s">
        <v>13</v>
      </c>
      <c r="H2072" s="1">
        <v>15</v>
      </c>
      <c r="I2072" s="1" t="s">
        <v>123</v>
      </c>
      <c r="J2072" s="3">
        <v>0.45000000000000012</v>
      </c>
      <c r="K2072" s="4">
        <v>5250</v>
      </c>
      <c r="L2072" s="5">
        <f t="shared" si="16"/>
        <v>2362.5000000000005</v>
      </c>
      <c r="M2072" s="5">
        <f t="shared" si="17"/>
        <v>945.00000000000023</v>
      </c>
      <c r="N2072" s="6">
        <v>0.4</v>
      </c>
    </row>
    <row r="2073" spans="1:14" ht="15.75" customHeight="1" x14ac:dyDescent="0.45">
      <c r="A2073" s="1" t="s">
        <v>121</v>
      </c>
      <c r="B2073" s="1">
        <v>1128299</v>
      </c>
      <c r="C2073" s="2">
        <v>44847</v>
      </c>
      <c r="D2073" s="1" t="s">
        <v>22</v>
      </c>
      <c r="E2073" s="1" t="s">
        <v>72</v>
      </c>
      <c r="F2073" s="1" t="s">
        <v>73</v>
      </c>
      <c r="G2073" s="1" t="s">
        <v>14</v>
      </c>
      <c r="H2073" s="1">
        <v>24</v>
      </c>
      <c r="I2073" s="1" t="s">
        <v>126</v>
      </c>
      <c r="J2073" s="3">
        <v>0.50000000000000011</v>
      </c>
      <c r="K2073" s="4">
        <v>5250</v>
      </c>
      <c r="L2073" s="5">
        <f t="shared" si="16"/>
        <v>2625.0000000000005</v>
      </c>
      <c r="M2073" s="5">
        <f t="shared" si="17"/>
        <v>1050.0000000000002</v>
      </c>
      <c r="N2073" s="6">
        <v>0.4</v>
      </c>
    </row>
    <row r="2074" spans="1:14" ht="15.75" customHeight="1" x14ac:dyDescent="0.45">
      <c r="A2074" s="1" t="s">
        <v>121</v>
      </c>
      <c r="B2074" s="1">
        <v>1128299</v>
      </c>
      <c r="C2074" s="2">
        <v>44847</v>
      </c>
      <c r="D2074" s="1" t="s">
        <v>22</v>
      </c>
      <c r="E2074" s="1" t="s">
        <v>72</v>
      </c>
      <c r="F2074" s="1" t="s">
        <v>73</v>
      </c>
      <c r="G2074" s="1" t="s">
        <v>15</v>
      </c>
      <c r="H2074" s="1">
        <v>20</v>
      </c>
      <c r="I2074" s="1" t="s">
        <v>123</v>
      </c>
      <c r="J2074" s="3">
        <v>0.45000000000000012</v>
      </c>
      <c r="K2074" s="4">
        <v>3500</v>
      </c>
      <c r="L2074" s="5">
        <f t="shared" si="16"/>
        <v>1575.0000000000005</v>
      </c>
      <c r="M2074" s="5">
        <f t="shared" si="17"/>
        <v>551.25000000000011</v>
      </c>
      <c r="N2074" s="6">
        <v>0.35</v>
      </c>
    </row>
    <row r="2075" spans="1:14" ht="15.75" customHeight="1" x14ac:dyDescent="0.45">
      <c r="A2075" s="1" t="s">
        <v>121</v>
      </c>
      <c r="B2075" s="1">
        <v>1128299</v>
      </c>
      <c r="C2075" s="2">
        <v>44847</v>
      </c>
      <c r="D2075" s="1" t="s">
        <v>22</v>
      </c>
      <c r="E2075" s="1" t="s">
        <v>72</v>
      </c>
      <c r="F2075" s="1" t="s">
        <v>73</v>
      </c>
      <c r="G2075" s="1" t="s">
        <v>16</v>
      </c>
      <c r="H2075" s="1">
        <v>19</v>
      </c>
      <c r="I2075" s="1" t="s">
        <v>125</v>
      </c>
      <c r="J2075" s="3">
        <v>0.45000000000000012</v>
      </c>
      <c r="K2075" s="4">
        <v>3250</v>
      </c>
      <c r="L2075" s="5">
        <f t="shared" si="16"/>
        <v>1462.5000000000005</v>
      </c>
      <c r="M2075" s="5">
        <f t="shared" si="17"/>
        <v>585.00000000000023</v>
      </c>
      <c r="N2075" s="6">
        <v>0.4</v>
      </c>
    </row>
    <row r="2076" spans="1:14" ht="15.75" customHeight="1" x14ac:dyDescent="0.45">
      <c r="A2076" s="1" t="s">
        <v>121</v>
      </c>
      <c r="B2076" s="1">
        <v>1128299</v>
      </c>
      <c r="C2076" s="2">
        <v>44847</v>
      </c>
      <c r="D2076" s="1" t="s">
        <v>22</v>
      </c>
      <c r="E2076" s="1" t="s">
        <v>72</v>
      </c>
      <c r="F2076" s="1" t="s">
        <v>73</v>
      </c>
      <c r="G2076" s="1" t="s">
        <v>17</v>
      </c>
      <c r="H2076" s="1">
        <v>30</v>
      </c>
      <c r="I2076" s="1" t="s">
        <v>126</v>
      </c>
      <c r="J2076" s="3">
        <v>0.55000000000000004</v>
      </c>
      <c r="K2076" s="4">
        <v>3000</v>
      </c>
      <c r="L2076" s="5">
        <f t="shared" si="16"/>
        <v>1650.0000000000002</v>
      </c>
      <c r="M2076" s="5">
        <f t="shared" si="17"/>
        <v>577.5</v>
      </c>
      <c r="N2076" s="6">
        <v>0.35</v>
      </c>
    </row>
    <row r="2077" spans="1:14" ht="15.75" customHeight="1" x14ac:dyDescent="0.45">
      <c r="A2077" s="1" t="s">
        <v>121</v>
      </c>
      <c r="B2077" s="1">
        <v>1128299</v>
      </c>
      <c r="C2077" s="2">
        <v>44847</v>
      </c>
      <c r="D2077" s="1" t="s">
        <v>22</v>
      </c>
      <c r="E2077" s="1" t="s">
        <v>72</v>
      </c>
      <c r="F2077" s="1" t="s">
        <v>73</v>
      </c>
      <c r="G2077" s="1" t="s">
        <v>18</v>
      </c>
      <c r="H2077" s="1">
        <v>50</v>
      </c>
      <c r="I2077" s="1" t="s">
        <v>124</v>
      </c>
      <c r="J2077" s="3">
        <v>0.70000000000000007</v>
      </c>
      <c r="K2077" s="4">
        <v>3500</v>
      </c>
      <c r="L2077" s="5">
        <f t="shared" si="16"/>
        <v>2450.0000000000005</v>
      </c>
      <c r="M2077" s="5">
        <f t="shared" si="17"/>
        <v>612.50000000000011</v>
      </c>
      <c r="N2077" s="6">
        <v>0.25</v>
      </c>
    </row>
    <row r="2078" spans="1:14" ht="15.75" customHeight="1" x14ac:dyDescent="0.45">
      <c r="A2078" s="1" t="s">
        <v>121</v>
      </c>
      <c r="B2078" s="1">
        <v>1128299</v>
      </c>
      <c r="C2078" s="2">
        <v>44878</v>
      </c>
      <c r="D2078" s="1" t="s">
        <v>22</v>
      </c>
      <c r="E2078" s="1" t="s">
        <v>72</v>
      </c>
      <c r="F2078" s="1" t="s">
        <v>73</v>
      </c>
      <c r="G2078" s="1" t="s">
        <v>13</v>
      </c>
      <c r="H2078" s="1">
        <v>55</v>
      </c>
      <c r="I2078" s="1" t="s">
        <v>123</v>
      </c>
      <c r="J2078" s="3">
        <v>0.55000000000000004</v>
      </c>
      <c r="K2078" s="4">
        <v>5250</v>
      </c>
      <c r="L2078" s="5">
        <f t="shared" si="16"/>
        <v>2887.5000000000005</v>
      </c>
      <c r="M2078" s="5">
        <f t="shared" si="17"/>
        <v>1155.0000000000002</v>
      </c>
      <c r="N2078" s="6">
        <v>0.4</v>
      </c>
    </row>
    <row r="2079" spans="1:14" ht="15.75" customHeight="1" x14ac:dyDescent="0.45">
      <c r="A2079" s="1" t="s">
        <v>121</v>
      </c>
      <c r="B2079" s="1">
        <v>1128299</v>
      </c>
      <c r="C2079" s="2">
        <v>44878</v>
      </c>
      <c r="D2079" s="1" t="s">
        <v>22</v>
      </c>
      <c r="E2079" s="1" t="s">
        <v>72</v>
      </c>
      <c r="F2079" s="1" t="s">
        <v>73</v>
      </c>
      <c r="G2079" s="1" t="s">
        <v>14</v>
      </c>
      <c r="H2079" s="1">
        <v>21</v>
      </c>
      <c r="I2079" s="1" t="s">
        <v>124</v>
      </c>
      <c r="J2079" s="3">
        <v>0.60000000000000009</v>
      </c>
      <c r="K2079" s="4">
        <v>5750</v>
      </c>
      <c r="L2079" s="5">
        <f t="shared" si="16"/>
        <v>3450.0000000000005</v>
      </c>
      <c r="M2079" s="5">
        <f t="shared" si="17"/>
        <v>1380.0000000000002</v>
      </c>
      <c r="N2079" s="6">
        <v>0.4</v>
      </c>
    </row>
    <row r="2080" spans="1:14" ht="15.75" customHeight="1" x14ac:dyDescent="0.45">
      <c r="A2080" s="1" t="s">
        <v>121</v>
      </c>
      <c r="B2080" s="1">
        <v>1128299</v>
      </c>
      <c r="C2080" s="2">
        <v>44878</v>
      </c>
      <c r="D2080" s="1" t="s">
        <v>22</v>
      </c>
      <c r="E2080" s="1" t="s">
        <v>72</v>
      </c>
      <c r="F2080" s="1" t="s">
        <v>73</v>
      </c>
      <c r="G2080" s="1" t="s">
        <v>15</v>
      </c>
      <c r="H2080" s="1">
        <v>31</v>
      </c>
      <c r="I2080" s="1" t="s">
        <v>124</v>
      </c>
      <c r="J2080" s="3">
        <v>0.55000000000000004</v>
      </c>
      <c r="K2080" s="4">
        <v>4250</v>
      </c>
      <c r="L2080" s="5">
        <f t="shared" si="16"/>
        <v>2337.5</v>
      </c>
      <c r="M2080" s="5">
        <f t="shared" si="17"/>
        <v>818.125</v>
      </c>
      <c r="N2080" s="6">
        <v>0.35</v>
      </c>
    </row>
    <row r="2081" spans="1:14" ht="15.75" customHeight="1" x14ac:dyDescent="0.45">
      <c r="A2081" s="1" t="s">
        <v>121</v>
      </c>
      <c r="B2081" s="1">
        <v>1128299</v>
      </c>
      <c r="C2081" s="2">
        <v>44878</v>
      </c>
      <c r="D2081" s="1" t="s">
        <v>22</v>
      </c>
      <c r="E2081" s="1" t="s">
        <v>72</v>
      </c>
      <c r="F2081" s="1" t="s">
        <v>73</v>
      </c>
      <c r="G2081" s="1" t="s">
        <v>16</v>
      </c>
      <c r="H2081" s="1">
        <v>42</v>
      </c>
      <c r="I2081" s="1" t="s">
        <v>123</v>
      </c>
      <c r="J2081" s="3">
        <v>0.55000000000000004</v>
      </c>
      <c r="K2081" s="4">
        <v>4000</v>
      </c>
      <c r="L2081" s="5">
        <f t="shared" si="16"/>
        <v>2200</v>
      </c>
      <c r="M2081" s="5">
        <f t="shared" si="17"/>
        <v>880</v>
      </c>
      <c r="N2081" s="6">
        <v>0.4</v>
      </c>
    </row>
    <row r="2082" spans="1:14" ht="15.75" customHeight="1" x14ac:dyDescent="0.45">
      <c r="A2082" s="1" t="s">
        <v>121</v>
      </c>
      <c r="B2082" s="1">
        <v>1128299</v>
      </c>
      <c r="C2082" s="2">
        <v>44878</v>
      </c>
      <c r="D2082" s="1" t="s">
        <v>22</v>
      </c>
      <c r="E2082" s="1" t="s">
        <v>72</v>
      </c>
      <c r="F2082" s="1" t="s">
        <v>73</v>
      </c>
      <c r="G2082" s="1" t="s">
        <v>17</v>
      </c>
      <c r="H2082" s="1">
        <v>38</v>
      </c>
      <c r="I2082" s="1" t="s">
        <v>124</v>
      </c>
      <c r="J2082" s="3">
        <v>0.65</v>
      </c>
      <c r="K2082" s="4">
        <v>3500</v>
      </c>
      <c r="L2082" s="5">
        <f t="shared" si="16"/>
        <v>2275</v>
      </c>
      <c r="M2082" s="5">
        <f t="shared" si="17"/>
        <v>796.25</v>
      </c>
      <c r="N2082" s="6">
        <v>0.35</v>
      </c>
    </row>
    <row r="2083" spans="1:14" ht="15.75" customHeight="1" x14ac:dyDescent="0.45">
      <c r="A2083" s="1" t="s">
        <v>121</v>
      </c>
      <c r="B2083" s="1">
        <v>1128299</v>
      </c>
      <c r="C2083" s="2">
        <v>44878</v>
      </c>
      <c r="D2083" s="1" t="s">
        <v>22</v>
      </c>
      <c r="E2083" s="1" t="s">
        <v>72</v>
      </c>
      <c r="F2083" s="1" t="s">
        <v>73</v>
      </c>
      <c r="G2083" s="1" t="s">
        <v>18</v>
      </c>
      <c r="H2083" s="1">
        <v>37</v>
      </c>
      <c r="I2083" s="1" t="s">
        <v>125</v>
      </c>
      <c r="J2083" s="3">
        <v>0.70000000000000007</v>
      </c>
      <c r="K2083" s="4">
        <v>4750</v>
      </c>
      <c r="L2083" s="5">
        <f t="shared" si="16"/>
        <v>3325.0000000000005</v>
      </c>
      <c r="M2083" s="5">
        <f t="shared" si="17"/>
        <v>831.25000000000011</v>
      </c>
      <c r="N2083" s="6">
        <v>0.25</v>
      </c>
    </row>
    <row r="2084" spans="1:14" ht="15.75" customHeight="1" x14ac:dyDescent="0.45">
      <c r="A2084" s="1" t="s">
        <v>121</v>
      </c>
      <c r="B2084" s="1">
        <v>1128299</v>
      </c>
      <c r="C2084" s="2">
        <v>44907</v>
      </c>
      <c r="D2084" s="1" t="s">
        <v>22</v>
      </c>
      <c r="E2084" s="1" t="s">
        <v>72</v>
      </c>
      <c r="F2084" s="1" t="s">
        <v>73</v>
      </c>
      <c r="G2084" s="1" t="s">
        <v>13</v>
      </c>
      <c r="H2084" s="1">
        <v>33</v>
      </c>
      <c r="I2084" s="1" t="s">
        <v>126</v>
      </c>
      <c r="J2084" s="3">
        <v>0.55000000000000004</v>
      </c>
      <c r="K2084" s="4">
        <v>6750</v>
      </c>
      <c r="L2084" s="5">
        <f t="shared" si="16"/>
        <v>3712.5000000000005</v>
      </c>
      <c r="M2084" s="5">
        <f t="shared" si="17"/>
        <v>1485.0000000000002</v>
      </c>
      <c r="N2084" s="6">
        <v>0.4</v>
      </c>
    </row>
    <row r="2085" spans="1:14" ht="15.75" customHeight="1" x14ac:dyDescent="0.45">
      <c r="A2085" s="1" t="s">
        <v>121</v>
      </c>
      <c r="B2085" s="1">
        <v>1128299</v>
      </c>
      <c r="C2085" s="2">
        <v>44907</v>
      </c>
      <c r="D2085" s="1" t="s">
        <v>22</v>
      </c>
      <c r="E2085" s="1" t="s">
        <v>72</v>
      </c>
      <c r="F2085" s="1" t="s">
        <v>73</v>
      </c>
      <c r="G2085" s="1" t="s">
        <v>14</v>
      </c>
      <c r="H2085" s="1">
        <v>43</v>
      </c>
      <c r="I2085" s="1" t="s">
        <v>123</v>
      </c>
      <c r="J2085" s="3">
        <v>0.60000000000000009</v>
      </c>
      <c r="K2085" s="4">
        <v>6750</v>
      </c>
      <c r="L2085" s="5">
        <f t="shared" si="16"/>
        <v>4050.0000000000005</v>
      </c>
      <c r="M2085" s="5">
        <f t="shared" si="17"/>
        <v>1620.0000000000002</v>
      </c>
      <c r="N2085" s="6">
        <v>0.4</v>
      </c>
    </row>
    <row r="2086" spans="1:14" ht="15.75" customHeight="1" x14ac:dyDescent="0.45">
      <c r="A2086" s="1" t="s">
        <v>121</v>
      </c>
      <c r="B2086" s="1">
        <v>1128299</v>
      </c>
      <c r="C2086" s="2">
        <v>44907</v>
      </c>
      <c r="D2086" s="1" t="s">
        <v>22</v>
      </c>
      <c r="E2086" s="1" t="s">
        <v>72</v>
      </c>
      <c r="F2086" s="1" t="s">
        <v>73</v>
      </c>
      <c r="G2086" s="1" t="s">
        <v>15</v>
      </c>
      <c r="H2086" s="1">
        <v>25</v>
      </c>
      <c r="I2086" s="1" t="s">
        <v>126</v>
      </c>
      <c r="J2086" s="3">
        <v>0.55000000000000004</v>
      </c>
      <c r="K2086" s="4">
        <v>4750</v>
      </c>
      <c r="L2086" s="5">
        <f t="shared" si="16"/>
        <v>2612.5</v>
      </c>
      <c r="M2086" s="5">
        <f t="shared" si="17"/>
        <v>914.37499999999989</v>
      </c>
      <c r="N2086" s="6">
        <v>0.35</v>
      </c>
    </row>
    <row r="2087" spans="1:14" ht="15.75" customHeight="1" x14ac:dyDescent="0.45">
      <c r="A2087" s="1" t="s">
        <v>121</v>
      </c>
      <c r="B2087" s="1">
        <v>1128299</v>
      </c>
      <c r="C2087" s="2">
        <v>44907</v>
      </c>
      <c r="D2087" s="1" t="s">
        <v>22</v>
      </c>
      <c r="E2087" s="1" t="s">
        <v>72</v>
      </c>
      <c r="F2087" s="1" t="s">
        <v>73</v>
      </c>
      <c r="G2087" s="1" t="s">
        <v>16</v>
      </c>
      <c r="H2087" s="1">
        <v>32</v>
      </c>
      <c r="I2087" s="1" t="s">
        <v>126</v>
      </c>
      <c r="J2087" s="3">
        <v>0.55000000000000004</v>
      </c>
      <c r="K2087" s="4">
        <v>4750</v>
      </c>
      <c r="L2087" s="5">
        <f t="shared" si="16"/>
        <v>2612.5</v>
      </c>
      <c r="M2087" s="5">
        <f t="shared" si="17"/>
        <v>1045</v>
      </c>
      <c r="N2087" s="6">
        <v>0.4</v>
      </c>
    </row>
    <row r="2088" spans="1:14" ht="15.75" customHeight="1" x14ac:dyDescent="0.45">
      <c r="A2088" s="1" t="s">
        <v>121</v>
      </c>
      <c r="B2088" s="1">
        <v>1128299</v>
      </c>
      <c r="C2088" s="2">
        <v>44907</v>
      </c>
      <c r="D2088" s="1" t="s">
        <v>22</v>
      </c>
      <c r="E2088" s="1" t="s">
        <v>72</v>
      </c>
      <c r="F2088" s="1" t="s">
        <v>73</v>
      </c>
      <c r="G2088" s="1" t="s">
        <v>17</v>
      </c>
      <c r="H2088" s="1">
        <v>52</v>
      </c>
      <c r="I2088" s="1" t="s">
        <v>123</v>
      </c>
      <c r="J2088" s="3">
        <v>0.65</v>
      </c>
      <c r="K2088" s="4">
        <v>4000</v>
      </c>
      <c r="L2088" s="5">
        <f t="shared" si="16"/>
        <v>2600</v>
      </c>
      <c r="M2088" s="5">
        <f t="shared" si="17"/>
        <v>909.99999999999989</v>
      </c>
      <c r="N2088" s="6">
        <v>0.35</v>
      </c>
    </row>
    <row r="2089" spans="1:14" ht="15.75" customHeight="1" x14ac:dyDescent="0.45">
      <c r="A2089" s="1" t="s">
        <v>121</v>
      </c>
      <c r="B2089" s="1">
        <v>1128299</v>
      </c>
      <c r="C2089" s="2">
        <v>44907</v>
      </c>
      <c r="D2089" s="1" t="s">
        <v>22</v>
      </c>
      <c r="E2089" s="1" t="s">
        <v>72</v>
      </c>
      <c r="F2089" s="1" t="s">
        <v>73</v>
      </c>
      <c r="G2089" s="1" t="s">
        <v>18</v>
      </c>
      <c r="H2089" s="1">
        <v>21</v>
      </c>
      <c r="I2089" s="1" t="s">
        <v>124</v>
      </c>
      <c r="J2089" s="3">
        <v>0.70000000000000007</v>
      </c>
      <c r="K2089" s="4">
        <v>5000</v>
      </c>
      <c r="L2089" s="5">
        <f t="shared" si="16"/>
        <v>3500.0000000000005</v>
      </c>
      <c r="M2089" s="5">
        <f t="shared" si="17"/>
        <v>875.00000000000011</v>
      </c>
      <c r="N2089" s="6">
        <v>0.25</v>
      </c>
    </row>
    <row r="2090" spans="1:14" ht="15.75" customHeight="1" x14ac:dyDescent="0.45">
      <c r="A2090" s="1" t="s">
        <v>119</v>
      </c>
      <c r="B2090" s="1">
        <v>1185732</v>
      </c>
      <c r="C2090" s="2">
        <v>44570</v>
      </c>
      <c r="D2090" s="1" t="s">
        <v>38</v>
      </c>
      <c r="E2090" s="1" t="s">
        <v>74</v>
      </c>
      <c r="F2090" s="1" t="s">
        <v>75</v>
      </c>
      <c r="G2090" s="1" t="s">
        <v>13</v>
      </c>
      <c r="H2090" s="1">
        <v>16</v>
      </c>
      <c r="I2090" s="1" t="s">
        <v>126</v>
      </c>
      <c r="J2090" s="3">
        <v>0.4</v>
      </c>
      <c r="K2090" s="4">
        <v>10250</v>
      </c>
      <c r="L2090" s="5">
        <f t="shared" si="16"/>
        <v>4100</v>
      </c>
      <c r="M2090" s="5">
        <f t="shared" si="17"/>
        <v>1845</v>
      </c>
      <c r="N2090" s="6">
        <v>0.45</v>
      </c>
    </row>
    <row r="2091" spans="1:14" ht="15.75" customHeight="1" x14ac:dyDescent="0.45">
      <c r="A2091" s="1" t="s">
        <v>119</v>
      </c>
      <c r="B2091" s="1">
        <v>1185732</v>
      </c>
      <c r="C2091" s="2">
        <v>44570</v>
      </c>
      <c r="D2091" s="1" t="s">
        <v>38</v>
      </c>
      <c r="E2091" s="1" t="s">
        <v>74</v>
      </c>
      <c r="F2091" s="1" t="s">
        <v>75</v>
      </c>
      <c r="G2091" s="1" t="s">
        <v>14</v>
      </c>
      <c r="H2091" s="1">
        <v>31</v>
      </c>
      <c r="I2091" s="1" t="s">
        <v>126</v>
      </c>
      <c r="J2091" s="3">
        <v>0.4</v>
      </c>
      <c r="K2091" s="4">
        <v>8250</v>
      </c>
      <c r="L2091" s="5">
        <f t="shared" si="16"/>
        <v>3300</v>
      </c>
      <c r="M2091" s="5">
        <f t="shared" si="17"/>
        <v>1155</v>
      </c>
      <c r="N2091" s="6">
        <v>0.35</v>
      </c>
    </row>
    <row r="2092" spans="1:14" ht="15.75" customHeight="1" x14ac:dyDescent="0.45">
      <c r="A2092" s="1" t="s">
        <v>119</v>
      </c>
      <c r="B2092" s="1">
        <v>1185732</v>
      </c>
      <c r="C2092" s="2">
        <v>44570</v>
      </c>
      <c r="D2092" s="1" t="s">
        <v>38</v>
      </c>
      <c r="E2092" s="1" t="s">
        <v>74</v>
      </c>
      <c r="F2092" s="1" t="s">
        <v>75</v>
      </c>
      <c r="G2092" s="1" t="s">
        <v>15</v>
      </c>
      <c r="H2092" s="1">
        <v>28</v>
      </c>
      <c r="I2092" s="1" t="s">
        <v>124</v>
      </c>
      <c r="J2092" s="3">
        <v>0.30000000000000004</v>
      </c>
      <c r="K2092" s="4">
        <v>8250</v>
      </c>
      <c r="L2092" s="5">
        <f t="shared" si="16"/>
        <v>2475.0000000000005</v>
      </c>
      <c r="M2092" s="5">
        <f t="shared" si="17"/>
        <v>618.75000000000011</v>
      </c>
      <c r="N2092" s="6">
        <v>0.25</v>
      </c>
    </row>
    <row r="2093" spans="1:14" ht="15.75" customHeight="1" x14ac:dyDescent="0.45">
      <c r="A2093" s="1" t="s">
        <v>119</v>
      </c>
      <c r="B2093" s="1">
        <v>1185732</v>
      </c>
      <c r="C2093" s="2">
        <v>44570</v>
      </c>
      <c r="D2093" s="1" t="s">
        <v>38</v>
      </c>
      <c r="E2093" s="1" t="s">
        <v>74</v>
      </c>
      <c r="F2093" s="1" t="s">
        <v>75</v>
      </c>
      <c r="G2093" s="1" t="s">
        <v>16</v>
      </c>
      <c r="H2093" s="1">
        <v>15</v>
      </c>
      <c r="I2093" s="1" t="s">
        <v>126</v>
      </c>
      <c r="J2093" s="3">
        <v>0.35</v>
      </c>
      <c r="K2093" s="4">
        <v>6750</v>
      </c>
      <c r="L2093" s="5">
        <f t="shared" si="16"/>
        <v>2362.5</v>
      </c>
      <c r="M2093" s="5">
        <f t="shared" si="17"/>
        <v>708.75</v>
      </c>
      <c r="N2093" s="6">
        <v>0.3</v>
      </c>
    </row>
    <row r="2094" spans="1:14" ht="15.75" customHeight="1" x14ac:dyDescent="0.45">
      <c r="A2094" s="1" t="s">
        <v>119</v>
      </c>
      <c r="B2094" s="1">
        <v>1185732</v>
      </c>
      <c r="C2094" s="2">
        <v>44570</v>
      </c>
      <c r="D2094" s="1" t="s">
        <v>38</v>
      </c>
      <c r="E2094" s="1" t="s">
        <v>74</v>
      </c>
      <c r="F2094" s="1" t="s">
        <v>75</v>
      </c>
      <c r="G2094" s="1" t="s">
        <v>17</v>
      </c>
      <c r="H2094" s="1">
        <v>57</v>
      </c>
      <c r="I2094" s="1" t="s">
        <v>124</v>
      </c>
      <c r="J2094" s="3">
        <v>0.5</v>
      </c>
      <c r="K2094" s="4">
        <v>7250</v>
      </c>
      <c r="L2094" s="5">
        <f t="shared" si="16"/>
        <v>3625</v>
      </c>
      <c r="M2094" s="5">
        <f t="shared" si="17"/>
        <v>1268.75</v>
      </c>
      <c r="N2094" s="6">
        <v>0.35</v>
      </c>
    </row>
    <row r="2095" spans="1:14" ht="15.75" customHeight="1" x14ac:dyDescent="0.45">
      <c r="A2095" s="1" t="s">
        <v>119</v>
      </c>
      <c r="B2095" s="1">
        <v>1185732</v>
      </c>
      <c r="C2095" s="2">
        <v>44570</v>
      </c>
      <c r="D2095" s="1" t="s">
        <v>38</v>
      </c>
      <c r="E2095" s="1" t="s">
        <v>74</v>
      </c>
      <c r="F2095" s="1" t="s">
        <v>75</v>
      </c>
      <c r="G2095" s="1" t="s">
        <v>18</v>
      </c>
      <c r="H2095" s="1">
        <v>34</v>
      </c>
      <c r="I2095" s="1" t="s">
        <v>124</v>
      </c>
      <c r="J2095" s="3">
        <v>0.4</v>
      </c>
      <c r="K2095" s="4">
        <v>8250</v>
      </c>
      <c r="L2095" s="5">
        <f t="shared" si="16"/>
        <v>3300</v>
      </c>
      <c r="M2095" s="5">
        <f t="shared" si="17"/>
        <v>1650</v>
      </c>
      <c r="N2095" s="6">
        <v>0.5</v>
      </c>
    </row>
    <row r="2096" spans="1:14" ht="15.75" customHeight="1" x14ac:dyDescent="0.45">
      <c r="A2096" s="1" t="s">
        <v>119</v>
      </c>
      <c r="B2096" s="1">
        <v>1185732</v>
      </c>
      <c r="C2096" s="2">
        <v>44599</v>
      </c>
      <c r="D2096" s="1" t="s">
        <v>38</v>
      </c>
      <c r="E2096" s="1" t="s">
        <v>74</v>
      </c>
      <c r="F2096" s="1" t="s">
        <v>75</v>
      </c>
      <c r="G2096" s="1" t="s">
        <v>13</v>
      </c>
      <c r="H2096" s="1">
        <v>40</v>
      </c>
      <c r="I2096" s="1" t="s">
        <v>125</v>
      </c>
      <c r="J2096" s="3">
        <v>0.4</v>
      </c>
      <c r="K2096" s="4">
        <v>10750</v>
      </c>
      <c r="L2096" s="5">
        <f t="shared" si="16"/>
        <v>4300</v>
      </c>
      <c r="M2096" s="5">
        <f t="shared" si="17"/>
        <v>1935</v>
      </c>
      <c r="N2096" s="6">
        <v>0.45</v>
      </c>
    </row>
    <row r="2097" spans="1:14" ht="15.75" customHeight="1" x14ac:dyDescent="0.45">
      <c r="A2097" s="1" t="s">
        <v>119</v>
      </c>
      <c r="B2097" s="1">
        <v>1185732</v>
      </c>
      <c r="C2097" s="2">
        <v>44599</v>
      </c>
      <c r="D2097" s="1" t="s">
        <v>38</v>
      </c>
      <c r="E2097" s="1" t="s">
        <v>74</v>
      </c>
      <c r="F2097" s="1" t="s">
        <v>75</v>
      </c>
      <c r="G2097" s="1" t="s">
        <v>14</v>
      </c>
      <c r="H2097" s="1">
        <v>52</v>
      </c>
      <c r="I2097" s="1" t="s">
        <v>124</v>
      </c>
      <c r="J2097" s="3">
        <v>0.4</v>
      </c>
      <c r="K2097" s="4">
        <v>7250</v>
      </c>
      <c r="L2097" s="5">
        <f t="shared" si="16"/>
        <v>2900</v>
      </c>
      <c r="M2097" s="5">
        <f t="shared" si="17"/>
        <v>1014.9999999999999</v>
      </c>
      <c r="N2097" s="6">
        <v>0.35</v>
      </c>
    </row>
    <row r="2098" spans="1:14" ht="15.75" customHeight="1" x14ac:dyDescent="0.45">
      <c r="A2098" s="1" t="s">
        <v>119</v>
      </c>
      <c r="B2098" s="1">
        <v>1185732</v>
      </c>
      <c r="C2098" s="2">
        <v>44599</v>
      </c>
      <c r="D2098" s="1" t="s">
        <v>38</v>
      </c>
      <c r="E2098" s="1" t="s">
        <v>74</v>
      </c>
      <c r="F2098" s="1" t="s">
        <v>75</v>
      </c>
      <c r="G2098" s="1" t="s">
        <v>15</v>
      </c>
      <c r="H2098" s="1">
        <v>47</v>
      </c>
      <c r="I2098" s="1" t="s">
        <v>123</v>
      </c>
      <c r="J2098" s="3">
        <v>0.30000000000000004</v>
      </c>
      <c r="K2098" s="4">
        <v>7750</v>
      </c>
      <c r="L2098" s="5">
        <f t="shared" si="16"/>
        <v>2325.0000000000005</v>
      </c>
      <c r="M2098" s="5">
        <f t="shared" si="17"/>
        <v>581.25000000000011</v>
      </c>
      <c r="N2098" s="6">
        <v>0.25</v>
      </c>
    </row>
    <row r="2099" spans="1:14" ht="15.75" customHeight="1" x14ac:dyDescent="0.45">
      <c r="A2099" s="1" t="s">
        <v>119</v>
      </c>
      <c r="B2099" s="1">
        <v>1185732</v>
      </c>
      <c r="C2099" s="2">
        <v>44599</v>
      </c>
      <c r="D2099" s="1" t="s">
        <v>38</v>
      </c>
      <c r="E2099" s="1" t="s">
        <v>74</v>
      </c>
      <c r="F2099" s="1" t="s">
        <v>75</v>
      </c>
      <c r="G2099" s="1" t="s">
        <v>16</v>
      </c>
      <c r="H2099" s="1">
        <v>38</v>
      </c>
      <c r="I2099" s="1" t="s">
        <v>126</v>
      </c>
      <c r="J2099" s="3">
        <v>0.35</v>
      </c>
      <c r="K2099" s="4">
        <v>6250</v>
      </c>
      <c r="L2099" s="5">
        <f t="shared" si="16"/>
        <v>2187.5</v>
      </c>
      <c r="M2099" s="5">
        <f t="shared" si="17"/>
        <v>656.25</v>
      </c>
      <c r="N2099" s="6">
        <v>0.3</v>
      </c>
    </row>
    <row r="2100" spans="1:14" ht="15.75" customHeight="1" x14ac:dyDescent="0.45">
      <c r="A2100" s="1" t="s">
        <v>119</v>
      </c>
      <c r="B2100" s="1">
        <v>1185732</v>
      </c>
      <c r="C2100" s="2">
        <v>44599</v>
      </c>
      <c r="D2100" s="1" t="s">
        <v>38</v>
      </c>
      <c r="E2100" s="1" t="s">
        <v>74</v>
      </c>
      <c r="F2100" s="1" t="s">
        <v>75</v>
      </c>
      <c r="G2100" s="1" t="s">
        <v>17</v>
      </c>
      <c r="H2100" s="1">
        <v>44</v>
      </c>
      <c r="I2100" s="1" t="s">
        <v>124</v>
      </c>
      <c r="J2100" s="3">
        <v>0.5</v>
      </c>
      <c r="K2100" s="4">
        <v>7000</v>
      </c>
      <c r="L2100" s="5">
        <f t="shared" si="16"/>
        <v>3500</v>
      </c>
      <c r="M2100" s="5">
        <f t="shared" si="17"/>
        <v>1225</v>
      </c>
      <c r="N2100" s="6">
        <v>0.35</v>
      </c>
    </row>
    <row r="2101" spans="1:14" ht="15.75" customHeight="1" x14ac:dyDescent="0.45">
      <c r="A2101" s="1" t="s">
        <v>119</v>
      </c>
      <c r="B2101" s="1">
        <v>1185732</v>
      </c>
      <c r="C2101" s="2">
        <v>44599</v>
      </c>
      <c r="D2101" s="1" t="s">
        <v>38</v>
      </c>
      <c r="E2101" s="1" t="s">
        <v>74</v>
      </c>
      <c r="F2101" s="1" t="s">
        <v>75</v>
      </c>
      <c r="G2101" s="1" t="s">
        <v>18</v>
      </c>
      <c r="H2101" s="1">
        <v>44</v>
      </c>
      <c r="I2101" s="1" t="s">
        <v>124</v>
      </c>
      <c r="J2101" s="3">
        <v>0.35</v>
      </c>
      <c r="K2101" s="4">
        <v>8000</v>
      </c>
      <c r="L2101" s="5">
        <f t="shared" si="16"/>
        <v>2800</v>
      </c>
      <c r="M2101" s="5">
        <f t="shared" si="17"/>
        <v>1400</v>
      </c>
      <c r="N2101" s="6">
        <v>0.5</v>
      </c>
    </row>
    <row r="2102" spans="1:14" ht="15.75" customHeight="1" x14ac:dyDescent="0.45">
      <c r="A2102" s="1" t="s">
        <v>119</v>
      </c>
      <c r="B2102" s="1">
        <v>1185732</v>
      </c>
      <c r="C2102" s="2">
        <v>44625</v>
      </c>
      <c r="D2102" s="1" t="s">
        <v>38</v>
      </c>
      <c r="E2102" s="1" t="s">
        <v>74</v>
      </c>
      <c r="F2102" s="1" t="s">
        <v>75</v>
      </c>
      <c r="G2102" s="1" t="s">
        <v>13</v>
      </c>
      <c r="H2102" s="1">
        <v>38</v>
      </c>
      <c r="I2102" s="1" t="s">
        <v>123</v>
      </c>
      <c r="J2102" s="3">
        <v>0.35</v>
      </c>
      <c r="K2102" s="4">
        <v>10200</v>
      </c>
      <c r="L2102" s="5">
        <f t="shared" si="16"/>
        <v>3570</v>
      </c>
      <c r="M2102" s="5">
        <f t="shared" si="17"/>
        <v>1606.5</v>
      </c>
      <c r="N2102" s="6">
        <v>0.45</v>
      </c>
    </row>
    <row r="2103" spans="1:14" ht="15.75" customHeight="1" x14ac:dyDescent="0.45">
      <c r="A2103" s="1" t="s">
        <v>119</v>
      </c>
      <c r="B2103" s="1">
        <v>1185732</v>
      </c>
      <c r="C2103" s="2">
        <v>44625</v>
      </c>
      <c r="D2103" s="1" t="s">
        <v>38</v>
      </c>
      <c r="E2103" s="1" t="s">
        <v>74</v>
      </c>
      <c r="F2103" s="1" t="s">
        <v>75</v>
      </c>
      <c r="G2103" s="1" t="s">
        <v>14</v>
      </c>
      <c r="H2103" s="1">
        <v>47</v>
      </c>
      <c r="I2103" s="1" t="s">
        <v>124</v>
      </c>
      <c r="J2103" s="3">
        <v>0.35</v>
      </c>
      <c r="K2103" s="4">
        <v>7000</v>
      </c>
      <c r="L2103" s="5">
        <f t="shared" si="16"/>
        <v>2450</v>
      </c>
      <c r="M2103" s="5">
        <f t="shared" si="17"/>
        <v>857.5</v>
      </c>
      <c r="N2103" s="6">
        <v>0.35</v>
      </c>
    </row>
    <row r="2104" spans="1:14" ht="15.75" customHeight="1" x14ac:dyDescent="0.45">
      <c r="A2104" s="1" t="s">
        <v>119</v>
      </c>
      <c r="B2104" s="1">
        <v>1185732</v>
      </c>
      <c r="C2104" s="2">
        <v>44625</v>
      </c>
      <c r="D2104" s="1" t="s">
        <v>38</v>
      </c>
      <c r="E2104" s="1" t="s">
        <v>74</v>
      </c>
      <c r="F2104" s="1" t="s">
        <v>75</v>
      </c>
      <c r="G2104" s="1" t="s">
        <v>15</v>
      </c>
      <c r="H2104" s="1">
        <v>37</v>
      </c>
      <c r="I2104" s="1" t="s">
        <v>125</v>
      </c>
      <c r="J2104" s="3">
        <v>0.25</v>
      </c>
      <c r="K2104" s="4">
        <v>7250</v>
      </c>
      <c r="L2104" s="5">
        <f t="shared" si="16"/>
        <v>1812.5</v>
      </c>
      <c r="M2104" s="5">
        <f t="shared" si="17"/>
        <v>453.125</v>
      </c>
      <c r="N2104" s="6">
        <v>0.25</v>
      </c>
    </row>
    <row r="2105" spans="1:14" ht="15.75" customHeight="1" x14ac:dyDescent="0.45">
      <c r="A2105" s="1" t="s">
        <v>119</v>
      </c>
      <c r="B2105" s="1">
        <v>1185732</v>
      </c>
      <c r="C2105" s="2">
        <v>44625</v>
      </c>
      <c r="D2105" s="1" t="s">
        <v>38</v>
      </c>
      <c r="E2105" s="1" t="s">
        <v>74</v>
      </c>
      <c r="F2105" s="1" t="s">
        <v>75</v>
      </c>
      <c r="G2105" s="1" t="s">
        <v>16</v>
      </c>
      <c r="H2105" s="1">
        <v>59</v>
      </c>
      <c r="I2105" s="1" t="s">
        <v>124</v>
      </c>
      <c r="J2105" s="3">
        <v>0.29999999999999993</v>
      </c>
      <c r="K2105" s="4">
        <v>5750</v>
      </c>
      <c r="L2105" s="5">
        <f t="shared" si="16"/>
        <v>1724.9999999999995</v>
      </c>
      <c r="M2105" s="5">
        <f t="shared" si="17"/>
        <v>517.49999999999989</v>
      </c>
      <c r="N2105" s="6">
        <v>0.3</v>
      </c>
    </row>
    <row r="2106" spans="1:14" ht="15.75" customHeight="1" x14ac:dyDescent="0.45">
      <c r="A2106" s="1" t="s">
        <v>119</v>
      </c>
      <c r="B2106" s="1">
        <v>1185732</v>
      </c>
      <c r="C2106" s="2">
        <v>44625</v>
      </c>
      <c r="D2106" s="1" t="s">
        <v>38</v>
      </c>
      <c r="E2106" s="1" t="s">
        <v>74</v>
      </c>
      <c r="F2106" s="1" t="s">
        <v>75</v>
      </c>
      <c r="G2106" s="1" t="s">
        <v>17</v>
      </c>
      <c r="H2106" s="1">
        <v>50</v>
      </c>
      <c r="I2106" s="1" t="s">
        <v>125</v>
      </c>
      <c r="J2106" s="3">
        <v>0.45000000000000007</v>
      </c>
      <c r="K2106" s="4">
        <v>6250</v>
      </c>
      <c r="L2106" s="5">
        <f t="shared" si="16"/>
        <v>2812.5000000000005</v>
      </c>
      <c r="M2106" s="5">
        <f t="shared" si="17"/>
        <v>984.37500000000011</v>
      </c>
      <c r="N2106" s="6">
        <v>0.35</v>
      </c>
    </row>
    <row r="2107" spans="1:14" ht="15.75" customHeight="1" x14ac:dyDescent="0.45">
      <c r="A2107" s="1" t="s">
        <v>119</v>
      </c>
      <c r="B2107" s="1">
        <v>1185732</v>
      </c>
      <c r="C2107" s="2">
        <v>44625</v>
      </c>
      <c r="D2107" s="1" t="s">
        <v>38</v>
      </c>
      <c r="E2107" s="1" t="s">
        <v>74</v>
      </c>
      <c r="F2107" s="1" t="s">
        <v>75</v>
      </c>
      <c r="G2107" s="1" t="s">
        <v>18</v>
      </c>
      <c r="H2107" s="1">
        <v>24</v>
      </c>
      <c r="I2107" s="1" t="s">
        <v>126</v>
      </c>
      <c r="J2107" s="3">
        <v>0.35</v>
      </c>
      <c r="K2107" s="4">
        <v>7250</v>
      </c>
      <c r="L2107" s="5">
        <f t="shared" si="16"/>
        <v>2537.5</v>
      </c>
      <c r="M2107" s="5">
        <f t="shared" si="17"/>
        <v>1268.75</v>
      </c>
      <c r="N2107" s="6">
        <v>0.5</v>
      </c>
    </row>
    <row r="2108" spans="1:14" ht="15.75" customHeight="1" x14ac:dyDescent="0.45">
      <c r="A2108" s="1" t="s">
        <v>119</v>
      </c>
      <c r="B2108" s="1">
        <v>1185732</v>
      </c>
      <c r="C2108" s="2">
        <v>44657</v>
      </c>
      <c r="D2108" s="1" t="s">
        <v>38</v>
      </c>
      <c r="E2108" s="1" t="s">
        <v>74</v>
      </c>
      <c r="F2108" s="1" t="s">
        <v>75</v>
      </c>
      <c r="G2108" s="1" t="s">
        <v>13</v>
      </c>
      <c r="H2108" s="1">
        <v>53</v>
      </c>
      <c r="I2108" s="1" t="s">
        <v>125</v>
      </c>
      <c r="J2108" s="3">
        <v>0.35</v>
      </c>
      <c r="K2108" s="4">
        <v>9750</v>
      </c>
      <c r="L2108" s="5">
        <f t="shared" si="16"/>
        <v>3412.5</v>
      </c>
      <c r="M2108" s="5">
        <f t="shared" si="17"/>
        <v>1535.625</v>
      </c>
      <c r="N2108" s="6">
        <v>0.45</v>
      </c>
    </row>
    <row r="2109" spans="1:14" ht="15.75" customHeight="1" x14ac:dyDescent="0.45">
      <c r="A2109" s="1" t="s">
        <v>119</v>
      </c>
      <c r="B2109" s="1">
        <v>1185732</v>
      </c>
      <c r="C2109" s="2">
        <v>44657</v>
      </c>
      <c r="D2109" s="1" t="s">
        <v>38</v>
      </c>
      <c r="E2109" s="1" t="s">
        <v>74</v>
      </c>
      <c r="F2109" s="1" t="s">
        <v>75</v>
      </c>
      <c r="G2109" s="1" t="s">
        <v>14</v>
      </c>
      <c r="H2109" s="1">
        <v>28</v>
      </c>
      <c r="I2109" s="1" t="s">
        <v>124</v>
      </c>
      <c r="J2109" s="3">
        <v>0.35</v>
      </c>
      <c r="K2109" s="4">
        <v>6750</v>
      </c>
      <c r="L2109" s="5">
        <f t="shared" si="16"/>
        <v>2362.5</v>
      </c>
      <c r="M2109" s="5">
        <f t="shared" si="17"/>
        <v>826.875</v>
      </c>
      <c r="N2109" s="6">
        <v>0.35</v>
      </c>
    </row>
    <row r="2110" spans="1:14" ht="15.75" customHeight="1" x14ac:dyDescent="0.45">
      <c r="A2110" s="1" t="s">
        <v>119</v>
      </c>
      <c r="B2110" s="1">
        <v>1185732</v>
      </c>
      <c r="C2110" s="2">
        <v>44657</v>
      </c>
      <c r="D2110" s="1" t="s">
        <v>38</v>
      </c>
      <c r="E2110" s="1" t="s">
        <v>74</v>
      </c>
      <c r="F2110" s="1" t="s">
        <v>75</v>
      </c>
      <c r="G2110" s="1" t="s">
        <v>15</v>
      </c>
      <c r="H2110" s="1">
        <v>55</v>
      </c>
      <c r="I2110" s="1" t="s">
        <v>126</v>
      </c>
      <c r="J2110" s="3">
        <v>0.25</v>
      </c>
      <c r="K2110" s="4">
        <v>6750</v>
      </c>
      <c r="L2110" s="5">
        <f t="shared" si="16"/>
        <v>1687.5</v>
      </c>
      <c r="M2110" s="5">
        <f t="shared" si="17"/>
        <v>421.875</v>
      </c>
      <c r="N2110" s="6">
        <v>0.25</v>
      </c>
    </row>
    <row r="2111" spans="1:14" ht="15.75" customHeight="1" x14ac:dyDescent="0.45">
      <c r="A2111" s="1" t="s">
        <v>119</v>
      </c>
      <c r="B2111" s="1">
        <v>1185732</v>
      </c>
      <c r="C2111" s="2">
        <v>44657</v>
      </c>
      <c r="D2111" s="1" t="s">
        <v>38</v>
      </c>
      <c r="E2111" s="1" t="s">
        <v>74</v>
      </c>
      <c r="F2111" s="1" t="s">
        <v>75</v>
      </c>
      <c r="G2111" s="1" t="s">
        <v>16</v>
      </c>
      <c r="H2111" s="1">
        <v>58</v>
      </c>
      <c r="I2111" s="1" t="s">
        <v>123</v>
      </c>
      <c r="J2111" s="3">
        <v>0.29999999999999993</v>
      </c>
      <c r="K2111" s="4">
        <v>6000</v>
      </c>
      <c r="L2111" s="5">
        <f t="shared" si="16"/>
        <v>1799.9999999999995</v>
      </c>
      <c r="M2111" s="5">
        <f t="shared" si="17"/>
        <v>539.99999999999989</v>
      </c>
      <c r="N2111" s="6">
        <v>0.3</v>
      </c>
    </row>
    <row r="2112" spans="1:14" ht="15.75" customHeight="1" x14ac:dyDescent="0.45">
      <c r="A2112" s="1" t="s">
        <v>119</v>
      </c>
      <c r="B2112" s="1">
        <v>1185732</v>
      </c>
      <c r="C2112" s="2">
        <v>44657</v>
      </c>
      <c r="D2112" s="1" t="s">
        <v>38</v>
      </c>
      <c r="E2112" s="1" t="s">
        <v>74</v>
      </c>
      <c r="F2112" s="1" t="s">
        <v>75</v>
      </c>
      <c r="G2112" s="1" t="s">
        <v>17</v>
      </c>
      <c r="H2112" s="1">
        <v>42</v>
      </c>
      <c r="I2112" s="1" t="s">
        <v>125</v>
      </c>
      <c r="J2112" s="3">
        <v>0.5</v>
      </c>
      <c r="K2112" s="4">
        <v>6250</v>
      </c>
      <c r="L2112" s="5">
        <f t="shared" si="16"/>
        <v>3125</v>
      </c>
      <c r="M2112" s="5">
        <f t="shared" si="17"/>
        <v>1093.75</v>
      </c>
      <c r="N2112" s="6">
        <v>0.35</v>
      </c>
    </row>
    <row r="2113" spans="1:14" ht="15.75" customHeight="1" x14ac:dyDescent="0.45">
      <c r="A2113" s="1" t="s">
        <v>119</v>
      </c>
      <c r="B2113" s="1">
        <v>1185732</v>
      </c>
      <c r="C2113" s="2">
        <v>44657</v>
      </c>
      <c r="D2113" s="1" t="s">
        <v>38</v>
      </c>
      <c r="E2113" s="1" t="s">
        <v>74</v>
      </c>
      <c r="F2113" s="1" t="s">
        <v>75</v>
      </c>
      <c r="G2113" s="1" t="s">
        <v>18</v>
      </c>
      <c r="H2113" s="1">
        <v>26</v>
      </c>
      <c r="I2113" s="1" t="s">
        <v>124</v>
      </c>
      <c r="J2113" s="3">
        <v>0.4</v>
      </c>
      <c r="K2113" s="4">
        <v>7750</v>
      </c>
      <c r="L2113" s="5">
        <f t="shared" si="16"/>
        <v>3100</v>
      </c>
      <c r="M2113" s="5">
        <f t="shared" si="17"/>
        <v>1550</v>
      </c>
      <c r="N2113" s="6">
        <v>0.5</v>
      </c>
    </row>
    <row r="2114" spans="1:14" ht="15.75" customHeight="1" x14ac:dyDescent="0.45">
      <c r="A2114" s="1" t="s">
        <v>119</v>
      </c>
      <c r="B2114" s="1">
        <v>1185732</v>
      </c>
      <c r="C2114" s="2">
        <v>44686</v>
      </c>
      <c r="D2114" s="1" t="s">
        <v>38</v>
      </c>
      <c r="E2114" s="1" t="s">
        <v>74</v>
      </c>
      <c r="F2114" s="1" t="s">
        <v>75</v>
      </c>
      <c r="G2114" s="1" t="s">
        <v>13</v>
      </c>
      <c r="H2114" s="1">
        <v>25</v>
      </c>
      <c r="I2114" s="1" t="s">
        <v>125</v>
      </c>
      <c r="J2114" s="3">
        <v>0.5</v>
      </c>
      <c r="K2114" s="4">
        <v>10450</v>
      </c>
      <c r="L2114" s="5">
        <f t="shared" si="16"/>
        <v>5225</v>
      </c>
      <c r="M2114" s="5">
        <f t="shared" si="17"/>
        <v>2351.25</v>
      </c>
      <c r="N2114" s="6">
        <v>0.45</v>
      </c>
    </row>
    <row r="2115" spans="1:14" ht="15.75" customHeight="1" x14ac:dyDescent="0.45">
      <c r="A2115" s="1" t="s">
        <v>119</v>
      </c>
      <c r="B2115" s="1">
        <v>1185732</v>
      </c>
      <c r="C2115" s="2">
        <v>44686</v>
      </c>
      <c r="D2115" s="1" t="s">
        <v>38</v>
      </c>
      <c r="E2115" s="1" t="s">
        <v>74</v>
      </c>
      <c r="F2115" s="1" t="s">
        <v>75</v>
      </c>
      <c r="G2115" s="1" t="s">
        <v>14</v>
      </c>
      <c r="H2115" s="1">
        <v>40</v>
      </c>
      <c r="I2115" s="1" t="s">
        <v>125</v>
      </c>
      <c r="J2115" s="3">
        <v>0.5</v>
      </c>
      <c r="K2115" s="4">
        <v>7500</v>
      </c>
      <c r="L2115" s="5">
        <f t="shared" si="16"/>
        <v>3750</v>
      </c>
      <c r="M2115" s="5">
        <f t="shared" si="17"/>
        <v>1312.5</v>
      </c>
      <c r="N2115" s="6">
        <v>0.35</v>
      </c>
    </row>
    <row r="2116" spans="1:14" ht="15.75" customHeight="1" x14ac:dyDescent="0.45">
      <c r="A2116" s="1" t="s">
        <v>119</v>
      </c>
      <c r="B2116" s="1">
        <v>1185732</v>
      </c>
      <c r="C2116" s="2">
        <v>44686</v>
      </c>
      <c r="D2116" s="1" t="s">
        <v>38</v>
      </c>
      <c r="E2116" s="1" t="s">
        <v>74</v>
      </c>
      <c r="F2116" s="1" t="s">
        <v>75</v>
      </c>
      <c r="G2116" s="1" t="s">
        <v>15</v>
      </c>
      <c r="H2116" s="1">
        <v>56</v>
      </c>
      <c r="I2116" s="1" t="s">
        <v>126</v>
      </c>
      <c r="J2116" s="3">
        <v>0.45</v>
      </c>
      <c r="K2116" s="4">
        <v>7250</v>
      </c>
      <c r="L2116" s="5">
        <f t="shared" si="16"/>
        <v>3262.5</v>
      </c>
      <c r="M2116" s="5">
        <f t="shared" si="17"/>
        <v>815.625</v>
      </c>
      <c r="N2116" s="6">
        <v>0.25</v>
      </c>
    </row>
    <row r="2117" spans="1:14" ht="15.75" customHeight="1" x14ac:dyDescent="0.45">
      <c r="A2117" s="1" t="s">
        <v>119</v>
      </c>
      <c r="B2117" s="1">
        <v>1185732</v>
      </c>
      <c r="C2117" s="2">
        <v>44686</v>
      </c>
      <c r="D2117" s="1" t="s">
        <v>38</v>
      </c>
      <c r="E2117" s="1" t="s">
        <v>74</v>
      </c>
      <c r="F2117" s="1" t="s">
        <v>75</v>
      </c>
      <c r="G2117" s="1" t="s">
        <v>16</v>
      </c>
      <c r="H2117" s="1">
        <v>57</v>
      </c>
      <c r="I2117" s="1" t="s">
        <v>126</v>
      </c>
      <c r="J2117" s="3">
        <v>0.45</v>
      </c>
      <c r="K2117" s="4">
        <v>6750</v>
      </c>
      <c r="L2117" s="5">
        <f t="shared" si="16"/>
        <v>3037.5</v>
      </c>
      <c r="M2117" s="5">
        <f t="shared" si="17"/>
        <v>911.25</v>
      </c>
      <c r="N2117" s="6">
        <v>0.3</v>
      </c>
    </row>
    <row r="2118" spans="1:14" ht="15.75" customHeight="1" x14ac:dyDescent="0.45">
      <c r="A2118" s="1" t="s">
        <v>119</v>
      </c>
      <c r="B2118" s="1">
        <v>1185732</v>
      </c>
      <c r="C2118" s="2">
        <v>44686</v>
      </c>
      <c r="D2118" s="1" t="s">
        <v>38</v>
      </c>
      <c r="E2118" s="1" t="s">
        <v>74</v>
      </c>
      <c r="F2118" s="1" t="s">
        <v>75</v>
      </c>
      <c r="G2118" s="1" t="s">
        <v>17</v>
      </c>
      <c r="H2118" s="1">
        <v>52</v>
      </c>
      <c r="I2118" s="1" t="s">
        <v>123</v>
      </c>
      <c r="J2118" s="3">
        <v>0.54999999999999993</v>
      </c>
      <c r="K2118" s="4">
        <v>7000</v>
      </c>
      <c r="L2118" s="5">
        <f t="shared" si="16"/>
        <v>3849.9999999999995</v>
      </c>
      <c r="M2118" s="5">
        <f t="shared" si="17"/>
        <v>1347.4999999999998</v>
      </c>
      <c r="N2118" s="6">
        <v>0.35</v>
      </c>
    </row>
    <row r="2119" spans="1:14" ht="15.75" customHeight="1" x14ac:dyDescent="0.45">
      <c r="A2119" s="1" t="s">
        <v>119</v>
      </c>
      <c r="B2119" s="1">
        <v>1185732</v>
      </c>
      <c r="C2119" s="2">
        <v>44686</v>
      </c>
      <c r="D2119" s="1" t="s">
        <v>38</v>
      </c>
      <c r="E2119" s="1" t="s">
        <v>74</v>
      </c>
      <c r="F2119" s="1" t="s">
        <v>75</v>
      </c>
      <c r="G2119" s="1" t="s">
        <v>18</v>
      </c>
      <c r="H2119" s="1">
        <v>33</v>
      </c>
      <c r="I2119" s="1" t="s">
        <v>126</v>
      </c>
      <c r="J2119" s="3">
        <v>0.6</v>
      </c>
      <c r="K2119" s="4">
        <v>8000</v>
      </c>
      <c r="L2119" s="5">
        <f t="shared" si="16"/>
        <v>4800</v>
      </c>
      <c r="M2119" s="5">
        <f t="shared" si="17"/>
        <v>2400</v>
      </c>
      <c r="N2119" s="6">
        <v>0.5</v>
      </c>
    </row>
    <row r="2120" spans="1:14" ht="15.75" customHeight="1" x14ac:dyDescent="0.45">
      <c r="A2120" s="1" t="s">
        <v>119</v>
      </c>
      <c r="B2120" s="1">
        <v>1185732</v>
      </c>
      <c r="C2120" s="2">
        <v>44719</v>
      </c>
      <c r="D2120" s="1" t="s">
        <v>38</v>
      </c>
      <c r="E2120" s="1" t="s">
        <v>74</v>
      </c>
      <c r="F2120" s="1" t="s">
        <v>75</v>
      </c>
      <c r="G2120" s="1" t="s">
        <v>13</v>
      </c>
      <c r="H2120" s="1">
        <v>17</v>
      </c>
      <c r="I2120" s="1" t="s">
        <v>125</v>
      </c>
      <c r="J2120" s="3">
        <v>0.54999999999999993</v>
      </c>
      <c r="K2120" s="4">
        <v>10500</v>
      </c>
      <c r="L2120" s="5">
        <f t="shared" si="16"/>
        <v>5774.9999999999991</v>
      </c>
      <c r="M2120" s="5">
        <f t="shared" si="17"/>
        <v>2598.7499999999995</v>
      </c>
      <c r="N2120" s="6">
        <v>0.45</v>
      </c>
    </row>
    <row r="2121" spans="1:14" ht="15.75" customHeight="1" x14ac:dyDescent="0.45">
      <c r="A2121" s="1" t="s">
        <v>119</v>
      </c>
      <c r="B2121" s="1">
        <v>1185732</v>
      </c>
      <c r="C2121" s="2">
        <v>44719</v>
      </c>
      <c r="D2121" s="1" t="s">
        <v>38</v>
      </c>
      <c r="E2121" s="1" t="s">
        <v>74</v>
      </c>
      <c r="F2121" s="1" t="s">
        <v>75</v>
      </c>
      <c r="G2121" s="1" t="s">
        <v>14</v>
      </c>
      <c r="H2121" s="1">
        <v>46</v>
      </c>
      <c r="I2121" s="1" t="s">
        <v>124</v>
      </c>
      <c r="J2121" s="3">
        <v>0.5</v>
      </c>
      <c r="K2121" s="4">
        <v>8000</v>
      </c>
      <c r="L2121" s="5">
        <f t="shared" si="16"/>
        <v>4000</v>
      </c>
      <c r="M2121" s="5">
        <f t="shared" si="17"/>
        <v>1400</v>
      </c>
      <c r="N2121" s="6">
        <v>0.35</v>
      </c>
    </row>
    <row r="2122" spans="1:14" ht="15.75" customHeight="1" x14ac:dyDescent="0.45">
      <c r="A2122" s="1" t="s">
        <v>119</v>
      </c>
      <c r="B2122" s="1">
        <v>1185732</v>
      </c>
      <c r="C2122" s="2">
        <v>44719</v>
      </c>
      <c r="D2122" s="1" t="s">
        <v>38</v>
      </c>
      <c r="E2122" s="1" t="s">
        <v>74</v>
      </c>
      <c r="F2122" s="1" t="s">
        <v>75</v>
      </c>
      <c r="G2122" s="1" t="s">
        <v>15</v>
      </c>
      <c r="H2122" s="1">
        <v>24</v>
      </c>
      <c r="I2122" s="1" t="s">
        <v>126</v>
      </c>
      <c r="J2122" s="3">
        <v>0.5</v>
      </c>
      <c r="K2122" s="4">
        <v>7750</v>
      </c>
      <c r="L2122" s="5">
        <f t="shared" si="16"/>
        <v>3875</v>
      </c>
      <c r="M2122" s="5">
        <f t="shared" si="17"/>
        <v>968.75</v>
      </c>
      <c r="N2122" s="6">
        <v>0.25</v>
      </c>
    </row>
    <row r="2123" spans="1:14" ht="15.75" customHeight="1" x14ac:dyDescent="0.45">
      <c r="A2123" s="1" t="s">
        <v>119</v>
      </c>
      <c r="B2123" s="1">
        <v>1185732</v>
      </c>
      <c r="C2123" s="2">
        <v>44719</v>
      </c>
      <c r="D2123" s="1" t="s">
        <v>38</v>
      </c>
      <c r="E2123" s="1" t="s">
        <v>74</v>
      </c>
      <c r="F2123" s="1" t="s">
        <v>75</v>
      </c>
      <c r="G2123" s="1" t="s">
        <v>16</v>
      </c>
      <c r="H2123" s="1">
        <v>33</v>
      </c>
      <c r="I2123" s="1" t="s">
        <v>123</v>
      </c>
      <c r="J2123" s="3">
        <v>0.5</v>
      </c>
      <c r="K2123" s="4">
        <v>7500</v>
      </c>
      <c r="L2123" s="5">
        <f t="shared" si="16"/>
        <v>3750</v>
      </c>
      <c r="M2123" s="5">
        <f t="shared" si="17"/>
        <v>1125</v>
      </c>
      <c r="N2123" s="6">
        <v>0.3</v>
      </c>
    </row>
    <row r="2124" spans="1:14" ht="15.75" customHeight="1" x14ac:dyDescent="0.45">
      <c r="A2124" s="1" t="s">
        <v>119</v>
      </c>
      <c r="B2124" s="1">
        <v>1185732</v>
      </c>
      <c r="C2124" s="2">
        <v>44719</v>
      </c>
      <c r="D2124" s="1" t="s">
        <v>38</v>
      </c>
      <c r="E2124" s="1" t="s">
        <v>74</v>
      </c>
      <c r="F2124" s="1" t="s">
        <v>75</v>
      </c>
      <c r="G2124" s="1" t="s">
        <v>17</v>
      </c>
      <c r="H2124" s="1">
        <v>38</v>
      </c>
      <c r="I2124" s="1" t="s">
        <v>124</v>
      </c>
      <c r="J2124" s="3">
        <v>0.65</v>
      </c>
      <c r="K2124" s="4">
        <v>7500</v>
      </c>
      <c r="L2124" s="5">
        <f t="shared" si="16"/>
        <v>4875</v>
      </c>
      <c r="M2124" s="5">
        <f t="shared" si="17"/>
        <v>1706.25</v>
      </c>
      <c r="N2124" s="6">
        <v>0.35</v>
      </c>
    </row>
    <row r="2125" spans="1:14" ht="15.75" customHeight="1" x14ac:dyDescent="0.45">
      <c r="A2125" s="1" t="s">
        <v>119</v>
      </c>
      <c r="B2125" s="1">
        <v>1185732</v>
      </c>
      <c r="C2125" s="2">
        <v>44719</v>
      </c>
      <c r="D2125" s="1" t="s">
        <v>38</v>
      </c>
      <c r="E2125" s="1" t="s">
        <v>74</v>
      </c>
      <c r="F2125" s="1" t="s">
        <v>75</v>
      </c>
      <c r="G2125" s="1" t="s">
        <v>18</v>
      </c>
      <c r="H2125" s="1">
        <v>44</v>
      </c>
      <c r="I2125" s="1" t="s">
        <v>124</v>
      </c>
      <c r="J2125" s="3">
        <v>0.70000000000000007</v>
      </c>
      <c r="K2125" s="4">
        <v>9250</v>
      </c>
      <c r="L2125" s="5">
        <f t="shared" si="16"/>
        <v>6475.0000000000009</v>
      </c>
      <c r="M2125" s="5">
        <f t="shared" si="17"/>
        <v>3237.5000000000005</v>
      </c>
      <c r="N2125" s="6">
        <v>0.5</v>
      </c>
    </row>
    <row r="2126" spans="1:14" ht="15.75" customHeight="1" x14ac:dyDescent="0.45">
      <c r="A2126" s="1" t="s">
        <v>119</v>
      </c>
      <c r="B2126" s="1">
        <v>1185732</v>
      </c>
      <c r="C2126" s="2">
        <v>44747</v>
      </c>
      <c r="D2126" s="1" t="s">
        <v>38</v>
      </c>
      <c r="E2126" s="1" t="s">
        <v>74</v>
      </c>
      <c r="F2126" s="1" t="s">
        <v>75</v>
      </c>
      <c r="G2126" s="1" t="s">
        <v>13</v>
      </c>
      <c r="H2126" s="1">
        <v>59</v>
      </c>
      <c r="I2126" s="1" t="s">
        <v>123</v>
      </c>
      <c r="J2126" s="3">
        <v>0.65</v>
      </c>
      <c r="K2126" s="4">
        <v>11500</v>
      </c>
      <c r="L2126" s="5">
        <f t="shared" si="16"/>
        <v>7475</v>
      </c>
      <c r="M2126" s="5">
        <f t="shared" si="17"/>
        <v>3363.75</v>
      </c>
      <c r="N2126" s="6">
        <v>0.45</v>
      </c>
    </row>
    <row r="2127" spans="1:14" ht="15.75" customHeight="1" x14ac:dyDescent="0.45">
      <c r="A2127" s="1" t="s">
        <v>119</v>
      </c>
      <c r="B2127" s="1">
        <v>1185732</v>
      </c>
      <c r="C2127" s="2">
        <v>44747</v>
      </c>
      <c r="D2127" s="1" t="s">
        <v>38</v>
      </c>
      <c r="E2127" s="1" t="s">
        <v>74</v>
      </c>
      <c r="F2127" s="1" t="s">
        <v>75</v>
      </c>
      <c r="G2127" s="1" t="s">
        <v>14</v>
      </c>
      <c r="H2127" s="1">
        <v>54</v>
      </c>
      <c r="I2127" s="1" t="s">
        <v>125</v>
      </c>
      <c r="J2127" s="3">
        <v>0.60000000000000009</v>
      </c>
      <c r="K2127" s="4">
        <v>9000</v>
      </c>
      <c r="L2127" s="5">
        <f t="shared" si="16"/>
        <v>5400.0000000000009</v>
      </c>
      <c r="M2127" s="5">
        <f t="shared" si="17"/>
        <v>1890.0000000000002</v>
      </c>
      <c r="N2127" s="6">
        <v>0.35</v>
      </c>
    </row>
    <row r="2128" spans="1:14" ht="15.75" customHeight="1" x14ac:dyDescent="0.45">
      <c r="A2128" s="1" t="s">
        <v>119</v>
      </c>
      <c r="B2128" s="1">
        <v>1185732</v>
      </c>
      <c r="C2128" s="2">
        <v>44747</v>
      </c>
      <c r="D2128" s="1" t="s">
        <v>38</v>
      </c>
      <c r="E2128" s="1" t="s">
        <v>74</v>
      </c>
      <c r="F2128" s="1" t="s">
        <v>75</v>
      </c>
      <c r="G2128" s="1" t="s">
        <v>15</v>
      </c>
      <c r="H2128" s="1">
        <v>51</v>
      </c>
      <c r="I2128" s="1" t="s">
        <v>126</v>
      </c>
      <c r="J2128" s="3">
        <v>0.55000000000000004</v>
      </c>
      <c r="K2128" s="4">
        <v>8250</v>
      </c>
      <c r="L2128" s="5">
        <f t="shared" si="16"/>
        <v>4537.5</v>
      </c>
      <c r="M2128" s="5">
        <f t="shared" si="17"/>
        <v>1134.375</v>
      </c>
      <c r="N2128" s="6">
        <v>0.25</v>
      </c>
    </row>
    <row r="2129" spans="1:14" ht="15.75" customHeight="1" x14ac:dyDescent="0.45">
      <c r="A2129" s="1" t="s">
        <v>119</v>
      </c>
      <c r="B2129" s="1">
        <v>1185732</v>
      </c>
      <c r="C2129" s="2">
        <v>44747</v>
      </c>
      <c r="D2129" s="1" t="s">
        <v>38</v>
      </c>
      <c r="E2129" s="1" t="s">
        <v>74</v>
      </c>
      <c r="F2129" s="1" t="s">
        <v>75</v>
      </c>
      <c r="G2129" s="1" t="s">
        <v>16</v>
      </c>
      <c r="H2129" s="1">
        <v>44</v>
      </c>
      <c r="I2129" s="1" t="s">
        <v>126</v>
      </c>
      <c r="J2129" s="3">
        <v>0.55000000000000004</v>
      </c>
      <c r="K2129" s="4">
        <v>7750</v>
      </c>
      <c r="L2129" s="5">
        <f t="shared" si="16"/>
        <v>4262.5</v>
      </c>
      <c r="M2129" s="5">
        <f t="shared" si="17"/>
        <v>1278.75</v>
      </c>
      <c r="N2129" s="6">
        <v>0.3</v>
      </c>
    </row>
    <row r="2130" spans="1:14" ht="15.75" customHeight="1" x14ac:dyDescent="0.45">
      <c r="A2130" s="1" t="s">
        <v>119</v>
      </c>
      <c r="B2130" s="1">
        <v>1185732</v>
      </c>
      <c r="C2130" s="2">
        <v>44747</v>
      </c>
      <c r="D2130" s="1" t="s">
        <v>38</v>
      </c>
      <c r="E2130" s="1" t="s">
        <v>74</v>
      </c>
      <c r="F2130" s="1" t="s">
        <v>75</v>
      </c>
      <c r="G2130" s="1" t="s">
        <v>17</v>
      </c>
      <c r="H2130" s="1">
        <v>26</v>
      </c>
      <c r="I2130" s="1" t="s">
        <v>123</v>
      </c>
      <c r="J2130" s="3">
        <v>0.65</v>
      </c>
      <c r="K2130" s="4">
        <v>8000</v>
      </c>
      <c r="L2130" s="5">
        <f t="shared" si="16"/>
        <v>5200</v>
      </c>
      <c r="M2130" s="5">
        <f t="shared" si="17"/>
        <v>1819.9999999999998</v>
      </c>
      <c r="N2130" s="6">
        <v>0.35</v>
      </c>
    </row>
    <row r="2131" spans="1:14" ht="15.75" customHeight="1" x14ac:dyDescent="0.45">
      <c r="A2131" s="1" t="s">
        <v>119</v>
      </c>
      <c r="B2131" s="1">
        <v>1185732</v>
      </c>
      <c r="C2131" s="2">
        <v>44747</v>
      </c>
      <c r="D2131" s="1" t="s">
        <v>38</v>
      </c>
      <c r="E2131" s="1" t="s">
        <v>74</v>
      </c>
      <c r="F2131" s="1" t="s">
        <v>75</v>
      </c>
      <c r="G2131" s="1" t="s">
        <v>18</v>
      </c>
      <c r="H2131" s="1">
        <v>56</v>
      </c>
      <c r="I2131" s="1" t="s">
        <v>126</v>
      </c>
      <c r="J2131" s="3">
        <v>0.70000000000000007</v>
      </c>
      <c r="K2131" s="4">
        <v>9750</v>
      </c>
      <c r="L2131" s="5">
        <f t="shared" si="16"/>
        <v>6825.0000000000009</v>
      </c>
      <c r="M2131" s="5">
        <f t="shared" si="17"/>
        <v>3412.5000000000005</v>
      </c>
      <c r="N2131" s="6">
        <v>0.5</v>
      </c>
    </row>
    <row r="2132" spans="1:14" ht="15.75" customHeight="1" x14ac:dyDescent="0.45">
      <c r="A2132" s="1" t="s">
        <v>119</v>
      </c>
      <c r="B2132" s="1">
        <v>1185732</v>
      </c>
      <c r="C2132" s="2">
        <v>44779</v>
      </c>
      <c r="D2132" s="1" t="s">
        <v>38</v>
      </c>
      <c r="E2132" s="1" t="s">
        <v>74</v>
      </c>
      <c r="F2132" s="1" t="s">
        <v>75</v>
      </c>
      <c r="G2132" s="1" t="s">
        <v>13</v>
      </c>
      <c r="H2132" s="1">
        <v>38</v>
      </c>
      <c r="I2132" s="1" t="s">
        <v>123</v>
      </c>
      <c r="J2132" s="3">
        <v>0.65</v>
      </c>
      <c r="K2132" s="4">
        <v>11250</v>
      </c>
      <c r="L2132" s="5">
        <f t="shared" si="16"/>
        <v>7312.5</v>
      </c>
      <c r="M2132" s="5">
        <f t="shared" si="17"/>
        <v>3290.625</v>
      </c>
      <c r="N2132" s="6">
        <v>0.45</v>
      </c>
    </row>
    <row r="2133" spans="1:14" ht="15.75" customHeight="1" x14ac:dyDescent="0.45">
      <c r="A2133" s="1" t="s">
        <v>119</v>
      </c>
      <c r="B2133" s="1">
        <v>1185732</v>
      </c>
      <c r="C2133" s="2">
        <v>44779</v>
      </c>
      <c r="D2133" s="1" t="s">
        <v>38</v>
      </c>
      <c r="E2133" s="1" t="s">
        <v>74</v>
      </c>
      <c r="F2133" s="1" t="s">
        <v>75</v>
      </c>
      <c r="G2133" s="1" t="s">
        <v>14</v>
      </c>
      <c r="H2133" s="1">
        <v>60</v>
      </c>
      <c r="I2133" s="1" t="s">
        <v>125</v>
      </c>
      <c r="J2133" s="3">
        <v>0.60000000000000009</v>
      </c>
      <c r="K2133" s="4">
        <v>9000</v>
      </c>
      <c r="L2133" s="5">
        <f t="shared" si="16"/>
        <v>5400.0000000000009</v>
      </c>
      <c r="M2133" s="5">
        <f t="shared" si="17"/>
        <v>1890.0000000000002</v>
      </c>
      <c r="N2133" s="6">
        <v>0.35</v>
      </c>
    </row>
    <row r="2134" spans="1:14" ht="15.75" customHeight="1" x14ac:dyDescent="0.45">
      <c r="A2134" s="1" t="s">
        <v>119</v>
      </c>
      <c r="B2134" s="1">
        <v>1185732</v>
      </c>
      <c r="C2134" s="2">
        <v>44779</v>
      </c>
      <c r="D2134" s="1" t="s">
        <v>38</v>
      </c>
      <c r="E2134" s="1" t="s">
        <v>74</v>
      </c>
      <c r="F2134" s="1" t="s">
        <v>75</v>
      </c>
      <c r="G2134" s="1" t="s">
        <v>15</v>
      </c>
      <c r="H2134" s="1">
        <v>50</v>
      </c>
      <c r="I2134" s="1" t="s">
        <v>124</v>
      </c>
      <c r="J2134" s="3">
        <v>0.55000000000000004</v>
      </c>
      <c r="K2134" s="4">
        <v>8250</v>
      </c>
      <c r="L2134" s="5">
        <f t="shared" si="16"/>
        <v>4537.5</v>
      </c>
      <c r="M2134" s="5">
        <f t="shared" si="17"/>
        <v>1134.375</v>
      </c>
      <c r="N2134" s="6">
        <v>0.25</v>
      </c>
    </row>
    <row r="2135" spans="1:14" ht="15.75" customHeight="1" x14ac:dyDescent="0.45">
      <c r="A2135" s="1" t="s">
        <v>119</v>
      </c>
      <c r="B2135" s="1">
        <v>1185732</v>
      </c>
      <c r="C2135" s="2">
        <v>44779</v>
      </c>
      <c r="D2135" s="1" t="s">
        <v>38</v>
      </c>
      <c r="E2135" s="1" t="s">
        <v>74</v>
      </c>
      <c r="F2135" s="1" t="s">
        <v>75</v>
      </c>
      <c r="G2135" s="1" t="s">
        <v>16</v>
      </c>
      <c r="H2135" s="1">
        <v>16</v>
      </c>
      <c r="I2135" s="1" t="s">
        <v>124</v>
      </c>
      <c r="J2135" s="3">
        <v>0.45</v>
      </c>
      <c r="K2135" s="4">
        <v>7750</v>
      </c>
      <c r="L2135" s="5">
        <f t="shared" si="16"/>
        <v>3487.5</v>
      </c>
      <c r="M2135" s="5">
        <f t="shared" si="17"/>
        <v>1046.25</v>
      </c>
      <c r="N2135" s="6">
        <v>0.3</v>
      </c>
    </row>
    <row r="2136" spans="1:14" ht="15.75" customHeight="1" x14ac:dyDescent="0.45">
      <c r="A2136" s="1" t="s">
        <v>119</v>
      </c>
      <c r="B2136" s="1">
        <v>1185732</v>
      </c>
      <c r="C2136" s="2">
        <v>44779</v>
      </c>
      <c r="D2136" s="1" t="s">
        <v>38</v>
      </c>
      <c r="E2136" s="1" t="s">
        <v>74</v>
      </c>
      <c r="F2136" s="1" t="s">
        <v>75</v>
      </c>
      <c r="G2136" s="1" t="s">
        <v>17</v>
      </c>
      <c r="H2136" s="1">
        <v>51</v>
      </c>
      <c r="I2136" s="1" t="s">
        <v>124</v>
      </c>
      <c r="J2136" s="3">
        <v>0.55000000000000004</v>
      </c>
      <c r="K2136" s="4">
        <v>7500</v>
      </c>
      <c r="L2136" s="5">
        <f t="shared" si="16"/>
        <v>4125</v>
      </c>
      <c r="M2136" s="5">
        <f t="shared" si="17"/>
        <v>1443.75</v>
      </c>
      <c r="N2136" s="6">
        <v>0.35</v>
      </c>
    </row>
    <row r="2137" spans="1:14" ht="15.75" customHeight="1" x14ac:dyDescent="0.45">
      <c r="A2137" s="1" t="s">
        <v>119</v>
      </c>
      <c r="B2137" s="1">
        <v>1185732</v>
      </c>
      <c r="C2137" s="2">
        <v>44779</v>
      </c>
      <c r="D2137" s="1" t="s">
        <v>38</v>
      </c>
      <c r="E2137" s="1" t="s">
        <v>74</v>
      </c>
      <c r="F2137" s="1" t="s">
        <v>75</v>
      </c>
      <c r="G2137" s="1" t="s">
        <v>18</v>
      </c>
      <c r="H2137" s="1">
        <v>46</v>
      </c>
      <c r="I2137" s="1" t="s">
        <v>124</v>
      </c>
      <c r="J2137" s="3">
        <v>0.60000000000000009</v>
      </c>
      <c r="K2137" s="4">
        <v>9250</v>
      </c>
      <c r="L2137" s="5">
        <f t="shared" si="16"/>
        <v>5550.0000000000009</v>
      </c>
      <c r="M2137" s="5">
        <f t="shared" si="17"/>
        <v>2775.0000000000005</v>
      </c>
      <c r="N2137" s="6">
        <v>0.5</v>
      </c>
    </row>
    <row r="2138" spans="1:14" ht="15.75" customHeight="1" x14ac:dyDescent="0.45">
      <c r="A2138" s="1" t="s">
        <v>119</v>
      </c>
      <c r="B2138" s="1">
        <v>1185732</v>
      </c>
      <c r="C2138" s="2">
        <v>44809</v>
      </c>
      <c r="D2138" s="1" t="s">
        <v>38</v>
      </c>
      <c r="E2138" s="1" t="s">
        <v>74</v>
      </c>
      <c r="F2138" s="1" t="s">
        <v>75</v>
      </c>
      <c r="G2138" s="1" t="s">
        <v>13</v>
      </c>
      <c r="H2138" s="1">
        <v>37</v>
      </c>
      <c r="I2138" s="1" t="s">
        <v>124</v>
      </c>
      <c r="J2138" s="3">
        <v>0.55000000000000004</v>
      </c>
      <c r="K2138" s="4">
        <v>10250</v>
      </c>
      <c r="L2138" s="5">
        <f t="shared" si="16"/>
        <v>5637.5000000000009</v>
      </c>
      <c r="M2138" s="5">
        <f t="shared" si="17"/>
        <v>2536.8750000000005</v>
      </c>
      <c r="N2138" s="6">
        <v>0.45</v>
      </c>
    </row>
    <row r="2139" spans="1:14" ht="15.75" customHeight="1" x14ac:dyDescent="0.45">
      <c r="A2139" s="1" t="s">
        <v>119</v>
      </c>
      <c r="B2139" s="1">
        <v>1185732</v>
      </c>
      <c r="C2139" s="2">
        <v>44809</v>
      </c>
      <c r="D2139" s="1" t="s">
        <v>38</v>
      </c>
      <c r="E2139" s="1" t="s">
        <v>74</v>
      </c>
      <c r="F2139" s="1" t="s">
        <v>75</v>
      </c>
      <c r="G2139" s="1" t="s">
        <v>14</v>
      </c>
      <c r="H2139" s="1">
        <v>15</v>
      </c>
      <c r="I2139" s="1" t="s">
        <v>124</v>
      </c>
      <c r="J2139" s="3">
        <v>0.50000000000000011</v>
      </c>
      <c r="K2139" s="4">
        <v>8250</v>
      </c>
      <c r="L2139" s="5">
        <f t="shared" si="16"/>
        <v>4125.0000000000009</v>
      </c>
      <c r="M2139" s="5">
        <f t="shared" si="17"/>
        <v>1443.7500000000002</v>
      </c>
      <c r="N2139" s="6">
        <v>0.35</v>
      </c>
    </row>
    <row r="2140" spans="1:14" ht="15.75" customHeight="1" x14ac:dyDescent="0.45">
      <c r="A2140" s="1" t="s">
        <v>119</v>
      </c>
      <c r="B2140" s="1">
        <v>1185732</v>
      </c>
      <c r="C2140" s="2">
        <v>44809</v>
      </c>
      <c r="D2140" s="1" t="s">
        <v>38</v>
      </c>
      <c r="E2140" s="1" t="s">
        <v>74</v>
      </c>
      <c r="F2140" s="1" t="s">
        <v>75</v>
      </c>
      <c r="G2140" s="1" t="s">
        <v>15</v>
      </c>
      <c r="H2140" s="1">
        <v>15</v>
      </c>
      <c r="I2140" s="1" t="s">
        <v>123</v>
      </c>
      <c r="J2140" s="3">
        <v>0.4</v>
      </c>
      <c r="K2140" s="4">
        <v>7250</v>
      </c>
      <c r="L2140" s="5">
        <f t="shared" si="16"/>
        <v>2900</v>
      </c>
      <c r="M2140" s="5">
        <f t="shared" si="17"/>
        <v>725</v>
      </c>
      <c r="N2140" s="6">
        <v>0.25</v>
      </c>
    </row>
    <row r="2141" spans="1:14" ht="15.75" customHeight="1" x14ac:dyDescent="0.45">
      <c r="A2141" s="1" t="s">
        <v>119</v>
      </c>
      <c r="B2141" s="1">
        <v>1185732</v>
      </c>
      <c r="C2141" s="2">
        <v>44809</v>
      </c>
      <c r="D2141" s="1" t="s">
        <v>38</v>
      </c>
      <c r="E2141" s="1" t="s">
        <v>74</v>
      </c>
      <c r="F2141" s="1" t="s">
        <v>75</v>
      </c>
      <c r="G2141" s="1" t="s">
        <v>16</v>
      </c>
      <c r="H2141" s="1">
        <v>23</v>
      </c>
      <c r="I2141" s="1" t="s">
        <v>123</v>
      </c>
      <c r="J2141" s="3">
        <v>0.4</v>
      </c>
      <c r="K2141" s="4">
        <v>7000</v>
      </c>
      <c r="L2141" s="5">
        <f t="shared" si="16"/>
        <v>2800</v>
      </c>
      <c r="M2141" s="5">
        <f t="shared" si="17"/>
        <v>840</v>
      </c>
      <c r="N2141" s="6">
        <v>0.3</v>
      </c>
    </row>
    <row r="2142" spans="1:14" ht="15.75" customHeight="1" x14ac:dyDescent="0.45">
      <c r="A2142" s="1" t="s">
        <v>119</v>
      </c>
      <c r="B2142" s="1">
        <v>1185732</v>
      </c>
      <c r="C2142" s="2">
        <v>44809</v>
      </c>
      <c r="D2142" s="1" t="s">
        <v>38</v>
      </c>
      <c r="E2142" s="1" t="s">
        <v>74</v>
      </c>
      <c r="F2142" s="1" t="s">
        <v>75</v>
      </c>
      <c r="G2142" s="1" t="s">
        <v>17</v>
      </c>
      <c r="H2142" s="1">
        <v>45</v>
      </c>
      <c r="I2142" s="1" t="s">
        <v>124</v>
      </c>
      <c r="J2142" s="3">
        <v>0.5</v>
      </c>
      <c r="K2142" s="4">
        <v>7000</v>
      </c>
      <c r="L2142" s="5">
        <f t="shared" si="16"/>
        <v>3500</v>
      </c>
      <c r="M2142" s="5">
        <f t="shared" si="17"/>
        <v>1225</v>
      </c>
      <c r="N2142" s="6">
        <v>0.35</v>
      </c>
    </row>
    <row r="2143" spans="1:14" ht="15.75" customHeight="1" x14ac:dyDescent="0.45">
      <c r="A2143" s="1" t="s">
        <v>119</v>
      </c>
      <c r="B2143" s="1">
        <v>1185732</v>
      </c>
      <c r="C2143" s="2">
        <v>44809</v>
      </c>
      <c r="D2143" s="1" t="s">
        <v>38</v>
      </c>
      <c r="E2143" s="1" t="s">
        <v>74</v>
      </c>
      <c r="F2143" s="1" t="s">
        <v>75</v>
      </c>
      <c r="G2143" s="1" t="s">
        <v>18</v>
      </c>
      <c r="H2143" s="1">
        <v>52</v>
      </c>
      <c r="I2143" s="1" t="s">
        <v>123</v>
      </c>
      <c r="J2143" s="3">
        <v>0.55000000000000004</v>
      </c>
      <c r="K2143" s="4">
        <v>8000</v>
      </c>
      <c r="L2143" s="5">
        <f t="shared" si="16"/>
        <v>4400</v>
      </c>
      <c r="M2143" s="5">
        <f t="shared" si="17"/>
        <v>2200</v>
      </c>
      <c r="N2143" s="6">
        <v>0.5</v>
      </c>
    </row>
    <row r="2144" spans="1:14" ht="15.75" customHeight="1" x14ac:dyDescent="0.45">
      <c r="A2144" s="1" t="s">
        <v>119</v>
      </c>
      <c r="B2144" s="1">
        <v>1185732</v>
      </c>
      <c r="C2144" s="2">
        <v>44841</v>
      </c>
      <c r="D2144" s="1" t="s">
        <v>38</v>
      </c>
      <c r="E2144" s="1" t="s">
        <v>74</v>
      </c>
      <c r="F2144" s="1" t="s">
        <v>75</v>
      </c>
      <c r="G2144" s="1" t="s">
        <v>13</v>
      </c>
      <c r="H2144" s="1">
        <v>35</v>
      </c>
      <c r="I2144" s="1" t="s">
        <v>124</v>
      </c>
      <c r="J2144" s="3">
        <v>0.55000000000000004</v>
      </c>
      <c r="K2144" s="4">
        <v>9750</v>
      </c>
      <c r="L2144" s="5">
        <f t="shared" si="16"/>
        <v>5362.5</v>
      </c>
      <c r="M2144" s="5">
        <f t="shared" si="17"/>
        <v>2413.125</v>
      </c>
      <c r="N2144" s="6">
        <v>0.45</v>
      </c>
    </row>
    <row r="2145" spans="1:14" ht="15.75" customHeight="1" x14ac:dyDescent="0.45">
      <c r="A2145" s="1" t="s">
        <v>119</v>
      </c>
      <c r="B2145" s="1">
        <v>1185732</v>
      </c>
      <c r="C2145" s="2">
        <v>44841</v>
      </c>
      <c r="D2145" s="1" t="s">
        <v>38</v>
      </c>
      <c r="E2145" s="1" t="s">
        <v>74</v>
      </c>
      <c r="F2145" s="1" t="s">
        <v>75</v>
      </c>
      <c r="G2145" s="1" t="s">
        <v>14</v>
      </c>
      <c r="H2145" s="1">
        <v>26</v>
      </c>
      <c r="I2145" s="1" t="s">
        <v>123</v>
      </c>
      <c r="J2145" s="3">
        <v>0.45000000000000012</v>
      </c>
      <c r="K2145" s="4">
        <v>8000</v>
      </c>
      <c r="L2145" s="5">
        <f t="shared" si="16"/>
        <v>3600.0000000000009</v>
      </c>
      <c r="M2145" s="5">
        <f t="shared" si="17"/>
        <v>1260.0000000000002</v>
      </c>
      <c r="N2145" s="6">
        <v>0.35</v>
      </c>
    </row>
    <row r="2146" spans="1:14" ht="15.75" customHeight="1" x14ac:dyDescent="0.45">
      <c r="A2146" s="1" t="s">
        <v>119</v>
      </c>
      <c r="B2146" s="1">
        <v>1185732</v>
      </c>
      <c r="C2146" s="2">
        <v>44841</v>
      </c>
      <c r="D2146" s="1" t="s">
        <v>38</v>
      </c>
      <c r="E2146" s="1" t="s">
        <v>74</v>
      </c>
      <c r="F2146" s="1" t="s">
        <v>75</v>
      </c>
      <c r="G2146" s="1" t="s">
        <v>15</v>
      </c>
      <c r="H2146" s="1">
        <v>42</v>
      </c>
      <c r="I2146" s="1" t="s">
        <v>124</v>
      </c>
      <c r="J2146" s="3">
        <v>0.45000000000000012</v>
      </c>
      <c r="K2146" s="4">
        <v>6750</v>
      </c>
      <c r="L2146" s="5">
        <f t="shared" si="16"/>
        <v>3037.5000000000009</v>
      </c>
      <c r="M2146" s="5">
        <f t="shared" si="17"/>
        <v>759.37500000000023</v>
      </c>
      <c r="N2146" s="6">
        <v>0.25</v>
      </c>
    </row>
    <row r="2147" spans="1:14" ht="15.75" customHeight="1" x14ac:dyDescent="0.45">
      <c r="A2147" s="1" t="s">
        <v>119</v>
      </c>
      <c r="B2147" s="1">
        <v>1185732</v>
      </c>
      <c r="C2147" s="2">
        <v>44841</v>
      </c>
      <c r="D2147" s="1" t="s">
        <v>38</v>
      </c>
      <c r="E2147" s="1" t="s">
        <v>74</v>
      </c>
      <c r="F2147" s="1" t="s">
        <v>75</v>
      </c>
      <c r="G2147" s="1" t="s">
        <v>16</v>
      </c>
      <c r="H2147" s="1">
        <v>52</v>
      </c>
      <c r="I2147" s="1" t="s">
        <v>124</v>
      </c>
      <c r="J2147" s="3">
        <v>0.45000000000000012</v>
      </c>
      <c r="K2147" s="4">
        <v>6500</v>
      </c>
      <c r="L2147" s="5">
        <f t="shared" si="16"/>
        <v>2925.0000000000009</v>
      </c>
      <c r="M2147" s="5">
        <f t="shared" si="17"/>
        <v>877.50000000000023</v>
      </c>
      <c r="N2147" s="6">
        <v>0.3</v>
      </c>
    </row>
    <row r="2148" spans="1:14" ht="15.75" customHeight="1" x14ac:dyDescent="0.45">
      <c r="A2148" s="1" t="s">
        <v>119</v>
      </c>
      <c r="B2148" s="1">
        <v>1185732</v>
      </c>
      <c r="C2148" s="2">
        <v>44841</v>
      </c>
      <c r="D2148" s="1" t="s">
        <v>38</v>
      </c>
      <c r="E2148" s="1" t="s">
        <v>74</v>
      </c>
      <c r="F2148" s="1" t="s">
        <v>75</v>
      </c>
      <c r="G2148" s="1" t="s">
        <v>17</v>
      </c>
      <c r="H2148" s="1">
        <v>43</v>
      </c>
      <c r="I2148" s="1" t="s">
        <v>126</v>
      </c>
      <c r="J2148" s="3">
        <v>0.55000000000000004</v>
      </c>
      <c r="K2148" s="4">
        <v>6500</v>
      </c>
      <c r="L2148" s="5">
        <f t="shared" si="16"/>
        <v>3575.0000000000005</v>
      </c>
      <c r="M2148" s="5">
        <f t="shared" si="17"/>
        <v>1251.25</v>
      </c>
      <c r="N2148" s="6">
        <v>0.35</v>
      </c>
    </row>
    <row r="2149" spans="1:14" ht="15.75" customHeight="1" x14ac:dyDescent="0.45">
      <c r="A2149" s="1" t="s">
        <v>119</v>
      </c>
      <c r="B2149" s="1">
        <v>1185732</v>
      </c>
      <c r="C2149" s="2">
        <v>44841</v>
      </c>
      <c r="D2149" s="1" t="s">
        <v>38</v>
      </c>
      <c r="E2149" s="1" t="s">
        <v>74</v>
      </c>
      <c r="F2149" s="1" t="s">
        <v>75</v>
      </c>
      <c r="G2149" s="1" t="s">
        <v>18</v>
      </c>
      <c r="H2149" s="1">
        <v>53</v>
      </c>
      <c r="I2149" s="1" t="s">
        <v>124</v>
      </c>
      <c r="J2149" s="3">
        <v>0.6</v>
      </c>
      <c r="K2149" s="4">
        <v>7750</v>
      </c>
      <c r="L2149" s="5">
        <f t="shared" si="16"/>
        <v>4650</v>
      </c>
      <c r="M2149" s="5">
        <f t="shared" si="17"/>
        <v>2325</v>
      </c>
      <c r="N2149" s="6">
        <v>0.5</v>
      </c>
    </row>
    <row r="2150" spans="1:14" ht="15.75" customHeight="1" x14ac:dyDescent="0.45">
      <c r="A2150" s="1" t="s">
        <v>119</v>
      </c>
      <c r="B2150" s="1">
        <v>1185732</v>
      </c>
      <c r="C2150" s="2">
        <v>44871</v>
      </c>
      <c r="D2150" s="1" t="s">
        <v>38</v>
      </c>
      <c r="E2150" s="1" t="s">
        <v>74</v>
      </c>
      <c r="F2150" s="1" t="s">
        <v>75</v>
      </c>
      <c r="G2150" s="1" t="s">
        <v>13</v>
      </c>
      <c r="H2150" s="1">
        <v>51</v>
      </c>
      <c r="I2150" s="1" t="s">
        <v>124</v>
      </c>
      <c r="J2150" s="3">
        <v>0.55000000000000004</v>
      </c>
      <c r="K2150" s="4">
        <v>9250</v>
      </c>
      <c r="L2150" s="5">
        <f t="shared" si="16"/>
        <v>5087.5</v>
      </c>
      <c r="M2150" s="5">
        <f t="shared" si="17"/>
        <v>2289.375</v>
      </c>
      <c r="N2150" s="6">
        <v>0.45</v>
      </c>
    </row>
    <row r="2151" spans="1:14" ht="15.75" customHeight="1" x14ac:dyDescent="0.45">
      <c r="A2151" s="1" t="s">
        <v>119</v>
      </c>
      <c r="B2151" s="1">
        <v>1185732</v>
      </c>
      <c r="C2151" s="2">
        <v>44871</v>
      </c>
      <c r="D2151" s="1" t="s">
        <v>38</v>
      </c>
      <c r="E2151" s="1" t="s">
        <v>74</v>
      </c>
      <c r="F2151" s="1" t="s">
        <v>75</v>
      </c>
      <c r="G2151" s="1" t="s">
        <v>14</v>
      </c>
      <c r="H2151" s="1">
        <v>16</v>
      </c>
      <c r="I2151" s="1" t="s">
        <v>125</v>
      </c>
      <c r="J2151" s="3">
        <v>0.45000000000000012</v>
      </c>
      <c r="K2151" s="4">
        <v>7500</v>
      </c>
      <c r="L2151" s="5">
        <f t="shared" si="16"/>
        <v>3375.0000000000009</v>
      </c>
      <c r="M2151" s="5">
        <f t="shared" si="17"/>
        <v>1181.2500000000002</v>
      </c>
      <c r="N2151" s="6">
        <v>0.35</v>
      </c>
    </row>
    <row r="2152" spans="1:14" ht="15.75" customHeight="1" x14ac:dyDescent="0.45">
      <c r="A2152" s="1" t="s">
        <v>119</v>
      </c>
      <c r="B2152" s="1">
        <v>1185732</v>
      </c>
      <c r="C2152" s="2">
        <v>44871</v>
      </c>
      <c r="D2152" s="1" t="s">
        <v>38</v>
      </c>
      <c r="E2152" s="1" t="s">
        <v>74</v>
      </c>
      <c r="F2152" s="1" t="s">
        <v>75</v>
      </c>
      <c r="G2152" s="1" t="s">
        <v>15</v>
      </c>
      <c r="H2152" s="1">
        <v>60</v>
      </c>
      <c r="I2152" s="1" t="s">
        <v>124</v>
      </c>
      <c r="J2152" s="3">
        <v>0.45000000000000012</v>
      </c>
      <c r="K2152" s="4">
        <v>6950</v>
      </c>
      <c r="L2152" s="5">
        <f t="shared" si="16"/>
        <v>3127.5000000000009</v>
      </c>
      <c r="M2152" s="5">
        <f t="shared" si="17"/>
        <v>781.87500000000023</v>
      </c>
      <c r="N2152" s="6">
        <v>0.25</v>
      </c>
    </row>
    <row r="2153" spans="1:14" ht="15.75" customHeight="1" x14ac:dyDescent="0.45">
      <c r="A2153" s="1" t="s">
        <v>119</v>
      </c>
      <c r="B2153" s="1">
        <v>1185732</v>
      </c>
      <c r="C2153" s="2">
        <v>44871</v>
      </c>
      <c r="D2153" s="1" t="s">
        <v>38</v>
      </c>
      <c r="E2153" s="1" t="s">
        <v>74</v>
      </c>
      <c r="F2153" s="1" t="s">
        <v>75</v>
      </c>
      <c r="G2153" s="1" t="s">
        <v>16</v>
      </c>
      <c r="H2153" s="1">
        <v>18</v>
      </c>
      <c r="I2153" s="1" t="s">
        <v>124</v>
      </c>
      <c r="J2153" s="3">
        <v>0.55000000000000016</v>
      </c>
      <c r="K2153" s="4">
        <v>7500</v>
      </c>
      <c r="L2153" s="5">
        <f t="shared" ref="L2153:L2407" si="18">J2153*K2153</f>
        <v>4125.0000000000009</v>
      </c>
      <c r="M2153" s="5">
        <f t="shared" ref="M2153:M2407" si="19">L2153*N2153</f>
        <v>1237.5000000000002</v>
      </c>
      <c r="N2153" s="6">
        <v>0.3</v>
      </c>
    </row>
    <row r="2154" spans="1:14" ht="15.75" customHeight="1" x14ac:dyDescent="0.45">
      <c r="A2154" s="1" t="s">
        <v>119</v>
      </c>
      <c r="B2154" s="1">
        <v>1185732</v>
      </c>
      <c r="C2154" s="2">
        <v>44871</v>
      </c>
      <c r="D2154" s="1" t="s">
        <v>38</v>
      </c>
      <c r="E2154" s="1" t="s">
        <v>74</v>
      </c>
      <c r="F2154" s="1" t="s">
        <v>75</v>
      </c>
      <c r="G2154" s="1" t="s">
        <v>17</v>
      </c>
      <c r="H2154" s="1">
        <v>29</v>
      </c>
      <c r="I2154" s="1" t="s">
        <v>125</v>
      </c>
      <c r="J2154" s="3">
        <v>0.70000000000000007</v>
      </c>
      <c r="K2154" s="4">
        <v>7250</v>
      </c>
      <c r="L2154" s="5">
        <f t="shared" si="18"/>
        <v>5075.0000000000009</v>
      </c>
      <c r="M2154" s="5">
        <f t="shared" si="19"/>
        <v>1776.2500000000002</v>
      </c>
      <c r="N2154" s="6">
        <v>0.35</v>
      </c>
    </row>
    <row r="2155" spans="1:14" ht="15.75" customHeight="1" x14ac:dyDescent="0.45">
      <c r="A2155" s="1" t="s">
        <v>119</v>
      </c>
      <c r="B2155" s="1">
        <v>1185732</v>
      </c>
      <c r="C2155" s="2">
        <v>44871</v>
      </c>
      <c r="D2155" s="1" t="s">
        <v>38</v>
      </c>
      <c r="E2155" s="1" t="s">
        <v>74</v>
      </c>
      <c r="F2155" s="1" t="s">
        <v>75</v>
      </c>
      <c r="G2155" s="1" t="s">
        <v>18</v>
      </c>
      <c r="H2155" s="1">
        <v>52</v>
      </c>
      <c r="I2155" s="1" t="s">
        <v>124</v>
      </c>
      <c r="J2155" s="3">
        <v>0.75</v>
      </c>
      <c r="K2155" s="4">
        <v>8250</v>
      </c>
      <c r="L2155" s="5">
        <f t="shared" si="18"/>
        <v>6187.5</v>
      </c>
      <c r="M2155" s="5">
        <f t="shared" si="19"/>
        <v>3093.75</v>
      </c>
      <c r="N2155" s="6">
        <v>0.5</v>
      </c>
    </row>
    <row r="2156" spans="1:14" ht="15.75" customHeight="1" x14ac:dyDescent="0.45">
      <c r="A2156" s="1" t="s">
        <v>119</v>
      </c>
      <c r="B2156" s="1">
        <v>1185732</v>
      </c>
      <c r="C2156" s="2">
        <v>44900</v>
      </c>
      <c r="D2156" s="1" t="s">
        <v>38</v>
      </c>
      <c r="E2156" s="1" t="s">
        <v>74</v>
      </c>
      <c r="F2156" s="1" t="s">
        <v>75</v>
      </c>
      <c r="G2156" s="1" t="s">
        <v>13</v>
      </c>
      <c r="H2156" s="1">
        <v>35</v>
      </c>
      <c r="I2156" s="1" t="s">
        <v>125</v>
      </c>
      <c r="J2156" s="3">
        <v>0.70000000000000007</v>
      </c>
      <c r="K2156" s="4">
        <v>10750</v>
      </c>
      <c r="L2156" s="5">
        <f t="shared" si="18"/>
        <v>7525.0000000000009</v>
      </c>
      <c r="M2156" s="5">
        <f t="shared" si="19"/>
        <v>3386.2500000000005</v>
      </c>
      <c r="N2156" s="6">
        <v>0.45</v>
      </c>
    </row>
    <row r="2157" spans="1:14" ht="15.75" customHeight="1" x14ac:dyDescent="0.45">
      <c r="A2157" s="1" t="s">
        <v>119</v>
      </c>
      <c r="B2157" s="1">
        <v>1185732</v>
      </c>
      <c r="C2157" s="2">
        <v>44900</v>
      </c>
      <c r="D2157" s="1" t="s">
        <v>38</v>
      </c>
      <c r="E2157" s="1" t="s">
        <v>74</v>
      </c>
      <c r="F2157" s="1" t="s">
        <v>75</v>
      </c>
      <c r="G2157" s="1" t="s">
        <v>14</v>
      </c>
      <c r="H2157" s="1">
        <v>35</v>
      </c>
      <c r="I2157" s="1" t="s">
        <v>123</v>
      </c>
      <c r="J2157" s="3">
        <v>0.60000000000000009</v>
      </c>
      <c r="K2157" s="4">
        <v>8750</v>
      </c>
      <c r="L2157" s="5">
        <f t="shared" si="18"/>
        <v>5250.0000000000009</v>
      </c>
      <c r="M2157" s="5">
        <f t="shared" si="19"/>
        <v>1837.5000000000002</v>
      </c>
      <c r="N2157" s="6">
        <v>0.35</v>
      </c>
    </row>
    <row r="2158" spans="1:14" ht="15.75" customHeight="1" x14ac:dyDescent="0.45">
      <c r="A2158" s="1" t="s">
        <v>119</v>
      </c>
      <c r="B2158" s="1">
        <v>1185732</v>
      </c>
      <c r="C2158" s="2">
        <v>44900</v>
      </c>
      <c r="D2158" s="1" t="s">
        <v>38</v>
      </c>
      <c r="E2158" s="1" t="s">
        <v>74</v>
      </c>
      <c r="F2158" s="1" t="s">
        <v>75</v>
      </c>
      <c r="G2158" s="1" t="s">
        <v>15</v>
      </c>
      <c r="H2158" s="1">
        <v>25</v>
      </c>
      <c r="I2158" s="1" t="s">
        <v>123</v>
      </c>
      <c r="J2158" s="3">
        <v>0.60000000000000009</v>
      </c>
      <c r="K2158" s="4">
        <v>8250</v>
      </c>
      <c r="L2158" s="5">
        <f t="shared" si="18"/>
        <v>4950.0000000000009</v>
      </c>
      <c r="M2158" s="5">
        <f t="shared" si="19"/>
        <v>1237.5000000000002</v>
      </c>
      <c r="N2158" s="6">
        <v>0.25</v>
      </c>
    </row>
    <row r="2159" spans="1:14" ht="15.75" customHeight="1" x14ac:dyDescent="0.45">
      <c r="A2159" s="1" t="s">
        <v>119</v>
      </c>
      <c r="B2159" s="1">
        <v>1185732</v>
      </c>
      <c r="C2159" s="2">
        <v>44900</v>
      </c>
      <c r="D2159" s="1" t="s">
        <v>38</v>
      </c>
      <c r="E2159" s="1" t="s">
        <v>74</v>
      </c>
      <c r="F2159" s="1" t="s">
        <v>75</v>
      </c>
      <c r="G2159" s="1" t="s">
        <v>16</v>
      </c>
      <c r="H2159" s="1">
        <v>26</v>
      </c>
      <c r="I2159" s="1" t="s">
        <v>126</v>
      </c>
      <c r="J2159" s="3">
        <v>0.60000000000000009</v>
      </c>
      <c r="K2159" s="4">
        <v>7750</v>
      </c>
      <c r="L2159" s="5">
        <f t="shared" si="18"/>
        <v>4650.0000000000009</v>
      </c>
      <c r="M2159" s="5">
        <f t="shared" si="19"/>
        <v>1395.0000000000002</v>
      </c>
      <c r="N2159" s="6">
        <v>0.3</v>
      </c>
    </row>
    <row r="2160" spans="1:14" ht="15.75" customHeight="1" x14ac:dyDescent="0.45">
      <c r="A2160" s="1" t="s">
        <v>119</v>
      </c>
      <c r="B2160" s="1">
        <v>1185732</v>
      </c>
      <c r="C2160" s="2">
        <v>44900</v>
      </c>
      <c r="D2160" s="1" t="s">
        <v>38</v>
      </c>
      <c r="E2160" s="1" t="s">
        <v>74</v>
      </c>
      <c r="F2160" s="1" t="s">
        <v>75</v>
      </c>
      <c r="G2160" s="1" t="s">
        <v>17</v>
      </c>
      <c r="H2160" s="1">
        <v>60</v>
      </c>
      <c r="I2160" s="1" t="s">
        <v>124</v>
      </c>
      <c r="J2160" s="3">
        <v>0.70000000000000007</v>
      </c>
      <c r="K2160" s="4">
        <v>7750</v>
      </c>
      <c r="L2160" s="5">
        <f t="shared" si="18"/>
        <v>5425.0000000000009</v>
      </c>
      <c r="M2160" s="5">
        <f t="shared" si="19"/>
        <v>1898.7500000000002</v>
      </c>
      <c r="N2160" s="6">
        <v>0.35</v>
      </c>
    </row>
    <row r="2161" spans="1:14" ht="15.75" customHeight="1" x14ac:dyDescent="0.45">
      <c r="A2161" s="1" t="s">
        <v>119</v>
      </c>
      <c r="B2161" s="1">
        <v>1185732</v>
      </c>
      <c r="C2161" s="2">
        <v>44900</v>
      </c>
      <c r="D2161" s="1" t="s">
        <v>38</v>
      </c>
      <c r="E2161" s="1" t="s">
        <v>74</v>
      </c>
      <c r="F2161" s="1" t="s">
        <v>75</v>
      </c>
      <c r="G2161" s="1" t="s">
        <v>18</v>
      </c>
      <c r="H2161" s="1">
        <v>37</v>
      </c>
      <c r="I2161" s="1" t="s">
        <v>124</v>
      </c>
      <c r="J2161" s="3">
        <v>0.75</v>
      </c>
      <c r="K2161" s="4">
        <v>8750</v>
      </c>
      <c r="L2161" s="5">
        <f t="shared" si="18"/>
        <v>6562.5</v>
      </c>
      <c r="M2161" s="5">
        <f t="shared" si="19"/>
        <v>3281.25</v>
      </c>
      <c r="N2161" s="6">
        <v>0.5</v>
      </c>
    </row>
    <row r="2162" spans="1:14" ht="15.75" customHeight="1" x14ac:dyDescent="0.45">
      <c r="A2162" s="1" t="s">
        <v>119</v>
      </c>
      <c r="B2162" s="1">
        <v>1185732</v>
      </c>
      <c r="C2162" s="2">
        <v>44567</v>
      </c>
      <c r="D2162" s="1" t="s">
        <v>38</v>
      </c>
      <c r="E2162" s="1" t="s">
        <v>76</v>
      </c>
      <c r="F2162" s="1" t="s">
        <v>77</v>
      </c>
      <c r="G2162" s="1" t="s">
        <v>13</v>
      </c>
      <c r="H2162" s="1">
        <v>58</v>
      </c>
      <c r="I2162" s="1" t="s">
        <v>125</v>
      </c>
      <c r="J2162" s="3">
        <v>0.35000000000000003</v>
      </c>
      <c r="K2162" s="4">
        <v>9250</v>
      </c>
      <c r="L2162" s="5">
        <f t="shared" si="18"/>
        <v>3237.5000000000005</v>
      </c>
      <c r="M2162" s="5">
        <f t="shared" si="19"/>
        <v>1295.0000000000002</v>
      </c>
      <c r="N2162" s="6">
        <v>0.4</v>
      </c>
    </row>
    <row r="2163" spans="1:14" ht="15.75" customHeight="1" x14ac:dyDescent="0.45">
      <c r="A2163" s="1" t="s">
        <v>119</v>
      </c>
      <c r="B2163" s="1">
        <v>1185732</v>
      </c>
      <c r="C2163" s="2">
        <v>44567</v>
      </c>
      <c r="D2163" s="1" t="s">
        <v>38</v>
      </c>
      <c r="E2163" s="1" t="s">
        <v>76</v>
      </c>
      <c r="F2163" s="1" t="s">
        <v>77</v>
      </c>
      <c r="G2163" s="1" t="s">
        <v>14</v>
      </c>
      <c r="H2163" s="1">
        <v>26</v>
      </c>
      <c r="I2163" s="1" t="s">
        <v>126</v>
      </c>
      <c r="J2163" s="3">
        <v>0.35000000000000003</v>
      </c>
      <c r="K2163" s="4">
        <v>7250</v>
      </c>
      <c r="L2163" s="5">
        <f t="shared" si="18"/>
        <v>2537.5000000000005</v>
      </c>
      <c r="M2163" s="5">
        <f t="shared" si="19"/>
        <v>888.12500000000011</v>
      </c>
      <c r="N2163" s="6">
        <v>0.35</v>
      </c>
    </row>
    <row r="2164" spans="1:14" ht="15.75" customHeight="1" x14ac:dyDescent="0.45">
      <c r="A2164" s="1" t="s">
        <v>119</v>
      </c>
      <c r="B2164" s="1">
        <v>1185732</v>
      </c>
      <c r="C2164" s="2">
        <v>44567</v>
      </c>
      <c r="D2164" s="1" t="s">
        <v>38</v>
      </c>
      <c r="E2164" s="1" t="s">
        <v>76</v>
      </c>
      <c r="F2164" s="1" t="s">
        <v>77</v>
      </c>
      <c r="G2164" s="1" t="s">
        <v>15</v>
      </c>
      <c r="H2164" s="1">
        <v>59</v>
      </c>
      <c r="I2164" s="1" t="s">
        <v>123</v>
      </c>
      <c r="J2164" s="3">
        <v>0.25000000000000006</v>
      </c>
      <c r="K2164" s="4">
        <v>7250</v>
      </c>
      <c r="L2164" s="5">
        <f t="shared" si="18"/>
        <v>1812.5000000000005</v>
      </c>
      <c r="M2164" s="5">
        <f t="shared" si="19"/>
        <v>725.00000000000023</v>
      </c>
      <c r="N2164" s="6">
        <v>0.4</v>
      </c>
    </row>
    <row r="2165" spans="1:14" ht="15.75" customHeight="1" x14ac:dyDescent="0.45">
      <c r="A2165" s="1" t="s">
        <v>119</v>
      </c>
      <c r="B2165" s="1">
        <v>1185732</v>
      </c>
      <c r="C2165" s="2">
        <v>44567</v>
      </c>
      <c r="D2165" s="1" t="s">
        <v>38</v>
      </c>
      <c r="E2165" s="1" t="s">
        <v>76</v>
      </c>
      <c r="F2165" s="1" t="s">
        <v>77</v>
      </c>
      <c r="G2165" s="1" t="s">
        <v>16</v>
      </c>
      <c r="H2165" s="1">
        <v>41</v>
      </c>
      <c r="I2165" s="1" t="s">
        <v>125</v>
      </c>
      <c r="J2165" s="3">
        <v>0.3</v>
      </c>
      <c r="K2165" s="4">
        <v>5750</v>
      </c>
      <c r="L2165" s="5">
        <f t="shared" si="18"/>
        <v>1725</v>
      </c>
      <c r="M2165" s="5">
        <f t="shared" si="19"/>
        <v>690</v>
      </c>
      <c r="N2165" s="6">
        <v>0.4</v>
      </c>
    </row>
    <row r="2166" spans="1:14" ht="15.75" customHeight="1" x14ac:dyDescent="0.45">
      <c r="A2166" s="1" t="s">
        <v>119</v>
      </c>
      <c r="B2166" s="1">
        <v>1185732</v>
      </c>
      <c r="C2166" s="2">
        <v>44567</v>
      </c>
      <c r="D2166" s="1" t="s">
        <v>38</v>
      </c>
      <c r="E2166" s="1" t="s">
        <v>76</v>
      </c>
      <c r="F2166" s="1" t="s">
        <v>77</v>
      </c>
      <c r="G2166" s="1" t="s">
        <v>17</v>
      </c>
      <c r="H2166" s="1">
        <v>55</v>
      </c>
      <c r="I2166" s="1" t="s">
        <v>123</v>
      </c>
      <c r="J2166" s="3">
        <v>0.45</v>
      </c>
      <c r="K2166" s="4">
        <v>6250</v>
      </c>
      <c r="L2166" s="5">
        <f t="shared" si="18"/>
        <v>2812.5</v>
      </c>
      <c r="M2166" s="5">
        <f t="shared" si="19"/>
        <v>984.37499999999989</v>
      </c>
      <c r="N2166" s="6">
        <v>0.35</v>
      </c>
    </row>
    <row r="2167" spans="1:14" ht="15.75" customHeight="1" x14ac:dyDescent="0.45">
      <c r="A2167" s="1" t="s">
        <v>119</v>
      </c>
      <c r="B2167" s="1">
        <v>1185732</v>
      </c>
      <c r="C2167" s="2">
        <v>44567</v>
      </c>
      <c r="D2167" s="1" t="s">
        <v>38</v>
      </c>
      <c r="E2167" s="1" t="s">
        <v>76</v>
      </c>
      <c r="F2167" s="1" t="s">
        <v>77</v>
      </c>
      <c r="G2167" s="1" t="s">
        <v>18</v>
      </c>
      <c r="H2167" s="1">
        <v>19</v>
      </c>
      <c r="I2167" s="1" t="s">
        <v>125</v>
      </c>
      <c r="J2167" s="3">
        <v>0.35000000000000003</v>
      </c>
      <c r="K2167" s="4">
        <v>7250</v>
      </c>
      <c r="L2167" s="5">
        <f t="shared" si="18"/>
        <v>2537.5000000000005</v>
      </c>
      <c r="M2167" s="5">
        <f t="shared" si="19"/>
        <v>1268.7500000000002</v>
      </c>
      <c r="N2167" s="6">
        <v>0.5</v>
      </c>
    </row>
    <row r="2168" spans="1:14" ht="15.75" customHeight="1" x14ac:dyDescent="0.45">
      <c r="A2168" s="1" t="s">
        <v>119</v>
      </c>
      <c r="B2168" s="1">
        <v>1185732</v>
      </c>
      <c r="C2168" s="2">
        <v>44596</v>
      </c>
      <c r="D2168" s="1" t="s">
        <v>38</v>
      </c>
      <c r="E2168" s="1" t="s">
        <v>76</v>
      </c>
      <c r="F2168" s="1" t="s">
        <v>77</v>
      </c>
      <c r="G2168" s="1" t="s">
        <v>13</v>
      </c>
      <c r="H2168" s="1">
        <v>43</v>
      </c>
      <c r="I2168" s="1" t="s">
        <v>125</v>
      </c>
      <c r="J2168" s="3">
        <v>0.35000000000000003</v>
      </c>
      <c r="K2168" s="4">
        <v>9750</v>
      </c>
      <c r="L2168" s="5">
        <f t="shared" si="18"/>
        <v>3412.5000000000005</v>
      </c>
      <c r="M2168" s="5">
        <f t="shared" si="19"/>
        <v>1365.0000000000002</v>
      </c>
      <c r="N2168" s="6">
        <v>0.4</v>
      </c>
    </row>
    <row r="2169" spans="1:14" ht="15.75" customHeight="1" x14ac:dyDescent="0.45">
      <c r="A2169" s="1" t="s">
        <v>119</v>
      </c>
      <c r="B2169" s="1">
        <v>1185732</v>
      </c>
      <c r="C2169" s="2">
        <v>44596</v>
      </c>
      <c r="D2169" s="1" t="s">
        <v>38</v>
      </c>
      <c r="E2169" s="1" t="s">
        <v>76</v>
      </c>
      <c r="F2169" s="1" t="s">
        <v>77</v>
      </c>
      <c r="G2169" s="1" t="s">
        <v>14</v>
      </c>
      <c r="H2169" s="1">
        <v>21</v>
      </c>
      <c r="I2169" s="1" t="s">
        <v>123</v>
      </c>
      <c r="J2169" s="3">
        <v>0.35000000000000003</v>
      </c>
      <c r="K2169" s="4">
        <v>6250</v>
      </c>
      <c r="L2169" s="5">
        <f t="shared" si="18"/>
        <v>2187.5</v>
      </c>
      <c r="M2169" s="5">
        <f t="shared" si="19"/>
        <v>765.625</v>
      </c>
      <c r="N2169" s="6">
        <v>0.35</v>
      </c>
    </row>
    <row r="2170" spans="1:14" ht="15.75" customHeight="1" x14ac:dyDescent="0.45">
      <c r="A2170" s="1" t="s">
        <v>119</v>
      </c>
      <c r="B2170" s="1">
        <v>1185732</v>
      </c>
      <c r="C2170" s="2">
        <v>44596</v>
      </c>
      <c r="D2170" s="1" t="s">
        <v>38</v>
      </c>
      <c r="E2170" s="1" t="s">
        <v>76</v>
      </c>
      <c r="F2170" s="1" t="s">
        <v>77</v>
      </c>
      <c r="G2170" s="1" t="s">
        <v>15</v>
      </c>
      <c r="H2170" s="1">
        <v>31</v>
      </c>
      <c r="I2170" s="1" t="s">
        <v>124</v>
      </c>
      <c r="J2170" s="3">
        <v>0.25000000000000006</v>
      </c>
      <c r="K2170" s="4">
        <v>6750</v>
      </c>
      <c r="L2170" s="5">
        <f t="shared" si="18"/>
        <v>1687.5000000000005</v>
      </c>
      <c r="M2170" s="5">
        <f t="shared" si="19"/>
        <v>675.00000000000023</v>
      </c>
      <c r="N2170" s="6">
        <v>0.4</v>
      </c>
    </row>
    <row r="2171" spans="1:14" ht="15.75" customHeight="1" x14ac:dyDescent="0.45">
      <c r="A2171" s="1" t="s">
        <v>119</v>
      </c>
      <c r="B2171" s="1">
        <v>1185732</v>
      </c>
      <c r="C2171" s="2">
        <v>44596</v>
      </c>
      <c r="D2171" s="1" t="s">
        <v>38</v>
      </c>
      <c r="E2171" s="1" t="s">
        <v>76</v>
      </c>
      <c r="F2171" s="1" t="s">
        <v>77</v>
      </c>
      <c r="G2171" s="1" t="s">
        <v>16</v>
      </c>
      <c r="H2171" s="1">
        <v>60</v>
      </c>
      <c r="I2171" s="1" t="s">
        <v>126</v>
      </c>
      <c r="J2171" s="3">
        <v>0.3</v>
      </c>
      <c r="K2171" s="4">
        <v>5250</v>
      </c>
      <c r="L2171" s="5">
        <f t="shared" si="18"/>
        <v>1575</v>
      </c>
      <c r="M2171" s="5">
        <f t="shared" si="19"/>
        <v>630</v>
      </c>
      <c r="N2171" s="6">
        <v>0.4</v>
      </c>
    </row>
    <row r="2172" spans="1:14" ht="15.75" customHeight="1" x14ac:dyDescent="0.45">
      <c r="A2172" s="1" t="s">
        <v>119</v>
      </c>
      <c r="B2172" s="1">
        <v>1185732</v>
      </c>
      <c r="C2172" s="2">
        <v>44596</v>
      </c>
      <c r="D2172" s="1" t="s">
        <v>38</v>
      </c>
      <c r="E2172" s="1" t="s">
        <v>76</v>
      </c>
      <c r="F2172" s="1" t="s">
        <v>77</v>
      </c>
      <c r="G2172" s="1" t="s">
        <v>17</v>
      </c>
      <c r="H2172" s="1">
        <v>40</v>
      </c>
      <c r="I2172" s="1" t="s">
        <v>126</v>
      </c>
      <c r="J2172" s="3">
        <v>0.45</v>
      </c>
      <c r="K2172" s="4">
        <v>6000</v>
      </c>
      <c r="L2172" s="5">
        <f t="shared" si="18"/>
        <v>2700</v>
      </c>
      <c r="M2172" s="5">
        <f t="shared" si="19"/>
        <v>944.99999999999989</v>
      </c>
      <c r="N2172" s="6">
        <v>0.35</v>
      </c>
    </row>
    <row r="2173" spans="1:14" ht="15.75" customHeight="1" x14ac:dyDescent="0.45">
      <c r="A2173" s="1" t="s">
        <v>119</v>
      </c>
      <c r="B2173" s="1">
        <v>1185732</v>
      </c>
      <c r="C2173" s="2">
        <v>44596</v>
      </c>
      <c r="D2173" s="1" t="s">
        <v>38</v>
      </c>
      <c r="E2173" s="1" t="s">
        <v>76</v>
      </c>
      <c r="F2173" s="1" t="s">
        <v>77</v>
      </c>
      <c r="G2173" s="1" t="s">
        <v>18</v>
      </c>
      <c r="H2173" s="1">
        <v>48</v>
      </c>
      <c r="I2173" s="1" t="s">
        <v>126</v>
      </c>
      <c r="J2173" s="3">
        <v>0.3</v>
      </c>
      <c r="K2173" s="4">
        <v>7000</v>
      </c>
      <c r="L2173" s="5">
        <f t="shared" si="18"/>
        <v>2100</v>
      </c>
      <c r="M2173" s="5">
        <f t="shared" si="19"/>
        <v>1050</v>
      </c>
      <c r="N2173" s="6">
        <v>0.5</v>
      </c>
    </row>
    <row r="2174" spans="1:14" ht="15.75" customHeight="1" x14ac:dyDescent="0.45">
      <c r="A2174" s="1" t="s">
        <v>119</v>
      </c>
      <c r="B2174" s="1">
        <v>1185732</v>
      </c>
      <c r="C2174" s="2">
        <v>44622</v>
      </c>
      <c r="D2174" s="1" t="s">
        <v>38</v>
      </c>
      <c r="E2174" s="1" t="s">
        <v>76</v>
      </c>
      <c r="F2174" s="1" t="s">
        <v>77</v>
      </c>
      <c r="G2174" s="1" t="s">
        <v>13</v>
      </c>
      <c r="H2174" s="1">
        <v>48</v>
      </c>
      <c r="I2174" s="1" t="s">
        <v>125</v>
      </c>
      <c r="J2174" s="3">
        <v>0.3</v>
      </c>
      <c r="K2174" s="4">
        <v>9200</v>
      </c>
      <c r="L2174" s="5">
        <f t="shared" si="18"/>
        <v>2760</v>
      </c>
      <c r="M2174" s="5">
        <f t="shared" si="19"/>
        <v>1104</v>
      </c>
      <c r="N2174" s="6">
        <v>0.4</v>
      </c>
    </row>
    <row r="2175" spans="1:14" ht="15.75" customHeight="1" x14ac:dyDescent="0.45">
      <c r="A2175" s="1" t="s">
        <v>119</v>
      </c>
      <c r="B2175" s="1">
        <v>1185732</v>
      </c>
      <c r="C2175" s="2">
        <v>44622</v>
      </c>
      <c r="D2175" s="1" t="s">
        <v>38</v>
      </c>
      <c r="E2175" s="1" t="s">
        <v>76</v>
      </c>
      <c r="F2175" s="1" t="s">
        <v>77</v>
      </c>
      <c r="G2175" s="1" t="s">
        <v>14</v>
      </c>
      <c r="H2175" s="1">
        <v>49</v>
      </c>
      <c r="I2175" s="1" t="s">
        <v>126</v>
      </c>
      <c r="J2175" s="3">
        <v>0.3</v>
      </c>
      <c r="K2175" s="4">
        <v>6000</v>
      </c>
      <c r="L2175" s="5">
        <f t="shared" si="18"/>
        <v>1800</v>
      </c>
      <c r="M2175" s="5">
        <f t="shared" si="19"/>
        <v>630</v>
      </c>
      <c r="N2175" s="6">
        <v>0.35</v>
      </c>
    </row>
    <row r="2176" spans="1:14" ht="15.75" customHeight="1" x14ac:dyDescent="0.45">
      <c r="A2176" s="1" t="s">
        <v>119</v>
      </c>
      <c r="B2176" s="1">
        <v>1185732</v>
      </c>
      <c r="C2176" s="2">
        <v>44622</v>
      </c>
      <c r="D2176" s="1" t="s">
        <v>38</v>
      </c>
      <c r="E2176" s="1" t="s">
        <v>76</v>
      </c>
      <c r="F2176" s="1" t="s">
        <v>77</v>
      </c>
      <c r="G2176" s="1" t="s">
        <v>15</v>
      </c>
      <c r="H2176" s="1">
        <v>59</v>
      </c>
      <c r="I2176" s="1" t="s">
        <v>123</v>
      </c>
      <c r="J2176" s="3">
        <v>0.2</v>
      </c>
      <c r="K2176" s="4">
        <v>6250</v>
      </c>
      <c r="L2176" s="5">
        <f t="shared" si="18"/>
        <v>1250</v>
      </c>
      <c r="M2176" s="5">
        <f t="shared" si="19"/>
        <v>500</v>
      </c>
      <c r="N2176" s="6">
        <v>0.4</v>
      </c>
    </row>
    <row r="2177" spans="1:14" ht="15.75" customHeight="1" x14ac:dyDescent="0.45">
      <c r="A2177" s="1" t="s">
        <v>119</v>
      </c>
      <c r="B2177" s="1">
        <v>1185732</v>
      </c>
      <c r="C2177" s="2">
        <v>44622</v>
      </c>
      <c r="D2177" s="1" t="s">
        <v>38</v>
      </c>
      <c r="E2177" s="1" t="s">
        <v>76</v>
      </c>
      <c r="F2177" s="1" t="s">
        <v>77</v>
      </c>
      <c r="G2177" s="1" t="s">
        <v>16</v>
      </c>
      <c r="H2177" s="1">
        <v>32</v>
      </c>
      <c r="I2177" s="1" t="s">
        <v>125</v>
      </c>
      <c r="J2177" s="3">
        <v>0.24999999999999994</v>
      </c>
      <c r="K2177" s="4">
        <v>4750</v>
      </c>
      <c r="L2177" s="5">
        <f t="shared" si="18"/>
        <v>1187.4999999999998</v>
      </c>
      <c r="M2177" s="5">
        <f t="shared" si="19"/>
        <v>474.99999999999994</v>
      </c>
      <c r="N2177" s="6">
        <v>0.4</v>
      </c>
    </row>
    <row r="2178" spans="1:14" ht="15.75" customHeight="1" x14ac:dyDescent="0.45">
      <c r="A2178" s="1" t="s">
        <v>119</v>
      </c>
      <c r="B2178" s="1">
        <v>1185732</v>
      </c>
      <c r="C2178" s="2">
        <v>44622</v>
      </c>
      <c r="D2178" s="1" t="s">
        <v>38</v>
      </c>
      <c r="E2178" s="1" t="s">
        <v>76</v>
      </c>
      <c r="F2178" s="1" t="s">
        <v>77</v>
      </c>
      <c r="G2178" s="1" t="s">
        <v>17</v>
      </c>
      <c r="H2178" s="1">
        <v>57</v>
      </c>
      <c r="I2178" s="1" t="s">
        <v>125</v>
      </c>
      <c r="J2178" s="3">
        <v>0.40000000000000008</v>
      </c>
      <c r="K2178" s="4">
        <v>5250</v>
      </c>
      <c r="L2178" s="5">
        <f t="shared" si="18"/>
        <v>2100.0000000000005</v>
      </c>
      <c r="M2178" s="5">
        <f t="shared" si="19"/>
        <v>735.00000000000011</v>
      </c>
      <c r="N2178" s="6">
        <v>0.35</v>
      </c>
    </row>
    <row r="2179" spans="1:14" ht="15.75" customHeight="1" x14ac:dyDescent="0.45">
      <c r="A2179" s="1" t="s">
        <v>119</v>
      </c>
      <c r="B2179" s="1">
        <v>1185732</v>
      </c>
      <c r="C2179" s="2">
        <v>44622</v>
      </c>
      <c r="D2179" s="1" t="s">
        <v>38</v>
      </c>
      <c r="E2179" s="1" t="s">
        <v>76</v>
      </c>
      <c r="F2179" s="1" t="s">
        <v>77</v>
      </c>
      <c r="G2179" s="1" t="s">
        <v>18</v>
      </c>
      <c r="H2179" s="1">
        <v>31</v>
      </c>
      <c r="I2179" s="1" t="s">
        <v>126</v>
      </c>
      <c r="J2179" s="3">
        <v>0.3</v>
      </c>
      <c r="K2179" s="4">
        <v>6250</v>
      </c>
      <c r="L2179" s="5">
        <f t="shared" si="18"/>
        <v>1875</v>
      </c>
      <c r="M2179" s="5">
        <f t="shared" si="19"/>
        <v>937.5</v>
      </c>
      <c r="N2179" s="6">
        <v>0.5</v>
      </c>
    </row>
    <row r="2180" spans="1:14" ht="15.75" customHeight="1" x14ac:dyDescent="0.45">
      <c r="A2180" s="1" t="s">
        <v>119</v>
      </c>
      <c r="B2180" s="1">
        <v>1185732</v>
      </c>
      <c r="C2180" s="2">
        <v>44654</v>
      </c>
      <c r="D2180" s="1" t="s">
        <v>38</v>
      </c>
      <c r="E2180" s="1" t="s">
        <v>76</v>
      </c>
      <c r="F2180" s="1" t="s">
        <v>77</v>
      </c>
      <c r="G2180" s="1" t="s">
        <v>13</v>
      </c>
      <c r="H2180" s="1">
        <v>49</v>
      </c>
      <c r="I2180" s="1" t="s">
        <v>124</v>
      </c>
      <c r="J2180" s="3">
        <v>0.3</v>
      </c>
      <c r="K2180" s="4">
        <v>8750</v>
      </c>
      <c r="L2180" s="5">
        <f t="shared" si="18"/>
        <v>2625</v>
      </c>
      <c r="M2180" s="5">
        <f t="shared" si="19"/>
        <v>1050</v>
      </c>
      <c r="N2180" s="6">
        <v>0.4</v>
      </c>
    </row>
    <row r="2181" spans="1:14" ht="15.75" customHeight="1" x14ac:dyDescent="0.45">
      <c r="A2181" s="1" t="s">
        <v>119</v>
      </c>
      <c r="B2181" s="1">
        <v>1185732</v>
      </c>
      <c r="C2181" s="2">
        <v>44654</v>
      </c>
      <c r="D2181" s="1" t="s">
        <v>38</v>
      </c>
      <c r="E2181" s="1" t="s">
        <v>76</v>
      </c>
      <c r="F2181" s="1" t="s">
        <v>77</v>
      </c>
      <c r="G2181" s="1" t="s">
        <v>14</v>
      </c>
      <c r="H2181" s="1">
        <v>29</v>
      </c>
      <c r="I2181" s="1" t="s">
        <v>125</v>
      </c>
      <c r="J2181" s="3">
        <v>0.3</v>
      </c>
      <c r="K2181" s="4">
        <v>5750</v>
      </c>
      <c r="L2181" s="5">
        <f t="shared" si="18"/>
        <v>1725</v>
      </c>
      <c r="M2181" s="5">
        <f t="shared" si="19"/>
        <v>603.75</v>
      </c>
      <c r="N2181" s="6">
        <v>0.35</v>
      </c>
    </row>
    <row r="2182" spans="1:14" ht="15.75" customHeight="1" x14ac:dyDescent="0.45">
      <c r="A2182" s="1" t="s">
        <v>119</v>
      </c>
      <c r="B2182" s="1">
        <v>1185732</v>
      </c>
      <c r="C2182" s="2">
        <v>44654</v>
      </c>
      <c r="D2182" s="1" t="s">
        <v>38</v>
      </c>
      <c r="E2182" s="1" t="s">
        <v>76</v>
      </c>
      <c r="F2182" s="1" t="s">
        <v>77</v>
      </c>
      <c r="G2182" s="1" t="s">
        <v>15</v>
      </c>
      <c r="H2182" s="1">
        <v>24</v>
      </c>
      <c r="I2182" s="1" t="s">
        <v>124</v>
      </c>
      <c r="J2182" s="3">
        <v>0.2</v>
      </c>
      <c r="K2182" s="4">
        <v>5750</v>
      </c>
      <c r="L2182" s="5">
        <f t="shared" si="18"/>
        <v>1150</v>
      </c>
      <c r="M2182" s="5">
        <f t="shared" si="19"/>
        <v>460</v>
      </c>
      <c r="N2182" s="6">
        <v>0.4</v>
      </c>
    </row>
    <row r="2183" spans="1:14" ht="15.75" customHeight="1" x14ac:dyDescent="0.45">
      <c r="A2183" s="1" t="s">
        <v>119</v>
      </c>
      <c r="B2183" s="1">
        <v>1185732</v>
      </c>
      <c r="C2183" s="2">
        <v>44654</v>
      </c>
      <c r="D2183" s="1" t="s">
        <v>38</v>
      </c>
      <c r="E2183" s="1" t="s">
        <v>76</v>
      </c>
      <c r="F2183" s="1" t="s">
        <v>77</v>
      </c>
      <c r="G2183" s="1" t="s">
        <v>16</v>
      </c>
      <c r="H2183" s="1">
        <v>17</v>
      </c>
      <c r="I2183" s="1" t="s">
        <v>124</v>
      </c>
      <c r="J2183" s="3">
        <v>0.24999999999999994</v>
      </c>
      <c r="K2183" s="4">
        <v>5000</v>
      </c>
      <c r="L2183" s="5">
        <f t="shared" si="18"/>
        <v>1249.9999999999998</v>
      </c>
      <c r="M2183" s="5">
        <f t="shared" si="19"/>
        <v>499.99999999999994</v>
      </c>
      <c r="N2183" s="6">
        <v>0.4</v>
      </c>
    </row>
    <row r="2184" spans="1:14" ht="15.75" customHeight="1" x14ac:dyDescent="0.45">
      <c r="A2184" s="1" t="s">
        <v>119</v>
      </c>
      <c r="B2184" s="1">
        <v>1185732</v>
      </c>
      <c r="C2184" s="2">
        <v>44654</v>
      </c>
      <c r="D2184" s="1" t="s">
        <v>38</v>
      </c>
      <c r="E2184" s="1" t="s">
        <v>76</v>
      </c>
      <c r="F2184" s="1" t="s">
        <v>77</v>
      </c>
      <c r="G2184" s="1" t="s">
        <v>17</v>
      </c>
      <c r="H2184" s="1">
        <v>19</v>
      </c>
      <c r="I2184" s="1" t="s">
        <v>124</v>
      </c>
      <c r="J2184" s="3">
        <v>0.45</v>
      </c>
      <c r="K2184" s="4">
        <v>5250</v>
      </c>
      <c r="L2184" s="5">
        <f t="shared" si="18"/>
        <v>2362.5</v>
      </c>
      <c r="M2184" s="5">
        <f t="shared" si="19"/>
        <v>826.875</v>
      </c>
      <c r="N2184" s="6">
        <v>0.35</v>
      </c>
    </row>
    <row r="2185" spans="1:14" ht="15.75" customHeight="1" x14ac:dyDescent="0.45">
      <c r="A2185" s="1" t="s">
        <v>119</v>
      </c>
      <c r="B2185" s="1">
        <v>1185732</v>
      </c>
      <c r="C2185" s="2">
        <v>44654</v>
      </c>
      <c r="D2185" s="1" t="s">
        <v>38</v>
      </c>
      <c r="E2185" s="1" t="s">
        <v>76</v>
      </c>
      <c r="F2185" s="1" t="s">
        <v>77</v>
      </c>
      <c r="G2185" s="1" t="s">
        <v>18</v>
      </c>
      <c r="H2185" s="1">
        <v>52</v>
      </c>
      <c r="I2185" s="1" t="s">
        <v>125</v>
      </c>
      <c r="J2185" s="3">
        <v>0.35000000000000003</v>
      </c>
      <c r="K2185" s="4">
        <v>6750</v>
      </c>
      <c r="L2185" s="5">
        <f t="shared" si="18"/>
        <v>2362.5</v>
      </c>
      <c r="M2185" s="5">
        <f t="shared" si="19"/>
        <v>1181.25</v>
      </c>
      <c r="N2185" s="6">
        <v>0.5</v>
      </c>
    </row>
    <row r="2186" spans="1:14" ht="15.75" customHeight="1" x14ac:dyDescent="0.45">
      <c r="A2186" s="1" t="s">
        <v>119</v>
      </c>
      <c r="B2186" s="1">
        <v>1185732</v>
      </c>
      <c r="C2186" s="2">
        <v>44683</v>
      </c>
      <c r="D2186" s="1" t="s">
        <v>38</v>
      </c>
      <c r="E2186" s="1" t="s">
        <v>76</v>
      </c>
      <c r="F2186" s="1" t="s">
        <v>77</v>
      </c>
      <c r="G2186" s="1" t="s">
        <v>13</v>
      </c>
      <c r="H2186" s="1">
        <v>25</v>
      </c>
      <c r="I2186" s="1" t="s">
        <v>123</v>
      </c>
      <c r="J2186" s="3">
        <v>0.45</v>
      </c>
      <c r="K2186" s="4">
        <v>9450</v>
      </c>
      <c r="L2186" s="5">
        <f t="shared" si="18"/>
        <v>4252.5</v>
      </c>
      <c r="M2186" s="5">
        <f t="shared" si="19"/>
        <v>1701</v>
      </c>
      <c r="N2186" s="6">
        <v>0.4</v>
      </c>
    </row>
    <row r="2187" spans="1:14" ht="15.75" customHeight="1" x14ac:dyDescent="0.45">
      <c r="A2187" s="1" t="s">
        <v>119</v>
      </c>
      <c r="B2187" s="1">
        <v>1185732</v>
      </c>
      <c r="C2187" s="2">
        <v>44683</v>
      </c>
      <c r="D2187" s="1" t="s">
        <v>38</v>
      </c>
      <c r="E2187" s="1" t="s">
        <v>76</v>
      </c>
      <c r="F2187" s="1" t="s">
        <v>77</v>
      </c>
      <c r="G2187" s="1" t="s">
        <v>14</v>
      </c>
      <c r="H2187" s="1">
        <v>38</v>
      </c>
      <c r="I2187" s="1" t="s">
        <v>123</v>
      </c>
      <c r="J2187" s="3">
        <v>0.45</v>
      </c>
      <c r="K2187" s="4">
        <v>6500</v>
      </c>
      <c r="L2187" s="5">
        <f t="shared" si="18"/>
        <v>2925</v>
      </c>
      <c r="M2187" s="5">
        <f t="shared" si="19"/>
        <v>1023.7499999999999</v>
      </c>
      <c r="N2187" s="6">
        <v>0.35</v>
      </c>
    </row>
    <row r="2188" spans="1:14" ht="15.75" customHeight="1" x14ac:dyDescent="0.45">
      <c r="A2188" s="1" t="s">
        <v>119</v>
      </c>
      <c r="B2188" s="1">
        <v>1185732</v>
      </c>
      <c r="C2188" s="2">
        <v>44683</v>
      </c>
      <c r="D2188" s="1" t="s">
        <v>38</v>
      </c>
      <c r="E2188" s="1" t="s">
        <v>76</v>
      </c>
      <c r="F2188" s="1" t="s">
        <v>77</v>
      </c>
      <c r="G2188" s="1" t="s">
        <v>15</v>
      </c>
      <c r="H2188" s="1">
        <v>29</v>
      </c>
      <c r="I2188" s="1" t="s">
        <v>125</v>
      </c>
      <c r="J2188" s="3">
        <v>0.4</v>
      </c>
      <c r="K2188" s="4">
        <v>6250</v>
      </c>
      <c r="L2188" s="5">
        <f t="shared" si="18"/>
        <v>2500</v>
      </c>
      <c r="M2188" s="5">
        <f t="shared" si="19"/>
        <v>1000</v>
      </c>
      <c r="N2188" s="6">
        <v>0.4</v>
      </c>
    </row>
    <row r="2189" spans="1:14" ht="15.75" customHeight="1" x14ac:dyDescent="0.45">
      <c r="A2189" s="1" t="s">
        <v>119</v>
      </c>
      <c r="B2189" s="1">
        <v>1185732</v>
      </c>
      <c r="C2189" s="2">
        <v>44683</v>
      </c>
      <c r="D2189" s="1" t="s">
        <v>38</v>
      </c>
      <c r="E2189" s="1" t="s">
        <v>76</v>
      </c>
      <c r="F2189" s="1" t="s">
        <v>77</v>
      </c>
      <c r="G2189" s="1" t="s">
        <v>16</v>
      </c>
      <c r="H2189" s="1">
        <v>27</v>
      </c>
      <c r="I2189" s="1" t="s">
        <v>125</v>
      </c>
      <c r="J2189" s="3">
        <v>0.4</v>
      </c>
      <c r="K2189" s="4">
        <v>5750</v>
      </c>
      <c r="L2189" s="5">
        <f t="shared" si="18"/>
        <v>2300</v>
      </c>
      <c r="M2189" s="5">
        <f t="shared" si="19"/>
        <v>920</v>
      </c>
      <c r="N2189" s="6">
        <v>0.4</v>
      </c>
    </row>
    <row r="2190" spans="1:14" ht="15.75" customHeight="1" x14ac:dyDescent="0.45">
      <c r="A2190" s="1" t="s">
        <v>119</v>
      </c>
      <c r="B2190" s="1">
        <v>1185732</v>
      </c>
      <c r="C2190" s="2">
        <v>44683</v>
      </c>
      <c r="D2190" s="1" t="s">
        <v>38</v>
      </c>
      <c r="E2190" s="1" t="s">
        <v>76</v>
      </c>
      <c r="F2190" s="1" t="s">
        <v>77</v>
      </c>
      <c r="G2190" s="1" t="s">
        <v>17</v>
      </c>
      <c r="H2190" s="1">
        <v>24</v>
      </c>
      <c r="I2190" s="1" t="s">
        <v>123</v>
      </c>
      <c r="J2190" s="3">
        <v>0.49999999999999994</v>
      </c>
      <c r="K2190" s="4">
        <v>6000</v>
      </c>
      <c r="L2190" s="5">
        <f t="shared" si="18"/>
        <v>2999.9999999999995</v>
      </c>
      <c r="M2190" s="5">
        <f t="shared" si="19"/>
        <v>1049.9999999999998</v>
      </c>
      <c r="N2190" s="6">
        <v>0.35</v>
      </c>
    </row>
    <row r="2191" spans="1:14" ht="15.75" customHeight="1" x14ac:dyDescent="0.45">
      <c r="A2191" s="1" t="s">
        <v>119</v>
      </c>
      <c r="B2191" s="1">
        <v>1185732</v>
      </c>
      <c r="C2191" s="2">
        <v>44683</v>
      </c>
      <c r="D2191" s="1" t="s">
        <v>38</v>
      </c>
      <c r="E2191" s="1" t="s">
        <v>76</v>
      </c>
      <c r="F2191" s="1" t="s">
        <v>77</v>
      </c>
      <c r="G2191" s="1" t="s">
        <v>18</v>
      </c>
      <c r="H2191" s="1">
        <v>43</v>
      </c>
      <c r="I2191" s="1" t="s">
        <v>123</v>
      </c>
      <c r="J2191" s="3">
        <v>0.54999999999999993</v>
      </c>
      <c r="K2191" s="4">
        <v>7000</v>
      </c>
      <c r="L2191" s="5">
        <f t="shared" si="18"/>
        <v>3849.9999999999995</v>
      </c>
      <c r="M2191" s="5">
        <f t="shared" si="19"/>
        <v>1924.9999999999998</v>
      </c>
      <c r="N2191" s="6">
        <v>0.5</v>
      </c>
    </row>
    <row r="2192" spans="1:14" ht="15.75" customHeight="1" x14ac:dyDescent="0.45">
      <c r="A2192" s="1" t="s">
        <v>119</v>
      </c>
      <c r="B2192" s="1">
        <v>1185732</v>
      </c>
      <c r="C2192" s="2">
        <v>44716</v>
      </c>
      <c r="D2192" s="1" t="s">
        <v>38</v>
      </c>
      <c r="E2192" s="1" t="s">
        <v>76</v>
      </c>
      <c r="F2192" s="1" t="s">
        <v>77</v>
      </c>
      <c r="G2192" s="1" t="s">
        <v>13</v>
      </c>
      <c r="H2192" s="1">
        <v>17</v>
      </c>
      <c r="I2192" s="1" t="s">
        <v>124</v>
      </c>
      <c r="J2192" s="3">
        <v>0.49999999999999994</v>
      </c>
      <c r="K2192" s="4">
        <v>9500</v>
      </c>
      <c r="L2192" s="5">
        <f t="shared" si="18"/>
        <v>4749.9999999999991</v>
      </c>
      <c r="M2192" s="5">
        <f t="shared" si="19"/>
        <v>1899.9999999999998</v>
      </c>
      <c r="N2192" s="6">
        <v>0.4</v>
      </c>
    </row>
    <row r="2193" spans="1:14" ht="15.75" customHeight="1" x14ac:dyDescent="0.45">
      <c r="A2193" s="1" t="s">
        <v>119</v>
      </c>
      <c r="B2193" s="1">
        <v>1185732</v>
      </c>
      <c r="C2193" s="2">
        <v>44716</v>
      </c>
      <c r="D2193" s="1" t="s">
        <v>38</v>
      </c>
      <c r="E2193" s="1" t="s">
        <v>76</v>
      </c>
      <c r="F2193" s="1" t="s">
        <v>77</v>
      </c>
      <c r="G2193" s="1" t="s">
        <v>14</v>
      </c>
      <c r="H2193" s="1">
        <v>22</v>
      </c>
      <c r="I2193" s="1" t="s">
        <v>124</v>
      </c>
      <c r="J2193" s="3">
        <v>0.45</v>
      </c>
      <c r="K2193" s="4">
        <v>7000</v>
      </c>
      <c r="L2193" s="5">
        <f t="shared" si="18"/>
        <v>3150</v>
      </c>
      <c r="M2193" s="5">
        <f t="shared" si="19"/>
        <v>1102.5</v>
      </c>
      <c r="N2193" s="6">
        <v>0.35</v>
      </c>
    </row>
    <row r="2194" spans="1:14" ht="15.75" customHeight="1" x14ac:dyDescent="0.45">
      <c r="A2194" s="1" t="s">
        <v>119</v>
      </c>
      <c r="B2194" s="1">
        <v>1185732</v>
      </c>
      <c r="C2194" s="2">
        <v>44716</v>
      </c>
      <c r="D2194" s="1" t="s">
        <v>38</v>
      </c>
      <c r="E2194" s="1" t="s">
        <v>76</v>
      </c>
      <c r="F2194" s="1" t="s">
        <v>77</v>
      </c>
      <c r="G2194" s="1" t="s">
        <v>15</v>
      </c>
      <c r="H2194" s="1">
        <v>25</v>
      </c>
      <c r="I2194" s="1" t="s">
        <v>124</v>
      </c>
      <c r="J2194" s="3">
        <v>0.5</v>
      </c>
      <c r="K2194" s="4">
        <v>6750</v>
      </c>
      <c r="L2194" s="5">
        <f t="shared" si="18"/>
        <v>3375</v>
      </c>
      <c r="M2194" s="5">
        <f t="shared" si="19"/>
        <v>1350</v>
      </c>
      <c r="N2194" s="6">
        <v>0.4</v>
      </c>
    </row>
    <row r="2195" spans="1:14" ht="15.75" customHeight="1" x14ac:dyDescent="0.45">
      <c r="A2195" s="1" t="s">
        <v>119</v>
      </c>
      <c r="B2195" s="1">
        <v>1185732</v>
      </c>
      <c r="C2195" s="2">
        <v>44716</v>
      </c>
      <c r="D2195" s="1" t="s">
        <v>38</v>
      </c>
      <c r="E2195" s="1" t="s">
        <v>76</v>
      </c>
      <c r="F2195" s="1" t="s">
        <v>77</v>
      </c>
      <c r="G2195" s="1" t="s">
        <v>16</v>
      </c>
      <c r="H2195" s="1">
        <v>45</v>
      </c>
      <c r="I2195" s="1" t="s">
        <v>126</v>
      </c>
      <c r="J2195" s="3">
        <v>0.5</v>
      </c>
      <c r="K2195" s="4">
        <v>6500</v>
      </c>
      <c r="L2195" s="5">
        <f t="shared" si="18"/>
        <v>3250</v>
      </c>
      <c r="M2195" s="5">
        <f t="shared" si="19"/>
        <v>1300</v>
      </c>
      <c r="N2195" s="6">
        <v>0.4</v>
      </c>
    </row>
    <row r="2196" spans="1:14" ht="15.75" customHeight="1" x14ac:dyDescent="0.45">
      <c r="A2196" s="1" t="s">
        <v>119</v>
      </c>
      <c r="B2196" s="1">
        <v>1185732</v>
      </c>
      <c r="C2196" s="2">
        <v>44716</v>
      </c>
      <c r="D2196" s="1" t="s">
        <v>38</v>
      </c>
      <c r="E2196" s="1" t="s">
        <v>76</v>
      </c>
      <c r="F2196" s="1" t="s">
        <v>77</v>
      </c>
      <c r="G2196" s="1" t="s">
        <v>17</v>
      </c>
      <c r="H2196" s="1">
        <v>37</v>
      </c>
      <c r="I2196" s="1" t="s">
        <v>124</v>
      </c>
      <c r="J2196" s="3">
        <v>0.65</v>
      </c>
      <c r="K2196" s="4">
        <v>6500</v>
      </c>
      <c r="L2196" s="5">
        <f t="shared" si="18"/>
        <v>4225</v>
      </c>
      <c r="M2196" s="5">
        <f t="shared" si="19"/>
        <v>1478.75</v>
      </c>
      <c r="N2196" s="6">
        <v>0.35</v>
      </c>
    </row>
    <row r="2197" spans="1:14" ht="15.75" customHeight="1" x14ac:dyDescent="0.45">
      <c r="A2197" s="1" t="s">
        <v>119</v>
      </c>
      <c r="B2197" s="1">
        <v>1185732</v>
      </c>
      <c r="C2197" s="2">
        <v>44716</v>
      </c>
      <c r="D2197" s="1" t="s">
        <v>38</v>
      </c>
      <c r="E2197" s="1" t="s">
        <v>76</v>
      </c>
      <c r="F2197" s="1" t="s">
        <v>77</v>
      </c>
      <c r="G2197" s="1" t="s">
        <v>18</v>
      </c>
      <c r="H2197" s="1">
        <v>54</v>
      </c>
      <c r="I2197" s="1" t="s">
        <v>123</v>
      </c>
      <c r="J2197" s="3">
        <v>0.70000000000000007</v>
      </c>
      <c r="K2197" s="4">
        <v>8250</v>
      </c>
      <c r="L2197" s="5">
        <f t="shared" si="18"/>
        <v>5775.0000000000009</v>
      </c>
      <c r="M2197" s="5">
        <f t="shared" si="19"/>
        <v>2887.5000000000005</v>
      </c>
      <c r="N2197" s="6">
        <v>0.5</v>
      </c>
    </row>
    <row r="2198" spans="1:14" ht="15.75" customHeight="1" x14ac:dyDescent="0.45">
      <c r="A2198" s="1" t="s">
        <v>119</v>
      </c>
      <c r="B2198" s="1">
        <v>1185732</v>
      </c>
      <c r="C2198" s="2">
        <v>44744</v>
      </c>
      <c r="D2198" s="1" t="s">
        <v>38</v>
      </c>
      <c r="E2198" s="1" t="s">
        <v>76</v>
      </c>
      <c r="F2198" s="1" t="s">
        <v>77</v>
      </c>
      <c r="G2198" s="1" t="s">
        <v>13</v>
      </c>
      <c r="H2198" s="1">
        <v>52</v>
      </c>
      <c r="I2198" s="1" t="s">
        <v>123</v>
      </c>
      <c r="J2198" s="3">
        <v>0.65</v>
      </c>
      <c r="K2198" s="4">
        <v>10500</v>
      </c>
      <c r="L2198" s="5">
        <f t="shared" si="18"/>
        <v>6825</v>
      </c>
      <c r="M2198" s="5">
        <f t="shared" si="19"/>
        <v>2730</v>
      </c>
      <c r="N2198" s="6">
        <v>0.4</v>
      </c>
    </row>
    <row r="2199" spans="1:14" ht="15.75" customHeight="1" x14ac:dyDescent="0.45">
      <c r="A2199" s="1" t="s">
        <v>119</v>
      </c>
      <c r="B2199" s="1">
        <v>1185732</v>
      </c>
      <c r="C2199" s="2">
        <v>44744</v>
      </c>
      <c r="D2199" s="1" t="s">
        <v>38</v>
      </c>
      <c r="E2199" s="1" t="s">
        <v>76</v>
      </c>
      <c r="F2199" s="1" t="s">
        <v>77</v>
      </c>
      <c r="G2199" s="1" t="s">
        <v>14</v>
      </c>
      <c r="H2199" s="1">
        <v>51</v>
      </c>
      <c r="I2199" s="1" t="s">
        <v>125</v>
      </c>
      <c r="J2199" s="3">
        <v>0.60000000000000009</v>
      </c>
      <c r="K2199" s="4">
        <v>8000</v>
      </c>
      <c r="L2199" s="5">
        <f t="shared" si="18"/>
        <v>4800.0000000000009</v>
      </c>
      <c r="M2199" s="5">
        <f t="shared" si="19"/>
        <v>1680.0000000000002</v>
      </c>
      <c r="N2199" s="6">
        <v>0.35</v>
      </c>
    </row>
    <row r="2200" spans="1:14" ht="15.75" customHeight="1" x14ac:dyDescent="0.45">
      <c r="A2200" s="1" t="s">
        <v>119</v>
      </c>
      <c r="B2200" s="1">
        <v>1185732</v>
      </c>
      <c r="C2200" s="2">
        <v>44744</v>
      </c>
      <c r="D2200" s="1" t="s">
        <v>38</v>
      </c>
      <c r="E2200" s="1" t="s">
        <v>76</v>
      </c>
      <c r="F2200" s="1" t="s">
        <v>77</v>
      </c>
      <c r="G2200" s="1" t="s">
        <v>15</v>
      </c>
      <c r="H2200" s="1">
        <v>15</v>
      </c>
      <c r="I2200" s="1" t="s">
        <v>126</v>
      </c>
      <c r="J2200" s="3">
        <v>0.55000000000000004</v>
      </c>
      <c r="K2200" s="4">
        <v>7250</v>
      </c>
      <c r="L2200" s="5">
        <f t="shared" si="18"/>
        <v>3987.5000000000005</v>
      </c>
      <c r="M2200" s="5">
        <f t="shared" si="19"/>
        <v>1595.0000000000002</v>
      </c>
      <c r="N2200" s="6">
        <v>0.4</v>
      </c>
    </row>
    <row r="2201" spans="1:14" ht="15.75" customHeight="1" x14ac:dyDescent="0.45">
      <c r="A2201" s="1" t="s">
        <v>119</v>
      </c>
      <c r="B2201" s="1">
        <v>1185732</v>
      </c>
      <c r="C2201" s="2">
        <v>44744</v>
      </c>
      <c r="D2201" s="1" t="s">
        <v>38</v>
      </c>
      <c r="E2201" s="1" t="s">
        <v>76</v>
      </c>
      <c r="F2201" s="1" t="s">
        <v>77</v>
      </c>
      <c r="G2201" s="1" t="s">
        <v>16</v>
      </c>
      <c r="H2201" s="1">
        <v>54</v>
      </c>
      <c r="I2201" s="1" t="s">
        <v>125</v>
      </c>
      <c r="J2201" s="3">
        <v>0.55000000000000004</v>
      </c>
      <c r="K2201" s="4">
        <v>6750</v>
      </c>
      <c r="L2201" s="5">
        <f t="shared" si="18"/>
        <v>3712.5000000000005</v>
      </c>
      <c r="M2201" s="5">
        <f t="shared" si="19"/>
        <v>1485.0000000000002</v>
      </c>
      <c r="N2201" s="6">
        <v>0.4</v>
      </c>
    </row>
    <row r="2202" spans="1:14" ht="15.75" customHeight="1" x14ac:dyDescent="0.45">
      <c r="A2202" s="1" t="s">
        <v>119</v>
      </c>
      <c r="B2202" s="1">
        <v>1185732</v>
      </c>
      <c r="C2202" s="2">
        <v>44744</v>
      </c>
      <c r="D2202" s="1" t="s">
        <v>38</v>
      </c>
      <c r="E2202" s="1" t="s">
        <v>76</v>
      </c>
      <c r="F2202" s="1" t="s">
        <v>77</v>
      </c>
      <c r="G2202" s="1" t="s">
        <v>17</v>
      </c>
      <c r="H2202" s="1">
        <v>60</v>
      </c>
      <c r="I2202" s="1" t="s">
        <v>124</v>
      </c>
      <c r="J2202" s="3">
        <v>0.65</v>
      </c>
      <c r="K2202" s="4">
        <v>7000</v>
      </c>
      <c r="L2202" s="5">
        <f t="shared" si="18"/>
        <v>4550</v>
      </c>
      <c r="M2202" s="5">
        <f t="shared" si="19"/>
        <v>1592.5</v>
      </c>
      <c r="N2202" s="6">
        <v>0.35</v>
      </c>
    </row>
    <row r="2203" spans="1:14" ht="15.75" customHeight="1" x14ac:dyDescent="0.45">
      <c r="A2203" s="1" t="s">
        <v>119</v>
      </c>
      <c r="B2203" s="1">
        <v>1185732</v>
      </c>
      <c r="C2203" s="2">
        <v>44744</v>
      </c>
      <c r="D2203" s="1" t="s">
        <v>38</v>
      </c>
      <c r="E2203" s="1" t="s">
        <v>76</v>
      </c>
      <c r="F2203" s="1" t="s">
        <v>77</v>
      </c>
      <c r="G2203" s="1" t="s">
        <v>18</v>
      </c>
      <c r="H2203" s="1">
        <v>34</v>
      </c>
      <c r="I2203" s="1" t="s">
        <v>125</v>
      </c>
      <c r="J2203" s="3">
        <v>0.70000000000000007</v>
      </c>
      <c r="K2203" s="4">
        <v>8750</v>
      </c>
      <c r="L2203" s="5">
        <f t="shared" si="18"/>
        <v>6125.0000000000009</v>
      </c>
      <c r="M2203" s="5">
        <f t="shared" si="19"/>
        <v>3062.5000000000005</v>
      </c>
      <c r="N2203" s="6">
        <v>0.5</v>
      </c>
    </row>
    <row r="2204" spans="1:14" ht="15.75" customHeight="1" x14ac:dyDescent="0.45">
      <c r="A2204" s="1" t="s">
        <v>119</v>
      </c>
      <c r="B2204" s="1">
        <v>1185732</v>
      </c>
      <c r="C2204" s="2">
        <v>44776</v>
      </c>
      <c r="D2204" s="1" t="s">
        <v>38</v>
      </c>
      <c r="E2204" s="1" t="s">
        <v>76</v>
      </c>
      <c r="F2204" s="1" t="s">
        <v>77</v>
      </c>
      <c r="G2204" s="1" t="s">
        <v>13</v>
      </c>
      <c r="H2204" s="1">
        <v>17</v>
      </c>
      <c r="I2204" s="1" t="s">
        <v>126</v>
      </c>
      <c r="J2204" s="3">
        <v>0.65</v>
      </c>
      <c r="K2204" s="4">
        <v>10250</v>
      </c>
      <c r="L2204" s="5">
        <f t="shared" si="18"/>
        <v>6662.5</v>
      </c>
      <c r="M2204" s="5">
        <f t="shared" si="19"/>
        <v>2665</v>
      </c>
      <c r="N2204" s="6">
        <v>0.4</v>
      </c>
    </row>
    <row r="2205" spans="1:14" ht="15.75" customHeight="1" x14ac:dyDescent="0.45">
      <c r="A2205" s="1" t="s">
        <v>119</v>
      </c>
      <c r="B2205" s="1">
        <v>1185732</v>
      </c>
      <c r="C2205" s="2">
        <v>44776</v>
      </c>
      <c r="D2205" s="1" t="s">
        <v>38</v>
      </c>
      <c r="E2205" s="1" t="s">
        <v>76</v>
      </c>
      <c r="F2205" s="1" t="s">
        <v>77</v>
      </c>
      <c r="G2205" s="1" t="s">
        <v>14</v>
      </c>
      <c r="H2205" s="1">
        <v>49</v>
      </c>
      <c r="I2205" s="1" t="s">
        <v>125</v>
      </c>
      <c r="J2205" s="3">
        <v>0.60000000000000009</v>
      </c>
      <c r="K2205" s="4">
        <v>8000</v>
      </c>
      <c r="L2205" s="5">
        <f t="shared" si="18"/>
        <v>4800.0000000000009</v>
      </c>
      <c r="M2205" s="5">
        <f t="shared" si="19"/>
        <v>1680.0000000000002</v>
      </c>
      <c r="N2205" s="6">
        <v>0.35</v>
      </c>
    </row>
    <row r="2206" spans="1:14" ht="15.75" customHeight="1" x14ac:dyDescent="0.45">
      <c r="A2206" s="1" t="s">
        <v>119</v>
      </c>
      <c r="B2206" s="1">
        <v>1185732</v>
      </c>
      <c r="C2206" s="2">
        <v>44776</v>
      </c>
      <c r="D2206" s="1" t="s">
        <v>38</v>
      </c>
      <c r="E2206" s="1" t="s">
        <v>76</v>
      </c>
      <c r="F2206" s="1" t="s">
        <v>77</v>
      </c>
      <c r="G2206" s="1" t="s">
        <v>15</v>
      </c>
      <c r="H2206" s="1">
        <v>37</v>
      </c>
      <c r="I2206" s="1" t="s">
        <v>124</v>
      </c>
      <c r="J2206" s="3">
        <v>0.55000000000000004</v>
      </c>
      <c r="K2206" s="4">
        <v>7250</v>
      </c>
      <c r="L2206" s="5">
        <f t="shared" si="18"/>
        <v>3987.5000000000005</v>
      </c>
      <c r="M2206" s="5">
        <f t="shared" si="19"/>
        <v>1595.0000000000002</v>
      </c>
      <c r="N2206" s="6">
        <v>0.4</v>
      </c>
    </row>
    <row r="2207" spans="1:14" ht="15.75" customHeight="1" x14ac:dyDescent="0.45">
      <c r="A2207" s="1" t="s">
        <v>119</v>
      </c>
      <c r="B2207" s="1">
        <v>1185732</v>
      </c>
      <c r="C2207" s="2">
        <v>44776</v>
      </c>
      <c r="D2207" s="1" t="s">
        <v>38</v>
      </c>
      <c r="E2207" s="1" t="s">
        <v>76</v>
      </c>
      <c r="F2207" s="1" t="s">
        <v>77</v>
      </c>
      <c r="G2207" s="1" t="s">
        <v>16</v>
      </c>
      <c r="H2207" s="1">
        <v>58</v>
      </c>
      <c r="I2207" s="1" t="s">
        <v>125</v>
      </c>
      <c r="J2207" s="3">
        <v>0.45</v>
      </c>
      <c r="K2207" s="4">
        <v>6750</v>
      </c>
      <c r="L2207" s="5">
        <f t="shared" si="18"/>
        <v>3037.5</v>
      </c>
      <c r="M2207" s="5">
        <f t="shared" si="19"/>
        <v>1215</v>
      </c>
      <c r="N2207" s="6">
        <v>0.4</v>
      </c>
    </row>
    <row r="2208" spans="1:14" ht="15.75" customHeight="1" x14ac:dyDescent="0.45">
      <c r="A2208" s="1" t="s">
        <v>119</v>
      </c>
      <c r="B2208" s="1">
        <v>1185732</v>
      </c>
      <c r="C2208" s="2">
        <v>44776</v>
      </c>
      <c r="D2208" s="1" t="s">
        <v>38</v>
      </c>
      <c r="E2208" s="1" t="s">
        <v>76</v>
      </c>
      <c r="F2208" s="1" t="s">
        <v>77</v>
      </c>
      <c r="G2208" s="1" t="s">
        <v>17</v>
      </c>
      <c r="H2208" s="1">
        <v>42</v>
      </c>
      <c r="I2208" s="1" t="s">
        <v>124</v>
      </c>
      <c r="J2208" s="3">
        <v>0.55000000000000004</v>
      </c>
      <c r="K2208" s="4">
        <v>6500</v>
      </c>
      <c r="L2208" s="5">
        <f t="shared" si="18"/>
        <v>3575.0000000000005</v>
      </c>
      <c r="M2208" s="5">
        <f t="shared" si="19"/>
        <v>1251.25</v>
      </c>
      <c r="N2208" s="6">
        <v>0.35</v>
      </c>
    </row>
    <row r="2209" spans="1:14" ht="15.75" customHeight="1" x14ac:dyDescent="0.45">
      <c r="A2209" s="1" t="s">
        <v>119</v>
      </c>
      <c r="B2209" s="1">
        <v>1185732</v>
      </c>
      <c r="C2209" s="2">
        <v>44776</v>
      </c>
      <c r="D2209" s="1" t="s">
        <v>38</v>
      </c>
      <c r="E2209" s="1" t="s">
        <v>76</v>
      </c>
      <c r="F2209" s="1" t="s">
        <v>77</v>
      </c>
      <c r="G2209" s="1" t="s">
        <v>18</v>
      </c>
      <c r="H2209" s="1">
        <v>38</v>
      </c>
      <c r="I2209" s="1" t="s">
        <v>126</v>
      </c>
      <c r="J2209" s="3">
        <v>0.60000000000000009</v>
      </c>
      <c r="K2209" s="4">
        <v>8250</v>
      </c>
      <c r="L2209" s="5">
        <f t="shared" si="18"/>
        <v>4950.0000000000009</v>
      </c>
      <c r="M2209" s="5">
        <f t="shared" si="19"/>
        <v>2475.0000000000005</v>
      </c>
      <c r="N2209" s="6">
        <v>0.5</v>
      </c>
    </row>
    <row r="2210" spans="1:14" ht="15.75" customHeight="1" x14ac:dyDescent="0.45">
      <c r="A2210" s="1" t="s">
        <v>119</v>
      </c>
      <c r="B2210" s="1">
        <v>1185732</v>
      </c>
      <c r="C2210" s="2">
        <v>44806</v>
      </c>
      <c r="D2210" s="1" t="s">
        <v>38</v>
      </c>
      <c r="E2210" s="1" t="s">
        <v>76</v>
      </c>
      <c r="F2210" s="1" t="s">
        <v>77</v>
      </c>
      <c r="G2210" s="1" t="s">
        <v>13</v>
      </c>
      <c r="H2210" s="1">
        <v>52</v>
      </c>
      <c r="I2210" s="1" t="s">
        <v>124</v>
      </c>
      <c r="J2210" s="3">
        <v>0.55000000000000004</v>
      </c>
      <c r="K2210" s="4">
        <v>9250</v>
      </c>
      <c r="L2210" s="5">
        <f t="shared" si="18"/>
        <v>5087.5</v>
      </c>
      <c r="M2210" s="5">
        <f t="shared" si="19"/>
        <v>2035</v>
      </c>
      <c r="N2210" s="6">
        <v>0.4</v>
      </c>
    </row>
    <row r="2211" spans="1:14" ht="15.75" customHeight="1" x14ac:dyDescent="0.45">
      <c r="A2211" s="1" t="s">
        <v>119</v>
      </c>
      <c r="B2211" s="1">
        <v>1185732</v>
      </c>
      <c r="C2211" s="2">
        <v>44806</v>
      </c>
      <c r="D2211" s="1" t="s">
        <v>38</v>
      </c>
      <c r="E2211" s="1" t="s">
        <v>76</v>
      </c>
      <c r="F2211" s="1" t="s">
        <v>77</v>
      </c>
      <c r="G2211" s="1" t="s">
        <v>14</v>
      </c>
      <c r="H2211" s="1">
        <v>24</v>
      </c>
      <c r="I2211" s="1" t="s">
        <v>125</v>
      </c>
      <c r="J2211" s="3">
        <v>0.50000000000000011</v>
      </c>
      <c r="K2211" s="4">
        <v>7250</v>
      </c>
      <c r="L2211" s="5">
        <f t="shared" si="18"/>
        <v>3625.0000000000009</v>
      </c>
      <c r="M2211" s="5">
        <f t="shared" si="19"/>
        <v>1268.7500000000002</v>
      </c>
      <c r="N2211" s="6">
        <v>0.35</v>
      </c>
    </row>
    <row r="2212" spans="1:14" ht="15.75" customHeight="1" x14ac:dyDescent="0.45">
      <c r="A2212" s="1" t="s">
        <v>119</v>
      </c>
      <c r="B2212" s="1">
        <v>1185732</v>
      </c>
      <c r="C2212" s="2">
        <v>44806</v>
      </c>
      <c r="D2212" s="1" t="s">
        <v>38</v>
      </c>
      <c r="E2212" s="1" t="s">
        <v>76</v>
      </c>
      <c r="F2212" s="1" t="s">
        <v>77</v>
      </c>
      <c r="G2212" s="1" t="s">
        <v>15</v>
      </c>
      <c r="H2212" s="1">
        <v>17</v>
      </c>
      <c r="I2212" s="1" t="s">
        <v>125</v>
      </c>
      <c r="J2212" s="3">
        <v>0.30000000000000004</v>
      </c>
      <c r="K2212" s="4">
        <v>6250</v>
      </c>
      <c r="L2212" s="5">
        <f t="shared" si="18"/>
        <v>1875.0000000000002</v>
      </c>
      <c r="M2212" s="5">
        <f t="shared" si="19"/>
        <v>750.00000000000011</v>
      </c>
      <c r="N2212" s="6">
        <v>0.4</v>
      </c>
    </row>
    <row r="2213" spans="1:14" ht="15.75" customHeight="1" x14ac:dyDescent="0.45">
      <c r="A2213" s="1" t="s">
        <v>119</v>
      </c>
      <c r="B2213" s="1">
        <v>1185732</v>
      </c>
      <c r="C2213" s="2">
        <v>44806</v>
      </c>
      <c r="D2213" s="1" t="s">
        <v>38</v>
      </c>
      <c r="E2213" s="1" t="s">
        <v>76</v>
      </c>
      <c r="F2213" s="1" t="s">
        <v>77</v>
      </c>
      <c r="G2213" s="1" t="s">
        <v>16</v>
      </c>
      <c r="H2213" s="1">
        <v>52</v>
      </c>
      <c r="I2213" s="1" t="s">
        <v>126</v>
      </c>
      <c r="J2213" s="3">
        <v>0.30000000000000004</v>
      </c>
      <c r="K2213" s="4">
        <v>6000</v>
      </c>
      <c r="L2213" s="5">
        <f t="shared" si="18"/>
        <v>1800.0000000000002</v>
      </c>
      <c r="M2213" s="5">
        <f t="shared" si="19"/>
        <v>720.00000000000011</v>
      </c>
      <c r="N2213" s="6">
        <v>0.4</v>
      </c>
    </row>
    <row r="2214" spans="1:14" ht="15.75" customHeight="1" x14ac:dyDescent="0.45">
      <c r="A2214" s="1" t="s">
        <v>119</v>
      </c>
      <c r="B2214" s="1">
        <v>1185732</v>
      </c>
      <c r="C2214" s="2">
        <v>44806</v>
      </c>
      <c r="D2214" s="1" t="s">
        <v>38</v>
      </c>
      <c r="E2214" s="1" t="s">
        <v>76</v>
      </c>
      <c r="F2214" s="1" t="s">
        <v>77</v>
      </c>
      <c r="G2214" s="1" t="s">
        <v>17</v>
      </c>
      <c r="H2214" s="1">
        <v>30</v>
      </c>
      <c r="I2214" s="1" t="s">
        <v>126</v>
      </c>
      <c r="J2214" s="3">
        <v>0.4</v>
      </c>
      <c r="K2214" s="4">
        <v>6000</v>
      </c>
      <c r="L2214" s="5">
        <f t="shared" si="18"/>
        <v>2400</v>
      </c>
      <c r="M2214" s="5">
        <f t="shared" si="19"/>
        <v>840</v>
      </c>
      <c r="N2214" s="6">
        <v>0.35</v>
      </c>
    </row>
    <row r="2215" spans="1:14" ht="15.75" customHeight="1" x14ac:dyDescent="0.45">
      <c r="A2215" s="1" t="s">
        <v>119</v>
      </c>
      <c r="B2215" s="1">
        <v>1185732</v>
      </c>
      <c r="C2215" s="2">
        <v>44806</v>
      </c>
      <c r="D2215" s="1" t="s">
        <v>38</v>
      </c>
      <c r="E2215" s="1" t="s">
        <v>76</v>
      </c>
      <c r="F2215" s="1" t="s">
        <v>77</v>
      </c>
      <c r="G2215" s="1" t="s">
        <v>18</v>
      </c>
      <c r="H2215" s="1">
        <v>17</v>
      </c>
      <c r="I2215" s="1" t="s">
        <v>123</v>
      </c>
      <c r="J2215" s="3">
        <v>0.45000000000000007</v>
      </c>
      <c r="K2215" s="4">
        <v>7000</v>
      </c>
      <c r="L2215" s="5">
        <f t="shared" si="18"/>
        <v>3150.0000000000005</v>
      </c>
      <c r="M2215" s="5">
        <f t="shared" si="19"/>
        <v>1575.0000000000002</v>
      </c>
      <c r="N2215" s="6">
        <v>0.5</v>
      </c>
    </row>
    <row r="2216" spans="1:14" ht="15.75" customHeight="1" x14ac:dyDescent="0.45">
      <c r="A2216" s="1" t="s">
        <v>119</v>
      </c>
      <c r="B2216" s="1">
        <v>1185732</v>
      </c>
      <c r="C2216" s="2">
        <v>44838</v>
      </c>
      <c r="D2216" s="1" t="s">
        <v>38</v>
      </c>
      <c r="E2216" s="1" t="s">
        <v>76</v>
      </c>
      <c r="F2216" s="1" t="s">
        <v>77</v>
      </c>
      <c r="G2216" s="1" t="s">
        <v>13</v>
      </c>
      <c r="H2216" s="1">
        <v>22</v>
      </c>
      <c r="I2216" s="1" t="s">
        <v>126</v>
      </c>
      <c r="J2216" s="3">
        <v>0.45000000000000007</v>
      </c>
      <c r="K2216" s="4">
        <v>8750</v>
      </c>
      <c r="L2216" s="5">
        <f t="shared" si="18"/>
        <v>3937.5000000000005</v>
      </c>
      <c r="M2216" s="5">
        <f t="shared" si="19"/>
        <v>1575.0000000000002</v>
      </c>
      <c r="N2216" s="6">
        <v>0.4</v>
      </c>
    </row>
    <row r="2217" spans="1:14" ht="15.75" customHeight="1" x14ac:dyDescent="0.45">
      <c r="A2217" s="1" t="s">
        <v>119</v>
      </c>
      <c r="B2217" s="1">
        <v>1185732</v>
      </c>
      <c r="C2217" s="2">
        <v>44838</v>
      </c>
      <c r="D2217" s="1" t="s">
        <v>38</v>
      </c>
      <c r="E2217" s="1" t="s">
        <v>76</v>
      </c>
      <c r="F2217" s="1" t="s">
        <v>77</v>
      </c>
      <c r="G2217" s="1" t="s">
        <v>14</v>
      </c>
      <c r="H2217" s="1">
        <v>18</v>
      </c>
      <c r="I2217" s="1" t="s">
        <v>123</v>
      </c>
      <c r="J2217" s="3">
        <v>0.35000000000000009</v>
      </c>
      <c r="K2217" s="4">
        <v>7000</v>
      </c>
      <c r="L2217" s="5">
        <f t="shared" si="18"/>
        <v>2450.0000000000005</v>
      </c>
      <c r="M2217" s="5">
        <f t="shared" si="19"/>
        <v>857.50000000000011</v>
      </c>
      <c r="N2217" s="6">
        <v>0.35</v>
      </c>
    </row>
    <row r="2218" spans="1:14" ht="15.75" customHeight="1" x14ac:dyDescent="0.45">
      <c r="A2218" s="1" t="s">
        <v>119</v>
      </c>
      <c r="B2218" s="1">
        <v>1185732</v>
      </c>
      <c r="C2218" s="2">
        <v>44838</v>
      </c>
      <c r="D2218" s="1" t="s">
        <v>38</v>
      </c>
      <c r="E2218" s="1" t="s">
        <v>76</v>
      </c>
      <c r="F2218" s="1" t="s">
        <v>77</v>
      </c>
      <c r="G2218" s="1" t="s">
        <v>15</v>
      </c>
      <c r="H2218" s="1">
        <v>44</v>
      </c>
      <c r="I2218" s="1" t="s">
        <v>126</v>
      </c>
      <c r="J2218" s="3">
        <v>0.35000000000000009</v>
      </c>
      <c r="K2218" s="4">
        <v>5750</v>
      </c>
      <c r="L2218" s="5">
        <f t="shared" si="18"/>
        <v>2012.5000000000005</v>
      </c>
      <c r="M2218" s="5">
        <f t="shared" si="19"/>
        <v>805.00000000000023</v>
      </c>
      <c r="N2218" s="6">
        <v>0.4</v>
      </c>
    </row>
    <row r="2219" spans="1:14" ht="15.75" customHeight="1" x14ac:dyDescent="0.45">
      <c r="A2219" s="1" t="s">
        <v>119</v>
      </c>
      <c r="B2219" s="1">
        <v>1185732</v>
      </c>
      <c r="C2219" s="2">
        <v>44838</v>
      </c>
      <c r="D2219" s="1" t="s">
        <v>38</v>
      </c>
      <c r="E2219" s="1" t="s">
        <v>76</v>
      </c>
      <c r="F2219" s="1" t="s">
        <v>77</v>
      </c>
      <c r="G2219" s="1" t="s">
        <v>16</v>
      </c>
      <c r="H2219" s="1">
        <v>51</v>
      </c>
      <c r="I2219" s="1" t="s">
        <v>125</v>
      </c>
      <c r="J2219" s="3">
        <v>0.35000000000000009</v>
      </c>
      <c r="K2219" s="4">
        <v>5500</v>
      </c>
      <c r="L2219" s="5">
        <f t="shared" si="18"/>
        <v>1925.0000000000005</v>
      </c>
      <c r="M2219" s="5">
        <f t="shared" si="19"/>
        <v>770.00000000000023</v>
      </c>
      <c r="N2219" s="6">
        <v>0.4</v>
      </c>
    </row>
    <row r="2220" spans="1:14" ht="15.75" customHeight="1" x14ac:dyDescent="0.45">
      <c r="A2220" s="1" t="s">
        <v>119</v>
      </c>
      <c r="B2220" s="1">
        <v>1185732</v>
      </c>
      <c r="C2220" s="2">
        <v>44838</v>
      </c>
      <c r="D2220" s="1" t="s">
        <v>38</v>
      </c>
      <c r="E2220" s="1" t="s">
        <v>76</v>
      </c>
      <c r="F2220" s="1" t="s">
        <v>77</v>
      </c>
      <c r="G2220" s="1" t="s">
        <v>17</v>
      </c>
      <c r="H2220" s="1">
        <v>34</v>
      </c>
      <c r="I2220" s="1" t="s">
        <v>124</v>
      </c>
      <c r="J2220" s="3">
        <v>0.45000000000000007</v>
      </c>
      <c r="K2220" s="4">
        <v>5500</v>
      </c>
      <c r="L2220" s="5">
        <f t="shared" si="18"/>
        <v>2475.0000000000005</v>
      </c>
      <c r="M2220" s="5">
        <f t="shared" si="19"/>
        <v>866.25000000000011</v>
      </c>
      <c r="N2220" s="6">
        <v>0.35</v>
      </c>
    </row>
    <row r="2221" spans="1:14" ht="15.75" customHeight="1" x14ac:dyDescent="0.45">
      <c r="A2221" s="1" t="s">
        <v>119</v>
      </c>
      <c r="B2221" s="1">
        <v>1185732</v>
      </c>
      <c r="C2221" s="2">
        <v>44838</v>
      </c>
      <c r="D2221" s="1" t="s">
        <v>38</v>
      </c>
      <c r="E2221" s="1" t="s">
        <v>76</v>
      </c>
      <c r="F2221" s="1" t="s">
        <v>77</v>
      </c>
      <c r="G2221" s="1" t="s">
        <v>18</v>
      </c>
      <c r="H2221" s="1">
        <v>44</v>
      </c>
      <c r="I2221" s="1" t="s">
        <v>124</v>
      </c>
      <c r="J2221" s="3">
        <v>0.5</v>
      </c>
      <c r="K2221" s="4">
        <v>6750</v>
      </c>
      <c r="L2221" s="5">
        <f t="shared" si="18"/>
        <v>3375</v>
      </c>
      <c r="M2221" s="5">
        <f t="shared" si="19"/>
        <v>1687.5</v>
      </c>
      <c r="N2221" s="6">
        <v>0.5</v>
      </c>
    </row>
    <row r="2222" spans="1:14" ht="15.75" customHeight="1" x14ac:dyDescent="0.45">
      <c r="A2222" s="1" t="s">
        <v>119</v>
      </c>
      <c r="B2222" s="1">
        <v>1185732</v>
      </c>
      <c r="C2222" s="2">
        <v>44868</v>
      </c>
      <c r="D2222" s="1" t="s">
        <v>38</v>
      </c>
      <c r="E2222" s="1" t="s">
        <v>76</v>
      </c>
      <c r="F2222" s="1" t="s">
        <v>77</v>
      </c>
      <c r="G2222" s="1" t="s">
        <v>13</v>
      </c>
      <c r="H2222" s="1">
        <v>48</v>
      </c>
      <c r="I2222" s="1" t="s">
        <v>123</v>
      </c>
      <c r="J2222" s="3">
        <v>0.45000000000000007</v>
      </c>
      <c r="K2222" s="4">
        <v>8250</v>
      </c>
      <c r="L2222" s="5">
        <f t="shared" si="18"/>
        <v>3712.5000000000005</v>
      </c>
      <c r="M2222" s="5">
        <f t="shared" si="19"/>
        <v>1485.0000000000002</v>
      </c>
      <c r="N2222" s="6">
        <v>0.4</v>
      </c>
    </row>
    <row r="2223" spans="1:14" ht="15.75" customHeight="1" x14ac:dyDescent="0.45">
      <c r="A2223" s="1" t="s">
        <v>119</v>
      </c>
      <c r="B2223" s="1">
        <v>1185732</v>
      </c>
      <c r="C2223" s="2">
        <v>44868</v>
      </c>
      <c r="D2223" s="1" t="s">
        <v>38</v>
      </c>
      <c r="E2223" s="1" t="s">
        <v>76</v>
      </c>
      <c r="F2223" s="1" t="s">
        <v>77</v>
      </c>
      <c r="G2223" s="1" t="s">
        <v>14</v>
      </c>
      <c r="H2223" s="1">
        <v>47</v>
      </c>
      <c r="I2223" s="1" t="s">
        <v>124</v>
      </c>
      <c r="J2223" s="3">
        <v>0.35000000000000009</v>
      </c>
      <c r="K2223" s="4">
        <v>6500</v>
      </c>
      <c r="L2223" s="5">
        <f t="shared" si="18"/>
        <v>2275.0000000000005</v>
      </c>
      <c r="M2223" s="5">
        <f t="shared" si="19"/>
        <v>796.25000000000011</v>
      </c>
      <c r="N2223" s="6">
        <v>0.35</v>
      </c>
    </row>
    <row r="2224" spans="1:14" ht="15.75" customHeight="1" x14ac:dyDescent="0.45">
      <c r="A2224" s="1" t="s">
        <v>119</v>
      </c>
      <c r="B2224" s="1">
        <v>1185732</v>
      </c>
      <c r="C2224" s="2">
        <v>44868</v>
      </c>
      <c r="D2224" s="1" t="s">
        <v>38</v>
      </c>
      <c r="E2224" s="1" t="s">
        <v>76</v>
      </c>
      <c r="F2224" s="1" t="s">
        <v>77</v>
      </c>
      <c r="G2224" s="1" t="s">
        <v>15</v>
      </c>
      <c r="H2224" s="1">
        <v>59</v>
      </c>
      <c r="I2224" s="1" t="s">
        <v>123</v>
      </c>
      <c r="J2224" s="3">
        <v>0.40000000000000013</v>
      </c>
      <c r="K2224" s="4">
        <v>5950</v>
      </c>
      <c r="L2224" s="5">
        <f t="shared" si="18"/>
        <v>2380.0000000000009</v>
      </c>
      <c r="M2224" s="5">
        <f t="shared" si="19"/>
        <v>952.00000000000045</v>
      </c>
      <c r="N2224" s="6">
        <v>0.4</v>
      </c>
    </row>
    <row r="2225" spans="1:14" ht="15.75" customHeight="1" x14ac:dyDescent="0.45">
      <c r="A2225" s="1" t="s">
        <v>119</v>
      </c>
      <c r="B2225" s="1">
        <v>1185732</v>
      </c>
      <c r="C2225" s="2">
        <v>44868</v>
      </c>
      <c r="D2225" s="1" t="s">
        <v>38</v>
      </c>
      <c r="E2225" s="1" t="s">
        <v>76</v>
      </c>
      <c r="F2225" s="1" t="s">
        <v>77</v>
      </c>
      <c r="G2225" s="1" t="s">
        <v>16</v>
      </c>
      <c r="H2225" s="1">
        <v>19</v>
      </c>
      <c r="I2225" s="1" t="s">
        <v>123</v>
      </c>
      <c r="J2225" s="3">
        <v>0.6000000000000002</v>
      </c>
      <c r="K2225" s="4">
        <v>6500</v>
      </c>
      <c r="L2225" s="5">
        <f t="shared" si="18"/>
        <v>3900.0000000000014</v>
      </c>
      <c r="M2225" s="5">
        <f t="shared" si="19"/>
        <v>1560.0000000000007</v>
      </c>
      <c r="N2225" s="6">
        <v>0.4</v>
      </c>
    </row>
    <row r="2226" spans="1:14" ht="15.75" customHeight="1" x14ac:dyDescent="0.45">
      <c r="A2226" s="1" t="s">
        <v>119</v>
      </c>
      <c r="B2226" s="1">
        <v>1185732</v>
      </c>
      <c r="C2226" s="2">
        <v>44868</v>
      </c>
      <c r="D2226" s="1" t="s">
        <v>38</v>
      </c>
      <c r="E2226" s="1" t="s">
        <v>76</v>
      </c>
      <c r="F2226" s="1" t="s">
        <v>77</v>
      </c>
      <c r="G2226" s="1" t="s">
        <v>17</v>
      </c>
      <c r="H2226" s="1">
        <v>57</v>
      </c>
      <c r="I2226" s="1" t="s">
        <v>124</v>
      </c>
      <c r="J2226" s="3">
        <v>0.75000000000000011</v>
      </c>
      <c r="K2226" s="4">
        <v>6250</v>
      </c>
      <c r="L2226" s="5">
        <f t="shared" si="18"/>
        <v>4687.5000000000009</v>
      </c>
      <c r="M2226" s="5">
        <f t="shared" si="19"/>
        <v>1640.6250000000002</v>
      </c>
      <c r="N2226" s="6">
        <v>0.35</v>
      </c>
    </row>
    <row r="2227" spans="1:14" ht="15.75" customHeight="1" x14ac:dyDescent="0.45">
      <c r="A2227" s="1" t="s">
        <v>119</v>
      </c>
      <c r="B2227" s="1">
        <v>1185732</v>
      </c>
      <c r="C2227" s="2">
        <v>44868</v>
      </c>
      <c r="D2227" s="1" t="s">
        <v>38</v>
      </c>
      <c r="E2227" s="1" t="s">
        <v>76</v>
      </c>
      <c r="F2227" s="1" t="s">
        <v>77</v>
      </c>
      <c r="G2227" s="1" t="s">
        <v>18</v>
      </c>
      <c r="H2227" s="1">
        <v>42</v>
      </c>
      <c r="I2227" s="1" t="s">
        <v>123</v>
      </c>
      <c r="J2227" s="3">
        <v>0.75</v>
      </c>
      <c r="K2227" s="4">
        <v>7250</v>
      </c>
      <c r="L2227" s="5">
        <f t="shared" si="18"/>
        <v>5437.5</v>
      </c>
      <c r="M2227" s="5">
        <f t="shared" si="19"/>
        <v>2718.75</v>
      </c>
      <c r="N2227" s="6">
        <v>0.5</v>
      </c>
    </row>
    <row r="2228" spans="1:14" ht="15.75" customHeight="1" x14ac:dyDescent="0.45">
      <c r="A2228" s="1" t="s">
        <v>119</v>
      </c>
      <c r="B2228" s="1">
        <v>1185732</v>
      </c>
      <c r="C2228" s="2">
        <v>44897</v>
      </c>
      <c r="D2228" s="1" t="s">
        <v>38</v>
      </c>
      <c r="E2228" s="1" t="s">
        <v>76</v>
      </c>
      <c r="F2228" s="1" t="s">
        <v>77</v>
      </c>
      <c r="G2228" s="1" t="s">
        <v>13</v>
      </c>
      <c r="H2228" s="1">
        <v>40</v>
      </c>
      <c r="I2228" s="1" t="s">
        <v>123</v>
      </c>
      <c r="J2228" s="3">
        <v>0.70000000000000007</v>
      </c>
      <c r="K2228" s="4">
        <v>9750</v>
      </c>
      <c r="L2228" s="5">
        <f t="shared" si="18"/>
        <v>6825.0000000000009</v>
      </c>
      <c r="M2228" s="5">
        <f t="shared" si="19"/>
        <v>2730.0000000000005</v>
      </c>
      <c r="N2228" s="6">
        <v>0.4</v>
      </c>
    </row>
    <row r="2229" spans="1:14" ht="15.75" customHeight="1" x14ac:dyDescent="0.45">
      <c r="A2229" s="1" t="s">
        <v>119</v>
      </c>
      <c r="B2229" s="1">
        <v>1185732</v>
      </c>
      <c r="C2229" s="2">
        <v>44897</v>
      </c>
      <c r="D2229" s="1" t="s">
        <v>38</v>
      </c>
      <c r="E2229" s="1" t="s">
        <v>76</v>
      </c>
      <c r="F2229" s="1" t="s">
        <v>77</v>
      </c>
      <c r="G2229" s="1" t="s">
        <v>14</v>
      </c>
      <c r="H2229" s="1">
        <v>15</v>
      </c>
      <c r="I2229" s="1" t="s">
        <v>126</v>
      </c>
      <c r="J2229" s="3">
        <v>0.60000000000000009</v>
      </c>
      <c r="K2229" s="4">
        <v>7750</v>
      </c>
      <c r="L2229" s="5">
        <f t="shared" si="18"/>
        <v>4650.0000000000009</v>
      </c>
      <c r="M2229" s="5">
        <f t="shared" si="19"/>
        <v>1627.5000000000002</v>
      </c>
      <c r="N2229" s="6">
        <v>0.35</v>
      </c>
    </row>
    <row r="2230" spans="1:14" ht="15.75" customHeight="1" x14ac:dyDescent="0.45">
      <c r="A2230" s="1" t="s">
        <v>119</v>
      </c>
      <c r="B2230" s="1">
        <v>1185732</v>
      </c>
      <c r="C2230" s="2">
        <v>44897</v>
      </c>
      <c r="D2230" s="1" t="s">
        <v>38</v>
      </c>
      <c r="E2230" s="1" t="s">
        <v>76</v>
      </c>
      <c r="F2230" s="1" t="s">
        <v>77</v>
      </c>
      <c r="G2230" s="1" t="s">
        <v>15</v>
      </c>
      <c r="H2230" s="1">
        <v>23</v>
      </c>
      <c r="I2230" s="1" t="s">
        <v>124</v>
      </c>
      <c r="J2230" s="3">
        <v>0.60000000000000009</v>
      </c>
      <c r="K2230" s="4">
        <v>7250</v>
      </c>
      <c r="L2230" s="5">
        <f t="shared" si="18"/>
        <v>4350.0000000000009</v>
      </c>
      <c r="M2230" s="5">
        <f t="shared" si="19"/>
        <v>1740.0000000000005</v>
      </c>
      <c r="N2230" s="6">
        <v>0.4</v>
      </c>
    </row>
    <row r="2231" spans="1:14" ht="15.75" customHeight="1" x14ac:dyDescent="0.45">
      <c r="A2231" s="1" t="s">
        <v>119</v>
      </c>
      <c r="B2231" s="1">
        <v>1185732</v>
      </c>
      <c r="C2231" s="2">
        <v>44897</v>
      </c>
      <c r="D2231" s="1" t="s">
        <v>38</v>
      </c>
      <c r="E2231" s="1" t="s">
        <v>76</v>
      </c>
      <c r="F2231" s="1" t="s">
        <v>77</v>
      </c>
      <c r="G2231" s="1" t="s">
        <v>16</v>
      </c>
      <c r="H2231" s="1">
        <v>34</v>
      </c>
      <c r="I2231" s="1" t="s">
        <v>125</v>
      </c>
      <c r="J2231" s="3">
        <v>0.60000000000000009</v>
      </c>
      <c r="K2231" s="4">
        <v>6750</v>
      </c>
      <c r="L2231" s="5">
        <f t="shared" si="18"/>
        <v>4050.0000000000005</v>
      </c>
      <c r="M2231" s="5">
        <f t="shared" si="19"/>
        <v>1620.0000000000002</v>
      </c>
      <c r="N2231" s="6">
        <v>0.4</v>
      </c>
    </row>
    <row r="2232" spans="1:14" ht="15.75" customHeight="1" x14ac:dyDescent="0.45">
      <c r="A2232" s="1" t="s">
        <v>119</v>
      </c>
      <c r="B2232" s="1">
        <v>1185732</v>
      </c>
      <c r="C2232" s="2">
        <v>44897</v>
      </c>
      <c r="D2232" s="1" t="s">
        <v>38</v>
      </c>
      <c r="E2232" s="1" t="s">
        <v>76</v>
      </c>
      <c r="F2232" s="1" t="s">
        <v>77</v>
      </c>
      <c r="G2232" s="1" t="s">
        <v>17</v>
      </c>
      <c r="H2232" s="1">
        <v>30</v>
      </c>
      <c r="I2232" s="1" t="s">
        <v>125</v>
      </c>
      <c r="J2232" s="3">
        <v>0.70000000000000007</v>
      </c>
      <c r="K2232" s="4">
        <v>6750</v>
      </c>
      <c r="L2232" s="5">
        <f t="shared" si="18"/>
        <v>4725</v>
      </c>
      <c r="M2232" s="5">
        <f t="shared" si="19"/>
        <v>1653.75</v>
      </c>
      <c r="N2232" s="6">
        <v>0.35</v>
      </c>
    </row>
    <row r="2233" spans="1:14" ht="15.75" customHeight="1" x14ac:dyDescent="0.45">
      <c r="A2233" s="1" t="s">
        <v>119</v>
      </c>
      <c r="B2233" s="1">
        <v>1185732</v>
      </c>
      <c r="C2233" s="2">
        <v>44897</v>
      </c>
      <c r="D2233" s="1" t="s">
        <v>38</v>
      </c>
      <c r="E2233" s="1" t="s">
        <v>76</v>
      </c>
      <c r="F2233" s="1" t="s">
        <v>77</v>
      </c>
      <c r="G2233" s="1" t="s">
        <v>18</v>
      </c>
      <c r="H2233" s="1">
        <v>29</v>
      </c>
      <c r="I2233" s="1" t="s">
        <v>123</v>
      </c>
      <c r="J2233" s="3">
        <v>0.75</v>
      </c>
      <c r="K2233" s="4">
        <v>7750</v>
      </c>
      <c r="L2233" s="5">
        <f t="shared" si="18"/>
        <v>5812.5</v>
      </c>
      <c r="M2233" s="5">
        <f t="shared" si="19"/>
        <v>2906.25</v>
      </c>
      <c r="N2233" s="6">
        <v>0.5</v>
      </c>
    </row>
    <row r="2234" spans="1:14" ht="15.75" customHeight="1" x14ac:dyDescent="0.45">
      <c r="A2234" s="1" t="s">
        <v>119</v>
      </c>
      <c r="B2234" s="1">
        <v>1185732</v>
      </c>
      <c r="C2234" s="2">
        <v>44574</v>
      </c>
      <c r="D2234" s="1" t="s">
        <v>38</v>
      </c>
      <c r="E2234" s="1" t="s">
        <v>78</v>
      </c>
      <c r="F2234" s="1" t="s">
        <v>79</v>
      </c>
      <c r="G2234" s="1" t="s">
        <v>13</v>
      </c>
      <c r="H2234" s="1">
        <v>16</v>
      </c>
      <c r="I2234" s="1" t="s">
        <v>126</v>
      </c>
      <c r="J2234" s="3">
        <v>0.35000000000000003</v>
      </c>
      <c r="K2234" s="4">
        <v>7750</v>
      </c>
      <c r="L2234" s="5">
        <f t="shared" si="18"/>
        <v>2712.5000000000005</v>
      </c>
      <c r="M2234" s="5">
        <f t="shared" si="19"/>
        <v>1085.0000000000002</v>
      </c>
      <c r="N2234" s="6">
        <v>0.4</v>
      </c>
    </row>
    <row r="2235" spans="1:14" ht="15.75" customHeight="1" x14ac:dyDescent="0.45">
      <c r="A2235" s="1" t="s">
        <v>119</v>
      </c>
      <c r="B2235" s="1">
        <v>1185732</v>
      </c>
      <c r="C2235" s="2">
        <v>44574</v>
      </c>
      <c r="D2235" s="1" t="s">
        <v>38</v>
      </c>
      <c r="E2235" s="1" t="s">
        <v>78</v>
      </c>
      <c r="F2235" s="1" t="s">
        <v>79</v>
      </c>
      <c r="G2235" s="1" t="s">
        <v>14</v>
      </c>
      <c r="H2235" s="1">
        <v>50</v>
      </c>
      <c r="I2235" s="1" t="s">
        <v>123</v>
      </c>
      <c r="J2235" s="3">
        <v>0.35000000000000003</v>
      </c>
      <c r="K2235" s="4">
        <v>5750</v>
      </c>
      <c r="L2235" s="5">
        <f t="shared" si="18"/>
        <v>2012.5000000000002</v>
      </c>
      <c r="M2235" s="5">
        <f t="shared" si="19"/>
        <v>704.375</v>
      </c>
      <c r="N2235" s="6">
        <v>0.35</v>
      </c>
    </row>
    <row r="2236" spans="1:14" ht="15.75" customHeight="1" x14ac:dyDescent="0.45">
      <c r="A2236" s="1" t="s">
        <v>119</v>
      </c>
      <c r="B2236" s="1">
        <v>1185732</v>
      </c>
      <c r="C2236" s="2">
        <v>44574</v>
      </c>
      <c r="D2236" s="1" t="s">
        <v>38</v>
      </c>
      <c r="E2236" s="1" t="s">
        <v>78</v>
      </c>
      <c r="F2236" s="1" t="s">
        <v>79</v>
      </c>
      <c r="G2236" s="1" t="s">
        <v>15</v>
      </c>
      <c r="H2236" s="1">
        <v>28</v>
      </c>
      <c r="I2236" s="1" t="s">
        <v>125</v>
      </c>
      <c r="J2236" s="3">
        <v>0.25000000000000006</v>
      </c>
      <c r="K2236" s="4">
        <v>5750</v>
      </c>
      <c r="L2236" s="5">
        <f t="shared" si="18"/>
        <v>1437.5000000000002</v>
      </c>
      <c r="M2236" s="5">
        <f t="shared" si="19"/>
        <v>575.00000000000011</v>
      </c>
      <c r="N2236" s="6">
        <v>0.4</v>
      </c>
    </row>
    <row r="2237" spans="1:14" ht="15.75" customHeight="1" x14ac:dyDescent="0.45">
      <c r="A2237" s="1" t="s">
        <v>119</v>
      </c>
      <c r="B2237" s="1">
        <v>1185732</v>
      </c>
      <c r="C2237" s="2">
        <v>44574</v>
      </c>
      <c r="D2237" s="1" t="s">
        <v>38</v>
      </c>
      <c r="E2237" s="1" t="s">
        <v>78</v>
      </c>
      <c r="F2237" s="1" t="s">
        <v>79</v>
      </c>
      <c r="G2237" s="1" t="s">
        <v>16</v>
      </c>
      <c r="H2237" s="1">
        <v>43</v>
      </c>
      <c r="I2237" s="1" t="s">
        <v>124</v>
      </c>
      <c r="J2237" s="3">
        <v>0.3</v>
      </c>
      <c r="K2237" s="4">
        <v>4250</v>
      </c>
      <c r="L2237" s="5">
        <f t="shared" si="18"/>
        <v>1275</v>
      </c>
      <c r="M2237" s="5">
        <f t="shared" si="19"/>
        <v>510</v>
      </c>
      <c r="N2237" s="6">
        <v>0.4</v>
      </c>
    </row>
    <row r="2238" spans="1:14" ht="15.75" customHeight="1" x14ac:dyDescent="0.45">
      <c r="A2238" s="1" t="s">
        <v>119</v>
      </c>
      <c r="B2238" s="1">
        <v>1185732</v>
      </c>
      <c r="C2238" s="2">
        <v>44574</v>
      </c>
      <c r="D2238" s="1" t="s">
        <v>38</v>
      </c>
      <c r="E2238" s="1" t="s">
        <v>78</v>
      </c>
      <c r="F2238" s="1" t="s">
        <v>79</v>
      </c>
      <c r="G2238" s="1" t="s">
        <v>17</v>
      </c>
      <c r="H2238" s="1">
        <v>59</v>
      </c>
      <c r="I2238" s="1" t="s">
        <v>124</v>
      </c>
      <c r="J2238" s="3">
        <v>0.45</v>
      </c>
      <c r="K2238" s="4">
        <v>4750</v>
      </c>
      <c r="L2238" s="5">
        <f t="shared" si="18"/>
        <v>2137.5</v>
      </c>
      <c r="M2238" s="5">
        <f t="shared" si="19"/>
        <v>748.125</v>
      </c>
      <c r="N2238" s="6">
        <v>0.35</v>
      </c>
    </row>
    <row r="2239" spans="1:14" ht="15.75" customHeight="1" x14ac:dyDescent="0.45">
      <c r="A2239" s="1" t="s">
        <v>119</v>
      </c>
      <c r="B2239" s="1">
        <v>1185732</v>
      </c>
      <c r="C2239" s="2">
        <v>44574</v>
      </c>
      <c r="D2239" s="1" t="s">
        <v>38</v>
      </c>
      <c r="E2239" s="1" t="s">
        <v>78</v>
      </c>
      <c r="F2239" s="1" t="s">
        <v>79</v>
      </c>
      <c r="G2239" s="1" t="s">
        <v>18</v>
      </c>
      <c r="H2239" s="1">
        <v>48</v>
      </c>
      <c r="I2239" s="1" t="s">
        <v>125</v>
      </c>
      <c r="J2239" s="3">
        <v>0.35000000000000003</v>
      </c>
      <c r="K2239" s="4">
        <v>5750</v>
      </c>
      <c r="L2239" s="5">
        <f t="shared" si="18"/>
        <v>2012.5000000000002</v>
      </c>
      <c r="M2239" s="5">
        <f t="shared" si="19"/>
        <v>1006.2500000000001</v>
      </c>
      <c r="N2239" s="6">
        <v>0.5</v>
      </c>
    </row>
    <row r="2240" spans="1:14" ht="15.75" customHeight="1" x14ac:dyDescent="0.45">
      <c r="A2240" s="1" t="s">
        <v>119</v>
      </c>
      <c r="B2240" s="1">
        <v>1185732</v>
      </c>
      <c r="C2240" s="2">
        <v>44603</v>
      </c>
      <c r="D2240" s="1" t="s">
        <v>38</v>
      </c>
      <c r="E2240" s="1" t="s">
        <v>78</v>
      </c>
      <c r="F2240" s="1" t="s">
        <v>79</v>
      </c>
      <c r="G2240" s="1" t="s">
        <v>13</v>
      </c>
      <c r="H2240" s="1">
        <v>28</v>
      </c>
      <c r="I2240" s="1" t="s">
        <v>126</v>
      </c>
      <c r="J2240" s="3">
        <v>0.35000000000000003</v>
      </c>
      <c r="K2240" s="4">
        <v>8250</v>
      </c>
      <c r="L2240" s="5">
        <f t="shared" si="18"/>
        <v>2887.5000000000005</v>
      </c>
      <c r="M2240" s="5">
        <f t="shared" si="19"/>
        <v>1155.0000000000002</v>
      </c>
      <c r="N2240" s="6">
        <v>0.4</v>
      </c>
    </row>
    <row r="2241" spans="1:14" ht="15.75" customHeight="1" x14ac:dyDescent="0.45">
      <c r="A2241" s="1" t="s">
        <v>119</v>
      </c>
      <c r="B2241" s="1">
        <v>1185732</v>
      </c>
      <c r="C2241" s="2">
        <v>44603</v>
      </c>
      <c r="D2241" s="1" t="s">
        <v>38</v>
      </c>
      <c r="E2241" s="1" t="s">
        <v>78</v>
      </c>
      <c r="F2241" s="1" t="s">
        <v>79</v>
      </c>
      <c r="G2241" s="1" t="s">
        <v>14</v>
      </c>
      <c r="H2241" s="1">
        <v>23</v>
      </c>
      <c r="I2241" s="1" t="s">
        <v>126</v>
      </c>
      <c r="J2241" s="3">
        <v>0.35000000000000003</v>
      </c>
      <c r="K2241" s="4">
        <v>4750</v>
      </c>
      <c r="L2241" s="5">
        <f t="shared" si="18"/>
        <v>1662.5000000000002</v>
      </c>
      <c r="M2241" s="5">
        <f t="shared" si="19"/>
        <v>581.875</v>
      </c>
      <c r="N2241" s="6">
        <v>0.35</v>
      </c>
    </row>
    <row r="2242" spans="1:14" ht="15.75" customHeight="1" x14ac:dyDescent="0.45">
      <c r="A2242" s="1" t="s">
        <v>119</v>
      </c>
      <c r="B2242" s="1">
        <v>1185732</v>
      </c>
      <c r="C2242" s="2">
        <v>44603</v>
      </c>
      <c r="D2242" s="1" t="s">
        <v>38</v>
      </c>
      <c r="E2242" s="1" t="s">
        <v>78</v>
      </c>
      <c r="F2242" s="1" t="s">
        <v>79</v>
      </c>
      <c r="G2242" s="1" t="s">
        <v>15</v>
      </c>
      <c r="H2242" s="1">
        <v>21</v>
      </c>
      <c r="I2242" s="1" t="s">
        <v>125</v>
      </c>
      <c r="J2242" s="3">
        <v>0.25000000000000006</v>
      </c>
      <c r="K2242" s="4">
        <v>5250</v>
      </c>
      <c r="L2242" s="5">
        <f t="shared" si="18"/>
        <v>1312.5000000000002</v>
      </c>
      <c r="M2242" s="5">
        <f t="shared" si="19"/>
        <v>525.00000000000011</v>
      </c>
      <c r="N2242" s="6">
        <v>0.4</v>
      </c>
    </row>
    <row r="2243" spans="1:14" ht="15.75" customHeight="1" x14ac:dyDescent="0.45">
      <c r="A2243" s="1" t="s">
        <v>119</v>
      </c>
      <c r="B2243" s="1">
        <v>1185732</v>
      </c>
      <c r="C2243" s="2">
        <v>44603</v>
      </c>
      <c r="D2243" s="1" t="s">
        <v>38</v>
      </c>
      <c r="E2243" s="1" t="s">
        <v>78</v>
      </c>
      <c r="F2243" s="1" t="s">
        <v>79</v>
      </c>
      <c r="G2243" s="1" t="s">
        <v>16</v>
      </c>
      <c r="H2243" s="1">
        <v>44</v>
      </c>
      <c r="I2243" s="1" t="s">
        <v>126</v>
      </c>
      <c r="J2243" s="3">
        <v>0.3</v>
      </c>
      <c r="K2243" s="4">
        <v>3750</v>
      </c>
      <c r="L2243" s="5">
        <f t="shared" si="18"/>
        <v>1125</v>
      </c>
      <c r="M2243" s="5">
        <f t="shared" si="19"/>
        <v>450</v>
      </c>
      <c r="N2243" s="6">
        <v>0.4</v>
      </c>
    </row>
    <row r="2244" spans="1:14" ht="15.75" customHeight="1" x14ac:dyDescent="0.45">
      <c r="A2244" s="1" t="s">
        <v>119</v>
      </c>
      <c r="B2244" s="1">
        <v>1185732</v>
      </c>
      <c r="C2244" s="2">
        <v>44603</v>
      </c>
      <c r="D2244" s="1" t="s">
        <v>38</v>
      </c>
      <c r="E2244" s="1" t="s">
        <v>78</v>
      </c>
      <c r="F2244" s="1" t="s">
        <v>79</v>
      </c>
      <c r="G2244" s="1" t="s">
        <v>17</v>
      </c>
      <c r="H2244" s="1">
        <v>15</v>
      </c>
      <c r="I2244" s="1" t="s">
        <v>124</v>
      </c>
      <c r="J2244" s="3">
        <v>0.45</v>
      </c>
      <c r="K2244" s="4">
        <v>4500</v>
      </c>
      <c r="L2244" s="5">
        <f t="shared" si="18"/>
        <v>2025</v>
      </c>
      <c r="M2244" s="5">
        <f t="shared" si="19"/>
        <v>708.75</v>
      </c>
      <c r="N2244" s="6">
        <v>0.35</v>
      </c>
    </row>
    <row r="2245" spans="1:14" ht="15.75" customHeight="1" x14ac:dyDescent="0.45">
      <c r="A2245" s="1" t="s">
        <v>119</v>
      </c>
      <c r="B2245" s="1">
        <v>1185732</v>
      </c>
      <c r="C2245" s="2">
        <v>44603</v>
      </c>
      <c r="D2245" s="1" t="s">
        <v>38</v>
      </c>
      <c r="E2245" s="1" t="s">
        <v>78</v>
      </c>
      <c r="F2245" s="1" t="s">
        <v>79</v>
      </c>
      <c r="G2245" s="1" t="s">
        <v>18</v>
      </c>
      <c r="H2245" s="1">
        <v>41</v>
      </c>
      <c r="I2245" s="1" t="s">
        <v>124</v>
      </c>
      <c r="J2245" s="3">
        <v>0.3</v>
      </c>
      <c r="K2245" s="4">
        <v>5500</v>
      </c>
      <c r="L2245" s="5">
        <f t="shared" si="18"/>
        <v>1650</v>
      </c>
      <c r="M2245" s="5">
        <f t="shared" si="19"/>
        <v>825</v>
      </c>
      <c r="N2245" s="6">
        <v>0.5</v>
      </c>
    </row>
    <row r="2246" spans="1:14" ht="15.75" customHeight="1" x14ac:dyDescent="0.45">
      <c r="A2246" s="1" t="s">
        <v>119</v>
      </c>
      <c r="B2246" s="1">
        <v>1185732</v>
      </c>
      <c r="C2246" s="2">
        <v>44629</v>
      </c>
      <c r="D2246" s="1" t="s">
        <v>38</v>
      </c>
      <c r="E2246" s="1" t="s">
        <v>78</v>
      </c>
      <c r="F2246" s="1" t="s">
        <v>79</v>
      </c>
      <c r="G2246" s="1" t="s">
        <v>13</v>
      </c>
      <c r="H2246" s="1">
        <v>28</v>
      </c>
      <c r="I2246" s="1" t="s">
        <v>123</v>
      </c>
      <c r="J2246" s="3">
        <v>0.3</v>
      </c>
      <c r="K2246" s="4">
        <v>7700</v>
      </c>
      <c r="L2246" s="5">
        <f t="shared" si="18"/>
        <v>2310</v>
      </c>
      <c r="M2246" s="5">
        <f t="shared" si="19"/>
        <v>924</v>
      </c>
      <c r="N2246" s="6">
        <v>0.4</v>
      </c>
    </row>
    <row r="2247" spans="1:14" ht="15.75" customHeight="1" x14ac:dyDescent="0.45">
      <c r="A2247" s="1" t="s">
        <v>119</v>
      </c>
      <c r="B2247" s="1">
        <v>1185732</v>
      </c>
      <c r="C2247" s="2">
        <v>44629</v>
      </c>
      <c r="D2247" s="1" t="s">
        <v>38</v>
      </c>
      <c r="E2247" s="1" t="s">
        <v>78</v>
      </c>
      <c r="F2247" s="1" t="s">
        <v>79</v>
      </c>
      <c r="G2247" s="1" t="s">
        <v>14</v>
      </c>
      <c r="H2247" s="1">
        <v>45</v>
      </c>
      <c r="I2247" s="1" t="s">
        <v>126</v>
      </c>
      <c r="J2247" s="3">
        <v>0.3</v>
      </c>
      <c r="K2247" s="4">
        <v>4500</v>
      </c>
      <c r="L2247" s="5">
        <f t="shared" si="18"/>
        <v>1350</v>
      </c>
      <c r="M2247" s="5">
        <f t="shared" si="19"/>
        <v>472.49999999999994</v>
      </c>
      <c r="N2247" s="6">
        <v>0.35</v>
      </c>
    </row>
    <row r="2248" spans="1:14" ht="15.75" customHeight="1" x14ac:dyDescent="0.45">
      <c r="A2248" s="1" t="s">
        <v>119</v>
      </c>
      <c r="B2248" s="1">
        <v>1185732</v>
      </c>
      <c r="C2248" s="2">
        <v>44629</v>
      </c>
      <c r="D2248" s="1" t="s">
        <v>38</v>
      </c>
      <c r="E2248" s="1" t="s">
        <v>78</v>
      </c>
      <c r="F2248" s="1" t="s">
        <v>79</v>
      </c>
      <c r="G2248" s="1" t="s">
        <v>15</v>
      </c>
      <c r="H2248" s="1">
        <v>39</v>
      </c>
      <c r="I2248" s="1" t="s">
        <v>126</v>
      </c>
      <c r="J2248" s="3">
        <v>0.2</v>
      </c>
      <c r="K2248" s="4">
        <v>4750</v>
      </c>
      <c r="L2248" s="5">
        <f t="shared" si="18"/>
        <v>950</v>
      </c>
      <c r="M2248" s="5">
        <f t="shared" si="19"/>
        <v>380</v>
      </c>
      <c r="N2248" s="6">
        <v>0.4</v>
      </c>
    </row>
    <row r="2249" spans="1:14" ht="15.75" customHeight="1" x14ac:dyDescent="0.45">
      <c r="A2249" s="1" t="s">
        <v>119</v>
      </c>
      <c r="B2249" s="1">
        <v>1185732</v>
      </c>
      <c r="C2249" s="2">
        <v>44629</v>
      </c>
      <c r="D2249" s="1" t="s">
        <v>38</v>
      </c>
      <c r="E2249" s="1" t="s">
        <v>78</v>
      </c>
      <c r="F2249" s="1" t="s">
        <v>79</v>
      </c>
      <c r="G2249" s="1" t="s">
        <v>16</v>
      </c>
      <c r="H2249" s="1">
        <v>46</v>
      </c>
      <c r="I2249" s="1" t="s">
        <v>124</v>
      </c>
      <c r="J2249" s="3">
        <v>0.24999999999999994</v>
      </c>
      <c r="K2249" s="4">
        <v>3250</v>
      </c>
      <c r="L2249" s="5">
        <f t="shared" si="18"/>
        <v>812.49999999999977</v>
      </c>
      <c r="M2249" s="5">
        <f t="shared" si="19"/>
        <v>324.99999999999994</v>
      </c>
      <c r="N2249" s="6">
        <v>0.4</v>
      </c>
    </row>
    <row r="2250" spans="1:14" ht="15.75" customHeight="1" x14ac:dyDescent="0.45">
      <c r="A2250" s="1" t="s">
        <v>119</v>
      </c>
      <c r="B2250" s="1">
        <v>1185732</v>
      </c>
      <c r="C2250" s="2">
        <v>44629</v>
      </c>
      <c r="D2250" s="1" t="s">
        <v>38</v>
      </c>
      <c r="E2250" s="1" t="s">
        <v>78</v>
      </c>
      <c r="F2250" s="1" t="s">
        <v>79</v>
      </c>
      <c r="G2250" s="1" t="s">
        <v>17</v>
      </c>
      <c r="H2250" s="1">
        <v>50</v>
      </c>
      <c r="I2250" s="1" t="s">
        <v>124</v>
      </c>
      <c r="J2250" s="3">
        <v>0.40000000000000008</v>
      </c>
      <c r="K2250" s="4">
        <v>3750</v>
      </c>
      <c r="L2250" s="5">
        <f t="shared" si="18"/>
        <v>1500.0000000000002</v>
      </c>
      <c r="M2250" s="5">
        <f t="shared" si="19"/>
        <v>525</v>
      </c>
      <c r="N2250" s="6">
        <v>0.35</v>
      </c>
    </row>
    <row r="2251" spans="1:14" ht="15.75" customHeight="1" x14ac:dyDescent="0.45">
      <c r="A2251" s="1" t="s">
        <v>119</v>
      </c>
      <c r="B2251" s="1">
        <v>1185732</v>
      </c>
      <c r="C2251" s="2">
        <v>44629</v>
      </c>
      <c r="D2251" s="1" t="s">
        <v>38</v>
      </c>
      <c r="E2251" s="1" t="s">
        <v>78</v>
      </c>
      <c r="F2251" s="1" t="s">
        <v>79</v>
      </c>
      <c r="G2251" s="1" t="s">
        <v>18</v>
      </c>
      <c r="H2251" s="1">
        <v>17</v>
      </c>
      <c r="I2251" s="1" t="s">
        <v>123</v>
      </c>
      <c r="J2251" s="3">
        <v>0.3</v>
      </c>
      <c r="K2251" s="4">
        <v>4750</v>
      </c>
      <c r="L2251" s="5">
        <f t="shared" si="18"/>
        <v>1425</v>
      </c>
      <c r="M2251" s="5">
        <f t="shared" si="19"/>
        <v>712.5</v>
      </c>
      <c r="N2251" s="6">
        <v>0.5</v>
      </c>
    </row>
    <row r="2252" spans="1:14" ht="15.75" customHeight="1" x14ac:dyDescent="0.45">
      <c r="A2252" s="1" t="s">
        <v>119</v>
      </c>
      <c r="B2252" s="1">
        <v>1185732</v>
      </c>
      <c r="C2252" s="2">
        <v>44661</v>
      </c>
      <c r="D2252" s="1" t="s">
        <v>38</v>
      </c>
      <c r="E2252" s="1" t="s">
        <v>78</v>
      </c>
      <c r="F2252" s="1" t="s">
        <v>79</v>
      </c>
      <c r="G2252" s="1" t="s">
        <v>13</v>
      </c>
      <c r="H2252" s="1">
        <v>43</v>
      </c>
      <c r="I2252" s="1" t="s">
        <v>125</v>
      </c>
      <c r="J2252" s="3">
        <v>0.3</v>
      </c>
      <c r="K2252" s="4">
        <v>7250</v>
      </c>
      <c r="L2252" s="5">
        <f t="shared" si="18"/>
        <v>2175</v>
      </c>
      <c r="M2252" s="5">
        <f t="shared" si="19"/>
        <v>870</v>
      </c>
      <c r="N2252" s="6">
        <v>0.4</v>
      </c>
    </row>
    <row r="2253" spans="1:14" ht="15.75" customHeight="1" x14ac:dyDescent="0.45">
      <c r="A2253" s="1" t="s">
        <v>119</v>
      </c>
      <c r="B2253" s="1">
        <v>1185732</v>
      </c>
      <c r="C2253" s="2">
        <v>44661</v>
      </c>
      <c r="D2253" s="1" t="s">
        <v>38</v>
      </c>
      <c r="E2253" s="1" t="s">
        <v>78</v>
      </c>
      <c r="F2253" s="1" t="s">
        <v>79</v>
      </c>
      <c r="G2253" s="1" t="s">
        <v>14</v>
      </c>
      <c r="H2253" s="1">
        <v>40</v>
      </c>
      <c r="I2253" s="1" t="s">
        <v>124</v>
      </c>
      <c r="J2253" s="3">
        <v>0.3</v>
      </c>
      <c r="K2253" s="4">
        <v>4250</v>
      </c>
      <c r="L2253" s="5">
        <f t="shared" si="18"/>
        <v>1275</v>
      </c>
      <c r="M2253" s="5">
        <f t="shared" si="19"/>
        <v>446.25</v>
      </c>
      <c r="N2253" s="6">
        <v>0.35</v>
      </c>
    </row>
    <row r="2254" spans="1:14" ht="15.75" customHeight="1" x14ac:dyDescent="0.45">
      <c r="A2254" s="1" t="s">
        <v>119</v>
      </c>
      <c r="B2254" s="1">
        <v>1185732</v>
      </c>
      <c r="C2254" s="2">
        <v>44661</v>
      </c>
      <c r="D2254" s="1" t="s">
        <v>38</v>
      </c>
      <c r="E2254" s="1" t="s">
        <v>78</v>
      </c>
      <c r="F2254" s="1" t="s">
        <v>79</v>
      </c>
      <c r="G2254" s="1" t="s">
        <v>15</v>
      </c>
      <c r="H2254" s="1">
        <v>29</v>
      </c>
      <c r="I2254" s="1" t="s">
        <v>125</v>
      </c>
      <c r="J2254" s="3">
        <v>0.2</v>
      </c>
      <c r="K2254" s="4">
        <v>4250</v>
      </c>
      <c r="L2254" s="5">
        <f t="shared" si="18"/>
        <v>850</v>
      </c>
      <c r="M2254" s="5">
        <f t="shared" si="19"/>
        <v>340</v>
      </c>
      <c r="N2254" s="6">
        <v>0.4</v>
      </c>
    </row>
    <row r="2255" spans="1:14" ht="15.75" customHeight="1" x14ac:dyDescent="0.45">
      <c r="A2255" s="1" t="s">
        <v>119</v>
      </c>
      <c r="B2255" s="1">
        <v>1185732</v>
      </c>
      <c r="C2255" s="2">
        <v>44661</v>
      </c>
      <c r="D2255" s="1" t="s">
        <v>38</v>
      </c>
      <c r="E2255" s="1" t="s">
        <v>78</v>
      </c>
      <c r="F2255" s="1" t="s">
        <v>79</v>
      </c>
      <c r="G2255" s="1" t="s">
        <v>16</v>
      </c>
      <c r="H2255" s="1">
        <v>22</v>
      </c>
      <c r="I2255" s="1" t="s">
        <v>125</v>
      </c>
      <c r="J2255" s="3">
        <v>0.24999999999999994</v>
      </c>
      <c r="K2255" s="4">
        <v>3500</v>
      </c>
      <c r="L2255" s="5">
        <f t="shared" si="18"/>
        <v>874.99999999999977</v>
      </c>
      <c r="M2255" s="5">
        <f t="shared" si="19"/>
        <v>349.99999999999994</v>
      </c>
      <c r="N2255" s="6">
        <v>0.4</v>
      </c>
    </row>
    <row r="2256" spans="1:14" ht="15.75" customHeight="1" x14ac:dyDescent="0.45">
      <c r="A2256" s="1" t="s">
        <v>119</v>
      </c>
      <c r="B2256" s="1">
        <v>1185732</v>
      </c>
      <c r="C2256" s="2">
        <v>44661</v>
      </c>
      <c r="D2256" s="1" t="s">
        <v>38</v>
      </c>
      <c r="E2256" s="1" t="s">
        <v>78</v>
      </c>
      <c r="F2256" s="1" t="s">
        <v>79</v>
      </c>
      <c r="G2256" s="1" t="s">
        <v>17</v>
      </c>
      <c r="H2256" s="1">
        <v>50</v>
      </c>
      <c r="I2256" s="1" t="s">
        <v>124</v>
      </c>
      <c r="J2256" s="3">
        <v>0.45</v>
      </c>
      <c r="K2256" s="4">
        <v>3750</v>
      </c>
      <c r="L2256" s="5">
        <f t="shared" si="18"/>
        <v>1687.5</v>
      </c>
      <c r="M2256" s="5">
        <f t="shared" si="19"/>
        <v>590.625</v>
      </c>
      <c r="N2256" s="6">
        <v>0.35</v>
      </c>
    </row>
    <row r="2257" spans="1:14" ht="15.75" customHeight="1" x14ac:dyDescent="0.45">
      <c r="A2257" s="1" t="s">
        <v>119</v>
      </c>
      <c r="B2257" s="1">
        <v>1185732</v>
      </c>
      <c r="C2257" s="2">
        <v>44661</v>
      </c>
      <c r="D2257" s="1" t="s">
        <v>38</v>
      </c>
      <c r="E2257" s="1" t="s">
        <v>78</v>
      </c>
      <c r="F2257" s="1" t="s">
        <v>79</v>
      </c>
      <c r="G2257" s="1" t="s">
        <v>18</v>
      </c>
      <c r="H2257" s="1">
        <v>25</v>
      </c>
      <c r="I2257" s="1" t="s">
        <v>126</v>
      </c>
      <c r="J2257" s="3">
        <v>0.35000000000000003</v>
      </c>
      <c r="K2257" s="4">
        <v>5250</v>
      </c>
      <c r="L2257" s="5">
        <f t="shared" si="18"/>
        <v>1837.5000000000002</v>
      </c>
      <c r="M2257" s="5">
        <f t="shared" si="19"/>
        <v>918.75000000000011</v>
      </c>
      <c r="N2257" s="6">
        <v>0.5</v>
      </c>
    </row>
    <row r="2258" spans="1:14" ht="15.75" customHeight="1" x14ac:dyDescent="0.45">
      <c r="A2258" s="1" t="s">
        <v>119</v>
      </c>
      <c r="B2258" s="1">
        <v>1185732</v>
      </c>
      <c r="C2258" s="2">
        <v>44690</v>
      </c>
      <c r="D2258" s="1" t="s">
        <v>38</v>
      </c>
      <c r="E2258" s="1" t="s">
        <v>78</v>
      </c>
      <c r="F2258" s="1" t="s">
        <v>79</v>
      </c>
      <c r="G2258" s="1" t="s">
        <v>13</v>
      </c>
      <c r="H2258" s="1">
        <v>50</v>
      </c>
      <c r="I2258" s="1" t="s">
        <v>123</v>
      </c>
      <c r="J2258" s="3">
        <v>0.45</v>
      </c>
      <c r="K2258" s="4">
        <v>7950</v>
      </c>
      <c r="L2258" s="5">
        <f t="shared" si="18"/>
        <v>3577.5</v>
      </c>
      <c r="M2258" s="5">
        <f t="shared" si="19"/>
        <v>1431</v>
      </c>
      <c r="N2258" s="6">
        <v>0.4</v>
      </c>
    </row>
    <row r="2259" spans="1:14" ht="15.75" customHeight="1" x14ac:dyDescent="0.45">
      <c r="A2259" s="1" t="s">
        <v>119</v>
      </c>
      <c r="B2259" s="1">
        <v>1185732</v>
      </c>
      <c r="C2259" s="2">
        <v>44690</v>
      </c>
      <c r="D2259" s="1" t="s">
        <v>38</v>
      </c>
      <c r="E2259" s="1" t="s">
        <v>78</v>
      </c>
      <c r="F2259" s="1" t="s">
        <v>79</v>
      </c>
      <c r="G2259" s="1" t="s">
        <v>14</v>
      </c>
      <c r="H2259" s="1">
        <v>25</v>
      </c>
      <c r="I2259" s="1" t="s">
        <v>126</v>
      </c>
      <c r="J2259" s="3">
        <v>0.45</v>
      </c>
      <c r="K2259" s="4">
        <v>5000</v>
      </c>
      <c r="L2259" s="5">
        <f t="shared" si="18"/>
        <v>2250</v>
      </c>
      <c r="M2259" s="5">
        <f t="shared" si="19"/>
        <v>787.5</v>
      </c>
      <c r="N2259" s="6">
        <v>0.35</v>
      </c>
    </row>
    <row r="2260" spans="1:14" ht="15.75" customHeight="1" x14ac:dyDescent="0.45">
      <c r="A2260" s="1" t="s">
        <v>119</v>
      </c>
      <c r="B2260" s="1">
        <v>1185732</v>
      </c>
      <c r="C2260" s="2">
        <v>44690</v>
      </c>
      <c r="D2260" s="1" t="s">
        <v>38</v>
      </c>
      <c r="E2260" s="1" t="s">
        <v>78</v>
      </c>
      <c r="F2260" s="1" t="s">
        <v>79</v>
      </c>
      <c r="G2260" s="1" t="s">
        <v>15</v>
      </c>
      <c r="H2260" s="1">
        <v>59</v>
      </c>
      <c r="I2260" s="1" t="s">
        <v>124</v>
      </c>
      <c r="J2260" s="3">
        <v>0.4</v>
      </c>
      <c r="K2260" s="4">
        <v>4750</v>
      </c>
      <c r="L2260" s="5">
        <f t="shared" si="18"/>
        <v>1900</v>
      </c>
      <c r="M2260" s="5">
        <f t="shared" si="19"/>
        <v>760</v>
      </c>
      <c r="N2260" s="6">
        <v>0.4</v>
      </c>
    </row>
    <row r="2261" spans="1:14" ht="15.75" customHeight="1" x14ac:dyDescent="0.45">
      <c r="A2261" s="1" t="s">
        <v>119</v>
      </c>
      <c r="B2261" s="1">
        <v>1185732</v>
      </c>
      <c r="C2261" s="2">
        <v>44690</v>
      </c>
      <c r="D2261" s="1" t="s">
        <v>38</v>
      </c>
      <c r="E2261" s="1" t="s">
        <v>78</v>
      </c>
      <c r="F2261" s="1" t="s">
        <v>79</v>
      </c>
      <c r="G2261" s="1" t="s">
        <v>16</v>
      </c>
      <c r="H2261" s="1">
        <v>15</v>
      </c>
      <c r="I2261" s="1" t="s">
        <v>124</v>
      </c>
      <c r="J2261" s="3">
        <v>0.4</v>
      </c>
      <c r="K2261" s="4">
        <v>4250</v>
      </c>
      <c r="L2261" s="5">
        <f t="shared" si="18"/>
        <v>1700</v>
      </c>
      <c r="M2261" s="5">
        <f t="shared" si="19"/>
        <v>680</v>
      </c>
      <c r="N2261" s="6">
        <v>0.4</v>
      </c>
    </row>
    <row r="2262" spans="1:14" ht="15.75" customHeight="1" x14ac:dyDescent="0.45">
      <c r="A2262" s="1" t="s">
        <v>119</v>
      </c>
      <c r="B2262" s="1">
        <v>1185732</v>
      </c>
      <c r="C2262" s="2">
        <v>44690</v>
      </c>
      <c r="D2262" s="1" t="s">
        <v>38</v>
      </c>
      <c r="E2262" s="1" t="s">
        <v>78</v>
      </c>
      <c r="F2262" s="1" t="s">
        <v>79</v>
      </c>
      <c r="G2262" s="1" t="s">
        <v>17</v>
      </c>
      <c r="H2262" s="1">
        <v>45</v>
      </c>
      <c r="I2262" s="1" t="s">
        <v>124</v>
      </c>
      <c r="J2262" s="3">
        <v>0.49999999999999994</v>
      </c>
      <c r="K2262" s="4">
        <v>4500</v>
      </c>
      <c r="L2262" s="5">
        <f t="shared" si="18"/>
        <v>2249.9999999999995</v>
      </c>
      <c r="M2262" s="5">
        <f t="shared" si="19"/>
        <v>787.49999999999977</v>
      </c>
      <c r="N2262" s="6">
        <v>0.35</v>
      </c>
    </row>
    <row r="2263" spans="1:14" ht="15.75" customHeight="1" x14ac:dyDescent="0.45">
      <c r="A2263" s="1" t="s">
        <v>119</v>
      </c>
      <c r="B2263" s="1">
        <v>1185732</v>
      </c>
      <c r="C2263" s="2">
        <v>44690</v>
      </c>
      <c r="D2263" s="1" t="s">
        <v>38</v>
      </c>
      <c r="E2263" s="1" t="s">
        <v>78</v>
      </c>
      <c r="F2263" s="1" t="s">
        <v>79</v>
      </c>
      <c r="G2263" s="1" t="s">
        <v>18</v>
      </c>
      <c r="H2263" s="1">
        <v>40</v>
      </c>
      <c r="I2263" s="1" t="s">
        <v>125</v>
      </c>
      <c r="J2263" s="3">
        <v>0.54999999999999993</v>
      </c>
      <c r="K2263" s="4">
        <v>5500</v>
      </c>
      <c r="L2263" s="5">
        <f t="shared" si="18"/>
        <v>3024.9999999999995</v>
      </c>
      <c r="M2263" s="5">
        <f t="shared" si="19"/>
        <v>1512.4999999999998</v>
      </c>
      <c r="N2263" s="6">
        <v>0.5</v>
      </c>
    </row>
    <row r="2264" spans="1:14" ht="15.75" customHeight="1" x14ac:dyDescent="0.45">
      <c r="A2264" s="1" t="s">
        <v>119</v>
      </c>
      <c r="B2264" s="1">
        <v>1185732</v>
      </c>
      <c r="C2264" s="2">
        <v>44723</v>
      </c>
      <c r="D2264" s="1" t="s">
        <v>38</v>
      </c>
      <c r="E2264" s="1" t="s">
        <v>78</v>
      </c>
      <c r="F2264" s="1" t="s">
        <v>79</v>
      </c>
      <c r="G2264" s="1" t="s">
        <v>13</v>
      </c>
      <c r="H2264" s="1">
        <v>19</v>
      </c>
      <c r="I2264" s="1" t="s">
        <v>124</v>
      </c>
      <c r="J2264" s="3">
        <v>0.49999999999999994</v>
      </c>
      <c r="K2264" s="4">
        <v>8000</v>
      </c>
      <c r="L2264" s="5">
        <f t="shared" si="18"/>
        <v>3999.9999999999995</v>
      </c>
      <c r="M2264" s="5">
        <f t="shared" si="19"/>
        <v>1600</v>
      </c>
      <c r="N2264" s="6">
        <v>0.4</v>
      </c>
    </row>
    <row r="2265" spans="1:14" ht="15.75" customHeight="1" x14ac:dyDescent="0.45">
      <c r="A2265" s="1" t="s">
        <v>119</v>
      </c>
      <c r="B2265" s="1">
        <v>1185732</v>
      </c>
      <c r="C2265" s="2">
        <v>44723</v>
      </c>
      <c r="D2265" s="1" t="s">
        <v>38</v>
      </c>
      <c r="E2265" s="1" t="s">
        <v>78</v>
      </c>
      <c r="F2265" s="1" t="s">
        <v>79</v>
      </c>
      <c r="G2265" s="1" t="s">
        <v>14</v>
      </c>
      <c r="H2265" s="1">
        <v>19</v>
      </c>
      <c r="I2265" s="1" t="s">
        <v>123</v>
      </c>
      <c r="J2265" s="3">
        <v>0.45</v>
      </c>
      <c r="K2265" s="4">
        <v>5500</v>
      </c>
      <c r="L2265" s="5">
        <f t="shared" si="18"/>
        <v>2475</v>
      </c>
      <c r="M2265" s="5">
        <f t="shared" si="19"/>
        <v>866.25</v>
      </c>
      <c r="N2265" s="6">
        <v>0.35</v>
      </c>
    </row>
    <row r="2266" spans="1:14" ht="15.75" customHeight="1" x14ac:dyDescent="0.45">
      <c r="A2266" s="1" t="s">
        <v>119</v>
      </c>
      <c r="B2266" s="1">
        <v>1185732</v>
      </c>
      <c r="C2266" s="2">
        <v>44723</v>
      </c>
      <c r="D2266" s="1" t="s">
        <v>38</v>
      </c>
      <c r="E2266" s="1" t="s">
        <v>78</v>
      </c>
      <c r="F2266" s="1" t="s">
        <v>79</v>
      </c>
      <c r="G2266" s="1" t="s">
        <v>15</v>
      </c>
      <c r="H2266" s="1">
        <v>56</v>
      </c>
      <c r="I2266" s="1" t="s">
        <v>123</v>
      </c>
      <c r="J2266" s="3">
        <v>0.5</v>
      </c>
      <c r="K2266" s="4">
        <v>5250</v>
      </c>
      <c r="L2266" s="5">
        <f t="shared" si="18"/>
        <v>2625</v>
      </c>
      <c r="M2266" s="5">
        <f t="shared" si="19"/>
        <v>1050</v>
      </c>
      <c r="N2266" s="6">
        <v>0.4</v>
      </c>
    </row>
    <row r="2267" spans="1:14" ht="15.75" customHeight="1" x14ac:dyDescent="0.45">
      <c r="A2267" s="1" t="s">
        <v>119</v>
      </c>
      <c r="B2267" s="1">
        <v>1185732</v>
      </c>
      <c r="C2267" s="2">
        <v>44723</v>
      </c>
      <c r="D2267" s="1" t="s">
        <v>38</v>
      </c>
      <c r="E2267" s="1" t="s">
        <v>78</v>
      </c>
      <c r="F2267" s="1" t="s">
        <v>79</v>
      </c>
      <c r="G2267" s="1" t="s">
        <v>16</v>
      </c>
      <c r="H2267" s="1">
        <v>36</v>
      </c>
      <c r="I2267" s="1" t="s">
        <v>125</v>
      </c>
      <c r="J2267" s="3">
        <v>0.5</v>
      </c>
      <c r="K2267" s="4">
        <v>5000</v>
      </c>
      <c r="L2267" s="5">
        <f t="shared" si="18"/>
        <v>2500</v>
      </c>
      <c r="M2267" s="5">
        <f t="shared" si="19"/>
        <v>1000</v>
      </c>
      <c r="N2267" s="6">
        <v>0.4</v>
      </c>
    </row>
    <row r="2268" spans="1:14" ht="15.75" customHeight="1" x14ac:dyDescent="0.45">
      <c r="A2268" s="1" t="s">
        <v>119</v>
      </c>
      <c r="B2268" s="1">
        <v>1185732</v>
      </c>
      <c r="C2268" s="2">
        <v>44723</v>
      </c>
      <c r="D2268" s="1" t="s">
        <v>38</v>
      </c>
      <c r="E2268" s="1" t="s">
        <v>78</v>
      </c>
      <c r="F2268" s="1" t="s">
        <v>79</v>
      </c>
      <c r="G2268" s="1" t="s">
        <v>17</v>
      </c>
      <c r="H2268" s="1">
        <v>34</v>
      </c>
      <c r="I2268" s="1" t="s">
        <v>123</v>
      </c>
      <c r="J2268" s="3">
        <v>0.65</v>
      </c>
      <c r="K2268" s="4">
        <v>5000</v>
      </c>
      <c r="L2268" s="5">
        <f t="shared" si="18"/>
        <v>3250</v>
      </c>
      <c r="M2268" s="5">
        <f t="shared" si="19"/>
        <v>1137.5</v>
      </c>
      <c r="N2268" s="6">
        <v>0.35</v>
      </c>
    </row>
    <row r="2269" spans="1:14" ht="15.75" customHeight="1" x14ac:dyDescent="0.45">
      <c r="A2269" s="1" t="s">
        <v>119</v>
      </c>
      <c r="B2269" s="1">
        <v>1185732</v>
      </c>
      <c r="C2269" s="2">
        <v>44723</v>
      </c>
      <c r="D2269" s="1" t="s">
        <v>38</v>
      </c>
      <c r="E2269" s="1" t="s">
        <v>78</v>
      </c>
      <c r="F2269" s="1" t="s">
        <v>79</v>
      </c>
      <c r="G2269" s="1" t="s">
        <v>18</v>
      </c>
      <c r="H2269" s="1">
        <v>29</v>
      </c>
      <c r="I2269" s="1" t="s">
        <v>125</v>
      </c>
      <c r="J2269" s="3">
        <v>0.70000000000000007</v>
      </c>
      <c r="K2269" s="4">
        <v>6750</v>
      </c>
      <c r="L2269" s="5">
        <f t="shared" si="18"/>
        <v>4725</v>
      </c>
      <c r="M2269" s="5">
        <f t="shared" si="19"/>
        <v>2362.5</v>
      </c>
      <c r="N2269" s="6">
        <v>0.5</v>
      </c>
    </row>
    <row r="2270" spans="1:14" ht="15.75" customHeight="1" x14ac:dyDescent="0.45">
      <c r="A2270" s="1" t="s">
        <v>119</v>
      </c>
      <c r="B2270" s="1">
        <v>1185732</v>
      </c>
      <c r="C2270" s="2">
        <v>44751</v>
      </c>
      <c r="D2270" s="1" t="s">
        <v>38</v>
      </c>
      <c r="E2270" s="1" t="s">
        <v>78</v>
      </c>
      <c r="F2270" s="1" t="s">
        <v>79</v>
      </c>
      <c r="G2270" s="1" t="s">
        <v>13</v>
      </c>
      <c r="H2270" s="1">
        <v>28</v>
      </c>
      <c r="I2270" s="1" t="s">
        <v>125</v>
      </c>
      <c r="J2270" s="3">
        <v>0.65</v>
      </c>
      <c r="K2270" s="4">
        <v>9000</v>
      </c>
      <c r="L2270" s="5">
        <f t="shared" si="18"/>
        <v>5850</v>
      </c>
      <c r="M2270" s="5">
        <f t="shared" si="19"/>
        <v>2340</v>
      </c>
      <c r="N2270" s="6">
        <v>0.4</v>
      </c>
    </row>
    <row r="2271" spans="1:14" ht="15.75" customHeight="1" x14ac:dyDescent="0.45">
      <c r="A2271" s="1" t="s">
        <v>119</v>
      </c>
      <c r="B2271" s="1">
        <v>1185732</v>
      </c>
      <c r="C2271" s="2">
        <v>44751</v>
      </c>
      <c r="D2271" s="1" t="s">
        <v>38</v>
      </c>
      <c r="E2271" s="1" t="s">
        <v>78</v>
      </c>
      <c r="F2271" s="1" t="s">
        <v>79</v>
      </c>
      <c r="G2271" s="1" t="s">
        <v>14</v>
      </c>
      <c r="H2271" s="1">
        <v>42</v>
      </c>
      <c r="I2271" s="1" t="s">
        <v>124</v>
      </c>
      <c r="J2271" s="3">
        <v>0.60000000000000009</v>
      </c>
      <c r="K2271" s="4">
        <v>6500</v>
      </c>
      <c r="L2271" s="5">
        <f t="shared" si="18"/>
        <v>3900.0000000000005</v>
      </c>
      <c r="M2271" s="5">
        <f t="shared" si="19"/>
        <v>1365</v>
      </c>
      <c r="N2271" s="6">
        <v>0.35</v>
      </c>
    </row>
    <row r="2272" spans="1:14" ht="15.75" customHeight="1" x14ac:dyDescent="0.45">
      <c r="A2272" s="1" t="s">
        <v>119</v>
      </c>
      <c r="B2272" s="1">
        <v>1185732</v>
      </c>
      <c r="C2272" s="2">
        <v>44751</v>
      </c>
      <c r="D2272" s="1" t="s">
        <v>38</v>
      </c>
      <c r="E2272" s="1" t="s">
        <v>78</v>
      </c>
      <c r="F2272" s="1" t="s">
        <v>79</v>
      </c>
      <c r="G2272" s="1" t="s">
        <v>15</v>
      </c>
      <c r="H2272" s="1">
        <v>29</v>
      </c>
      <c r="I2272" s="1" t="s">
        <v>126</v>
      </c>
      <c r="J2272" s="3">
        <v>0.55000000000000004</v>
      </c>
      <c r="K2272" s="4">
        <v>5750</v>
      </c>
      <c r="L2272" s="5">
        <f t="shared" si="18"/>
        <v>3162.5000000000005</v>
      </c>
      <c r="M2272" s="5">
        <f t="shared" si="19"/>
        <v>1265.0000000000002</v>
      </c>
      <c r="N2272" s="6">
        <v>0.4</v>
      </c>
    </row>
    <row r="2273" spans="1:14" ht="15.75" customHeight="1" x14ac:dyDescent="0.45">
      <c r="A2273" s="1" t="s">
        <v>119</v>
      </c>
      <c r="B2273" s="1">
        <v>1185732</v>
      </c>
      <c r="C2273" s="2">
        <v>44751</v>
      </c>
      <c r="D2273" s="1" t="s">
        <v>38</v>
      </c>
      <c r="E2273" s="1" t="s">
        <v>78</v>
      </c>
      <c r="F2273" s="1" t="s">
        <v>79</v>
      </c>
      <c r="G2273" s="1" t="s">
        <v>16</v>
      </c>
      <c r="H2273" s="1">
        <v>44</v>
      </c>
      <c r="I2273" s="1" t="s">
        <v>124</v>
      </c>
      <c r="J2273" s="3">
        <v>0.55000000000000004</v>
      </c>
      <c r="K2273" s="4">
        <v>5250</v>
      </c>
      <c r="L2273" s="5">
        <f t="shared" si="18"/>
        <v>2887.5000000000005</v>
      </c>
      <c r="M2273" s="5">
        <f t="shared" si="19"/>
        <v>1155.0000000000002</v>
      </c>
      <c r="N2273" s="6">
        <v>0.4</v>
      </c>
    </row>
    <row r="2274" spans="1:14" ht="15.75" customHeight="1" x14ac:dyDescent="0.45">
      <c r="A2274" s="1" t="s">
        <v>119</v>
      </c>
      <c r="B2274" s="1">
        <v>1185732</v>
      </c>
      <c r="C2274" s="2">
        <v>44751</v>
      </c>
      <c r="D2274" s="1" t="s">
        <v>38</v>
      </c>
      <c r="E2274" s="1" t="s">
        <v>78</v>
      </c>
      <c r="F2274" s="1" t="s">
        <v>79</v>
      </c>
      <c r="G2274" s="1" t="s">
        <v>17</v>
      </c>
      <c r="H2274" s="1">
        <v>17</v>
      </c>
      <c r="I2274" s="1" t="s">
        <v>126</v>
      </c>
      <c r="J2274" s="3">
        <v>0.65</v>
      </c>
      <c r="K2274" s="4">
        <v>5500</v>
      </c>
      <c r="L2274" s="5">
        <f t="shared" si="18"/>
        <v>3575</v>
      </c>
      <c r="M2274" s="5">
        <f t="shared" si="19"/>
        <v>1251.25</v>
      </c>
      <c r="N2274" s="6">
        <v>0.35</v>
      </c>
    </row>
    <row r="2275" spans="1:14" ht="15.75" customHeight="1" x14ac:dyDescent="0.45">
      <c r="A2275" s="1" t="s">
        <v>119</v>
      </c>
      <c r="B2275" s="1">
        <v>1185732</v>
      </c>
      <c r="C2275" s="2">
        <v>44751</v>
      </c>
      <c r="D2275" s="1" t="s">
        <v>38</v>
      </c>
      <c r="E2275" s="1" t="s">
        <v>78</v>
      </c>
      <c r="F2275" s="1" t="s">
        <v>79</v>
      </c>
      <c r="G2275" s="1" t="s">
        <v>18</v>
      </c>
      <c r="H2275" s="1">
        <v>56</v>
      </c>
      <c r="I2275" s="1" t="s">
        <v>126</v>
      </c>
      <c r="J2275" s="3">
        <v>0.70000000000000007</v>
      </c>
      <c r="K2275" s="4">
        <v>7250</v>
      </c>
      <c r="L2275" s="5">
        <f t="shared" si="18"/>
        <v>5075.0000000000009</v>
      </c>
      <c r="M2275" s="5">
        <f t="shared" si="19"/>
        <v>2537.5000000000005</v>
      </c>
      <c r="N2275" s="6">
        <v>0.5</v>
      </c>
    </row>
    <row r="2276" spans="1:14" ht="15.75" customHeight="1" x14ac:dyDescent="0.45">
      <c r="A2276" s="1" t="s">
        <v>119</v>
      </c>
      <c r="B2276" s="1">
        <v>1185732</v>
      </c>
      <c r="C2276" s="2">
        <v>44783</v>
      </c>
      <c r="D2276" s="1" t="s">
        <v>38</v>
      </c>
      <c r="E2276" s="1" t="s">
        <v>78</v>
      </c>
      <c r="F2276" s="1" t="s">
        <v>79</v>
      </c>
      <c r="G2276" s="1" t="s">
        <v>13</v>
      </c>
      <c r="H2276" s="1">
        <v>55</v>
      </c>
      <c r="I2276" s="1" t="s">
        <v>124</v>
      </c>
      <c r="J2276" s="3">
        <v>0.65</v>
      </c>
      <c r="K2276" s="4">
        <v>8750</v>
      </c>
      <c r="L2276" s="5">
        <f t="shared" si="18"/>
        <v>5687.5</v>
      </c>
      <c r="M2276" s="5">
        <f t="shared" si="19"/>
        <v>2275</v>
      </c>
      <c r="N2276" s="6">
        <v>0.4</v>
      </c>
    </row>
    <row r="2277" spans="1:14" ht="15.75" customHeight="1" x14ac:dyDescent="0.45">
      <c r="A2277" s="1" t="s">
        <v>119</v>
      </c>
      <c r="B2277" s="1">
        <v>1185732</v>
      </c>
      <c r="C2277" s="2">
        <v>44783</v>
      </c>
      <c r="D2277" s="1" t="s">
        <v>38</v>
      </c>
      <c r="E2277" s="1" t="s">
        <v>78</v>
      </c>
      <c r="F2277" s="1" t="s">
        <v>79</v>
      </c>
      <c r="G2277" s="1" t="s">
        <v>14</v>
      </c>
      <c r="H2277" s="1">
        <v>17</v>
      </c>
      <c r="I2277" s="1" t="s">
        <v>125</v>
      </c>
      <c r="J2277" s="3">
        <v>0.60000000000000009</v>
      </c>
      <c r="K2277" s="4">
        <v>6500</v>
      </c>
      <c r="L2277" s="5">
        <f t="shared" si="18"/>
        <v>3900.0000000000005</v>
      </c>
      <c r="M2277" s="5">
        <f t="shared" si="19"/>
        <v>1365</v>
      </c>
      <c r="N2277" s="6">
        <v>0.35</v>
      </c>
    </row>
    <row r="2278" spans="1:14" ht="15.75" customHeight="1" x14ac:dyDescent="0.45">
      <c r="A2278" s="1" t="s">
        <v>119</v>
      </c>
      <c r="B2278" s="1">
        <v>1185732</v>
      </c>
      <c r="C2278" s="2">
        <v>44783</v>
      </c>
      <c r="D2278" s="1" t="s">
        <v>38</v>
      </c>
      <c r="E2278" s="1" t="s">
        <v>78</v>
      </c>
      <c r="F2278" s="1" t="s">
        <v>79</v>
      </c>
      <c r="G2278" s="1" t="s">
        <v>15</v>
      </c>
      <c r="H2278" s="1">
        <v>27</v>
      </c>
      <c r="I2278" s="1" t="s">
        <v>126</v>
      </c>
      <c r="J2278" s="3">
        <v>0.55000000000000004</v>
      </c>
      <c r="K2278" s="4">
        <v>5750</v>
      </c>
      <c r="L2278" s="5">
        <f t="shared" si="18"/>
        <v>3162.5000000000005</v>
      </c>
      <c r="M2278" s="5">
        <f t="shared" si="19"/>
        <v>1265.0000000000002</v>
      </c>
      <c r="N2278" s="6">
        <v>0.4</v>
      </c>
    </row>
    <row r="2279" spans="1:14" ht="15.75" customHeight="1" x14ac:dyDescent="0.45">
      <c r="A2279" s="1" t="s">
        <v>119</v>
      </c>
      <c r="B2279" s="1">
        <v>1185732</v>
      </c>
      <c r="C2279" s="2">
        <v>44783</v>
      </c>
      <c r="D2279" s="1" t="s">
        <v>38</v>
      </c>
      <c r="E2279" s="1" t="s">
        <v>78</v>
      </c>
      <c r="F2279" s="1" t="s">
        <v>79</v>
      </c>
      <c r="G2279" s="1" t="s">
        <v>16</v>
      </c>
      <c r="H2279" s="1">
        <v>34</v>
      </c>
      <c r="I2279" s="1" t="s">
        <v>124</v>
      </c>
      <c r="J2279" s="3">
        <v>0.45</v>
      </c>
      <c r="K2279" s="4">
        <v>5250</v>
      </c>
      <c r="L2279" s="5">
        <f t="shared" si="18"/>
        <v>2362.5</v>
      </c>
      <c r="M2279" s="5">
        <f t="shared" si="19"/>
        <v>945</v>
      </c>
      <c r="N2279" s="6">
        <v>0.4</v>
      </c>
    </row>
    <row r="2280" spans="1:14" ht="15.75" customHeight="1" x14ac:dyDescent="0.45">
      <c r="A2280" s="1" t="s">
        <v>119</v>
      </c>
      <c r="B2280" s="1">
        <v>1185732</v>
      </c>
      <c r="C2280" s="2">
        <v>44783</v>
      </c>
      <c r="D2280" s="1" t="s">
        <v>38</v>
      </c>
      <c r="E2280" s="1" t="s">
        <v>78</v>
      </c>
      <c r="F2280" s="1" t="s">
        <v>79</v>
      </c>
      <c r="G2280" s="1" t="s">
        <v>17</v>
      </c>
      <c r="H2280" s="1">
        <v>24</v>
      </c>
      <c r="I2280" s="1" t="s">
        <v>124</v>
      </c>
      <c r="J2280" s="3">
        <v>0.55000000000000004</v>
      </c>
      <c r="K2280" s="4">
        <v>5000</v>
      </c>
      <c r="L2280" s="5">
        <f t="shared" si="18"/>
        <v>2750</v>
      </c>
      <c r="M2280" s="5">
        <f t="shared" si="19"/>
        <v>962.49999999999989</v>
      </c>
      <c r="N2280" s="6">
        <v>0.35</v>
      </c>
    </row>
    <row r="2281" spans="1:14" ht="15.75" customHeight="1" x14ac:dyDescent="0.45">
      <c r="A2281" s="1" t="s">
        <v>119</v>
      </c>
      <c r="B2281" s="1">
        <v>1185732</v>
      </c>
      <c r="C2281" s="2">
        <v>44783</v>
      </c>
      <c r="D2281" s="1" t="s">
        <v>38</v>
      </c>
      <c r="E2281" s="1" t="s">
        <v>78</v>
      </c>
      <c r="F2281" s="1" t="s">
        <v>79</v>
      </c>
      <c r="G2281" s="1" t="s">
        <v>18</v>
      </c>
      <c r="H2281" s="1">
        <v>21</v>
      </c>
      <c r="I2281" s="1" t="s">
        <v>124</v>
      </c>
      <c r="J2281" s="3">
        <v>0.60000000000000009</v>
      </c>
      <c r="K2281" s="4">
        <v>6750</v>
      </c>
      <c r="L2281" s="5">
        <f t="shared" si="18"/>
        <v>4050.0000000000005</v>
      </c>
      <c r="M2281" s="5">
        <f t="shared" si="19"/>
        <v>2025.0000000000002</v>
      </c>
      <c r="N2281" s="6">
        <v>0.5</v>
      </c>
    </row>
    <row r="2282" spans="1:14" ht="15.75" customHeight="1" x14ac:dyDescent="0.45">
      <c r="A2282" s="1" t="s">
        <v>119</v>
      </c>
      <c r="B2282" s="1">
        <v>1185732</v>
      </c>
      <c r="C2282" s="2">
        <v>44813</v>
      </c>
      <c r="D2282" s="1" t="s">
        <v>38</v>
      </c>
      <c r="E2282" s="1" t="s">
        <v>78</v>
      </c>
      <c r="F2282" s="1" t="s">
        <v>79</v>
      </c>
      <c r="G2282" s="1" t="s">
        <v>13</v>
      </c>
      <c r="H2282" s="1">
        <v>60</v>
      </c>
      <c r="I2282" s="1" t="s">
        <v>125</v>
      </c>
      <c r="J2282" s="3">
        <v>0.55000000000000004</v>
      </c>
      <c r="K2282" s="4">
        <v>7750</v>
      </c>
      <c r="L2282" s="5">
        <f t="shared" si="18"/>
        <v>4262.5</v>
      </c>
      <c r="M2282" s="5">
        <f t="shared" si="19"/>
        <v>1705</v>
      </c>
      <c r="N2282" s="6">
        <v>0.4</v>
      </c>
    </row>
    <row r="2283" spans="1:14" ht="15.75" customHeight="1" x14ac:dyDescent="0.45">
      <c r="A2283" s="1" t="s">
        <v>119</v>
      </c>
      <c r="B2283" s="1">
        <v>1185732</v>
      </c>
      <c r="C2283" s="2">
        <v>44813</v>
      </c>
      <c r="D2283" s="1" t="s">
        <v>38</v>
      </c>
      <c r="E2283" s="1" t="s">
        <v>78</v>
      </c>
      <c r="F2283" s="1" t="s">
        <v>79</v>
      </c>
      <c r="G2283" s="1" t="s">
        <v>14</v>
      </c>
      <c r="H2283" s="1">
        <v>37</v>
      </c>
      <c r="I2283" s="1" t="s">
        <v>126</v>
      </c>
      <c r="J2283" s="3">
        <v>0.50000000000000011</v>
      </c>
      <c r="K2283" s="4">
        <v>5750</v>
      </c>
      <c r="L2283" s="5">
        <f t="shared" si="18"/>
        <v>2875.0000000000005</v>
      </c>
      <c r="M2283" s="5">
        <f t="shared" si="19"/>
        <v>1006.2500000000001</v>
      </c>
      <c r="N2283" s="6">
        <v>0.35</v>
      </c>
    </row>
    <row r="2284" spans="1:14" ht="15.75" customHeight="1" x14ac:dyDescent="0.45">
      <c r="A2284" s="1" t="s">
        <v>119</v>
      </c>
      <c r="B2284" s="1">
        <v>1185732</v>
      </c>
      <c r="C2284" s="2">
        <v>44813</v>
      </c>
      <c r="D2284" s="1" t="s">
        <v>38</v>
      </c>
      <c r="E2284" s="1" t="s">
        <v>78</v>
      </c>
      <c r="F2284" s="1" t="s">
        <v>79</v>
      </c>
      <c r="G2284" s="1" t="s">
        <v>15</v>
      </c>
      <c r="H2284" s="1">
        <v>28</v>
      </c>
      <c r="I2284" s="1" t="s">
        <v>125</v>
      </c>
      <c r="J2284" s="3">
        <v>0.25000000000000006</v>
      </c>
      <c r="K2284" s="4">
        <v>4750</v>
      </c>
      <c r="L2284" s="5">
        <f t="shared" si="18"/>
        <v>1187.5000000000002</v>
      </c>
      <c r="M2284" s="5">
        <f t="shared" si="19"/>
        <v>475.00000000000011</v>
      </c>
      <c r="N2284" s="6">
        <v>0.4</v>
      </c>
    </row>
    <row r="2285" spans="1:14" ht="15.75" customHeight="1" x14ac:dyDescent="0.45">
      <c r="A2285" s="1" t="s">
        <v>119</v>
      </c>
      <c r="B2285" s="1">
        <v>1185732</v>
      </c>
      <c r="C2285" s="2">
        <v>44813</v>
      </c>
      <c r="D2285" s="1" t="s">
        <v>38</v>
      </c>
      <c r="E2285" s="1" t="s">
        <v>78</v>
      </c>
      <c r="F2285" s="1" t="s">
        <v>79</v>
      </c>
      <c r="G2285" s="1" t="s">
        <v>16</v>
      </c>
      <c r="H2285" s="1">
        <v>48</v>
      </c>
      <c r="I2285" s="1" t="s">
        <v>123</v>
      </c>
      <c r="J2285" s="3">
        <v>0.25000000000000006</v>
      </c>
      <c r="K2285" s="4">
        <v>4500</v>
      </c>
      <c r="L2285" s="5">
        <f t="shared" si="18"/>
        <v>1125.0000000000002</v>
      </c>
      <c r="M2285" s="5">
        <f t="shared" si="19"/>
        <v>450.00000000000011</v>
      </c>
      <c r="N2285" s="6">
        <v>0.4</v>
      </c>
    </row>
    <row r="2286" spans="1:14" ht="15.75" customHeight="1" x14ac:dyDescent="0.45">
      <c r="A2286" s="1" t="s">
        <v>119</v>
      </c>
      <c r="B2286" s="1">
        <v>1185732</v>
      </c>
      <c r="C2286" s="2">
        <v>44813</v>
      </c>
      <c r="D2286" s="1" t="s">
        <v>38</v>
      </c>
      <c r="E2286" s="1" t="s">
        <v>78</v>
      </c>
      <c r="F2286" s="1" t="s">
        <v>79</v>
      </c>
      <c r="G2286" s="1" t="s">
        <v>17</v>
      </c>
      <c r="H2286" s="1">
        <v>47</v>
      </c>
      <c r="I2286" s="1" t="s">
        <v>124</v>
      </c>
      <c r="J2286" s="3">
        <v>0.35000000000000003</v>
      </c>
      <c r="K2286" s="4">
        <v>4500</v>
      </c>
      <c r="L2286" s="5">
        <f t="shared" si="18"/>
        <v>1575.0000000000002</v>
      </c>
      <c r="M2286" s="5">
        <f t="shared" si="19"/>
        <v>551.25</v>
      </c>
      <c r="N2286" s="6">
        <v>0.35</v>
      </c>
    </row>
    <row r="2287" spans="1:14" ht="15.75" customHeight="1" x14ac:dyDescent="0.45">
      <c r="A2287" s="1" t="s">
        <v>119</v>
      </c>
      <c r="B2287" s="1">
        <v>1185732</v>
      </c>
      <c r="C2287" s="2">
        <v>44813</v>
      </c>
      <c r="D2287" s="1" t="s">
        <v>38</v>
      </c>
      <c r="E2287" s="1" t="s">
        <v>78</v>
      </c>
      <c r="F2287" s="1" t="s">
        <v>79</v>
      </c>
      <c r="G2287" s="1" t="s">
        <v>18</v>
      </c>
      <c r="H2287" s="1">
        <v>46</v>
      </c>
      <c r="I2287" s="1" t="s">
        <v>126</v>
      </c>
      <c r="J2287" s="3">
        <v>0.40000000000000008</v>
      </c>
      <c r="K2287" s="4">
        <v>5500</v>
      </c>
      <c r="L2287" s="5">
        <f t="shared" si="18"/>
        <v>2200.0000000000005</v>
      </c>
      <c r="M2287" s="5">
        <f t="shared" si="19"/>
        <v>1100.0000000000002</v>
      </c>
      <c r="N2287" s="6">
        <v>0.5</v>
      </c>
    </row>
    <row r="2288" spans="1:14" ht="15.75" customHeight="1" x14ac:dyDescent="0.45">
      <c r="A2288" s="1" t="s">
        <v>119</v>
      </c>
      <c r="B2288" s="1">
        <v>1185732</v>
      </c>
      <c r="C2288" s="2">
        <v>44845</v>
      </c>
      <c r="D2288" s="1" t="s">
        <v>38</v>
      </c>
      <c r="E2288" s="1" t="s">
        <v>78</v>
      </c>
      <c r="F2288" s="1" t="s">
        <v>79</v>
      </c>
      <c r="G2288" s="1" t="s">
        <v>13</v>
      </c>
      <c r="H2288" s="1">
        <v>51</v>
      </c>
      <c r="I2288" s="1" t="s">
        <v>123</v>
      </c>
      <c r="J2288" s="3">
        <v>0.40000000000000008</v>
      </c>
      <c r="K2288" s="4">
        <v>7250</v>
      </c>
      <c r="L2288" s="5">
        <f t="shared" si="18"/>
        <v>2900.0000000000005</v>
      </c>
      <c r="M2288" s="5">
        <f t="shared" si="19"/>
        <v>1160.0000000000002</v>
      </c>
      <c r="N2288" s="6">
        <v>0.4</v>
      </c>
    </row>
    <row r="2289" spans="1:14" ht="15.75" customHeight="1" x14ac:dyDescent="0.45">
      <c r="A2289" s="1" t="s">
        <v>119</v>
      </c>
      <c r="B2289" s="1">
        <v>1185732</v>
      </c>
      <c r="C2289" s="2">
        <v>44845</v>
      </c>
      <c r="D2289" s="1" t="s">
        <v>38</v>
      </c>
      <c r="E2289" s="1" t="s">
        <v>78</v>
      </c>
      <c r="F2289" s="1" t="s">
        <v>79</v>
      </c>
      <c r="G2289" s="1" t="s">
        <v>14</v>
      </c>
      <c r="H2289" s="1">
        <v>45</v>
      </c>
      <c r="I2289" s="1" t="s">
        <v>124</v>
      </c>
      <c r="J2289" s="3">
        <v>0.3000000000000001</v>
      </c>
      <c r="K2289" s="4">
        <v>5500</v>
      </c>
      <c r="L2289" s="5">
        <f t="shared" si="18"/>
        <v>1650.0000000000005</v>
      </c>
      <c r="M2289" s="5">
        <f t="shared" si="19"/>
        <v>577.50000000000011</v>
      </c>
      <c r="N2289" s="6">
        <v>0.35</v>
      </c>
    </row>
    <row r="2290" spans="1:14" ht="15.75" customHeight="1" x14ac:dyDescent="0.45">
      <c r="A2290" s="1" t="s">
        <v>119</v>
      </c>
      <c r="B2290" s="1">
        <v>1185732</v>
      </c>
      <c r="C2290" s="2">
        <v>44845</v>
      </c>
      <c r="D2290" s="1" t="s">
        <v>38</v>
      </c>
      <c r="E2290" s="1" t="s">
        <v>78</v>
      </c>
      <c r="F2290" s="1" t="s">
        <v>79</v>
      </c>
      <c r="G2290" s="1" t="s">
        <v>15</v>
      </c>
      <c r="H2290" s="1">
        <v>55</v>
      </c>
      <c r="I2290" s="1" t="s">
        <v>126</v>
      </c>
      <c r="J2290" s="3">
        <v>0.3000000000000001</v>
      </c>
      <c r="K2290" s="4">
        <v>4250</v>
      </c>
      <c r="L2290" s="5">
        <f t="shared" si="18"/>
        <v>1275.0000000000005</v>
      </c>
      <c r="M2290" s="5">
        <f t="shared" si="19"/>
        <v>510.00000000000023</v>
      </c>
      <c r="N2290" s="6">
        <v>0.4</v>
      </c>
    </row>
    <row r="2291" spans="1:14" ht="15.75" customHeight="1" x14ac:dyDescent="0.45">
      <c r="A2291" s="1" t="s">
        <v>119</v>
      </c>
      <c r="B2291" s="1">
        <v>1185732</v>
      </c>
      <c r="C2291" s="2">
        <v>44845</v>
      </c>
      <c r="D2291" s="1" t="s">
        <v>38</v>
      </c>
      <c r="E2291" s="1" t="s">
        <v>78</v>
      </c>
      <c r="F2291" s="1" t="s">
        <v>79</v>
      </c>
      <c r="G2291" s="1" t="s">
        <v>16</v>
      </c>
      <c r="H2291" s="1">
        <v>51</v>
      </c>
      <c r="I2291" s="1" t="s">
        <v>124</v>
      </c>
      <c r="J2291" s="3">
        <v>0.3000000000000001</v>
      </c>
      <c r="K2291" s="4">
        <v>4000</v>
      </c>
      <c r="L2291" s="5">
        <f t="shared" si="18"/>
        <v>1200.0000000000005</v>
      </c>
      <c r="M2291" s="5">
        <f t="shared" si="19"/>
        <v>480.00000000000023</v>
      </c>
      <c r="N2291" s="6">
        <v>0.4</v>
      </c>
    </row>
    <row r="2292" spans="1:14" ht="15.75" customHeight="1" x14ac:dyDescent="0.45">
      <c r="A2292" s="1" t="s">
        <v>119</v>
      </c>
      <c r="B2292" s="1">
        <v>1185732</v>
      </c>
      <c r="C2292" s="2">
        <v>44845</v>
      </c>
      <c r="D2292" s="1" t="s">
        <v>38</v>
      </c>
      <c r="E2292" s="1" t="s">
        <v>78</v>
      </c>
      <c r="F2292" s="1" t="s">
        <v>79</v>
      </c>
      <c r="G2292" s="1" t="s">
        <v>17</v>
      </c>
      <c r="H2292" s="1">
        <v>57</v>
      </c>
      <c r="I2292" s="1" t="s">
        <v>125</v>
      </c>
      <c r="J2292" s="3">
        <v>0.40000000000000008</v>
      </c>
      <c r="K2292" s="4">
        <v>4000</v>
      </c>
      <c r="L2292" s="5">
        <f t="shared" si="18"/>
        <v>1600.0000000000002</v>
      </c>
      <c r="M2292" s="5">
        <f t="shared" si="19"/>
        <v>560</v>
      </c>
      <c r="N2292" s="6">
        <v>0.35</v>
      </c>
    </row>
    <row r="2293" spans="1:14" ht="15.75" customHeight="1" x14ac:dyDescent="0.45">
      <c r="A2293" s="1" t="s">
        <v>119</v>
      </c>
      <c r="B2293" s="1">
        <v>1185732</v>
      </c>
      <c r="C2293" s="2">
        <v>44845</v>
      </c>
      <c r="D2293" s="1" t="s">
        <v>38</v>
      </c>
      <c r="E2293" s="1" t="s">
        <v>78</v>
      </c>
      <c r="F2293" s="1" t="s">
        <v>79</v>
      </c>
      <c r="G2293" s="1" t="s">
        <v>18</v>
      </c>
      <c r="H2293" s="1">
        <v>44</v>
      </c>
      <c r="I2293" s="1" t="s">
        <v>123</v>
      </c>
      <c r="J2293" s="3">
        <v>0.4</v>
      </c>
      <c r="K2293" s="4">
        <v>5250</v>
      </c>
      <c r="L2293" s="5">
        <f t="shared" si="18"/>
        <v>2100</v>
      </c>
      <c r="M2293" s="5">
        <f t="shared" si="19"/>
        <v>1050</v>
      </c>
      <c r="N2293" s="6">
        <v>0.5</v>
      </c>
    </row>
    <row r="2294" spans="1:14" ht="15.75" customHeight="1" x14ac:dyDescent="0.45">
      <c r="A2294" s="1" t="s">
        <v>119</v>
      </c>
      <c r="B2294" s="1">
        <v>1185732</v>
      </c>
      <c r="C2294" s="2">
        <v>44875</v>
      </c>
      <c r="D2294" s="1" t="s">
        <v>38</v>
      </c>
      <c r="E2294" s="1" t="s">
        <v>78</v>
      </c>
      <c r="F2294" s="1" t="s">
        <v>79</v>
      </c>
      <c r="G2294" s="1" t="s">
        <v>13</v>
      </c>
      <c r="H2294" s="1">
        <v>58</v>
      </c>
      <c r="I2294" s="1" t="s">
        <v>124</v>
      </c>
      <c r="J2294" s="3">
        <v>0.35000000000000009</v>
      </c>
      <c r="K2294" s="4">
        <v>6750</v>
      </c>
      <c r="L2294" s="5">
        <f t="shared" si="18"/>
        <v>2362.5000000000005</v>
      </c>
      <c r="M2294" s="5">
        <f t="shared" si="19"/>
        <v>945.00000000000023</v>
      </c>
      <c r="N2294" s="6">
        <v>0.4</v>
      </c>
    </row>
    <row r="2295" spans="1:14" ht="15.75" customHeight="1" x14ac:dyDescent="0.45">
      <c r="A2295" s="1" t="s">
        <v>119</v>
      </c>
      <c r="B2295" s="1">
        <v>1185732</v>
      </c>
      <c r="C2295" s="2">
        <v>44875</v>
      </c>
      <c r="D2295" s="1" t="s">
        <v>38</v>
      </c>
      <c r="E2295" s="1" t="s">
        <v>78</v>
      </c>
      <c r="F2295" s="1" t="s">
        <v>79</v>
      </c>
      <c r="G2295" s="1" t="s">
        <v>14</v>
      </c>
      <c r="H2295" s="1">
        <v>22</v>
      </c>
      <c r="I2295" s="1" t="s">
        <v>124</v>
      </c>
      <c r="J2295" s="3">
        <v>0.25000000000000011</v>
      </c>
      <c r="K2295" s="4">
        <v>5000</v>
      </c>
      <c r="L2295" s="5">
        <f t="shared" si="18"/>
        <v>1250.0000000000005</v>
      </c>
      <c r="M2295" s="5">
        <f t="shared" si="19"/>
        <v>437.50000000000011</v>
      </c>
      <c r="N2295" s="6">
        <v>0.35</v>
      </c>
    </row>
    <row r="2296" spans="1:14" ht="15.75" customHeight="1" x14ac:dyDescent="0.45">
      <c r="A2296" s="1" t="s">
        <v>119</v>
      </c>
      <c r="B2296" s="1">
        <v>1185732</v>
      </c>
      <c r="C2296" s="2">
        <v>44875</v>
      </c>
      <c r="D2296" s="1" t="s">
        <v>38</v>
      </c>
      <c r="E2296" s="1" t="s">
        <v>78</v>
      </c>
      <c r="F2296" s="1" t="s">
        <v>79</v>
      </c>
      <c r="G2296" s="1" t="s">
        <v>15</v>
      </c>
      <c r="H2296" s="1">
        <v>49</v>
      </c>
      <c r="I2296" s="1" t="s">
        <v>124</v>
      </c>
      <c r="J2296" s="3">
        <v>0.35000000000000014</v>
      </c>
      <c r="K2296" s="4">
        <v>4450</v>
      </c>
      <c r="L2296" s="5">
        <f t="shared" si="18"/>
        <v>1557.5000000000007</v>
      </c>
      <c r="M2296" s="5">
        <f t="shared" si="19"/>
        <v>623.00000000000034</v>
      </c>
      <c r="N2296" s="6">
        <v>0.4</v>
      </c>
    </row>
    <row r="2297" spans="1:14" ht="15.75" customHeight="1" x14ac:dyDescent="0.45">
      <c r="A2297" s="1" t="s">
        <v>119</v>
      </c>
      <c r="B2297" s="1">
        <v>1185732</v>
      </c>
      <c r="C2297" s="2">
        <v>44875</v>
      </c>
      <c r="D2297" s="1" t="s">
        <v>38</v>
      </c>
      <c r="E2297" s="1" t="s">
        <v>78</v>
      </c>
      <c r="F2297" s="1" t="s">
        <v>79</v>
      </c>
      <c r="G2297" s="1" t="s">
        <v>16</v>
      </c>
      <c r="H2297" s="1">
        <v>50</v>
      </c>
      <c r="I2297" s="1" t="s">
        <v>125</v>
      </c>
      <c r="J2297" s="3">
        <v>0.65000000000000024</v>
      </c>
      <c r="K2297" s="4">
        <v>5000</v>
      </c>
      <c r="L2297" s="5">
        <f t="shared" si="18"/>
        <v>3250.0000000000014</v>
      </c>
      <c r="M2297" s="5">
        <f t="shared" si="19"/>
        <v>1300.0000000000007</v>
      </c>
      <c r="N2297" s="6">
        <v>0.4</v>
      </c>
    </row>
    <row r="2298" spans="1:14" ht="15.75" customHeight="1" x14ac:dyDescent="0.45">
      <c r="A2298" s="1" t="s">
        <v>119</v>
      </c>
      <c r="B2298" s="1">
        <v>1185732</v>
      </c>
      <c r="C2298" s="2">
        <v>44875</v>
      </c>
      <c r="D2298" s="1" t="s">
        <v>38</v>
      </c>
      <c r="E2298" s="1" t="s">
        <v>78</v>
      </c>
      <c r="F2298" s="1" t="s">
        <v>79</v>
      </c>
      <c r="G2298" s="1" t="s">
        <v>17</v>
      </c>
      <c r="H2298" s="1">
        <v>34</v>
      </c>
      <c r="I2298" s="1" t="s">
        <v>124</v>
      </c>
      <c r="J2298" s="3">
        <v>0.80000000000000016</v>
      </c>
      <c r="K2298" s="4">
        <v>4750</v>
      </c>
      <c r="L2298" s="5">
        <f t="shared" si="18"/>
        <v>3800.0000000000009</v>
      </c>
      <c r="M2298" s="5">
        <f t="shared" si="19"/>
        <v>1330.0000000000002</v>
      </c>
      <c r="N2298" s="6">
        <v>0.35</v>
      </c>
    </row>
    <row r="2299" spans="1:14" ht="15.75" customHeight="1" x14ac:dyDescent="0.45">
      <c r="A2299" s="1" t="s">
        <v>119</v>
      </c>
      <c r="B2299" s="1">
        <v>1185732</v>
      </c>
      <c r="C2299" s="2">
        <v>44875</v>
      </c>
      <c r="D2299" s="1" t="s">
        <v>38</v>
      </c>
      <c r="E2299" s="1" t="s">
        <v>78</v>
      </c>
      <c r="F2299" s="1" t="s">
        <v>79</v>
      </c>
      <c r="G2299" s="1" t="s">
        <v>18</v>
      </c>
      <c r="H2299" s="1">
        <v>50</v>
      </c>
      <c r="I2299" s="1" t="s">
        <v>123</v>
      </c>
      <c r="J2299" s="3">
        <v>0.8</v>
      </c>
      <c r="K2299" s="4">
        <v>5750</v>
      </c>
      <c r="L2299" s="5">
        <f t="shared" si="18"/>
        <v>4600</v>
      </c>
      <c r="M2299" s="5">
        <f t="shared" si="19"/>
        <v>2300</v>
      </c>
      <c r="N2299" s="6">
        <v>0.5</v>
      </c>
    </row>
    <row r="2300" spans="1:14" ht="15.75" customHeight="1" x14ac:dyDescent="0.45">
      <c r="A2300" s="1" t="s">
        <v>119</v>
      </c>
      <c r="B2300" s="1">
        <v>1185732</v>
      </c>
      <c r="C2300" s="2">
        <v>44904</v>
      </c>
      <c r="D2300" s="1" t="s">
        <v>38</v>
      </c>
      <c r="E2300" s="1" t="s">
        <v>78</v>
      </c>
      <c r="F2300" s="1" t="s">
        <v>79</v>
      </c>
      <c r="G2300" s="1" t="s">
        <v>13</v>
      </c>
      <c r="H2300" s="1">
        <v>27</v>
      </c>
      <c r="I2300" s="1" t="s">
        <v>123</v>
      </c>
      <c r="J2300" s="3">
        <v>0.75000000000000011</v>
      </c>
      <c r="K2300" s="4">
        <v>8250</v>
      </c>
      <c r="L2300" s="5">
        <f t="shared" si="18"/>
        <v>6187.5000000000009</v>
      </c>
      <c r="M2300" s="5">
        <f t="shared" si="19"/>
        <v>2475.0000000000005</v>
      </c>
      <c r="N2300" s="6">
        <v>0.4</v>
      </c>
    </row>
    <row r="2301" spans="1:14" ht="15.75" customHeight="1" x14ac:dyDescent="0.45">
      <c r="A2301" s="1" t="s">
        <v>119</v>
      </c>
      <c r="B2301" s="1">
        <v>1185732</v>
      </c>
      <c r="C2301" s="2">
        <v>44904</v>
      </c>
      <c r="D2301" s="1" t="s">
        <v>38</v>
      </c>
      <c r="E2301" s="1" t="s">
        <v>78</v>
      </c>
      <c r="F2301" s="1" t="s">
        <v>79</v>
      </c>
      <c r="G2301" s="1" t="s">
        <v>14</v>
      </c>
      <c r="H2301" s="1">
        <v>29</v>
      </c>
      <c r="I2301" s="1" t="s">
        <v>126</v>
      </c>
      <c r="J2301" s="3">
        <v>0.65000000000000013</v>
      </c>
      <c r="K2301" s="4">
        <v>6250</v>
      </c>
      <c r="L2301" s="5">
        <f t="shared" si="18"/>
        <v>4062.5000000000009</v>
      </c>
      <c r="M2301" s="5">
        <f t="shared" si="19"/>
        <v>1421.8750000000002</v>
      </c>
      <c r="N2301" s="6">
        <v>0.35</v>
      </c>
    </row>
    <row r="2302" spans="1:14" ht="15.75" customHeight="1" x14ac:dyDescent="0.45">
      <c r="A2302" s="1" t="s">
        <v>119</v>
      </c>
      <c r="B2302" s="1">
        <v>1185732</v>
      </c>
      <c r="C2302" s="2">
        <v>44904</v>
      </c>
      <c r="D2302" s="1" t="s">
        <v>38</v>
      </c>
      <c r="E2302" s="1" t="s">
        <v>78</v>
      </c>
      <c r="F2302" s="1" t="s">
        <v>79</v>
      </c>
      <c r="G2302" s="1" t="s">
        <v>15</v>
      </c>
      <c r="H2302" s="1">
        <v>34</v>
      </c>
      <c r="I2302" s="1" t="s">
        <v>123</v>
      </c>
      <c r="J2302" s="3">
        <v>0.65000000000000013</v>
      </c>
      <c r="K2302" s="4">
        <v>5750</v>
      </c>
      <c r="L2302" s="5">
        <f t="shared" si="18"/>
        <v>3737.5000000000009</v>
      </c>
      <c r="M2302" s="5">
        <f t="shared" si="19"/>
        <v>1495.0000000000005</v>
      </c>
      <c r="N2302" s="6">
        <v>0.4</v>
      </c>
    </row>
    <row r="2303" spans="1:14" ht="15.75" customHeight="1" x14ac:dyDescent="0.45">
      <c r="A2303" s="1" t="s">
        <v>119</v>
      </c>
      <c r="B2303" s="1">
        <v>1185732</v>
      </c>
      <c r="C2303" s="2">
        <v>44904</v>
      </c>
      <c r="D2303" s="1" t="s">
        <v>38</v>
      </c>
      <c r="E2303" s="1" t="s">
        <v>78</v>
      </c>
      <c r="F2303" s="1" t="s">
        <v>79</v>
      </c>
      <c r="G2303" s="1" t="s">
        <v>16</v>
      </c>
      <c r="H2303" s="1">
        <v>36</v>
      </c>
      <c r="I2303" s="1" t="s">
        <v>123</v>
      </c>
      <c r="J2303" s="3">
        <v>0.65000000000000013</v>
      </c>
      <c r="K2303" s="4">
        <v>5250</v>
      </c>
      <c r="L2303" s="5">
        <f t="shared" si="18"/>
        <v>3412.5000000000009</v>
      </c>
      <c r="M2303" s="5">
        <f t="shared" si="19"/>
        <v>1365.0000000000005</v>
      </c>
      <c r="N2303" s="6">
        <v>0.4</v>
      </c>
    </row>
    <row r="2304" spans="1:14" ht="15.75" customHeight="1" x14ac:dyDescent="0.45">
      <c r="A2304" s="1" t="s">
        <v>119</v>
      </c>
      <c r="B2304" s="1">
        <v>1185732</v>
      </c>
      <c r="C2304" s="2">
        <v>44904</v>
      </c>
      <c r="D2304" s="1" t="s">
        <v>38</v>
      </c>
      <c r="E2304" s="1" t="s">
        <v>78</v>
      </c>
      <c r="F2304" s="1" t="s">
        <v>79</v>
      </c>
      <c r="G2304" s="1" t="s">
        <v>17</v>
      </c>
      <c r="H2304" s="1">
        <v>26</v>
      </c>
      <c r="I2304" s="1" t="s">
        <v>125</v>
      </c>
      <c r="J2304" s="3">
        <v>0.75000000000000011</v>
      </c>
      <c r="K2304" s="4">
        <v>5250</v>
      </c>
      <c r="L2304" s="5">
        <f t="shared" si="18"/>
        <v>3937.5000000000005</v>
      </c>
      <c r="M2304" s="5">
        <f t="shared" si="19"/>
        <v>1378.125</v>
      </c>
      <c r="N2304" s="6">
        <v>0.35</v>
      </c>
    </row>
    <row r="2305" spans="1:14" ht="15.75" customHeight="1" x14ac:dyDescent="0.45">
      <c r="A2305" s="1" t="s">
        <v>119</v>
      </c>
      <c r="B2305" s="1">
        <v>1185732</v>
      </c>
      <c r="C2305" s="2">
        <v>44904</v>
      </c>
      <c r="D2305" s="1" t="s">
        <v>38</v>
      </c>
      <c r="E2305" s="1" t="s">
        <v>78</v>
      </c>
      <c r="F2305" s="1" t="s">
        <v>79</v>
      </c>
      <c r="G2305" s="1" t="s">
        <v>18</v>
      </c>
      <c r="H2305" s="1">
        <v>48</v>
      </c>
      <c r="I2305" s="1" t="s">
        <v>125</v>
      </c>
      <c r="J2305" s="3">
        <v>0.8</v>
      </c>
      <c r="K2305" s="4">
        <v>6250</v>
      </c>
      <c r="L2305" s="5">
        <f t="shared" si="18"/>
        <v>5000</v>
      </c>
      <c r="M2305" s="5">
        <f t="shared" si="19"/>
        <v>2500</v>
      </c>
      <c r="N2305" s="6">
        <v>0.5</v>
      </c>
    </row>
    <row r="2306" spans="1:14" ht="15.75" customHeight="1" x14ac:dyDescent="0.45">
      <c r="A2306" s="1" t="s">
        <v>119</v>
      </c>
      <c r="B2306" s="1">
        <v>1185732</v>
      </c>
      <c r="C2306" s="2">
        <v>44583</v>
      </c>
      <c r="D2306" s="1" t="s">
        <v>26</v>
      </c>
      <c r="E2306" s="1" t="s">
        <v>80</v>
      </c>
      <c r="F2306" s="1" t="s">
        <v>81</v>
      </c>
      <c r="G2306" s="1" t="s">
        <v>13</v>
      </c>
      <c r="H2306" s="1">
        <v>58</v>
      </c>
      <c r="I2306" s="1" t="s">
        <v>125</v>
      </c>
      <c r="J2306" s="3">
        <v>0.4</v>
      </c>
      <c r="K2306" s="4">
        <v>5000</v>
      </c>
      <c r="L2306" s="5">
        <f t="shared" si="18"/>
        <v>2000</v>
      </c>
      <c r="M2306" s="5">
        <f t="shared" si="19"/>
        <v>800</v>
      </c>
      <c r="N2306" s="6">
        <v>0.4</v>
      </c>
    </row>
    <row r="2307" spans="1:14" ht="15.75" customHeight="1" x14ac:dyDescent="0.45">
      <c r="A2307" s="1" t="s">
        <v>119</v>
      </c>
      <c r="B2307" s="1">
        <v>1185732</v>
      </c>
      <c r="C2307" s="2">
        <v>44583</v>
      </c>
      <c r="D2307" s="1" t="s">
        <v>26</v>
      </c>
      <c r="E2307" s="1" t="s">
        <v>80</v>
      </c>
      <c r="F2307" s="1" t="s">
        <v>81</v>
      </c>
      <c r="G2307" s="1" t="s">
        <v>14</v>
      </c>
      <c r="H2307" s="1">
        <v>32</v>
      </c>
      <c r="I2307" s="1" t="s">
        <v>124</v>
      </c>
      <c r="J2307" s="3">
        <v>0.4</v>
      </c>
      <c r="K2307" s="4">
        <v>3000</v>
      </c>
      <c r="L2307" s="5">
        <f t="shared" si="18"/>
        <v>1200</v>
      </c>
      <c r="M2307" s="5">
        <f t="shared" si="19"/>
        <v>420</v>
      </c>
      <c r="N2307" s="6">
        <v>0.35</v>
      </c>
    </row>
    <row r="2308" spans="1:14" ht="15.75" customHeight="1" x14ac:dyDescent="0.45">
      <c r="A2308" s="1" t="s">
        <v>119</v>
      </c>
      <c r="B2308" s="1">
        <v>1185732</v>
      </c>
      <c r="C2308" s="2">
        <v>44583</v>
      </c>
      <c r="D2308" s="1" t="s">
        <v>26</v>
      </c>
      <c r="E2308" s="1" t="s">
        <v>80</v>
      </c>
      <c r="F2308" s="1" t="s">
        <v>81</v>
      </c>
      <c r="G2308" s="1" t="s">
        <v>15</v>
      </c>
      <c r="H2308" s="1">
        <v>21</v>
      </c>
      <c r="I2308" s="1" t="s">
        <v>123</v>
      </c>
      <c r="J2308" s="3">
        <v>0.30000000000000004</v>
      </c>
      <c r="K2308" s="4">
        <v>3000</v>
      </c>
      <c r="L2308" s="5">
        <f t="shared" si="18"/>
        <v>900.00000000000011</v>
      </c>
      <c r="M2308" s="5">
        <f t="shared" si="19"/>
        <v>360.00000000000006</v>
      </c>
      <c r="N2308" s="6">
        <v>0.4</v>
      </c>
    </row>
    <row r="2309" spans="1:14" ht="15.75" customHeight="1" x14ac:dyDescent="0.45">
      <c r="A2309" s="1" t="s">
        <v>119</v>
      </c>
      <c r="B2309" s="1">
        <v>1185732</v>
      </c>
      <c r="C2309" s="2">
        <v>44583</v>
      </c>
      <c r="D2309" s="1" t="s">
        <v>26</v>
      </c>
      <c r="E2309" s="1" t="s">
        <v>80</v>
      </c>
      <c r="F2309" s="1" t="s">
        <v>81</v>
      </c>
      <c r="G2309" s="1" t="s">
        <v>16</v>
      </c>
      <c r="H2309" s="1">
        <v>17</v>
      </c>
      <c r="I2309" s="1" t="s">
        <v>123</v>
      </c>
      <c r="J2309" s="3">
        <v>0.35000000000000003</v>
      </c>
      <c r="K2309" s="4">
        <v>1500</v>
      </c>
      <c r="L2309" s="5">
        <f t="shared" si="18"/>
        <v>525</v>
      </c>
      <c r="M2309" s="5">
        <f t="shared" si="19"/>
        <v>210</v>
      </c>
      <c r="N2309" s="6">
        <v>0.4</v>
      </c>
    </row>
    <row r="2310" spans="1:14" ht="15.75" customHeight="1" x14ac:dyDescent="0.45">
      <c r="A2310" s="1" t="s">
        <v>119</v>
      </c>
      <c r="B2310" s="1">
        <v>1185732</v>
      </c>
      <c r="C2310" s="2">
        <v>44583</v>
      </c>
      <c r="D2310" s="1" t="s">
        <v>26</v>
      </c>
      <c r="E2310" s="1" t="s">
        <v>80</v>
      </c>
      <c r="F2310" s="1" t="s">
        <v>81</v>
      </c>
      <c r="G2310" s="1" t="s">
        <v>17</v>
      </c>
      <c r="H2310" s="1">
        <v>50</v>
      </c>
      <c r="I2310" s="1" t="s">
        <v>123</v>
      </c>
      <c r="J2310" s="3">
        <v>0.49999999999999994</v>
      </c>
      <c r="K2310" s="4">
        <v>2000</v>
      </c>
      <c r="L2310" s="5">
        <f t="shared" si="18"/>
        <v>999.99999999999989</v>
      </c>
      <c r="M2310" s="5">
        <f t="shared" si="19"/>
        <v>349.99999999999994</v>
      </c>
      <c r="N2310" s="6">
        <v>0.35</v>
      </c>
    </row>
    <row r="2311" spans="1:14" ht="15.75" customHeight="1" x14ac:dyDescent="0.45">
      <c r="A2311" s="1" t="s">
        <v>119</v>
      </c>
      <c r="B2311" s="1">
        <v>1185732</v>
      </c>
      <c r="C2311" s="2">
        <v>44583</v>
      </c>
      <c r="D2311" s="1" t="s">
        <v>26</v>
      </c>
      <c r="E2311" s="1" t="s">
        <v>80</v>
      </c>
      <c r="F2311" s="1" t="s">
        <v>81</v>
      </c>
      <c r="G2311" s="1" t="s">
        <v>18</v>
      </c>
      <c r="H2311" s="1">
        <v>18</v>
      </c>
      <c r="I2311" s="1" t="s">
        <v>123</v>
      </c>
      <c r="J2311" s="3">
        <v>0.4</v>
      </c>
      <c r="K2311" s="4">
        <v>3000</v>
      </c>
      <c r="L2311" s="5">
        <f t="shared" si="18"/>
        <v>1200</v>
      </c>
      <c r="M2311" s="5">
        <f t="shared" si="19"/>
        <v>480</v>
      </c>
      <c r="N2311" s="6">
        <v>0.4</v>
      </c>
    </row>
    <row r="2312" spans="1:14" ht="15.75" customHeight="1" x14ac:dyDescent="0.45">
      <c r="A2312" s="1" t="s">
        <v>119</v>
      </c>
      <c r="B2312" s="1">
        <v>1185732</v>
      </c>
      <c r="C2312" s="2">
        <v>44614</v>
      </c>
      <c r="D2312" s="1" t="s">
        <v>26</v>
      </c>
      <c r="E2312" s="1" t="s">
        <v>80</v>
      </c>
      <c r="F2312" s="1" t="s">
        <v>81</v>
      </c>
      <c r="G2312" s="1" t="s">
        <v>13</v>
      </c>
      <c r="H2312" s="1">
        <v>46</v>
      </c>
      <c r="I2312" s="1" t="s">
        <v>123</v>
      </c>
      <c r="J2312" s="3">
        <v>0.4</v>
      </c>
      <c r="K2312" s="4">
        <v>5500</v>
      </c>
      <c r="L2312" s="5">
        <f t="shared" si="18"/>
        <v>2200</v>
      </c>
      <c r="M2312" s="5">
        <f t="shared" si="19"/>
        <v>880</v>
      </c>
      <c r="N2312" s="6">
        <v>0.4</v>
      </c>
    </row>
    <row r="2313" spans="1:14" ht="15.75" customHeight="1" x14ac:dyDescent="0.45">
      <c r="A2313" s="1" t="s">
        <v>119</v>
      </c>
      <c r="B2313" s="1">
        <v>1185732</v>
      </c>
      <c r="C2313" s="2">
        <v>44614</v>
      </c>
      <c r="D2313" s="1" t="s">
        <v>26</v>
      </c>
      <c r="E2313" s="1" t="s">
        <v>80</v>
      </c>
      <c r="F2313" s="1" t="s">
        <v>81</v>
      </c>
      <c r="G2313" s="1" t="s">
        <v>14</v>
      </c>
      <c r="H2313" s="1">
        <v>37</v>
      </c>
      <c r="I2313" s="1" t="s">
        <v>126</v>
      </c>
      <c r="J2313" s="3">
        <v>0.4</v>
      </c>
      <c r="K2313" s="4">
        <v>2000</v>
      </c>
      <c r="L2313" s="5">
        <f t="shared" si="18"/>
        <v>800</v>
      </c>
      <c r="M2313" s="5">
        <f t="shared" si="19"/>
        <v>280</v>
      </c>
      <c r="N2313" s="6">
        <v>0.35</v>
      </c>
    </row>
    <row r="2314" spans="1:14" ht="15.75" customHeight="1" x14ac:dyDescent="0.45">
      <c r="A2314" s="1" t="s">
        <v>119</v>
      </c>
      <c r="B2314" s="1">
        <v>1185732</v>
      </c>
      <c r="C2314" s="2">
        <v>44614</v>
      </c>
      <c r="D2314" s="1" t="s">
        <v>26</v>
      </c>
      <c r="E2314" s="1" t="s">
        <v>80</v>
      </c>
      <c r="F2314" s="1" t="s">
        <v>81</v>
      </c>
      <c r="G2314" s="1" t="s">
        <v>15</v>
      </c>
      <c r="H2314" s="1">
        <v>28</v>
      </c>
      <c r="I2314" s="1" t="s">
        <v>124</v>
      </c>
      <c r="J2314" s="3">
        <v>0.30000000000000004</v>
      </c>
      <c r="K2314" s="4">
        <v>2500</v>
      </c>
      <c r="L2314" s="5">
        <f t="shared" si="18"/>
        <v>750.00000000000011</v>
      </c>
      <c r="M2314" s="5">
        <f t="shared" si="19"/>
        <v>300.00000000000006</v>
      </c>
      <c r="N2314" s="6">
        <v>0.4</v>
      </c>
    </row>
    <row r="2315" spans="1:14" ht="15.75" customHeight="1" x14ac:dyDescent="0.45">
      <c r="A2315" s="1" t="s">
        <v>119</v>
      </c>
      <c r="B2315" s="1">
        <v>1185732</v>
      </c>
      <c r="C2315" s="2">
        <v>44614</v>
      </c>
      <c r="D2315" s="1" t="s">
        <v>26</v>
      </c>
      <c r="E2315" s="1" t="s">
        <v>80</v>
      </c>
      <c r="F2315" s="1" t="s">
        <v>81</v>
      </c>
      <c r="G2315" s="1" t="s">
        <v>16</v>
      </c>
      <c r="H2315" s="1">
        <v>35</v>
      </c>
      <c r="I2315" s="1" t="s">
        <v>125</v>
      </c>
      <c r="J2315" s="3">
        <v>0.35000000000000003</v>
      </c>
      <c r="K2315" s="4">
        <v>1250</v>
      </c>
      <c r="L2315" s="5">
        <f t="shared" si="18"/>
        <v>437.50000000000006</v>
      </c>
      <c r="M2315" s="5">
        <f t="shared" si="19"/>
        <v>175.00000000000003</v>
      </c>
      <c r="N2315" s="6">
        <v>0.4</v>
      </c>
    </row>
    <row r="2316" spans="1:14" ht="15.75" customHeight="1" x14ac:dyDescent="0.45">
      <c r="A2316" s="1" t="s">
        <v>119</v>
      </c>
      <c r="B2316" s="1">
        <v>1185732</v>
      </c>
      <c r="C2316" s="2">
        <v>44614</v>
      </c>
      <c r="D2316" s="1" t="s">
        <v>26</v>
      </c>
      <c r="E2316" s="1" t="s">
        <v>80</v>
      </c>
      <c r="F2316" s="1" t="s">
        <v>81</v>
      </c>
      <c r="G2316" s="1" t="s">
        <v>17</v>
      </c>
      <c r="H2316" s="1">
        <v>33</v>
      </c>
      <c r="I2316" s="1" t="s">
        <v>126</v>
      </c>
      <c r="J2316" s="3">
        <v>0.49999999999999994</v>
      </c>
      <c r="K2316" s="4">
        <v>2000</v>
      </c>
      <c r="L2316" s="5">
        <f t="shared" si="18"/>
        <v>999.99999999999989</v>
      </c>
      <c r="M2316" s="5">
        <f t="shared" si="19"/>
        <v>349.99999999999994</v>
      </c>
      <c r="N2316" s="6">
        <v>0.35</v>
      </c>
    </row>
    <row r="2317" spans="1:14" ht="15.75" customHeight="1" x14ac:dyDescent="0.45">
      <c r="A2317" s="1" t="s">
        <v>119</v>
      </c>
      <c r="B2317" s="1">
        <v>1185732</v>
      </c>
      <c r="C2317" s="2">
        <v>44614</v>
      </c>
      <c r="D2317" s="1" t="s">
        <v>26</v>
      </c>
      <c r="E2317" s="1" t="s">
        <v>80</v>
      </c>
      <c r="F2317" s="1" t="s">
        <v>81</v>
      </c>
      <c r="G2317" s="1" t="s">
        <v>18</v>
      </c>
      <c r="H2317" s="1">
        <v>48</v>
      </c>
      <c r="I2317" s="1" t="s">
        <v>123</v>
      </c>
      <c r="J2317" s="3">
        <v>0.4</v>
      </c>
      <c r="K2317" s="4">
        <v>3000</v>
      </c>
      <c r="L2317" s="5">
        <f t="shared" si="18"/>
        <v>1200</v>
      </c>
      <c r="M2317" s="5">
        <f t="shared" si="19"/>
        <v>480</v>
      </c>
      <c r="N2317" s="6">
        <v>0.4</v>
      </c>
    </row>
    <row r="2318" spans="1:14" ht="15.75" customHeight="1" x14ac:dyDescent="0.45">
      <c r="A2318" s="1" t="s">
        <v>119</v>
      </c>
      <c r="B2318" s="1">
        <v>1185732</v>
      </c>
      <c r="C2318" s="2">
        <v>44641</v>
      </c>
      <c r="D2318" s="1" t="s">
        <v>26</v>
      </c>
      <c r="E2318" s="1" t="s">
        <v>80</v>
      </c>
      <c r="F2318" s="1" t="s">
        <v>81</v>
      </c>
      <c r="G2318" s="1" t="s">
        <v>13</v>
      </c>
      <c r="H2318" s="1">
        <v>34</v>
      </c>
      <c r="I2318" s="1" t="s">
        <v>123</v>
      </c>
      <c r="J2318" s="3">
        <v>0.45</v>
      </c>
      <c r="K2318" s="4">
        <v>5200</v>
      </c>
      <c r="L2318" s="5">
        <f t="shared" si="18"/>
        <v>2340</v>
      </c>
      <c r="M2318" s="5">
        <f t="shared" si="19"/>
        <v>936</v>
      </c>
      <c r="N2318" s="6">
        <v>0.4</v>
      </c>
    </row>
    <row r="2319" spans="1:14" ht="15.75" customHeight="1" x14ac:dyDescent="0.45">
      <c r="A2319" s="1" t="s">
        <v>119</v>
      </c>
      <c r="B2319" s="1">
        <v>1185732</v>
      </c>
      <c r="C2319" s="2">
        <v>44641</v>
      </c>
      <c r="D2319" s="1" t="s">
        <v>26</v>
      </c>
      <c r="E2319" s="1" t="s">
        <v>80</v>
      </c>
      <c r="F2319" s="1" t="s">
        <v>81</v>
      </c>
      <c r="G2319" s="1" t="s">
        <v>14</v>
      </c>
      <c r="H2319" s="1">
        <v>33</v>
      </c>
      <c r="I2319" s="1" t="s">
        <v>125</v>
      </c>
      <c r="J2319" s="3">
        <v>0.45</v>
      </c>
      <c r="K2319" s="4">
        <v>2250</v>
      </c>
      <c r="L2319" s="5">
        <f t="shared" si="18"/>
        <v>1012.5</v>
      </c>
      <c r="M2319" s="5">
        <f t="shared" si="19"/>
        <v>354.375</v>
      </c>
      <c r="N2319" s="6">
        <v>0.35</v>
      </c>
    </row>
    <row r="2320" spans="1:14" ht="15.75" customHeight="1" x14ac:dyDescent="0.45">
      <c r="A2320" s="1" t="s">
        <v>119</v>
      </c>
      <c r="B2320" s="1">
        <v>1185732</v>
      </c>
      <c r="C2320" s="2">
        <v>44641</v>
      </c>
      <c r="D2320" s="1" t="s">
        <v>26</v>
      </c>
      <c r="E2320" s="1" t="s">
        <v>80</v>
      </c>
      <c r="F2320" s="1" t="s">
        <v>81</v>
      </c>
      <c r="G2320" s="1" t="s">
        <v>15</v>
      </c>
      <c r="H2320" s="1">
        <v>54</v>
      </c>
      <c r="I2320" s="1" t="s">
        <v>123</v>
      </c>
      <c r="J2320" s="3">
        <v>0.35000000000000003</v>
      </c>
      <c r="K2320" s="4">
        <v>2500</v>
      </c>
      <c r="L2320" s="5">
        <f t="shared" si="18"/>
        <v>875.00000000000011</v>
      </c>
      <c r="M2320" s="5">
        <f t="shared" si="19"/>
        <v>350.00000000000006</v>
      </c>
      <c r="N2320" s="6">
        <v>0.4</v>
      </c>
    </row>
    <row r="2321" spans="1:14" ht="15.75" customHeight="1" x14ac:dyDescent="0.45">
      <c r="A2321" s="1" t="s">
        <v>119</v>
      </c>
      <c r="B2321" s="1">
        <v>1185732</v>
      </c>
      <c r="C2321" s="2">
        <v>44641</v>
      </c>
      <c r="D2321" s="1" t="s">
        <v>26</v>
      </c>
      <c r="E2321" s="1" t="s">
        <v>80</v>
      </c>
      <c r="F2321" s="1" t="s">
        <v>81</v>
      </c>
      <c r="G2321" s="1" t="s">
        <v>16</v>
      </c>
      <c r="H2321" s="1">
        <v>15</v>
      </c>
      <c r="I2321" s="1" t="s">
        <v>124</v>
      </c>
      <c r="J2321" s="3">
        <v>0.4</v>
      </c>
      <c r="K2321" s="4">
        <v>1000</v>
      </c>
      <c r="L2321" s="5">
        <f t="shared" si="18"/>
        <v>400</v>
      </c>
      <c r="M2321" s="5">
        <f t="shared" si="19"/>
        <v>160</v>
      </c>
      <c r="N2321" s="6">
        <v>0.4</v>
      </c>
    </row>
    <row r="2322" spans="1:14" ht="15.75" customHeight="1" x14ac:dyDescent="0.45">
      <c r="A2322" s="1" t="s">
        <v>119</v>
      </c>
      <c r="B2322" s="1">
        <v>1185732</v>
      </c>
      <c r="C2322" s="2">
        <v>44641</v>
      </c>
      <c r="D2322" s="1" t="s">
        <v>26</v>
      </c>
      <c r="E2322" s="1" t="s">
        <v>80</v>
      </c>
      <c r="F2322" s="1" t="s">
        <v>81</v>
      </c>
      <c r="G2322" s="1" t="s">
        <v>17</v>
      </c>
      <c r="H2322" s="1">
        <v>36</v>
      </c>
      <c r="I2322" s="1" t="s">
        <v>124</v>
      </c>
      <c r="J2322" s="3">
        <v>0.54999999999999993</v>
      </c>
      <c r="K2322" s="4">
        <v>1500</v>
      </c>
      <c r="L2322" s="5">
        <f t="shared" si="18"/>
        <v>824.99999999999989</v>
      </c>
      <c r="M2322" s="5">
        <f t="shared" si="19"/>
        <v>288.74999999999994</v>
      </c>
      <c r="N2322" s="6">
        <v>0.35</v>
      </c>
    </row>
    <row r="2323" spans="1:14" ht="15.75" customHeight="1" x14ac:dyDescent="0.45">
      <c r="A2323" s="1" t="s">
        <v>119</v>
      </c>
      <c r="B2323" s="1">
        <v>1185732</v>
      </c>
      <c r="C2323" s="2">
        <v>44641</v>
      </c>
      <c r="D2323" s="1" t="s">
        <v>26</v>
      </c>
      <c r="E2323" s="1" t="s">
        <v>80</v>
      </c>
      <c r="F2323" s="1" t="s">
        <v>81</v>
      </c>
      <c r="G2323" s="1" t="s">
        <v>18</v>
      </c>
      <c r="H2323" s="1">
        <v>15</v>
      </c>
      <c r="I2323" s="1" t="s">
        <v>123</v>
      </c>
      <c r="J2323" s="3">
        <v>0.45</v>
      </c>
      <c r="K2323" s="4">
        <v>2500</v>
      </c>
      <c r="L2323" s="5">
        <f t="shared" si="18"/>
        <v>1125</v>
      </c>
      <c r="M2323" s="5">
        <f t="shared" si="19"/>
        <v>450</v>
      </c>
      <c r="N2323" s="6">
        <v>0.4</v>
      </c>
    </row>
    <row r="2324" spans="1:14" ht="15.75" customHeight="1" x14ac:dyDescent="0.45">
      <c r="A2324" s="1" t="s">
        <v>119</v>
      </c>
      <c r="B2324" s="1">
        <v>1185732</v>
      </c>
      <c r="C2324" s="2">
        <v>44673</v>
      </c>
      <c r="D2324" s="1" t="s">
        <v>26</v>
      </c>
      <c r="E2324" s="1" t="s">
        <v>80</v>
      </c>
      <c r="F2324" s="1" t="s">
        <v>81</v>
      </c>
      <c r="G2324" s="1" t="s">
        <v>13</v>
      </c>
      <c r="H2324" s="1">
        <v>42</v>
      </c>
      <c r="I2324" s="1" t="s">
        <v>124</v>
      </c>
      <c r="J2324" s="3">
        <v>0.45</v>
      </c>
      <c r="K2324" s="4">
        <v>4750</v>
      </c>
      <c r="L2324" s="5">
        <f t="shared" si="18"/>
        <v>2137.5</v>
      </c>
      <c r="M2324" s="5">
        <f t="shared" si="19"/>
        <v>855</v>
      </c>
      <c r="N2324" s="6">
        <v>0.4</v>
      </c>
    </row>
    <row r="2325" spans="1:14" ht="15.75" customHeight="1" x14ac:dyDescent="0.45">
      <c r="A2325" s="1" t="s">
        <v>119</v>
      </c>
      <c r="B2325" s="1">
        <v>1185732</v>
      </c>
      <c r="C2325" s="2">
        <v>44673</v>
      </c>
      <c r="D2325" s="1" t="s">
        <v>26</v>
      </c>
      <c r="E2325" s="1" t="s">
        <v>80</v>
      </c>
      <c r="F2325" s="1" t="s">
        <v>81</v>
      </c>
      <c r="G2325" s="1" t="s">
        <v>14</v>
      </c>
      <c r="H2325" s="1">
        <v>58</v>
      </c>
      <c r="I2325" s="1" t="s">
        <v>126</v>
      </c>
      <c r="J2325" s="3">
        <v>0.45</v>
      </c>
      <c r="K2325" s="4">
        <v>1750</v>
      </c>
      <c r="L2325" s="5">
        <f t="shared" si="18"/>
        <v>787.5</v>
      </c>
      <c r="M2325" s="5">
        <f t="shared" si="19"/>
        <v>275.625</v>
      </c>
      <c r="N2325" s="6">
        <v>0.35</v>
      </c>
    </row>
    <row r="2326" spans="1:14" ht="15.75" customHeight="1" x14ac:dyDescent="0.45">
      <c r="A2326" s="1" t="s">
        <v>119</v>
      </c>
      <c r="B2326" s="1">
        <v>1185732</v>
      </c>
      <c r="C2326" s="2">
        <v>44673</v>
      </c>
      <c r="D2326" s="1" t="s">
        <v>26</v>
      </c>
      <c r="E2326" s="1" t="s">
        <v>80</v>
      </c>
      <c r="F2326" s="1" t="s">
        <v>81</v>
      </c>
      <c r="G2326" s="1" t="s">
        <v>15</v>
      </c>
      <c r="H2326" s="1">
        <v>30</v>
      </c>
      <c r="I2326" s="1" t="s">
        <v>124</v>
      </c>
      <c r="J2326" s="3">
        <v>0.4</v>
      </c>
      <c r="K2326" s="4">
        <v>1750</v>
      </c>
      <c r="L2326" s="5">
        <f t="shared" si="18"/>
        <v>700</v>
      </c>
      <c r="M2326" s="5">
        <f t="shared" si="19"/>
        <v>280</v>
      </c>
      <c r="N2326" s="6">
        <v>0.4</v>
      </c>
    </row>
    <row r="2327" spans="1:14" ht="15.75" customHeight="1" x14ac:dyDescent="0.45">
      <c r="A2327" s="1" t="s">
        <v>119</v>
      </c>
      <c r="B2327" s="1">
        <v>1185732</v>
      </c>
      <c r="C2327" s="2">
        <v>44673</v>
      </c>
      <c r="D2327" s="1" t="s">
        <v>26</v>
      </c>
      <c r="E2327" s="1" t="s">
        <v>80</v>
      </c>
      <c r="F2327" s="1" t="s">
        <v>81</v>
      </c>
      <c r="G2327" s="1" t="s">
        <v>16</v>
      </c>
      <c r="H2327" s="1">
        <v>55</v>
      </c>
      <c r="I2327" s="1" t="s">
        <v>126</v>
      </c>
      <c r="J2327" s="3">
        <v>0.45</v>
      </c>
      <c r="K2327" s="4">
        <v>1000</v>
      </c>
      <c r="L2327" s="5">
        <f t="shared" si="18"/>
        <v>450</v>
      </c>
      <c r="M2327" s="5">
        <f t="shared" si="19"/>
        <v>180</v>
      </c>
      <c r="N2327" s="6">
        <v>0.4</v>
      </c>
    </row>
    <row r="2328" spans="1:14" ht="15.75" customHeight="1" x14ac:dyDescent="0.45">
      <c r="A2328" s="1" t="s">
        <v>119</v>
      </c>
      <c r="B2328" s="1">
        <v>1185732</v>
      </c>
      <c r="C2328" s="2">
        <v>44673</v>
      </c>
      <c r="D2328" s="1" t="s">
        <v>26</v>
      </c>
      <c r="E2328" s="1" t="s">
        <v>80</v>
      </c>
      <c r="F2328" s="1" t="s">
        <v>81</v>
      </c>
      <c r="G2328" s="1" t="s">
        <v>17</v>
      </c>
      <c r="H2328" s="1">
        <v>32</v>
      </c>
      <c r="I2328" s="1" t="s">
        <v>123</v>
      </c>
      <c r="J2328" s="3">
        <v>0.5</v>
      </c>
      <c r="K2328" s="4">
        <v>1250</v>
      </c>
      <c r="L2328" s="5">
        <f t="shared" si="18"/>
        <v>625</v>
      </c>
      <c r="M2328" s="5">
        <f t="shared" si="19"/>
        <v>218.75</v>
      </c>
      <c r="N2328" s="6">
        <v>0.35</v>
      </c>
    </row>
    <row r="2329" spans="1:14" ht="15.75" customHeight="1" x14ac:dyDescent="0.45">
      <c r="A2329" s="1" t="s">
        <v>119</v>
      </c>
      <c r="B2329" s="1">
        <v>1185732</v>
      </c>
      <c r="C2329" s="2">
        <v>44673</v>
      </c>
      <c r="D2329" s="1" t="s">
        <v>26</v>
      </c>
      <c r="E2329" s="1" t="s">
        <v>80</v>
      </c>
      <c r="F2329" s="1" t="s">
        <v>81</v>
      </c>
      <c r="G2329" s="1" t="s">
        <v>18</v>
      </c>
      <c r="H2329" s="1">
        <v>39</v>
      </c>
      <c r="I2329" s="1" t="s">
        <v>125</v>
      </c>
      <c r="J2329" s="3">
        <v>0.4</v>
      </c>
      <c r="K2329" s="4">
        <v>2500</v>
      </c>
      <c r="L2329" s="5">
        <f t="shared" si="18"/>
        <v>1000</v>
      </c>
      <c r="M2329" s="5">
        <f t="shared" si="19"/>
        <v>400</v>
      </c>
      <c r="N2329" s="6">
        <v>0.4</v>
      </c>
    </row>
    <row r="2330" spans="1:14" ht="15.75" customHeight="1" x14ac:dyDescent="0.45">
      <c r="A2330" s="1" t="s">
        <v>119</v>
      </c>
      <c r="B2330" s="1">
        <v>1185732</v>
      </c>
      <c r="C2330" s="2">
        <v>44704</v>
      </c>
      <c r="D2330" s="1" t="s">
        <v>26</v>
      </c>
      <c r="E2330" s="1" t="s">
        <v>80</v>
      </c>
      <c r="F2330" s="1" t="s">
        <v>81</v>
      </c>
      <c r="G2330" s="1" t="s">
        <v>13</v>
      </c>
      <c r="H2330" s="1">
        <v>18</v>
      </c>
      <c r="I2330" s="1" t="s">
        <v>124</v>
      </c>
      <c r="J2330" s="3">
        <v>0.5</v>
      </c>
      <c r="K2330" s="4">
        <v>5200</v>
      </c>
      <c r="L2330" s="5">
        <f t="shared" si="18"/>
        <v>2600</v>
      </c>
      <c r="M2330" s="5">
        <f t="shared" si="19"/>
        <v>1040</v>
      </c>
      <c r="N2330" s="6">
        <v>0.4</v>
      </c>
    </row>
    <row r="2331" spans="1:14" ht="15.75" customHeight="1" x14ac:dyDescent="0.45">
      <c r="A2331" s="1" t="s">
        <v>119</v>
      </c>
      <c r="B2331" s="1">
        <v>1185732</v>
      </c>
      <c r="C2331" s="2">
        <v>44704</v>
      </c>
      <c r="D2331" s="1" t="s">
        <v>26</v>
      </c>
      <c r="E2331" s="1" t="s">
        <v>80</v>
      </c>
      <c r="F2331" s="1" t="s">
        <v>81</v>
      </c>
      <c r="G2331" s="1" t="s">
        <v>14</v>
      </c>
      <c r="H2331" s="1">
        <v>17</v>
      </c>
      <c r="I2331" s="1" t="s">
        <v>126</v>
      </c>
      <c r="J2331" s="3">
        <v>0.45000000000000007</v>
      </c>
      <c r="K2331" s="4">
        <v>2250</v>
      </c>
      <c r="L2331" s="5">
        <f t="shared" si="18"/>
        <v>1012.5000000000001</v>
      </c>
      <c r="M2331" s="5">
        <f t="shared" si="19"/>
        <v>354.375</v>
      </c>
      <c r="N2331" s="6">
        <v>0.35</v>
      </c>
    </row>
    <row r="2332" spans="1:14" ht="15.75" customHeight="1" x14ac:dyDescent="0.45">
      <c r="A2332" s="1" t="s">
        <v>119</v>
      </c>
      <c r="B2332" s="1">
        <v>1185732</v>
      </c>
      <c r="C2332" s="2">
        <v>44704</v>
      </c>
      <c r="D2332" s="1" t="s">
        <v>26</v>
      </c>
      <c r="E2332" s="1" t="s">
        <v>80</v>
      </c>
      <c r="F2332" s="1" t="s">
        <v>81</v>
      </c>
      <c r="G2332" s="1" t="s">
        <v>15</v>
      </c>
      <c r="H2332" s="1">
        <v>40</v>
      </c>
      <c r="I2332" s="1" t="s">
        <v>124</v>
      </c>
      <c r="J2332" s="3">
        <v>0.4</v>
      </c>
      <c r="K2332" s="4">
        <v>2000</v>
      </c>
      <c r="L2332" s="5">
        <f t="shared" si="18"/>
        <v>800</v>
      </c>
      <c r="M2332" s="5">
        <f t="shared" si="19"/>
        <v>320</v>
      </c>
      <c r="N2332" s="6">
        <v>0.4</v>
      </c>
    </row>
    <row r="2333" spans="1:14" ht="15.75" customHeight="1" x14ac:dyDescent="0.45">
      <c r="A2333" s="1" t="s">
        <v>119</v>
      </c>
      <c r="B2333" s="1">
        <v>1185732</v>
      </c>
      <c r="C2333" s="2">
        <v>44704</v>
      </c>
      <c r="D2333" s="1" t="s">
        <v>26</v>
      </c>
      <c r="E2333" s="1" t="s">
        <v>80</v>
      </c>
      <c r="F2333" s="1" t="s">
        <v>81</v>
      </c>
      <c r="G2333" s="1" t="s">
        <v>16</v>
      </c>
      <c r="H2333" s="1">
        <v>58</v>
      </c>
      <c r="I2333" s="1" t="s">
        <v>125</v>
      </c>
      <c r="J2333" s="3">
        <v>0.4</v>
      </c>
      <c r="K2333" s="4">
        <v>1250</v>
      </c>
      <c r="L2333" s="5">
        <f t="shared" si="18"/>
        <v>500</v>
      </c>
      <c r="M2333" s="5">
        <f t="shared" si="19"/>
        <v>200</v>
      </c>
      <c r="N2333" s="6">
        <v>0.4</v>
      </c>
    </row>
    <row r="2334" spans="1:14" ht="15.75" customHeight="1" x14ac:dyDescent="0.45">
      <c r="A2334" s="1" t="s">
        <v>119</v>
      </c>
      <c r="B2334" s="1">
        <v>1185732</v>
      </c>
      <c r="C2334" s="2">
        <v>44704</v>
      </c>
      <c r="D2334" s="1" t="s">
        <v>26</v>
      </c>
      <c r="E2334" s="1" t="s">
        <v>80</v>
      </c>
      <c r="F2334" s="1" t="s">
        <v>81</v>
      </c>
      <c r="G2334" s="1" t="s">
        <v>17</v>
      </c>
      <c r="H2334" s="1">
        <v>55</v>
      </c>
      <c r="I2334" s="1" t="s">
        <v>126</v>
      </c>
      <c r="J2334" s="3">
        <v>0.5</v>
      </c>
      <c r="K2334" s="4">
        <v>1500</v>
      </c>
      <c r="L2334" s="5">
        <f t="shared" si="18"/>
        <v>750</v>
      </c>
      <c r="M2334" s="5">
        <f t="shared" si="19"/>
        <v>262.5</v>
      </c>
      <c r="N2334" s="6">
        <v>0.35</v>
      </c>
    </row>
    <row r="2335" spans="1:14" ht="15.75" customHeight="1" x14ac:dyDescent="0.45">
      <c r="A2335" s="1" t="s">
        <v>119</v>
      </c>
      <c r="B2335" s="1">
        <v>1185732</v>
      </c>
      <c r="C2335" s="2">
        <v>44704</v>
      </c>
      <c r="D2335" s="1" t="s">
        <v>26</v>
      </c>
      <c r="E2335" s="1" t="s">
        <v>80</v>
      </c>
      <c r="F2335" s="1" t="s">
        <v>81</v>
      </c>
      <c r="G2335" s="1" t="s">
        <v>18</v>
      </c>
      <c r="H2335" s="1">
        <v>17</v>
      </c>
      <c r="I2335" s="1" t="s">
        <v>123</v>
      </c>
      <c r="J2335" s="3">
        <v>0.55000000000000004</v>
      </c>
      <c r="K2335" s="4">
        <v>2750</v>
      </c>
      <c r="L2335" s="5">
        <f t="shared" si="18"/>
        <v>1512.5000000000002</v>
      </c>
      <c r="M2335" s="5">
        <f t="shared" si="19"/>
        <v>605.00000000000011</v>
      </c>
      <c r="N2335" s="6">
        <v>0.4</v>
      </c>
    </row>
    <row r="2336" spans="1:14" ht="15.75" customHeight="1" x14ac:dyDescent="0.45">
      <c r="A2336" s="1" t="s">
        <v>119</v>
      </c>
      <c r="B2336" s="1">
        <v>1185732</v>
      </c>
      <c r="C2336" s="2">
        <v>44734</v>
      </c>
      <c r="D2336" s="1" t="s">
        <v>26</v>
      </c>
      <c r="E2336" s="1" t="s">
        <v>80</v>
      </c>
      <c r="F2336" s="1" t="s">
        <v>81</v>
      </c>
      <c r="G2336" s="1" t="s">
        <v>13</v>
      </c>
      <c r="H2336" s="1">
        <v>46</v>
      </c>
      <c r="I2336" s="1" t="s">
        <v>126</v>
      </c>
      <c r="J2336" s="3">
        <v>0.4</v>
      </c>
      <c r="K2336" s="4">
        <v>5250</v>
      </c>
      <c r="L2336" s="5">
        <f t="shared" si="18"/>
        <v>2100</v>
      </c>
      <c r="M2336" s="5">
        <f t="shared" si="19"/>
        <v>840</v>
      </c>
      <c r="N2336" s="6">
        <v>0.4</v>
      </c>
    </row>
    <row r="2337" spans="1:14" ht="15.75" customHeight="1" x14ac:dyDescent="0.45">
      <c r="A2337" s="1" t="s">
        <v>119</v>
      </c>
      <c r="B2337" s="1">
        <v>1185732</v>
      </c>
      <c r="C2337" s="2">
        <v>44734</v>
      </c>
      <c r="D2337" s="1" t="s">
        <v>26</v>
      </c>
      <c r="E2337" s="1" t="s">
        <v>80</v>
      </c>
      <c r="F2337" s="1" t="s">
        <v>81</v>
      </c>
      <c r="G2337" s="1" t="s">
        <v>14</v>
      </c>
      <c r="H2337" s="1">
        <v>29</v>
      </c>
      <c r="I2337" s="1" t="s">
        <v>126</v>
      </c>
      <c r="J2337" s="3">
        <v>0.35000000000000009</v>
      </c>
      <c r="K2337" s="4">
        <v>2750</v>
      </c>
      <c r="L2337" s="5">
        <f t="shared" si="18"/>
        <v>962.50000000000023</v>
      </c>
      <c r="M2337" s="5">
        <f t="shared" si="19"/>
        <v>336.87500000000006</v>
      </c>
      <c r="N2337" s="6">
        <v>0.35</v>
      </c>
    </row>
    <row r="2338" spans="1:14" ht="15.75" customHeight="1" x14ac:dyDescent="0.45">
      <c r="A2338" s="1" t="s">
        <v>119</v>
      </c>
      <c r="B2338" s="1">
        <v>1185732</v>
      </c>
      <c r="C2338" s="2">
        <v>44734</v>
      </c>
      <c r="D2338" s="1" t="s">
        <v>26</v>
      </c>
      <c r="E2338" s="1" t="s">
        <v>80</v>
      </c>
      <c r="F2338" s="1" t="s">
        <v>81</v>
      </c>
      <c r="G2338" s="1" t="s">
        <v>15</v>
      </c>
      <c r="H2338" s="1">
        <v>47</v>
      </c>
      <c r="I2338" s="1" t="s">
        <v>124</v>
      </c>
      <c r="J2338" s="3">
        <v>0.30000000000000004</v>
      </c>
      <c r="K2338" s="4">
        <v>2250</v>
      </c>
      <c r="L2338" s="5">
        <f t="shared" si="18"/>
        <v>675.00000000000011</v>
      </c>
      <c r="M2338" s="5">
        <f t="shared" si="19"/>
        <v>270.00000000000006</v>
      </c>
      <c r="N2338" s="6">
        <v>0.4</v>
      </c>
    </row>
    <row r="2339" spans="1:14" ht="15.75" customHeight="1" x14ac:dyDescent="0.45">
      <c r="A2339" s="1" t="s">
        <v>119</v>
      </c>
      <c r="B2339" s="1">
        <v>1185732</v>
      </c>
      <c r="C2339" s="2">
        <v>44734</v>
      </c>
      <c r="D2339" s="1" t="s">
        <v>26</v>
      </c>
      <c r="E2339" s="1" t="s">
        <v>80</v>
      </c>
      <c r="F2339" s="1" t="s">
        <v>81</v>
      </c>
      <c r="G2339" s="1" t="s">
        <v>16</v>
      </c>
      <c r="H2339" s="1">
        <v>60</v>
      </c>
      <c r="I2339" s="1" t="s">
        <v>125</v>
      </c>
      <c r="J2339" s="3">
        <v>0.30000000000000004</v>
      </c>
      <c r="K2339" s="4">
        <v>2000</v>
      </c>
      <c r="L2339" s="5">
        <f t="shared" si="18"/>
        <v>600.00000000000011</v>
      </c>
      <c r="M2339" s="5">
        <f t="shared" si="19"/>
        <v>240.00000000000006</v>
      </c>
      <c r="N2339" s="6">
        <v>0.4</v>
      </c>
    </row>
    <row r="2340" spans="1:14" ht="15.75" customHeight="1" x14ac:dyDescent="0.45">
      <c r="A2340" s="1" t="s">
        <v>119</v>
      </c>
      <c r="B2340" s="1">
        <v>1185732</v>
      </c>
      <c r="C2340" s="2">
        <v>44734</v>
      </c>
      <c r="D2340" s="1" t="s">
        <v>26</v>
      </c>
      <c r="E2340" s="1" t="s">
        <v>80</v>
      </c>
      <c r="F2340" s="1" t="s">
        <v>81</v>
      </c>
      <c r="G2340" s="1" t="s">
        <v>17</v>
      </c>
      <c r="H2340" s="1">
        <v>45</v>
      </c>
      <c r="I2340" s="1" t="s">
        <v>126</v>
      </c>
      <c r="J2340" s="3">
        <v>0.5</v>
      </c>
      <c r="K2340" s="4">
        <v>2000</v>
      </c>
      <c r="L2340" s="5">
        <f t="shared" si="18"/>
        <v>1000</v>
      </c>
      <c r="M2340" s="5">
        <f t="shared" si="19"/>
        <v>350</v>
      </c>
      <c r="N2340" s="6">
        <v>0.35</v>
      </c>
    </row>
    <row r="2341" spans="1:14" ht="15.75" customHeight="1" x14ac:dyDescent="0.45">
      <c r="A2341" s="1" t="s">
        <v>119</v>
      </c>
      <c r="B2341" s="1">
        <v>1185732</v>
      </c>
      <c r="C2341" s="2">
        <v>44734</v>
      </c>
      <c r="D2341" s="1" t="s">
        <v>26</v>
      </c>
      <c r="E2341" s="1" t="s">
        <v>80</v>
      </c>
      <c r="F2341" s="1" t="s">
        <v>81</v>
      </c>
      <c r="G2341" s="1" t="s">
        <v>18</v>
      </c>
      <c r="H2341" s="1">
        <v>19</v>
      </c>
      <c r="I2341" s="1" t="s">
        <v>126</v>
      </c>
      <c r="J2341" s="3">
        <v>0.55000000000000004</v>
      </c>
      <c r="K2341" s="4">
        <v>3750</v>
      </c>
      <c r="L2341" s="5">
        <f t="shared" si="18"/>
        <v>2062.5</v>
      </c>
      <c r="M2341" s="5">
        <f t="shared" si="19"/>
        <v>825</v>
      </c>
      <c r="N2341" s="6">
        <v>0.4</v>
      </c>
    </row>
    <row r="2342" spans="1:14" ht="15.75" customHeight="1" x14ac:dyDescent="0.45">
      <c r="A2342" s="1" t="s">
        <v>119</v>
      </c>
      <c r="B2342" s="1">
        <v>1185732</v>
      </c>
      <c r="C2342" s="2">
        <v>44763</v>
      </c>
      <c r="D2342" s="1" t="s">
        <v>26</v>
      </c>
      <c r="E2342" s="1" t="s">
        <v>80</v>
      </c>
      <c r="F2342" s="1" t="s">
        <v>81</v>
      </c>
      <c r="G2342" s="1" t="s">
        <v>13</v>
      </c>
      <c r="H2342" s="1">
        <v>55</v>
      </c>
      <c r="I2342" s="1" t="s">
        <v>124</v>
      </c>
      <c r="J2342" s="3">
        <v>0.5</v>
      </c>
      <c r="K2342" s="4">
        <v>6000</v>
      </c>
      <c r="L2342" s="5">
        <f t="shared" si="18"/>
        <v>3000</v>
      </c>
      <c r="M2342" s="5">
        <f t="shared" si="19"/>
        <v>1200</v>
      </c>
      <c r="N2342" s="6">
        <v>0.4</v>
      </c>
    </row>
    <row r="2343" spans="1:14" ht="15.75" customHeight="1" x14ac:dyDescent="0.45">
      <c r="A2343" s="1" t="s">
        <v>119</v>
      </c>
      <c r="B2343" s="1">
        <v>1185732</v>
      </c>
      <c r="C2343" s="2">
        <v>44763</v>
      </c>
      <c r="D2343" s="1" t="s">
        <v>26</v>
      </c>
      <c r="E2343" s="1" t="s">
        <v>80</v>
      </c>
      <c r="F2343" s="1" t="s">
        <v>81</v>
      </c>
      <c r="G2343" s="1" t="s">
        <v>14</v>
      </c>
      <c r="H2343" s="1">
        <v>43</v>
      </c>
      <c r="I2343" s="1" t="s">
        <v>126</v>
      </c>
      <c r="J2343" s="3">
        <v>0.45000000000000007</v>
      </c>
      <c r="K2343" s="4">
        <v>3500</v>
      </c>
      <c r="L2343" s="5">
        <f t="shared" si="18"/>
        <v>1575.0000000000002</v>
      </c>
      <c r="M2343" s="5">
        <f t="shared" si="19"/>
        <v>551.25</v>
      </c>
      <c r="N2343" s="6">
        <v>0.35</v>
      </c>
    </row>
    <row r="2344" spans="1:14" ht="15.75" customHeight="1" x14ac:dyDescent="0.45">
      <c r="A2344" s="1" t="s">
        <v>119</v>
      </c>
      <c r="B2344" s="1">
        <v>1185732</v>
      </c>
      <c r="C2344" s="2">
        <v>44763</v>
      </c>
      <c r="D2344" s="1" t="s">
        <v>26</v>
      </c>
      <c r="E2344" s="1" t="s">
        <v>80</v>
      </c>
      <c r="F2344" s="1" t="s">
        <v>81</v>
      </c>
      <c r="G2344" s="1" t="s">
        <v>15</v>
      </c>
      <c r="H2344" s="1">
        <v>38</v>
      </c>
      <c r="I2344" s="1" t="s">
        <v>123</v>
      </c>
      <c r="J2344" s="3">
        <v>0.4</v>
      </c>
      <c r="K2344" s="4">
        <v>2750</v>
      </c>
      <c r="L2344" s="5">
        <f t="shared" si="18"/>
        <v>1100</v>
      </c>
      <c r="M2344" s="5">
        <f t="shared" si="19"/>
        <v>440</v>
      </c>
      <c r="N2344" s="6">
        <v>0.4</v>
      </c>
    </row>
    <row r="2345" spans="1:14" ht="15.75" customHeight="1" x14ac:dyDescent="0.45">
      <c r="A2345" s="1" t="s">
        <v>119</v>
      </c>
      <c r="B2345" s="1">
        <v>1185732</v>
      </c>
      <c r="C2345" s="2">
        <v>44763</v>
      </c>
      <c r="D2345" s="1" t="s">
        <v>26</v>
      </c>
      <c r="E2345" s="1" t="s">
        <v>80</v>
      </c>
      <c r="F2345" s="1" t="s">
        <v>81</v>
      </c>
      <c r="G2345" s="1" t="s">
        <v>16</v>
      </c>
      <c r="H2345" s="1">
        <v>19</v>
      </c>
      <c r="I2345" s="1" t="s">
        <v>125</v>
      </c>
      <c r="J2345" s="3">
        <v>0.4</v>
      </c>
      <c r="K2345" s="4">
        <v>2250</v>
      </c>
      <c r="L2345" s="5">
        <f t="shared" si="18"/>
        <v>900</v>
      </c>
      <c r="M2345" s="5">
        <f t="shared" si="19"/>
        <v>360</v>
      </c>
      <c r="N2345" s="6">
        <v>0.4</v>
      </c>
    </row>
    <row r="2346" spans="1:14" ht="15.75" customHeight="1" x14ac:dyDescent="0.45">
      <c r="A2346" s="1" t="s">
        <v>119</v>
      </c>
      <c r="B2346" s="1">
        <v>1185732</v>
      </c>
      <c r="C2346" s="2">
        <v>44763</v>
      </c>
      <c r="D2346" s="1" t="s">
        <v>26</v>
      </c>
      <c r="E2346" s="1" t="s">
        <v>80</v>
      </c>
      <c r="F2346" s="1" t="s">
        <v>81</v>
      </c>
      <c r="G2346" s="1" t="s">
        <v>17</v>
      </c>
      <c r="H2346" s="1">
        <v>41</v>
      </c>
      <c r="I2346" s="1" t="s">
        <v>123</v>
      </c>
      <c r="J2346" s="3">
        <v>0.5</v>
      </c>
      <c r="K2346" s="4">
        <v>2500</v>
      </c>
      <c r="L2346" s="5">
        <f t="shared" si="18"/>
        <v>1250</v>
      </c>
      <c r="M2346" s="5">
        <f t="shared" si="19"/>
        <v>437.5</v>
      </c>
      <c r="N2346" s="6">
        <v>0.35</v>
      </c>
    </row>
    <row r="2347" spans="1:14" ht="15.75" customHeight="1" x14ac:dyDescent="0.45">
      <c r="A2347" s="1" t="s">
        <v>119</v>
      </c>
      <c r="B2347" s="1">
        <v>1185732</v>
      </c>
      <c r="C2347" s="2">
        <v>44763</v>
      </c>
      <c r="D2347" s="1" t="s">
        <v>26</v>
      </c>
      <c r="E2347" s="1" t="s">
        <v>80</v>
      </c>
      <c r="F2347" s="1" t="s">
        <v>81</v>
      </c>
      <c r="G2347" s="1" t="s">
        <v>18</v>
      </c>
      <c r="H2347" s="1">
        <v>19</v>
      </c>
      <c r="I2347" s="1" t="s">
        <v>125</v>
      </c>
      <c r="J2347" s="3">
        <v>0.55000000000000004</v>
      </c>
      <c r="K2347" s="4">
        <v>4250</v>
      </c>
      <c r="L2347" s="5">
        <f t="shared" si="18"/>
        <v>2337.5</v>
      </c>
      <c r="M2347" s="5">
        <f t="shared" si="19"/>
        <v>935</v>
      </c>
      <c r="N2347" s="6">
        <v>0.4</v>
      </c>
    </row>
    <row r="2348" spans="1:14" ht="15.75" customHeight="1" x14ac:dyDescent="0.45">
      <c r="A2348" s="1" t="s">
        <v>119</v>
      </c>
      <c r="B2348" s="1">
        <v>1185732</v>
      </c>
      <c r="C2348" s="2">
        <v>44795</v>
      </c>
      <c r="D2348" s="1" t="s">
        <v>26</v>
      </c>
      <c r="E2348" s="1" t="s">
        <v>80</v>
      </c>
      <c r="F2348" s="1" t="s">
        <v>81</v>
      </c>
      <c r="G2348" s="1" t="s">
        <v>13</v>
      </c>
      <c r="H2348" s="1">
        <v>57</v>
      </c>
      <c r="I2348" s="1" t="s">
        <v>125</v>
      </c>
      <c r="J2348" s="3">
        <v>0.5</v>
      </c>
      <c r="K2348" s="4">
        <v>5750</v>
      </c>
      <c r="L2348" s="5">
        <f t="shared" si="18"/>
        <v>2875</v>
      </c>
      <c r="M2348" s="5">
        <f t="shared" si="19"/>
        <v>1150</v>
      </c>
      <c r="N2348" s="6">
        <v>0.4</v>
      </c>
    </row>
    <row r="2349" spans="1:14" ht="15.75" customHeight="1" x14ac:dyDescent="0.45">
      <c r="A2349" s="1" t="s">
        <v>119</v>
      </c>
      <c r="B2349" s="1">
        <v>1185732</v>
      </c>
      <c r="C2349" s="2">
        <v>44795</v>
      </c>
      <c r="D2349" s="1" t="s">
        <v>26</v>
      </c>
      <c r="E2349" s="1" t="s">
        <v>80</v>
      </c>
      <c r="F2349" s="1" t="s">
        <v>81</v>
      </c>
      <c r="G2349" s="1" t="s">
        <v>14</v>
      </c>
      <c r="H2349" s="1">
        <v>24</v>
      </c>
      <c r="I2349" s="1" t="s">
        <v>125</v>
      </c>
      <c r="J2349" s="3">
        <v>0.45000000000000007</v>
      </c>
      <c r="K2349" s="4">
        <v>3500</v>
      </c>
      <c r="L2349" s="5">
        <f t="shared" si="18"/>
        <v>1575.0000000000002</v>
      </c>
      <c r="M2349" s="5">
        <f t="shared" si="19"/>
        <v>551.25</v>
      </c>
      <c r="N2349" s="6">
        <v>0.35</v>
      </c>
    </row>
    <row r="2350" spans="1:14" ht="15.75" customHeight="1" x14ac:dyDescent="0.45">
      <c r="A2350" s="1" t="s">
        <v>119</v>
      </c>
      <c r="B2350" s="1">
        <v>1185732</v>
      </c>
      <c r="C2350" s="2">
        <v>44795</v>
      </c>
      <c r="D2350" s="1" t="s">
        <v>26</v>
      </c>
      <c r="E2350" s="1" t="s">
        <v>80</v>
      </c>
      <c r="F2350" s="1" t="s">
        <v>81</v>
      </c>
      <c r="G2350" s="1" t="s">
        <v>15</v>
      </c>
      <c r="H2350" s="1">
        <v>33</v>
      </c>
      <c r="I2350" s="1" t="s">
        <v>124</v>
      </c>
      <c r="J2350" s="3">
        <v>0.4</v>
      </c>
      <c r="K2350" s="4">
        <v>2750</v>
      </c>
      <c r="L2350" s="5">
        <f t="shared" si="18"/>
        <v>1100</v>
      </c>
      <c r="M2350" s="5">
        <f t="shared" si="19"/>
        <v>440</v>
      </c>
      <c r="N2350" s="6">
        <v>0.4</v>
      </c>
    </row>
    <row r="2351" spans="1:14" ht="15.75" customHeight="1" x14ac:dyDescent="0.45">
      <c r="A2351" s="1" t="s">
        <v>119</v>
      </c>
      <c r="B2351" s="1">
        <v>1185732</v>
      </c>
      <c r="C2351" s="2">
        <v>44795</v>
      </c>
      <c r="D2351" s="1" t="s">
        <v>26</v>
      </c>
      <c r="E2351" s="1" t="s">
        <v>80</v>
      </c>
      <c r="F2351" s="1" t="s">
        <v>81</v>
      </c>
      <c r="G2351" s="1" t="s">
        <v>16</v>
      </c>
      <c r="H2351" s="1">
        <v>29</v>
      </c>
      <c r="I2351" s="1" t="s">
        <v>124</v>
      </c>
      <c r="J2351" s="3">
        <v>0.4</v>
      </c>
      <c r="K2351" s="4">
        <v>2500</v>
      </c>
      <c r="L2351" s="5">
        <f t="shared" si="18"/>
        <v>1000</v>
      </c>
      <c r="M2351" s="5">
        <f t="shared" si="19"/>
        <v>400</v>
      </c>
      <c r="N2351" s="6">
        <v>0.4</v>
      </c>
    </row>
    <row r="2352" spans="1:14" ht="15.75" customHeight="1" x14ac:dyDescent="0.45">
      <c r="A2352" s="1" t="s">
        <v>119</v>
      </c>
      <c r="B2352" s="1">
        <v>1185732</v>
      </c>
      <c r="C2352" s="2">
        <v>44795</v>
      </c>
      <c r="D2352" s="1" t="s">
        <v>26</v>
      </c>
      <c r="E2352" s="1" t="s">
        <v>80</v>
      </c>
      <c r="F2352" s="1" t="s">
        <v>81</v>
      </c>
      <c r="G2352" s="1" t="s">
        <v>17</v>
      </c>
      <c r="H2352" s="1">
        <v>36</v>
      </c>
      <c r="I2352" s="1" t="s">
        <v>123</v>
      </c>
      <c r="J2352" s="3">
        <v>0.5</v>
      </c>
      <c r="K2352" s="4">
        <v>2250</v>
      </c>
      <c r="L2352" s="5">
        <f t="shared" si="18"/>
        <v>1125</v>
      </c>
      <c r="M2352" s="5">
        <f t="shared" si="19"/>
        <v>393.75</v>
      </c>
      <c r="N2352" s="6">
        <v>0.35</v>
      </c>
    </row>
    <row r="2353" spans="1:14" ht="15.75" customHeight="1" x14ac:dyDescent="0.45">
      <c r="A2353" s="1" t="s">
        <v>119</v>
      </c>
      <c r="B2353" s="1">
        <v>1185732</v>
      </c>
      <c r="C2353" s="2">
        <v>44795</v>
      </c>
      <c r="D2353" s="1" t="s">
        <v>26</v>
      </c>
      <c r="E2353" s="1" t="s">
        <v>80</v>
      </c>
      <c r="F2353" s="1" t="s">
        <v>81</v>
      </c>
      <c r="G2353" s="1" t="s">
        <v>18</v>
      </c>
      <c r="H2353" s="1">
        <v>22</v>
      </c>
      <c r="I2353" s="1" t="s">
        <v>125</v>
      </c>
      <c r="J2353" s="3">
        <v>0.55000000000000004</v>
      </c>
      <c r="K2353" s="4">
        <v>4000</v>
      </c>
      <c r="L2353" s="5">
        <f t="shared" si="18"/>
        <v>2200</v>
      </c>
      <c r="M2353" s="5">
        <f t="shared" si="19"/>
        <v>880</v>
      </c>
      <c r="N2353" s="6">
        <v>0.4</v>
      </c>
    </row>
    <row r="2354" spans="1:14" ht="15.75" customHeight="1" x14ac:dyDescent="0.45">
      <c r="A2354" s="1" t="s">
        <v>119</v>
      </c>
      <c r="B2354" s="1">
        <v>1185732</v>
      </c>
      <c r="C2354" s="2">
        <v>44827</v>
      </c>
      <c r="D2354" s="1" t="s">
        <v>26</v>
      </c>
      <c r="E2354" s="1" t="s">
        <v>80</v>
      </c>
      <c r="F2354" s="1" t="s">
        <v>81</v>
      </c>
      <c r="G2354" s="1" t="s">
        <v>13</v>
      </c>
      <c r="H2354" s="1">
        <v>21</v>
      </c>
      <c r="I2354" s="1" t="s">
        <v>124</v>
      </c>
      <c r="J2354" s="3">
        <v>0.5</v>
      </c>
      <c r="K2354" s="4">
        <v>5250</v>
      </c>
      <c r="L2354" s="5">
        <f t="shared" si="18"/>
        <v>2625</v>
      </c>
      <c r="M2354" s="5">
        <f t="shared" si="19"/>
        <v>1050</v>
      </c>
      <c r="N2354" s="6">
        <v>0.4</v>
      </c>
    </row>
    <row r="2355" spans="1:14" ht="15.75" customHeight="1" x14ac:dyDescent="0.45">
      <c r="A2355" s="1" t="s">
        <v>119</v>
      </c>
      <c r="B2355" s="1">
        <v>1185732</v>
      </c>
      <c r="C2355" s="2">
        <v>44827</v>
      </c>
      <c r="D2355" s="1" t="s">
        <v>26</v>
      </c>
      <c r="E2355" s="1" t="s">
        <v>80</v>
      </c>
      <c r="F2355" s="1" t="s">
        <v>81</v>
      </c>
      <c r="G2355" s="1" t="s">
        <v>14</v>
      </c>
      <c r="H2355" s="1">
        <v>43</v>
      </c>
      <c r="I2355" s="1" t="s">
        <v>124</v>
      </c>
      <c r="J2355" s="3">
        <v>0.45000000000000007</v>
      </c>
      <c r="K2355" s="4">
        <v>3250</v>
      </c>
      <c r="L2355" s="5">
        <f t="shared" si="18"/>
        <v>1462.5000000000002</v>
      </c>
      <c r="M2355" s="5">
        <f t="shared" si="19"/>
        <v>511.87500000000006</v>
      </c>
      <c r="N2355" s="6">
        <v>0.35</v>
      </c>
    </row>
    <row r="2356" spans="1:14" ht="15.75" customHeight="1" x14ac:dyDescent="0.45">
      <c r="A2356" s="1" t="s">
        <v>119</v>
      </c>
      <c r="B2356" s="1">
        <v>1185732</v>
      </c>
      <c r="C2356" s="2">
        <v>44827</v>
      </c>
      <c r="D2356" s="1" t="s">
        <v>26</v>
      </c>
      <c r="E2356" s="1" t="s">
        <v>80</v>
      </c>
      <c r="F2356" s="1" t="s">
        <v>81</v>
      </c>
      <c r="G2356" s="1" t="s">
        <v>15</v>
      </c>
      <c r="H2356" s="1">
        <v>35</v>
      </c>
      <c r="I2356" s="1" t="s">
        <v>126</v>
      </c>
      <c r="J2356" s="3">
        <v>0.35000000000000003</v>
      </c>
      <c r="K2356" s="4">
        <v>2250</v>
      </c>
      <c r="L2356" s="5">
        <f t="shared" si="18"/>
        <v>787.50000000000011</v>
      </c>
      <c r="M2356" s="5">
        <f t="shared" si="19"/>
        <v>315.00000000000006</v>
      </c>
      <c r="N2356" s="6">
        <v>0.4</v>
      </c>
    </row>
    <row r="2357" spans="1:14" ht="15.75" customHeight="1" x14ac:dyDescent="0.45">
      <c r="A2357" s="1" t="s">
        <v>119</v>
      </c>
      <c r="B2357" s="1">
        <v>1185732</v>
      </c>
      <c r="C2357" s="2">
        <v>44827</v>
      </c>
      <c r="D2357" s="1" t="s">
        <v>26</v>
      </c>
      <c r="E2357" s="1" t="s">
        <v>80</v>
      </c>
      <c r="F2357" s="1" t="s">
        <v>81</v>
      </c>
      <c r="G2357" s="1" t="s">
        <v>16</v>
      </c>
      <c r="H2357" s="1">
        <v>25</v>
      </c>
      <c r="I2357" s="1" t="s">
        <v>125</v>
      </c>
      <c r="J2357" s="3">
        <v>0.35000000000000003</v>
      </c>
      <c r="K2357" s="4">
        <v>2000</v>
      </c>
      <c r="L2357" s="5">
        <f t="shared" si="18"/>
        <v>700.00000000000011</v>
      </c>
      <c r="M2357" s="5">
        <f t="shared" si="19"/>
        <v>280.00000000000006</v>
      </c>
      <c r="N2357" s="6">
        <v>0.4</v>
      </c>
    </row>
    <row r="2358" spans="1:14" ht="15.75" customHeight="1" x14ac:dyDescent="0.45">
      <c r="A2358" s="1" t="s">
        <v>119</v>
      </c>
      <c r="B2358" s="1">
        <v>1185732</v>
      </c>
      <c r="C2358" s="2">
        <v>44827</v>
      </c>
      <c r="D2358" s="1" t="s">
        <v>26</v>
      </c>
      <c r="E2358" s="1" t="s">
        <v>80</v>
      </c>
      <c r="F2358" s="1" t="s">
        <v>81</v>
      </c>
      <c r="G2358" s="1" t="s">
        <v>17</v>
      </c>
      <c r="H2358" s="1">
        <v>16</v>
      </c>
      <c r="I2358" s="1" t="s">
        <v>123</v>
      </c>
      <c r="J2358" s="3">
        <v>0.45</v>
      </c>
      <c r="K2358" s="4">
        <v>2000</v>
      </c>
      <c r="L2358" s="5">
        <f t="shared" si="18"/>
        <v>900</v>
      </c>
      <c r="M2358" s="5">
        <f t="shared" si="19"/>
        <v>315</v>
      </c>
      <c r="N2358" s="6">
        <v>0.35</v>
      </c>
    </row>
    <row r="2359" spans="1:14" ht="15.75" customHeight="1" x14ac:dyDescent="0.45">
      <c r="A2359" s="1" t="s">
        <v>119</v>
      </c>
      <c r="B2359" s="1">
        <v>1185732</v>
      </c>
      <c r="C2359" s="2">
        <v>44827</v>
      </c>
      <c r="D2359" s="1" t="s">
        <v>26</v>
      </c>
      <c r="E2359" s="1" t="s">
        <v>80</v>
      </c>
      <c r="F2359" s="1" t="s">
        <v>81</v>
      </c>
      <c r="G2359" s="1" t="s">
        <v>18</v>
      </c>
      <c r="H2359" s="1">
        <v>50</v>
      </c>
      <c r="I2359" s="1" t="s">
        <v>124</v>
      </c>
      <c r="J2359" s="3">
        <v>0.5</v>
      </c>
      <c r="K2359" s="4">
        <v>2750</v>
      </c>
      <c r="L2359" s="5">
        <f t="shared" si="18"/>
        <v>1375</v>
      </c>
      <c r="M2359" s="5">
        <f t="shared" si="19"/>
        <v>550</v>
      </c>
      <c r="N2359" s="6">
        <v>0.4</v>
      </c>
    </row>
    <row r="2360" spans="1:14" ht="15.75" customHeight="1" x14ac:dyDescent="0.45">
      <c r="A2360" s="1" t="s">
        <v>119</v>
      </c>
      <c r="B2360" s="1">
        <v>1185732</v>
      </c>
      <c r="C2360" s="2">
        <v>44856</v>
      </c>
      <c r="D2360" s="1" t="s">
        <v>26</v>
      </c>
      <c r="E2360" s="1" t="s">
        <v>80</v>
      </c>
      <c r="F2360" s="1" t="s">
        <v>81</v>
      </c>
      <c r="G2360" s="1" t="s">
        <v>13</v>
      </c>
      <c r="H2360" s="1">
        <v>43</v>
      </c>
      <c r="I2360" s="1" t="s">
        <v>123</v>
      </c>
      <c r="J2360" s="3">
        <v>0.54999999999999993</v>
      </c>
      <c r="K2360" s="4">
        <v>4500</v>
      </c>
      <c r="L2360" s="5">
        <f t="shared" si="18"/>
        <v>2474.9999999999995</v>
      </c>
      <c r="M2360" s="5">
        <f t="shared" si="19"/>
        <v>989.99999999999989</v>
      </c>
      <c r="N2360" s="6">
        <v>0.4</v>
      </c>
    </row>
    <row r="2361" spans="1:14" ht="15.75" customHeight="1" x14ac:dyDescent="0.45">
      <c r="A2361" s="1" t="s">
        <v>119</v>
      </c>
      <c r="B2361" s="1">
        <v>1185732</v>
      </c>
      <c r="C2361" s="2">
        <v>44856</v>
      </c>
      <c r="D2361" s="1" t="s">
        <v>26</v>
      </c>
      <c r="E2361" s="1" t="s">
        <v>80</v>
      </c>
      <c r="F2361" s="1" t="s">
        <v>81</v>
      </c>
      <c r="G2361" s="1" t="s">
        <v>14</v>
      </c>
      <c r="H2361" s="1">
        <v>26</v>
      </c>
      <c r="I2361" s="1" t="s">
        <v>126</v>
      </c>
      <c r="J2361" s="3">
        <v>0.45</v>
      </c>
      <c r="K2361" s="4">
        <v>2750</v>
      </c>
      <c r="L2361" s="5">
        <f t="shared" si="18"/>
        <v>1237.5</v>
      </c>
      <c r="M2361" s="5">
        <f t="shared" si="19"/>
        <v>433.125</v>
      </c>
      <c r="N2361" s="6">
        <v>0.35</v>
      </c>
    </row>
    <row r="2362" spans="1:14" ht="15.75" customHeight="1" x14ac:dyDescent="0.45">
      <c r="A2362" s="1" t="s">
        <v>119</v>
      </c>
      <c r="B2362" s="1">
        <v>1185732</v>
      </c>
      <c r="C2362" s="2">
        <v>44856</v>
      </c>
      <c r="D2362" s="1" t="s">
        <v>26</v>
      </c>
      <c r="E2362" s="1" t="s">
        <v>80</v>
      </c>
      <c r="F2362" s="1" t="s">
        <v>81</v>
      </c>
      <c r="G2362" s="1" t="s">
        <v>15</v>
      </c>
      <c r="H2362" s="1">
        <v>57</v>
      </c>
      <c r="I2362" s="1" t="s">
        <v>125</v>
      </c>
      <c r="J2362" s="3">
        <v>0.45</v>
      </c>
      <c r="K2362" s="4">
        <v>1750</v>
      </c>
      <c r="L2362" s="5">
        <f t="shared" si="18"/>
        <v>787.5</v>
      </c>
      <c r="M2362" s="5">
        <f t="shared" si="19"/>
        <v>315</v>
      </c>
      <c r="N2362" s="6">
        <v>0.4</v>
      </c>
    </row>
    <row r="2363" spans="1:14" ht="15.75" customHeight="1" x14ac:dyDescent="0.45">
      <c r="A2363" s="1" t="s">
        <v>119</v>
      </c>
      <c r="B2363" s="1">
        <v>1185732</v>
      </c>
      <c r="C2363" s="2">
        <v>44856</v>
      </c>
      <c r="D2363" s="1" t="s">
        <v>26</v>
      </c>
      <c r="E2363" s="1" t="s">
        <v>80</v>
      </c>
      <c r="F2363" s="1" t="s">
        <v>81</v>
      </c>
      <c r="G2363" s="1" t="s">
        <v>16</v>
      </c>
      <c r="H2363" s="1">
        <v>27</v>
      </c>
      <c r="I2363" s="1" t="s">
        <v>126</v>
      </c>
      <c r="J2363" s="3">
        <v>0.45</v>
      </c>
      <c r="K2363" s="4">
        <v>1500</v>
      </c>
      <c r="L2363" s="5">
        <f t="shared" si="18"/>
        <v>675</v>
      </c>
      <c r="M2363" s="5">
        <f t="shared" si="19"/>
        <v>270</v>
      </c>
      <c r="N2363" s="6">
        <v>0.4</v>
      </c>
    </row>
    <row r="2364" spans="1:14" ht="15.75" customHeight="1" x14ac:dyDescent="0.45">
      <c r="A2364" s="1" t="s">
        <v>119</v>
      </c>
      <c r="B2364" s="1">
        <v>1185732</v>
      </c>
      <c r="C2364" s="2">
        <v>44856</v>
      </c>
      <c r="D2364" s="1" t="s">
        <v>26</v>
      </c>
      <c r="E2364" s="1" t="s">
        <v>80</v>
      </c>
      <c r="F2364" s="1" t="s">
        <v>81</v>
      </c>
      <c r="G2364" s="1" t="s">
        <v>17</v>
      </c>
      <c r="H2364" s="1">
        <v>44</v>
      </c>
      <c r="I2364" s="1" t="s">
        <v>123</v>
      </c>
      <c r="J2364" s="3">
        <v>0.54999999999999993</v>
      </c>
      <c r="K2364" s="4">
        <v>1500</v>
      </c>
      <c r="L2364" s="5">
        <f t="shared" si="18"/>
        <v>824.99999999999989</v>
      </c>
      <c r="M2364" s="5">
        <f t="shared" si="19"/>
        <v>288.74999999999994</v>
      </c>
      <c r="N2364" s="6">
        <v>0.35</v>
      </c>
    </row>
    <row r="2365" spans="1:14" ht="15.75" customHeight="1" x14ac:dyDescent="0.45">
      <c r="A2365" s="1" t="s">
        <v>119</v>
      </c>
      <c r="B2365" s="1">
        <v>1185732</v>
      </c>
      <c r="C2365" s="2">
        <v>44856</v>
      </c>
      <c r="D2365" s="1" t="s">
        <v>26</v>
      </c>
      <c r="E2365" s="1" t="s">
        <v>80</v>
      </c>
      <c r="F2365" s="1" t="s">
        <v>81</v>
      </c>
      <c r="G2365" s="1" t="s">
        <v>18</v>
      </c>
      <c r="H2365" s="1">
        <v>57</v>
      </c>
      <c r="I2365" s="1" t="s">
        <v>124</v>
      </c>
      <c r="J2365" s="3">
        <v>0.54999999999999993</v>
      </c>
      <c r="K2365" s="4">
        <v>2750</v>
      </c>
      <c r="L2365" s="5">
        <f t="shared" si="18"/>
        <v>1512.4999999999998</v>
      </c>
      <c r="M2365" s="5">
        <f t="shared" si="19"/>
        <v>604.99999999999989</v>
      </c>
      <c r="N2365" s="6">
        <v>0.4</v>
      </c>
    </row>
    <row r="2366" spans="1:14" ht="15.75" customHeight="1" x14ac:dyDescent="0.45">
      <c r="A2366" s="1" t="s">
        <v>119</v>
      </c>
      <c r="B2366" s="1">
        <v>1185732</v>
      </c>
      <c r="C2366" s="2">
        <v>44887</v>
      </c>
      <c r="D2366" s="1" t="s">
        <v>26</v>
      </c>
      <c r="E2366" s="1" t="s">
        <v>80</v>
      </c>
      <c r="F2366" s="1" t="s">
        <v>81</v>
      </c>
      <c r="G2366" s="1" t="s">
        <v>13</v>
      </c>
      <c r="H2366" s="1">
        <v>38</v>
      </c>
      <c r="I2366" s="1" t="s">
        <v>125</v>
      </c>
      <c r="J2366" s="3">
        <v>0.5</v>
      </c>
      <c r="K2366" s="4">
        <v>4250</v>
      </c>
      <c r="L2366" s="5">
        <f t="shared" si="18"/>
        <v>2125</v>
      </c>
      <c r="M2366" s="5">
        <f t="shared" si="19"/>
        <v>850</v>
      </c>
      <c r="N2366" s="6">
        <v>0.4</v>
      </c>
    </row>
    <row r="2367" spans="1:14" ht="15.75" customHeight="1" x14ac:dyDescent="0.45">
      <c r="A2367" s="1" t="s">
        <v>119</v>
      </c>
      <c r="B2367" s="1">
        <v>1185732</v>
      </c>
      <c r="C2367" s="2">
        <v>44887</v>
      </c>
      <c r="D2367" s="1" t="s">
        <v>26</v>
      </c>
      <c r="E2367" s="1" t="s">
        <v>80</v>
      </c>
      <c r="F2367" s="1" t="s">
        <v>81</v>
      </c>
      <c r="G2367" s="1" t="s">
        <v>14</v>
      </c>
      <c r="H2367" s="1">
        <v>25</v>
      </c>
      <c r="I2367" s="1" t="s">
        <v>125</v>
      </c>
      <c r="J2367" s="3">
        <v>0.4</v>
      </c>
      <c r="K2367" s="4">
        <v>2750</v>
      </c>
      <c r="L2367" s="5">
        <f t="shared" si="18"/>
        <v>1100</v>
      </c>
      <c r="M2367" s="5">
        <f t="shared" si="19"/>
        <v>385</v>
      </c>
      <c r="N2367" s="6">
        <v>0.35</v>
      </c>
    </row>
    <row r="2368" spans="1:14" ht="15.75" customHeight="1" x14ac:dyDescent="0.45">
      <c r="A2368" s="1" t="s">
        <v>119</v>
      </c>
      <c r="B2368" s="1">
        <v>1185732</v>
      </c>
      <c r="C2368" s="2">
        <v>44887</v>
      </c>
      <c r="D2368" s="1" t="s">
        <v>26</v>
      </c>
      <c r="E2368" s="1" t="s">
        <v>80</v>
      </c>
      <c r="F2368" s="1" t="s">
        <v>81</v>
      </c>
      <c r="G2368" s="1" t="s">
        <v>15</v>
      </c>
      <c r="H2368" s="1">
        <v>28</v>
      </c>
      <c r="I2368" s="1" t="s">
        <v>125</v>
      </c>
      <c r="J2368" s="3">
        <v>0.45</v>
      </c>
      <c r="K2368" s="4">
        <v>2200</v>
      </c>
      <c r="L2368" s="5">
        <f t="shared" si="18"/>
        <v>990</v>
      </c>
      <c r="M2368" s="5">
        <f t="shared" si="19"/>
        <v>396</v>
      </c>
      <c r="N2368" s="6">
        <v>0.4</v>
      </c>
    </row>
    <row r="2369" spans="1:14" ht="15.75" customHeight="1" x14ac:dyDescent="0.45">
      <c r="A2369" s="1" t="s">
        <v>119</v>
      </c>
      <c r="B2369" s="1">
        <v>1185732</v>
      </c>
      <c r="C2369" s="2">
        <v>44887</v>
      </c>
      <c r="D2369" s="1" t="s">
        <v>26</v>
      </c>
      <c r="E2369" s="1" t="s">
        <v>80</v>
      </c>
      <c r="F2369" s="1" t="s">
        <v>81</v>
      </c>
      <c r="G2369" s="1" t="s">
        <v>16</v>
      </c>
      <c r="H2369" s="1">
        <v>42</v>
      </c>
      <c r="I2369" s="1" t="s">
        <v>125</v>
      </c>
      <c r="J2369" s="3">
        <v>0.55000000000000004</v>
      </c>
      <c r="K2369" s="4">
        <v>2000</v>
      </c>
      <c r="L2369" s="5">
        <f t="shared" si="18"/>
        <v>1100</v>
      </c>
      <c r="M2369" s="5">
        <f t="shared" si="19"/>
        <v>440</v>
      </c>
      <c r="N2369" s="6">
        <v>0.4</v>
      </c>
    </row>
    <row r="2370" spans="1:14" ht="15.75" customHeight="1" x14ac:dyDescent="0.45">
      <c r="A2370" s="1" t="s">
        <v>119</v>
      </c>
      <c r="B2370" s="1">
        <v>1185732</v>
      </c>
      <c r="C2370" s="2">
        <v>44887</v>
      </c>
      <c r="D2370" s="1" t="s">
        <v>26</v>
      </c>
      <c r="E2370" s="1" t="s">
        <v>80</v>
      </c>
      <c r="F2370" s="1" t="s">
        <v>81</v>
      </c>
      <c r="G2370" s="1" t="s">
        <v>17</v>
      </c>
      <c r="H2370" s="1">
        <v>59</v>
      </c>
      <c r="I2370" s="1" t="s">
        <v>125</v>
      </c>
      <c r="J2370" s="3">
        <v>0.65</v>
      </c>
      <c r="K2370" s="4">
        <v>1750</v>
      </c>
      <c r="L2370" s="5">
        <f t="shared" si="18"/>
        <v>1137.5</v>
      </c>
      <c r="M2370" s="5">
        <f t="shared" si="19"/>
        <v>398.125</v>
      </c>
      <c r="N2370" s="6">
        <v>0.35</v>
      </c>
    </row>
    <row r="2371" spans="1:14" ht="15.75" customHeight="1" x14ac:dyDescent="0.45">
      <c r="A2371" s="1" t="s">
        <v>119</v>
      </c>
      <c r="B2371" s="1">
        <v>1185732</v>
      </c>
      <c r="C2371" s="2">
        <v>44887</v>
      </c>
      <c r="D2371" s="1" t="s">
        <v>26</v>
      </c>
      <c r="E2371" s="1" t="s">
        <v>80</v>
      </c>
      <c r="F2371" s="1" t="s">
        <v>81</v>
      </c>
      <c r="G2371" s="1" t="s">
        <v>18</v>
      </c>
      <c r="H2371" s="1">
        <v>54</v>
      </c>
      <c r="I2371" s="1" t="s">
        <v>125</v>
      </c>
      <c r="J2371" s="3">
        <v>0.7</v>
      </c>
      <c r="K2371" s="4">
        <v>2750</v>
      </c>
      <c r="L2371" s="5">
        <f t="shared" si="18"/>
        <v>1924.9999999999998</v>
      </c>
      <c r="M2371" s="5">
        <f t="shared" si="19"/>
        <v>770</v>
      </c>
      <c r="N2371" s="6">
        <v>0.4</v>
      </c>
    </row>
    <row r="2372" spans="1:14" ht="15.75" customHeight="1" x14ac:dyDescent="0.45">
      <c r="A2372" s="1" t="s">
        <v>119</v>
      </c>
      <c r="B2372" s="1">
        <v>1185732</v>
      </c>
      <c r="C2372" s="2">
        <v>44916</v>
      </c>
      <c r="D2372" s="1" t="s">
        <v>26</v>
      </c>
      <c r="E2372" s="1" t="s">
        <v>80</v>
      </c>
      <c r="F2372" s="1" t="s">
        <v>81</v>
      </c>
      <c r="G2372" s="1" t="s">
        <v>13</v>
      </c>
      <c r="H2372" s="1">
        <v>16</v>
      </c>
      <c r="I2372" s="1" t="s">
        <v>123</v>
      </c>
      <c r="J2372" s="3">
        <v>0.65</v>
      </c>
      <c r="K2372" s="4">
        <v>5250</v>
      </c>
      <c r="L2372" s="5">
        <f t="shared" si="18"/>
        <v>3412.5</v>
      </c>
      <c r="M2372" s="5">
        <f t="shared" si="19"/>
        <v>1365</v>
      </c>
      <c r="N2372" s="6">
        <v>0.4</v>
      </c>
    </row>
    <row r="2373" spans="1:14" ht="15.75" customHeight="1" x14ac:dyDescent="0.45">
      <c r="A2373" s="1" t="s">
        <v>119</v>
      </c>
      <c r="B2373" s="1">
        <v>1185732</v>
      </c>
      <c r="C2373" s="2">
        <v>44916</v>
      </c>
      <c r="D2373" s="1" t="s">
        <v>26</v>
      </c>
      <c r="E2373" s="1" t="s">
        <v>80</v>
      </c>
      <c r="F2373" s="1" t="s">
        <v>81</v>
      </c>
      <c r="G2373" s="1" t="s">
        <v>14</v>
      </c>
      <c r="H2373" s="1">
        <v>16</v>
      </c>
      <c r="I2373" s="1" t="s">
        <v>126</v>
      </c>
      <c r="J2373" s="3">
        <v>0.55000000000000004</v>
      </c>
      <c r="K2373" s="4">
        <v>3250</v>
      </c>
      <c r="L2373" s="5">
        <f t="shared" si="18"/>
        <v>1787.5000000000002</v>
      </c>
      <c r="M2373" s="5">
        <f t="shared" si="19"/>
        <v>625.625</v>
      </c>
      <c r="N2373" s="6">
        <v>0.35</v>
      </c>
    </row>
    <row r="2374" spans="1:14" ht="15.75" customHeight="1" x14ac:dyDescent="0.45">
      <c r="A2374" s="1" t="s">
        <v>119</v>
      </c>
      <c r="B2374" s="1">
        <v>1185732</v>
      </c>
      <c r="C2374" s="2">
        <v>44916</v>
      </c>
      <c r="D2374" s="1" t="s">
        <v>26</v>
      </c>
      <c r="E2374" s="1" t="s">
        <v>80</v>
      </c>
      <c r="F2374" s="1" t="s">
        <v>81</v>
      </c>
      <c r="G2374" s="1" t="s">
        <v>15</v>
      </c>
      <c r="H2374" s="1">
        <v>44</v>
      </c>
      <c r="I2374" s="1" t="s">
        <v>124</v>
      </c>
      <c r="J2374" s="3">
        <v>0.55000000000000004</v>
      </c>
      <c r="K2374" s="4">
        <v>2750</v>
      </c>
      <c r="L2374" s="5">
        <f t="shared" si="18"/>
        <v>1512.5000000000002</v>
      </c>
      <c r="M2374" s="5">
        <f t="shared" si="19"/>
        <v>605.00000000000011</v>
      </c>
      <c r="N2374" s="6">
        <v>0.4</v>
      </c>
    </row>
    <row r="2375" spans="1:14" ht="15.75" customHeight="1" x14ac:dyDescent="0.45">
      <c r="A2375" s="1" t="s">
        <v>119</v>
      </c>
      <c r="B2375" s="1">
        <v>1185732</v>
      </c>
      <c r="C2375" s="2">
        <v>44916</v>
      </c>
      <c r="D2375" s="1" t="s">
        <v>26</v>
      </c>
      <c r="E2375" s="1" t="s">
        <v>80</v>
      </c>
      <c r="F2375" s="1" t="s">
        <v>81</v>
      </c>
      <c r="G2375" s="1" t="s">
        <v>16</v>
      </c>
      <c r="H2375" s="1">
        <v>44</v>
      </c>
      <c r="I2375" s="1" t="s">
        <v>126</v>
      </c>
      <c r="J2375" s="3">
        <v>0.5</v>
      </c>
      <c r="K2375" s="4">
        <v>2250</v>
      </c>
      <c r="L2375" s="5">
        <f t="shared" si="18"/>
        <v>1125</v>
      </c>
      <c r="M2375" s="5">
        <f t="shared" si="19"/>
        <v>450</v>
      </c>
      <c r="N2375" s="6">
        <v>0.4</v>
      </c>
    </row>
    <row r="2376" spans="1:14" ht="15.75" customHeight="1" x14ac:dyDescent="0.45">
      <c r="A2376" s="1" t="s">
        <v>119</v>
      </c>
      <c r="B2376" s="1">
        <v>1185732</v>
      </c>
      <c r="C2376" s="2">
        <v>44916</v>
      </c>
      <c r="D2376" s="1" t="s">
        <v>26</v>
      </c>
      <c r="E2376" s="1" t="s">
        <v>80</v>
      </c>
      <c r="F2376" s="1" t="s">
        <v>81</v>
      </c>
      <c r="G2376" s="1" t="s">
        <v>17</v>
      </c>
      <c r="H2376" s="1">
        <v>29</v>
      </c>
      <c r="I2376" s="1" t="s">
        <v>124</v>
      </c>
      <c r="J2376" s="3">
        <v>0.6</v>
      </c>
      <c r="K2376" s="4">
        <v>2250</v>
      </c>
      <c r="L2376" s="5">
        <f t="shared" si="18"/>
        <v>1350</v>
      </c>
      <c r="M2376" s="5">
        <f t="shared" si="19"/>
        <v>472.49999999999994</v>
      </c>
      <c r="N2376" s="6">
        <v>0.35</v>
      </c>
    </row>
    <row r="2377" spans="1:14" ht="15.75" customHeight="1" x14ac:dyDescent="0.45">
      <c r="A2377" s="1" t="s">
        <v>119</v>
      </c>
      <c r="B2377" s="1">
        <v>1185732</v>
      </c>
      <c r="C2377" s="2">
        <v>44916</v>
      </c>
      <c r="D2377" s="1" t="s">
        <v>26</v>
      </c>
      <c r="E2377" s="1" t="s">
        <v>80</v>
      </c>
      <c r="F2377" s="1" t="s">
        <v>81</v>
      </c>
      <c r="G2377" s="1" t="s">
        <v>18</v>
      </c>
      <c r="H2377" s="1">
        <v>55</v>
      </c>
      <c r="I2377" s="1" t="s">
        <v>124</v>
      </c>
      <c r="J2377" s="3">
        <v>0.64999999999999991</v>
      </c>
      <c r="K2377" s="4">
        <v>3250</v>
      </c>
      <c r="L2377" s="5">
        <f t="shared" si="18"/>
        <v>2112.4999999999995</v>
      </c>
      <c r="M2377" s="5">
        <f t="shared" si="19"/>
        <v>844.99999999999989</v>
      </c>
      <c r="N2377" s="6">
        <v>0.4</v>
      </c>
    </row>
    <row r="2378" spans="1:14" ht="15.75" customHeight="1" x14ac:dyDescent="0.45">
      <c r="A2378" s="1" t="s">
        <v>119</v>
      </c>
      <c r="B2378" s="1">
        <v>1185732</v>
      </c>
      <c r="C2378" s="2">
        <v>44581</v>
      </c>
      <c r="D2378" s="1" t="s">
        <v>38</v>
      </c>
      <c r="E2378" s="1" t="s">
        <v>82</v>
      </c>
      <c r="F2378" s="1" t="s">
        <v>83</v>
      </c>
      <c r="G2378" s="1" t="s">
        <v>13</v>
      </c>
      <c r="H2378" s="1">
        <v>38</v>
      </c>
      <c r="I2378" s="1" t="s">
        <v>124</v>
      </c>
      <c r="J2378" s="3">
        <v>0.30000000000000004</v>
      </c>
      <c r="K2378" s="4">
        <v>7250</v>
      </c>
      <c r="L2378" s="5">
        <f t="shared" si="18"/>
        <v>2175.0000000000005</v>
      </c>
      <c r="M2378" s="5">
        <f t="shared" si="19"/>
        <v>870.00000000000023</v>
      </c>
      <c r="N2378" s="6">
        <v>0.4</v>
      </c>
    </row>
    <row r="2379" spans="1:14" ht="15.75" customHeight="1" x14ac:dyDescent="0.45">
      <c r="A2379" s="1" t="s">
        <v>119</v>
      </c>
      <c r="B2379" s="1">
        <v>1185732</v>
      </c>
      <c r="C2379" s="2">
        <v>44581</v>
      </c>
      <c r="D2379" s="1" t="s">
        <v>38</v>
      </c>
      <c r="E2379" s="1" t="s">
        <v>82</v>
      </c>
      <c r="F2379" s="1" t="s">
        <v>83</v>
      </c>
      <c r="G2379" s="1" t="s">
        <v>14</v>
      </c>
      <c r="H2379" s="1">
        <v>34</v>
      </c>
      <c r="I2379" s="1" t="s">
        <v>123</v>
      </c>
      <c r="J2379" s="3">
        <v>0.30000000000000004</v>
      </c>
      <c r="K2379" s="4">
        <v>5250</v>
      </c>
      <c r="L2379" s="5">
        <f t="shared" si="18"/>
        <v>1575.0000000000002</v>
      </c>
      <c r="M2379" s="5">
        <f t="shared" si="19"/>
        <v>551.25</v>
      </c>
      <c r="N2379" s="6">
        <v>0.35</v>
      </c>
    </row>
    <row r="2380" spans="1:14" ht="15.75" customHeight="1" x14ac:dyDescent="0.45">
      <c r="A2380" s="1" t="s">
        <v>119</v>
      </c>
      <c r="B2380" s="1">
        <v>1185732</v>
      </c>
      <c r="C2380" s="2">
        <v>44581</v>
      </c>
      <c r="D2380" s="1" t="s">
        <v>38</v>
      </c>
      <c r="E2380" s="1" t="s">
        <v>82</v>
      </c>
      <c r="F2380" s="1" t="s">
        <v>83</v>
      </c>
      <c r="G2380" s="1" t="s">
        <v>15</v>
      </c>
      <c r="H2380" s="1">
        <v>18</v>
      </c>
      <c r="I2380" s="1" t="s">
        <v>126</v>
      </c>
      <c r="J2380" s="3">
        <v>0.20000000000000007</v>
      </c>
      <c r="K2380" s="4">
        <v>5250</v>
      </c>
      <c r="L2380" s="5">
        <f t="shared" si="18"/>
        <v>1050.0000000000005</v>
      </c>
      <c r="M2380" s="5">
        <f t="shared" si="19"/>
        <v>420.00000000000023</v>
      </c>
      <c r="N2380" s="6">
        <v>0.4</v>
      </c>
    </row>
    <row r="2381" spans="1:14" ht="15.75" customHeight="1" x14ac:dyDescent="0.45">
      <c r="A2381" s="1" t="s">
        <v>119</v>
      </c>
      <c r="B2381" s="1">
        <v>1185732</v>
      </c>
      <c r="C2381" s="2">
        <v>44581</v>
      </c>
      <c r="D2381" s="1" t="s">
        <v>38</v>
      </c>
      <c r="E2381" s="1" t="s">
        <v>82</v>
      </c>
      <c r="F2381" s="1" t="s">
        <v>83</v>
      </c>
      <c r="G2381" s="1" t="s">
        <v>16</v>
      </c>
      <c r="H2381" s="1">
        <v>60</v>
      </c>
      <c r="I2381" s="1" t="s">
        <v>123</v>
      </c>
      <c r="J2381" s="3">
        <v>0.25</v>
      </c>
      <c r="K2381" s="4">
        <v>3750</v>
      </c>
      <c r="L2381" s="5">
        <f t="shared" si="18"/>
        <v>937.5</v>
      </c>
      <c r="M2381" s="5">
        <f t="shared" si="19"/>
        <v>375</v>
      </c>
      <c r="N2381" s="6">
        <v>0.4</v>
      </c>
    </row>
    <row r="2382" spans="1:14" ht="15.75" customHeight="1" x14ac:dyDescent="0.45">
      <c r="A2382" s="1" t="s">
        <v>119</v>
      </c>
      <c r="B2382" s="1">
        <v>1185732</v>
      </c>
      <c r="C2382" s="2">
        <v>44581</v>
      </c>
      <c r="D2382" s="1" t="s">
        <v>38</v>
      </c>
      <c r="E2382" s="1" t="s">
        <v>82</v>
      </c>
      <c r="F2382" s="1" t="s">
        <v>83</v>
      </c>
      <c r="G2382" s="1" t="s">
        <v>17</v>
      </c>
      <c r="H2382" s="1">
        <v>54</v>
      </c>
      <c r="I2382" s="1" t="s">
        <v>124</v>
      </c>
      <c r="J2382" s="3">
        <v>0.4</v>
      </c>
      <c r="K2382" s="4">
        <v>4250</v>
      </c>
      <c r="L2382" s="5">
        <f t="shared" si="18"/>
        <v>1700</v>
      </c>
      <c r="M2382" s="5">
        <f t="shared" si="19"/>
        <v>595</v>
      </c>
      <c r="N2382" s="6">
        <v>0.35</v>
      </c>
    </row>
    <row r="2383" spans="1:14" ht="15.75" customHeight="1" x14ac:dyDescent="0.45">
      <c r="A2383" s="1" t="s">
        <v>119</v>
      </c>
      <c r="B2383" s="1">
        <v>1185732</v>
      </c>
      <c r="C2383" s="2">
        <v>44581</v>
      </c>
      <c r="D2383" s="1" t="s">
        <v>38</v>
      </c>
      <c r="E2383" s="1" t="s">
        <v>82</v>
      </c>
      <c r="F2383" s="1" t="s">
        <v>83</v>
      </c>
      <c r="G2383" s="1" t="s">
        <v>18</v>
      </c>
      <c r="H2383" s="1">
        <v>22</v>
      </c>
      <c r="I2383" s="1" t="s">
        <v>126</v>
      </c>
      <c r="J2383" s="3">
        <v>0.30000000000000004</v>
      </c>
      <c r="K2383" s="4">
        <v>5250</v>
      </c>
      <c r="L2383" s="5">
        <f t="shared" si="18"/>
        <v>1575.0000000000002</v>
      </c>
      <c r="M2383" s="5">
        <f t="shared" si="19"/>
        <v>787.50000000000011</v>
      </c>
      <c r="N2383" s="6">
        <v>0.5</v>
      </c>
    </row>
    <row r="2384" spans="1:14" ht="15.75" customHeight="1" x14ac:dyDescent="0.45">
      <c r="A2384" s="1" t="s">
        <v>119</v>
      </c>
      <c r="B2384" s="1">
        <v>1185732</v>
      </c>
      <c r="C2384" s="2">
        <v>44610</v>
      </c>
      <c r="D2384" s="1" t="s">
        <v>38</v>
      </c>
      <c r="E2384" s="1" t="s">
        <v>82</v>
      </c>
      <c r="F2384" s="1" t="s">
        <v>83</v>
      </c>
      <c r="G2384" s="1" t="s">
        <v>13</v>
      </c>
      <c r="H2384" s="1">
        <v>32</v>
      </c>
      <c r="I2384" s="1" t="s">
        <v>123</v>
      </c>
      <c r="J2384" s="3">
        <v>0.30000000000000004</v>
      </c>
      <c r="K2384" s="4">
        <v>7750</v>
      </c>
      <c r="L2384" s="5">
        <f t="shared" si="18"/>
        <v>2325.0000000000005</v>
      </c>
      <c r="M2384" s="5">
        <f t="shared" si="19"/>
        <v>930.00000000000023</v>
      </c>
      <c r="N2384" s="6">
        <v>0.4</v>
      </c>
    </row>
    <row r="2385" spans="1:14" ht="15.75" customHeight="1" x14ac:dyDescent="0.45">
      <c r="A2385" s="1" t="s">
        <v>119</v>
      </c>
      <c r="B2385" s="1">
        <v>1185732</v>
      </c>
      <c r="C2385" s="2">
        <v>44610</v>
      </c>
      <c r="D2385" s="1" t="s">
        <v>38</v>
      </c>
      <c r="E2385" s="1" t="s">
        <v>82</v>
      </c>
      <c r="F2385" s="1" t="s">
        <v>83</v>
      </c>
      <c r="G2385" s="1" t="s">
        <v>14</v>
      </c>
      <c r="H2385" s="1">
        <v>60</v>
      </c>
      <c r="I2385" s="1" t="s">
        <v>125</v>
      </c>
      <c r="J2385" s="3">
        <v>0.30000000000000004</v>
      </c>
      <c r="K2385" s="4">
        <v>4250</v>
      </c>
      <c r="L2385" s="5">
        <f t="shared" si="18"/>
        <v>1275.0000000000002</v>
      </c>
      <c r="M2385" s="5">
        <f t="shared" si="19"/>
        <v>446.25000000000006</v>
      </c>
      <c r="N2385" s="6">
        <v>0.35</v>
      </c>
    </row>
    <row r="2386" spans="1:14" ht="15.75" customHeight="1" x14ac:dyDescent="0.45">
      <c r="A2386" s="1" t="s">
        <v>119</v>
      </c>
      <c r="B2386" s="1">
        <v>1185732</v>
      </c>
      <c r="C2386" s="2">
        <v>44610</v>
      </c>
      <c r="D2386" s="1" t="s">
        <v>38</v>
      </c>
      <c r="E2386" s="1" t="s">
        <v>82</v>
      </c>
      <c r="F2386" s="1" t="s">
        <v>83</v>
      </c>
      <c r="G2386" s="1" t="s">
        <v>15</v>
      </c>
      <c r="H2386" s="1">
        <v>34</v>
      </c>
      <c r="I2386" s="1" t="s">
        <v>125</v>
      </c>
      <c r="J2386" s="3">
        <v>0.20000000000000007</v>
      </c>
      <c r="K2386" s="4">
        <v>4750</v>
      </c>
      <c r="L2386" s="5">
        <f t="shared" si="18"/>
        <v>950.00000000000034</v>
      </c>
      <c r="M2386" s="5">
        <f t="shared" si="19"/>
        <v>380.00000000000017</v>
      </c>
      <c r="N2386" s="6">
        <v>0.4</v>
      </c>
    </row>
    <row r="2387" spans="1:14" ht="15.75" customHeight="1" x14ac:dyDescent="0.45">
      <c r="A2387" s="1" t="s">
        <v>119</v>
      </c>
      <c r="B2387" s="1">
        <v>1185732</v>
      </c>
      <c r="C2387" s="2">
        <v>44610</v>
      </c>
      <c r="D2387" s="1" t="s">
        <v>38</v>
      </c>
      <c r="E2387" s="1" t="s">
        <v>82</v>
      </c>
      <c r="F2387" s="1" t="s">
        <v>83</v>
      </c>
      <c r="G2387" s="1" t="s">
        <v>16</v>
      </c>
      <c r="H2387" s="1">
        <v>58</v>
      </c>
      <c r="I2387" s="1" t="s">
        <v>124</v>
      </c>
      <c r="J2387" s="3">
        <v>0.25</v>
      </c>
      <c r="K2387" s="4">
        <v>3250</v>
      </c>
      <c r="L2387" s="5">
        <f t="shared" si="18"/>
        <v>812.5</v>
      </c>
      <c r="M2387" s="5">
        <f t="shared" si="19"/>
        <v>325</v>
      </c>
      <c r="N2387" s="6">
        <v>0.4</v>
      </c>
    </row>
    <row r="2388" spans="1:14" ht="15.75" customHeight="1" x14ac:dyDescent="0.45">
      <c r="A2388" s="1" t="s">
        <v>119</v>
      </c>
      <c r="B2388" s="1">
        <v>1185732</v>
      </c>
      <c r="C2388" s="2">
        <v>44610</v>
      </c>
      <c r="D2388" s="1" t="s">
        <v>38</v>
      </c>
      <c r="E2388" s="1" t="s">
        <v>82</v>
      </c>
      <c r="F2388" s="1" t="s">
        <v>83</v>
      </c>
      <c r="G2388" s="1" t="s">
        <v>17</v>
      </c>
      <c r="H2388" s="1">
        <v>48</v>
      </c>
      <c r="I2388" s="1" t="s">
        <v>125</v>
      </c>
      <c r="J2388" s="3">
        <v>0.4</v>
      </c>
      <c r="K2388" s="4">
        <v>4000</v>
      </c>
      <c r="L2388" s="5">
        <f t="shared" si="18"/>
        <v>1600</v>
      </c>
      <c r="M2388" s="5">
        <f t="shared" si="19"/>
        <v>560</v>
      </c>
      <c r="N2388" s="6">
        <v>0.35</v>
      </c>
    </row>
    <row r="2389" spans="1:14" ht="15.75" customHeight="1" x14ac:dyDescent="0.45">
      <c r="A2389" s="1" t="s">
        <v>119</v>
      </c>
      <c r="B2389" s="1">
        <v>1185732</v>
      </c>
      <c r="C2389" s="2">
        <v>44610</v>
      </c>
      <c r="D2389" s="1" t="s">
        <v>38</v>
      </c>
      <c r="E2389" s="1" t="s">
        <v>82</v>
      </c>
      <c r="F2389" s="1" t="s">
        <v>83</v>
      </c>
      <c r="G2389" s="1" t="s">
        <v>18</v>
      </c>
      <c r="H2389" s="1">
        <v>33</v>
      </c>
      <c r="I2389" s="1" t="s">
        <v>124</v>
      </c>
      <c r="J2389" s="3">
        <v>0.25</v>
      </c>
      <c r="K2389" s="4">
        <v>5000</v>
      </c>
      <c r="L2389" s="5">
        <f t="shared" si="18"/>
        <v>1250</v>
      </c>
      <c r="M2389" s="5">
        <f t="shared" si="19"/>
        <v>625</v>
      </c>
      <c r="N2389" s="6">
        <v>0.5</v>
      </c>
    </row>
    <row r="2390" spans="1:14" ht="15.75" customHeight="1" x14ac:dyDescent="0.45">
      <c r="A2390" s="1" t="s">
        <v>119</v>
      </c>
      <c r="B2390" s="1">
        <v>1185732</v>
      </c>
      <c r="C2390" s="2">
        <v>44636</v>
      </c>
      <c r="D2390" s="1" t="s">
        <v>38</v>
      </c>
      <c r="E2390" s="1" t="s">
        <v>82</v>
      </c>
      <c r="F2390" s="1" t="s">
        <v>83</v>
      </c>
      <c r="G2390" s="1" t="s">
        <v>13</v>
      </c>
      <c r="H2390" s="1">
        <v>16</v>
      </c>
      <c r="I2390" s="1" t="s">
        <v>123</v>
      </c>
      <c r="J2390" s="3">
        <v>0.25</v>
      </c>
      <c r="K2390" s="4">
        <v>7200</v>
      </c>
      <c r="L2390" s="5">
        <f t="shared" si="18"/>
        <v>1800</v>
      </c>
      <c r="M2390" s="5">
        <f t="shared" si="19"/>
        <v>720</v>
      </c>
      <c r="N2390" s="6">
        <v>0.4</v>
      </c>
    </row>
    <row r="2391" spans="1:14" ht="15.75" customHeight="1" x14ac:dyDescent="0.45">
      <c r="A2391" s="1" t="s">
        <v>119</v>
      </c>
      <c r="B2391" s="1">
        <v>1185732</v>
      </c>
      <c r="C2391" s="2">
        <v>44636</v>
      </c>
      <c r="D2391" s="1" t="s">
        <v>38</v>
      </c>
      <c r="E2391" s="1" t="s">
        <v>82</v>
      </c>
      <c r="F2391" s="1" t="s">
        <v>83</v>
      </c>
      <c r="G2391" s="1" t="s">
        <v>14</v>
      </c>
      <c r="H2391" s="1">
        <v>48</v>
      </c>
      <c r="I2391" s="1" t="s">
        <v>126</v>
      </c>
      <c r="J2391" s="3">
        <v>0.25</v>
      </c>
      <c r="K2391" s="4">
        <v>4000</v>
      </c>
      <c r="L2391" s="5">
        <f t="shared" si="18"/>
        <v>1000</v>
      </c>
      <c r="M2391" s="5">
        <f t="shared" si="19"/>
        <v>350</v>
      </c>
      <c r="N2391" s="6">
        <v>0.35</v>
      </c>
    </row>
    <row r="2392" spans="1:14" ht="15.75" customHeight="1" x14ac:dyDescent="0.45">
      <c r="A2392" s="1" t="s">
        <v>119</v>
      </c>
      <c r="B2392" s="1">
        <v>1185732</v>
      </c>
      <c r="C2392" s="2">
        <v>44636</v>
      </c>
      <c r="D2392" s="1" t="s">
        <v>38</v>
      </c>
      <c r="E2392" s="1" t="s">
        <v>82</v>
      </c>
      <c r="F2392" s="1" t="s">
        <v>83</v>
      </c>
      <c r="G2392" s="1" t="s">
        <v>15</v>
      </c>
      <c r="H2392" s="1">
        <v>23</v>
      </c>
      <c r="I2392" s="1" t="s">
        <v>126</v>
      </c>
      <c r="J2392" s="3">
        <v>0.15000000000000002</v>
      </c>
      <c r="K2392" s="4">
        <v>4250</v>
      </c>
      <c r="L2392" s="5">
        <f t="shared" si="18"/>
        <v>637.50000000000011</v>
      </c>
      <c r="M2392" s="5">
        <f t="shared" si="19"/>
        <v>255.00000000000006</v>
      </c>
      <c r="N2392" s="6">
        <v>0.4</v>
      </c>
    </row>
    <row r="2393" spans="1:14" ht="15.75" customHeight="1" x14ac:dyDescent="0.45">
      <c r="A2393" s="1" t="s">
        <v>119</v>
      </c>
      <c r="B2393" s="1">
        <v>1185732</v>
      </c>
      <c r="C2393" s="2">
        <v>44636</v>
      </c>
      <c r="D2393" s="1" t="s">
        <v>38</v>
      </c>
      <c r="E2393" s="1" t="s">
        <v>82</v>
      </c>
      <c r="F2393" s="1" t="s">
        <v>83</v>
      </c>
      <c r="G2393" s="1" t="s">
        <v>16</v>
      </c>
      <c r="H2393" s="1">
        <v>57</v>
      </c>
      <c r="I2393" s="1" t="s">
        <v>124</v>
      </c>
      <c r="J2393" s="3">
        <v>0.19999999999999996</v>
      </c>
      <c r="K2393" s="4">
        <v>2750</v>
      </c>
      <c r="L2393" s="5">
        <f t="shared" si="18"/>
        <v>549.99999999999989</v>
      </c>
      <c r="M2393" s="5">
        <f t="shared" si="19"/>
        <v>219.99999999999997</v>
      </c>
      <c r="N2393" s="6">
        <v>0.4</v>
      </c>
    </row>
    <row r="2394" spans="1:14" ht="15.75" customHeight="1" x14ac:dyDescent="0.45">
      <c r="A2394" s="1" t="s">
        <v>119</v>
      </c>
      <c r="B2394" s="1">
        <v>1185732</v>
      </c>
      <c r="C2394" s="2">
        <v>44636</v>
      </c>
      <c r="D2394" s="1" t="s">
        <v>38</v>
      </c>
      <c r="E2394" s="1" t="s">
        <v>82</v>
      </c>
      <c r="F2394" s="1" t="s">
        <v>83</v>
      </c>
      <c r="G2394" s="1" t="s">
        <v>17</v>
      </c>
      <c r="H2394" s="1">
        <v>39</v>
      </c>
      <c r="I2394" s="1" t="s">
        <v>125</v>
      </c>
      <c r="J2394" s="3">
        <v>0.35000000000000009</v>
      </c>
      <c r="K2394" s="4">
        <v>3250</v>
      </c>
      <c r="L2394" s="5">
        <f t="shared" si="18"/>
        <v>1137.5000000000002</v>
      </c>
      <c r="M2394" s="5">
        <f t="shared" si="19"/>
        <v>398.12500000000006</v>
      </c>
      <c r="N2394" s="6">
        <v>0.35</v>
      </c>
    </row>
    <row r="2395" spans="1:14" ht="15.75" customHeight="1" x14ac:dyDescent="0.45">
      <c r="A2395" s="1" t="s">
        <v>119</v>
      </c>
      <c r="B2395" s="1">
        <v>1185732</v>
      </c>
      <c r="C2395" s="2">
        <v>44636</v>
      </c>
      <c r="D2395" s="1" t="s">
        <v>38</v>
      </c>
      <c r="E2395" s="1" t="s">
        <v>82</v>
      </c>
      <c r="F2395" s="1" t="s">
        <v>83</v>
      </c>
      <c r="G2395" s="1" t="s">
        <v>18</v>
      </c>
      <c r="H2395" s="1">
        <v>38</v>
      </c>
      <c r="I2395" s="1" t="s">
        <v>126</v>
      </c>
      <c r="J2395" s="3">
        <v>0.25</v>
      </c>
      <c r="K2395" s="4">
        <v>4250</v>
      </c>
      <c r="L2395" s="5">
        <f t="shared" si="18"/>
        <v>1062.5</v>
      </c>
      <c r="M2395" s="5">
        <f t="shared" si="19"/>
        <v>531.25</v>
      </c>
      <c r="N2395" s="6">
        <v>0.5</v>
      </c>
    </row>
    <row r="2396" spans="1:14" ht="15.75" customHeight="1" x14ac:dyDescent="0.45">
      <c r="A2396" s="1" t="s">
        <v>119</v>
      </c>
      <c r="B2396" s="1">
        <v>1185732</v>
      </c>
      <c r="C2396" s="2">
        <v>44668</v>
      </c>
      <c r="D2396" s="1" t="s">
        <v>38</v>
      </c>
      <c r="E2396" s="1" t="s">
        <v>82</v>
      </c>
      <c r="F2396" s="1" t="s">
        <v>83</v>
      </c>
      <c r="G2396" s="1" t="s">
        <v>13</v>
      </c>
      <c r="H2396" s="1">
        <v>27</v>
      </c>
      <c r="I2396" s="1" t="s">
        <v>125</v>
      </c>
      <c r="J2396" s="3">
        <v>0.25</v>
      </c>
      <c r="K2396" s="4">
        <v>6750</v>
      </c>
      <c r="L2396" s="5">
        <f t="shared" si="18"/>
        <v>1687.5</v>
      </c>
      <c r="M2396" s="5">
        <f t="shared" si="19"/>
        <v>675</v>
      </c>
      <c r="N2396" s="6">
        <v>0.4</v>
      </c>
    </row>
    <row r="2397" spans="1:14" ht="15.75" customHeight="1" x14ac:dyDescent="0.45">
      <c r="A2397" s="1" t="s">
        <v>119</v>
      </c>
      <c r="B2397" s="1">
        <v>1185732</v>
      </c>
      <c r="C2397" s="2">
        <v>44668</v>
      </c>
      <c r="D2397" s="1" t="s">
        <v>38</v>
      </c>
      <c r="E2397" s="1" t="s">
        <v>82</v>
      </c>
      <c r="F2397" s="1" t="s">
        <v>83</v>
      </c>
      <c r="G2397" s="1" t="s">
        <v>14</v>
      </c>
      <c r="H2397" s="1">
        <v>40</v>
      </c>
      <c r="I2397" s="1" t="s">
        <v>126</v>
      </c>
      <c r="J2397" s="3">
        <v>0.25</v>
      </c>
      <c r="K2397" s="4">
        <v>3750</v>
      </c>
      <c r="L2397" s="5">
        <f t="shared" si="18"/>
        <v>937.5</v>
      </c>
      <c r="M2397" s="5">
        <f t="shared" si="19"/>
        <v>328.125</v>
      </c>
      <c r="N2397" s="6">
        <v>0.35</v>
      </c>
    </row>
    <row r="2398" spans="1:14" ht="15.75" customHeight="1" x14ac:dyDescent="0.45">
      <c r="A2398" s="1" t="s">
        <v>119</v>
      </c>
      <c r="B2398" s="1">
        <v>1185732</v>
      </c>
      <c r="C2398" s="2">
        <v>44668</v>
      </c>
      <c r="D2398" s="1" t="s">
        <v>38</v>
      </c>
      <c r="E2398" s="1" t="s">
        <v>82</v>
      </c>
      <c r="F2398" s="1" t="s">
        <v>83</v>
      </c>
      <c r="G2398" s="1" t="s">
        <v>15</v>
      </c>
      <c r="H2398" s="1">
        <v>32</v>
      </c>
      <c r="I2398" s="1" t="s">
        <v>124</v>
      </c>
      <c r="J2398" s="3">
        <v>0.15000000000000002</v>
      </c>
      <c r="K2398" s="4">
        <v>3750</v>
      </c>
      <c r="L2398" s="5">
        <f t="shared" si="18"/>
        <v>562.50000000000011</v>
      </c>
      <c r="M2398" s="5">
        <f t="shared" si="19"/>
        <v>225.00000000000006</v>
      </c>
      <c r="N2398" s="6">
        <v>0.4</v>
      </c>
    </row>
    <row r="2399" spans="1:14" ht="15.75" customHeight="1" x14ac:dyDescent="0.45">
      <c r="A2399" s="1" t="s">
        <v>119</v>
      </c>
      <c r="B2399" s="1">
        <v>1185732</v>
      </c>
      <c r="C2399" s="2">
        <v>44668</v>
      </c>
      <c r="D2399" s="1" t="s">
        <v>38</v>
      </c>
      <c r="E2399" s="1" t="s">
        <v>82</v>
      </c>
      <c r="F2399" s="1" t="s">
        <v>83</v>
      </c>
      <c r="G2399" s="1" t="s">
        <v>16</v>
      </c>
      <c r="H2399" s="1">
        <v>42</v>
      </c>
      <c r="I2399" s="1" t="s">
        <v>125</v>
      </c>
      <c r="J2399" s="3">
        <v>0.19999999999999996</v>
      </c>
      <c r="K2399" s="4">
        <v>3000</v>
      </c>
      <c r="L2399" s="5">
        <f t="shared" si="18"/>
        <v>599.99999999999989</v>
      </c>
      <c r="M2399" s="5">
        <f t="shared" si="19"/>
        <v>239.99999999999997</v>
      </c>
      <c r="N2399" s="6">
        <v>0.4</v>
      </c>
    </row>
    <row r="2400" spans="1:14" ht="15.75" customHeight="1" x14ac:dyDescent="0.45">
      <c r="A2400" s="1" t="s">
        <v>119</v>
      </c>
      <c r="B2400" s="1">
        <v>1185732</v>
      </c>
      <c r="C2400" s="2">
        <v>44668</v>
      </c>
      <c r="D2400" s="1" t="s">
        <v>38</v>
      </c>
      <c r="E2400" s="1" t="s">
        <v>82</v>
      </c>
      <c r="F2400" s="1" t="s">
        <v>83</v>
      </c>
      <c r="G2400" s="1" t="s">
        <v>17</v>
      </c>
      <c r="H2400" s="1">
        <v>27</v>
      </c>
      <c r="I2400" s="1" t="s">
        <v>126</v>
      </c>
      <c r="J2400" s="3">
        <v>0.4</v>
      </c>
      <c r="K2400" s="4">
        <v>3250</v>
      </c>
      <c r="L2400" s="5">
        <f t="shared" si="18"/>
        <v>1300</v>
      </c>
      <c r="M2400" s="5">
        <f t="shared" si="19"/>
        <v>454.99999999999994</v>
      </c>
      <c r="N2400" s="6">
        <v>0.35</v>
      </c>
    </row>
    <row r="2401" spans="1:14" ht="15.75" customHeight="1" x14ac:dyDescent="0.45">
      <c r="A2401" s="1" t="s">
        <v>119</v>
      </c>
      <c r="B2401" s="1">
        <v>1185732</v>
      </c>
      <c r="C2401" s="2">
        <v>44668</v>
      </c>
      <c r="D2401" s="1" t="s">
        <v>38</v>
      </c>
      <c r="E2401" s="1" t="s">
        <v>82</v>
      </c>
      <c r="F2401" s="1" t="s">
        <v>83</v>
      </c>
      <c r="G2401" s="1" t="s">
        <v>18</v>
      </c>
      <c r="H2401" s="1">
        <v>49</v>
      </c>
      <c r="I2401" s="1" t="s">
        <v>124</v>
      </c>
      <c r="J2401" s="3">
        <v>0.30000000000000004</v>
      </c>
      <c r="K2401" s="4">
        <v>4750</v>
      </c>
      <c r="L2401" s="5">
        <f t="shared" si="18"/>
        <v>1425.0000000000002</v>
      </c>
      <c r="M2401" s="5">
        <f t="shared" si="19"/>
        <v>712.50000000000011</v>
      </c>
      <c r="N2401" s="6">
        <v>0.5</v>
      </c>
    </row>
    <row r="2402" spans="1:14" ht="15.75" customHeight="1" x14ac:dyDescent="0.45">
      <c r="A2402" s="1" t="s">
        <v>119</v>
      </c>
      <c r="B2402" s="1">
        <v>1185732</v>
      </c>
      <c r="C2402" s="2">
        <v>44697</v>
      </c>
      <c r="D2402" s="1" t="s">
        <v>38</v>
      </c>
      <c r="E2402" s="1" t="s">
        <v>82</v>
      </c>
      <c r="F2402" s="1" t="s">
        <v>83</v>
      </c>
      <c r="G2402" s="1" t="s">
        <v>13</v>
      </c>
      <c r="H2402" s="1">
        <v>52</v>
      </c>
      <c r="I2402" s="1" t="s">
        <v>125</v>
      </c>
      <c r="J2402" s="3">
        <v>0.4</v>
      </c>
      <c r="K2402" s="4">
        <v>7450</v>
      </c>
      <c r="L2402" s="5">
        <f t="shared" si="18"/>
        <v>2980</v>
      </c>
      <c r="M2402" s="5">
        <f t="shared" si="19"/>
        <v>1192</v>
      </c>
      <c r="N2402" s="6">
        <v>0.4</v>
      </c>
    </row>
    <row r="2403" spans="1:14" ht="15.75" customHeight="1" x14ac:dyDescent="0.45">
      <c r="A2403" s="1" t="s">
        <v>119</v>
      </c>
      <c r="B2403" s="1">
        <v>1185732</v>
      </c>
      <c r="C2403" s="2">
        <v>44697</v>
      </c>
      <c r="D2403" s="1" t="s">
        <v>38</v>
      </c>
      <c r="E2403" s="1" t="s">
        <v>82</v>
      </c>
      <c r="F2403" s="1" t="s">
        <v>83</v>
      </c>
      <c r="G2403" s="1" t="s">
        <v>14</v>
      </c>
      <c r="H2403" s="1">
        <v>56</v>
      </c>
      <c r="I2403" s="1" t="s">
        <v>123</v>
      </c>
      <c r="J2403" s="3">
        <v>0.4</v>
      </c>
      <c r="K2403" s="4">
        <v>4500</v>
      </c>
      <c r="L2403" s="5">
        <f t="shared" si="18"/>
        <v>1800</v>
      </c>
      <c r="M2403" s="5">
        <f t="shared" si="19"/>
        <v>630</v>
      </c>
      <c r="N2403" s="6">
        <v>0.35</v>
      </c>
    </row>
    <row r="2404" spans="1:14" ht="15.75" customHeight="1" x14ac:dyDescent="0.45">
      <c r="A2404" s="1" t="s">
        <v>119</v>
      </c>
      <c r="B2404" s="1">
        <v>1185732</v>
      </c>
      <c r="C2404" s="2">
        <v>44697</v>
      </c>
      <c r="D2404" s="1" t="s">
        <v>38</v>
      </c>
      <c r="E2404" s="1" t="s">
        <v>82</v>
      </c>
      <c r="F2404" s="1" t="s">
        <v>83</v>
      </c>
      <c r="G2404" s="1" t="s">
        <v>15</v>
      </c>
      <c r="H2404" s="1">
        <v>20</v>
      </c>
      <c r="I2404" s="1" t="s">
        <v>125</v>
      </c>
      <c r="J2404" s="3">
        <v>0.35000000000000003</v>
      </c>
      <c r="K2404" s="4">
        <v>4250</v>
      </c>
      <c r="L2404" s="5">
        <f t="shared" si="18"/>
        <v>1487.5000000000002</v>
      </c>
      <c r="M2404" s="5">
        <f t="shared" si="19"/>
        <v>595.00000000000011</v>
      </c>
      <c r="N2404" s="6">
        <v>0.4</v>
      </c>
    </row>
    <row r="2405" spans="1:14" ht="15.75" customHeight="1" x14ac:dyDescent="0.45">
      <c r="A2405" s="1" t="s">
        <v>119</v>
      </c>
      <c r="B2405" s="1">
        <v>1185732</v>
      </c>
      <c r="C2405" s="2">
        <v>44697</v>
      </c>
      <c r="D2405" s="1" t="s">
        <v>38</v>
      </c>
      <c r="E2405" s="1" t="s">
        <v>82</v>
      </c>
      <c r="F2405" s="1" t="s">
        <v>83</v>
      </c>
      <c r="G2405" s="1" t="s">
        <v>16</v>
      </c>
      <c r="H2405" s="1">
        <v>28</v>
      </c>
      <c r="I2405" s="1" t="s">
        <v>124</v>
      </c>
      <c r="J2405" s="3">
        <v>0.35000000000000003</v>
      </c>
      <c r="K2405" s="4">
        <v>3750</v>
      </c>
      <c r="L2405" s="5">
        <f t="shared" si="18"/>
        <v>1312.5000000000002</v>
      </c>
      <c r="M2405" s="5">
        <f t="shared" si="19"/>
        <v>525.00000000000011</v>
      </c>
      <c r="N2405" s="6">
        <v>0.4</v>
      </c>
    </row>
    <row r="2406" spans="1:14" ht="15.75" customHeight="1" x14ac:dyDescent="0.45">
      <c r="A2406" s="1" t="s">
        <v>119</v>
      </c>
      <c r="B2406" s="1">
        <v>1185732</v>
      </c>
      <c r="C2406" s="2">
        <v>44697</v>
      </c>
      <c r="D2406" s="1" t="s">
        <v>38</v>
      </c>
      <c r="E2406" s="1" t="s">
        <v>82</v>
      </c>
      <c r="F2406" s="1" t="s">
        <v>83</v>
      </c>
      <c r="G2406" s="1" t="s">
        <v>17</v>
      </c>
      <c r="H2406" s="1">
        <v>27</v>
      </c>
      <c r="I2406" s="1" t="s">
        <v>124</v>
      </c>
      <c r="J2406" s="3">
        <v>0.44999999999999996</v>
      </c>
      <c r="K2406" s="4">
        <v>4000</v>
      </c>
      <c r="L2406" s="5">
        <f t="shared" si="18"/>
        <v>1799.9999999999998</v>
      </c>
      <c r="M2406" s="5">
        <f t="shared" si="19"/>
        <v>629.99999999999989</v>
      </c>
      <c r="N2406" s="6">
        <v>0.35</v>
      </c>
    </row>
    <row r="2407" spans="1:14" ht="15.75" customHeight="1" x14ac:dyDescent="0.45">
      <c r="A2407" s="1" t="s">
        <v>119</v>
      </c>
      <c r="B2407" s="1">
        <v>1185732</v>
      </c>
      <c r="C2407" s="2">
        <v>44697</v>
      </c>
      <c r="D2407" s="1" t="s">
        <v>38</v>
      </c>
      <c r="E2407" s="1" t="s">
        <v>82</v>
      </c>
      <c r="F2407" s="1" t="s">
        <v>83</v>
      </c>
      <c r="G2407" s="1" t="s">
        <v>18</v>
      </c>
      <c r="H2407" s="1">
        <v>37</v>
      </c>
      <c r="I2407" s="1" t="s">
        <v>124</v>
      </c>
      <c r="J2407" s="3">
        <v>0.49999999999999994</v>
      </c>
      <c r="K2407" s="4">
        <v>5000</v>
      </c>
      <c r="L2407" s="5">
        <f t="shared" si="18"/>
        <v>2499.9999999999995</v>
      </c>
      <c r="M2407" s="5">
        <f t="shared" si="19"/>
        <v>1249.9999999999998</v>
      </c>
      <c r="N2407" s="6">
        <v>0.5</v>
      </c>
    </row>
    <row r="2408" spans="1:14" ht="15.75" customHeight="1" x14ac:dyDescent="0.45">
      <c r="A2408" s="1" t="s">
        <v>119</v>
      </c>
      <c r="B2408" s="1">
        <v>1185732</v>
      </c>
      <c r="C2408" s="2">
        <v>44730</v>
      </c>
      <c r="D2408" s="1" t="s">
        <v>38</v>
      </c>
      <c r="E2408" s="1" t="s">
        <v>82</v>
      </c>
      <c r="F2408" s="1" t="s">
        <v>83</v>
      </c>
      <c r="G2408" s="1" t="s">
        <v>13</v>
      </c>
      <c r="H2408" s="1">
        <v>56</v>
      </c>
      <c r="I2408" s="1" t="s">
        <v>125</v>
      </c>
      <c r="J2408" s="3">
        <v>0.44999999999999996</v>
      </c>
      <c r="K2408" s="4">
        <v>7500</v>
      </c>
      <c r="L2408" s="5">
        <f t="shared" ref="L2408:L2662" si="20">J2408*K2408</f>
        <v>3374.9999999999995</v>
      </c>
      <c r="M2408" s="5">
        <f t="shared" ref="M2408:M2662" si="21">L2408*N2408</f>
        <v>1350</v>
      </c>
      <c r="N2408" s="6">
        <v>0.4</v>
      </c>
    </row>
    <row r="2409" spans="1:14" ht="15.75" customHeight="1" x14ac:dyDescent="0.45">
      <c r="A2409" s="1" t="s">
        <v>119</v>
      </c>
      <c r="B2409" s="1">
        <v>1185732</v>
      </c>
      <c r="C2409" s="2">
        <v>44730</v>
      </c>
      <c r="D2409" s="1" t="s">
        <v>38</v>
      </c>
      <c r="E2409" s="1" t="s">
        <v>82</v>
      </c>
      <c r="F2409" s="1" t="s">
        <v>83</v>
      </c>
      <c r="G2409" s="1" t="s">
        <v>14</v>
      </c>
      <c r="H2409" s="1">
        <v>58</v>
      </c>
      <c r="I2409" s="1" t="s">
        <v>124</v>
      </c>
      <c r="J2409" s="3">
        <v>0.4</v>
      </c>
      <c r="K2409" s="4">
        <v>5000</v>
      </c>
      <c r="L2409" s="5">
        <f t="shared" si="20"/>
        <v>2000</v>
      </c>
      <c r="M2409" s="5">
        <f t="shared" si="21"/>
        <v>700</v>
      </c>
      <c r="N2409" s="6">
        <v>0.35</v>
      </c>
    </row>
    <row r="2410" spans="1:14" ht="15.75" customHeight="1" x14ac:dyDescent="0.45">
      <c r="A2410" s="1" t="s">
        <v>119</v>
      </c>
      <c r="B2410" s="1">
        <v>1185732</v>
      </c>
      <c r="C2410" s="2">
        <v>44730</v>
      </c>
      <c r="D2410" s="1" t="s">
        <v>38</v>
      </c>
      <c r="E2410" s="1" t="s">
        <v>82</v>
      </c>
      <c r="F2410" s="1" t="s">
        <v>83</v>
      </c>
      <c r="G2410" s="1" t="s">
        <v>15</v>
      </c>
      <c r="H2410" s="1">
        <v>17</v>
      </c>
      <c r="I2410" s="1" t="s">
        <v>123</v>
      </c>
      <c r="J2410" s="3">
        <v>0.45</v>
      </c>
      <c r="K2410" s="4">
        <v>4750</v>
      </c>
      <c r="L2410" s="5">
        <f t="shared" si="20"/>
        <v>2137.5</v>
      </c>
      <c r="M2410" s="5">
        <f t="shared" si="21"/>
        <v>855</v>
      </c>
      <c r="N2410" s="6">
        <v>0.4</v>
      </c>
    </row>
    <row r="2411" spans="1:14" ht="15.75" customHeight="1" x14ac:dyDescent="0.45">
      <c r="A2411" s="1" t="s">
        <v>119</v>
      </c>
      <c r="B2411" s="1">
        <v>1185732</v>
      </c>
      <c r="C2411" s="2">
        <v>44730</v>
      </c>
      <c r="D2411" s="1" t="s">
        <v>38</v>
      </c>
      <c r="E2411" s="1" t="s">
        <v>82</v>
      </c>
      <c r="F2411" s="1" t="s">
        <v>83</v>
      </c>
      <c r="G2411" s="1" t="s">
        <v>16</v>
      </c>
      <c r="H2411" s="1">
        <v>54</v>
      </c>
      <c r="I2411" s="1" t="s">
        <v>123</v>
      </c>
      <c r="J2411" s="3">
        <v>0.45</v>
      </c>
      <c r="K2411" s="4">
        <v>4500</v>
      </c>
      <c r="L2411" s="5">
        <f t="shared" si="20"/>
        <v>2025</v>
      </c>
      <c r="M2411" s="5">
        <f t="shared" si="21"/>
        <v>810</v>
      </c>
      <c r="N2411" s="6">
        <v>0.4</v>
      </c>
    </row>
    <row r="2412" spans="1:14" ht="15.75" customHeight="1" x14ac:dyDescent="0.45">
      <c r="A2412" s="1" t="s">
        <v>119</v>
      </c>
      <c r="B2412" s="1">
        <v>1185732</v>
      </c>
      <c r="C2412" s="2">
        <v>44730</v>
      </c>
      <c r="D2412" s="1" t="s">
        <v>38</v>
      </c>
      <c r="E2412" s="1" t="s">
        <v>82</v>
      </c>
      <c r="F2412" s="1" t="s">
        <v>83</v>
      </c>
      <c r="G2412" s="1" t="s">
        <v>17</v>
      </c>
      <c r="H2412" s="1">
        <v>25</v>
      </c>
      <c r="I2412" s="1" t="s">
        <v>125</v>
      </c>
      <c r="J2412" s="3">
        <v>0.6</v>
      </c>
      <c r="K2412" s="4">
        <v>4500</v>
      </c>
      <c r="L2412" s="5">
        <f t="shared" si="20"/>
        <v>2700</v>
      </c>
      <c r="M2412" s="5">
        <f t="shared" si="21"/>
        <v>944.99999999999989</v>
      </c>
      <c r="N2412" s="6">
        <v>0.35</v>
      </c>
    </row>
    <row r="2413" spans="1:14" ht="15.75" customHeight="1" x14ac:dyDescent="0.45">
      <c r="A2413" s="1" t="s">
        <v>119</v>
      </c>
      <c r="B2413" s="1">
        <v>1185732</v>
      </c>
      <c r="C2413" s="2">
        <v>44730</v>
      </c>
      <c r="D2413" s="1" t="s">
        <v>38</v>
      </c>
      <c r="E2413" s="1" t="s">
        <v>82</v>
      </c>
      <c r="F2413" s="1" t="s">
        <v>83</v>
      </c>
      <c r="G2413" s="1" t="s">
        <v>18</v>
      </c>
      <c r="H2413" s="1">
        <v>15</v>
      </c>
      <c r="I2413" s="1" t="s">
        <v>123</v>
      </c>
      <c r="J2413" s="3">
        <v>0.65</v>
      </c>
      <c r="K2413" s="4">
        <v>6250</v>
      </c>
      <c r="L2413" s="5">
        <f t="shared" si="20"/>
        <v>4062.5</v>
      </c>
      <c r="M2413" s="5">
        <f t="shared" si="21"/>
        <v>2031.25</v>
      </c>
      <c r="N2413" s="6">
        <v>0.5</v>
      </c>
    </row>
    <row r="2414" spans="1:14" ht="15.75" customHeight="1" x14ac:dyDescent="0.45">
      <c r="A2414" s="1" t="s">
        <v>119</v>
      </c>
      <c r="B2414" s="1">
        <v>1185732</v>
      </c>
      <c r="C2414" s="2">
        <v>44758</v>
      </c>
      <c r="D2414" s="1" t="s">
        <v>38</v>
      </c>
      <c r="E2414" s="1" t="s">
        <v>82</v>
      </c>
      <c r="F2414" s="1" t="s">
        <v>83</v>
      </c>
      <c r="G2414" s="1" t="s">
        <v>13</v>
      </c>
      <c r="H2414" s="1">
        <v>37</v>
      </c>
      <c r="I2414" s="1" t="s">
        <v>123</v>
      </c>
      <c r="J2414" s="3">
        <v>0.6</v>
      </c>
      <c r="K2414" s="4">
        <v>8500</v>
      </c>
      <c r="L2414" s="5">
        <f t="shared" si="20"/>
        <v>5100</v>
      </c>
      <c r="M2414" s="5">
        <f t="shared" si="21"/>
        <v>2040</v>
      </c>
      <c r="N2414" s="6">
        <v>0.4</v>
      </c>
    </row>
    <row r="2415" spans="1:14" ht="15.75" customHeight="1" x14ac:dyDescent="0.45">
      <c r="A2415" s="1" t="s">
        <v>119</v>
      </c>
      <c r="B2415" s="1">
        <v>1185732</v>
      </c>
      <c r="C2415" s="2">
        <v>44758</v>
      </c>
      <c r="D2415" s="1" t="s">
        <v>38</v>
      </c>
      <c r="E2415" s="1" t="s">
        <v>82</v>
      </c>
      <c r="F2415" s="1" t="s">
        <v>83</v>
      </c>
      <c r="G2415" s="1" t="s">
        <v>14</v>
      </c>
      <c r="H2415" s="1">
        <v>36</v>
      </c>
      <c r="I2415" s="1" t="s">
        <v>123</v>
      </c>
      <c r="J2415" s="3">
        <v>0.55000000000000004</v>
      </c>
      <c r="K2415" s="4">
        <v>6000</v>
      </c>
      <c r="L2415" s="5">
        <f t="shared" si="20"/>
        <v>3300.0000000000005</v>
      </c>
      <c r="M2415" s="5">
        <f t="shared" si="21"/>
        <v>1155</v>
      </c>
      <c r="N2415" s="6">
        <v>0.35</v>
      </c>
    </row>
    <row r="2416" spans="1:14" ht="15.75" customHeight="1" x14ac:dyDescent="0.45">
      <c r="A2416" s="1" t="s">
        <v>119</v>
      </c>
      <c r="B2416" s="1">
        <v>1185732</v>
      </c>
      <c r="C2416" s="2">
        <v>44758</v>
      </c>
      <c r="D2416" s="1" t="s">
        <v>38</v>
      </c>
      <c r="E2416" s="1" t="s">
        <v>82</v>
      </c>
      <c r="F2416" s="1" t="s">
        <v>83</v>
      </c>
      <c r="G2416" s="1" t="s">
        <v>15</v>
      </c>
      <c r="H2416" s="1">
        <v>31</v>
      </c>
      <c r="I2416" s="1" t="s">
        <v>125</v>
      </c>
      <c r="J2416" s="3">
        <v>0.5</v>
      </c>
      <c r="K2416" s="4">
        <v>5250</v>
      </c>
      <c r="L2416" s="5">
        <f t="shared" si="20"/>
        <v>2625</v>
      </c>
      <c r="M2416" s="5">
        <f t="shared" si="21"/>
        <v>1050</v>
      </c>
      <c r="N2416" s="6">
        <v>0.4</v>
      </c>
    </row>
    <row r="2417" spans="1:14" ht="15.75" customHeight="1" x14ac:dyDescent="0.45">
      <c r="A2417" s="1" t="s">
        <v>119</v>
      </c>
      <c r="B2417" s="1">
        <v>1185732</v>
      </c>
      <c r="C2417" s="2">
        <v>44758</v>
      </c>
      <c r="D2417" s="1" t="s">
        <v>38</v>
      </c>
      <c r="E2417" s="1" t="s">
        <v>82</v>
      </c>
      <c r="F2417" s="1" t="s">
        <v>83</v>
      </c>
      <c r="G2417" s="1" t="s">
        <v>16</v>
      </c>
      <c r="H2417" s="1">
        <v>34</v>
      </c>
      <c r="I2417" s="1" t="s">
        <v>125</v>
      </c>
      <c r="J2417" s="3">
        <v>0.5</v>
      </c>
      <c r="K2417" s="4">
        <v>4750</v>
      </c>
      <c r="L2417" s="5">
        <f t="shared" si="20"/>
        <v>2375</v>
      </c>
      <c r="M2417" s="5">
        <f t="shared" si="21"/>
        <v>950</v>
      </c>
      <c r="N2417" s="6">
        <v>0.4</v>
      </c>
    </row>
    <row r="2418" spans="1:14" ht="15.75" customHeight="1" x14ac:dyDescent="0.45">
      <c r="A2418" s="1" t="s">
        <v>119</v>
      </c>
      <c r="B2418" s="1">
        <v>1185732</v>
      </c>
      <c r="C2418" s="2">
        <v>44758</v>
      </c>
      <c r="D2418" s="1" t="s">
        <v>38</v>
      </c>
      <c r="E2418" s="1" t="s">
        <v>82</v>
      </c>
      <c r="F2418" s="1" t="s">
        <v>83</v>
      </c>
      <c r="G2418" s="1" t="s">
        <v>17</v>
      </c>
      <c r="H2418" s="1">
        <v>50</v>
      </c>
      <c r="I2418" s="1" t="s">
        <v>125</v>
      </c>
      <c r="J2418" s="3">
        <v>0.6</v>
      </c>
      <c r="K2418" s="4">
        <v>5000</v>
      </c>
      <c r="L2418" s="5">
        <f t="shared" si="20"/>
        <v>3000</v>
      </c>
      <c r="M2418" s="5">
        <f t="shared" si="21"/>
        <v>1050</v>
      </c>
      <c r="N2418" s="6">
        <v>0.35</v>
      </c>
    </row>
    <row r="2419" spans="1:14" ht="15.75" customHeight="1" x14ac:dyDescent="0.45">
      <c r="A2419" s="1" t="s">
        <v>119</v>
      </c>
      <c r="B2419" s="1">
        <v>1185732</v>
      </c>
      <c r="C2419" s="2">
        <v>44758</v>
      </c>
      <c r="D2419" s="1" t="s">
        <v>38</v>
      </c>
      <c r="E2419" s="1" t="s">
        <v>82</v>
      </c>
      <c r="F2419" s="1" t="s">
        <v>83</v>
      </c>
      <c r="G2419" s="1" t="s">
        <v>18</v>
      </c>
      <c r="H2419" s="1">
        <v>39</v>
      </c>
      <c r="I2419" s="1" t="s">
        <v>125</v>
      </c>
      <c r="J2419" s="3">
        <v>0.65</v>
      </c>
      <c r="K2419" s="4">
        <v>6750</v>
      </c>
      <c r="L2419" s="5">
        <f t="shared" si="20"/>
        <v>4387.5</v>
      </c>
      <c r="M2419" s="5">
        <f t="shared" si="21"/>
        <v>2193.75</v>
      </c>
      <c r="N2419" s="6">
        <v>0.5</v>
      </c>
    </row>
    <row r="2420" spans="1:14" ht="15.75" customHeight="1" x14ac:dyDescent="0.45">
      <c r="A2420" s="1" t="s">
        <v>119</v>
      </c>
      <c r="B2420" s="1">
        <v>1185732</v>
      </c>
      <c r="C2420" s="2">
        <v>44790</v>
      </c>
      <c r="D2420" s="1" t="s">
        <v>38</v>
      </c>
      <c r="E2420" s="1" t="s">
        <v>82</v>
      </c>
      <c r="F2420" s="1" t="s">
        <v>83</v>
      </c>
      <c r="G2420" s="1" t="s">
        <v>13</v>
      </c>
      <c r="H2420" s="1">
        <v>60</v>
      </c>
      <c r="I2420" s="1" t="s">
        <v>126</v>
      </c>
      <c r="J2420" s="3">
        <v>0.6</v>
      </c>
      <c r="K2420" s="4">
        <v>8250</v>
      </c>
      <c r="L2420" s="5">
        <f t="shared" si="20"/>
        <v>4950</v>
      </c>
      <c r="M2420" s="5">
        <f t="shared" si="21"/>
        <v>1980</v>
      </c>
      <c r="N2420" s="6">
        <v>0.4</v>
      </c>
    </row>
    <row r="2421" spans="1:14" ht="15.75" customHeight="1" x14ac:dyDescent="0.45">
      <c r="A2421" s="1" t="s">
        <v>119</v>
      </c>
      <c r="B2421" s="1">
        <v>1185732</v>
      </c>
      <c r="C2421" s="2">
        <v>44790</v>
      </c>
      <c r="D2421" s="1" t="s">
        <v>38</v>
      </c>
      <c r="E2421" s="1" t="s">
        <v>82</v>
      </c>
      <c r="F2421" s="1" t="s">
        <v>83</v>
      </c>
      <c r="G2421" s="1" t="s">
        <v>14</v>
      </c>
      <c r="H2421" s="1">
        <v>53</v>
      </c>
      <c r="I2421" s="1" t="s">
        <v>125</v>
      </c>
      <c r="J2421" s="3">
        <v>0.55000000000000004</v>
      </c>
      <c r="K2421" s="4">
        <v>6000</v>
      </c>
      <c r="L2421" s="5">
        <f t="shared" si="20"/>
        <v>3300.0000000000005</v>
      </c>
      <c r="M2421" s="5">
        <f t="shared" si="21"/>
        <v>1155</v>
      </c>
      <c r="N2421" s="6">
        <v>0.35</v>
      </c>
    </row>
    <row r="2422" spans="1:14" ht="15.75" customHeight="1" x14ac:dyDescent="0.45">
      <c r="A2422" s="1" t="s">
        <v>119</v>
      </c>
      <c r="B2422" s="1">
        <v>1185732</v>
      </c>
      <c r="C2422" s="2">
        <v>44790</v>
      </c>
      <c r="D2422" s="1" t="s">
        <v>38</v>
      </c>
      <c r="E2422" s="1" t="s">
        <v>82</v>
      </c>
      <c r="F2422" s="1" t="s">
        <v>83</v>
      </c>
      <c r="G2422" s="1" t="s">
        <v>15</v>
      </c>
      <c r="H2422" s="1">
        <v>28</v>
      </c>
      <c r="I2422" s="1" t="s">
        <v>126</v>
      </c>
      <c r="J2422" s="3">
        <v>0.5</v>
      </c>
      <c r="K2422" s="4">
        <v>5250</v>
      </c>
      <c r="L2422" s="5">
        <f t="shared" si="20"/>
        <v>2625</v>
      </c>
      <c r="M2422" s="5">
        <f t="shared" si="21"/>
        <v>1050</v>
      </c>
      <c r="N2422" s="6">
        <v>0.4</v>
      </c>
    </row>
    <row r="2423" spans="1:14" ht="15.75" customHeight="1" x14ac:dyDescent="0.45">
      <c r="A2423" s="1" t="s">
        <v>119</v>
      </c>
      <c r="B2423" s="1">
        <v>1185732</v>
      </c>
      <c r="C2423" s="2">
        <v>44790</v>
      </c>
      <c r="D2423" s="1" t="s">
        <v>38</v>
      </c>
      <c r="E2423" s="1" t="s">
        <v>82</v>
      </c>
      <c r="F2423" s="1" t="s">
        <v>83</v>
      </c>
      <c r="G2423" s="1" t="s">
        <v>16</v>
      </c>
      <c r="H2423" s="1">
        <v>22</v>
      </c>
      <c r="I2423" s="1" t="s">
        <v>123</v>
      </c>
      <c r="J2423" s="3">
        <v>0.4</v>
      </c>
      <c r="K2423" s="4">
        <v>4750</v>
      </c>
      <c r="L2423" s="5">
        <f t="shared" si="20"/>
        <v>1900</v>
      </c>
      <c r="M2423" s="5">
        <f t="shared" si="21"/>
        <v>760</v>
      </c>
      <c r="N2423" s="6">
        <v>0.4</v>
      </c>
    </row>
    <row r="2424" spans="1:14" ht="15.75" customHeight="1" x14ac:dyDescent="0.45">
      <c r="A2424" s="1" t="s">
        <v>119</v>
      </c>
      <c r="B2424" s="1">
        <v>1185732</v>
      </c>
      <c r="C2424" s="2">
        <v>44790</v>
      </c>
      <c r="D2424" s="1" t="s">
        <v>38</v>
      </c>
      <c r="E2424" s="1" t="s">
        <v>82</v>
      </c>
      <c r="F2424" s="1" t="s">
        <v>83</v>
      </c>
      <c r="G2424" s="1" t="s">
        <v>17</v>
      </c>
      <c r="H2424" s="1">
        <v>59</v>
      </c>
      <c r="I2424" s="1" t="s">
        <v>124</v>
      </c>
      <c r="J2424" s="3">
        <v>0.5</v>
      </c>
      <c r="K2424" s="4">
        <v>4500</v>
      </c>
      <c r="L2424" s="5">
        <f t="shared" si="20"/>
        <v>2250</v>
      </c>
      <c r="M2424" s="5">
        <f t="shared" si="21"/>
        <v>787.5</v>
      </c>
      <c r="N2424" s="6">
        <v>0.35</v>
      </c>
    </row>
    <row r="2425" spans="1:14" ht="15.75" customHeight="1" x14ac:dyDescent="0.45">
      <c r="A2425" s="1" t="s">
        <v>119</v>
      </c>
      <c r="B2425" s="1">
        <v>1185732</v>
      </c>
      <c r="C2425" s="2">
        <v>44790</v>
      </c>
      <c r="D2425" s="1" t="s">
        <v>38</v>
      </c>
      <c r="E2425" s="1" t="s">
        <v>82</v>
      </c>
      <c r="F2425" s="1" t="s">
        <v>83</v>
      </c>
      <c r="G2425" s="1" t="s">
        <v>18</v>
      </c>
      <c r="H2425" s="1">
        <v>52</v>
      </c>
      <c r="I2425" s="1" t="s">
        <v>125</v>
      </c>
      <c r="J2425" s="3">
        <v>0.55000000000000004</v>
      </c>
      <c r="K2425" s="4">
        <v>6250</v>
      </c>
      <c r="L2425" s="5">
        <f t="shared" si="20"/>
        <v>3437.5000000000005</v>
      </c>
      <c r="M2425" s="5">
        <f t="shared" si="21"/>
        <v>1718.7500000000002</v>
      </c>
      <c r="N2425" s="6">
        <v>0.5</v>
      </c>
    </row>
    <row r="2426" spans="1:14" ht="15.75" customHeight="1" x14ac:dyDescent="0.45">
      <c r="A2426" s="1" t="s">
        <v>119</v>
      </c>
      <c r="B2426" s="1">
        <v>1185732</v>
      </c>
      <c r="C2426" s="2">
        <v>44820</v>
      </c>
      <c r="D2426" s="1" t="s">
        <v>38</v>
      </c>
      <c r="E2426" s="1" t="s">
        <v>82</v>
      </c>
      <c r="F2426" s="1" t="s">
        <v>83</v>
      </c>
      <c r="G2426" s="1" t="s">
        <v>13</v>
      </c>
      <c r="H2426" s="1">
        <v>18</v>
      </c>
      <c r="I2426" s="1" t="s">
        <v>123</v>
      </c>
      <c r="J2426" s="3">
        <v>0.5</v>
      </c>
      <c r="K2426" s="4">
        <v>7250</v>
      </c>
      <c r="L2426" s="5">
        <f t="shared" si="20"/>
        <v>3625</v>
      </c>
      <c r="M2426" s="5">
        <f t="shared" si="21"/>
        <v>1450</v>
      </c>
      <c r="N2426" s="6">
        <v>0.4</v>
      </c>
    </row>
    <row r="2427" spans="1:14" ht="15.75" customHeight="1" x14ac:dyDescent="0.45">
      <c r="A2427" s="1" t="s">
        <v>119</v>
      </c>
      <c r="B2427" s="1">
        <v>1185732</v>
      </c>
      <c r="C2427" s="2">
        <v>44820</v>
      </c>
      <c r="D2427" s="1" t="s">
        <v>38</v>
      </c>
      <c r="E2427" s="1" t="s">
        <v>82</v>
      </c>
      <c r="F2427" s="1" t="s">
        <v>83</v>
      </c>
      <c r="G2427" s="1" t="s">
        <v>14</v>
      </c>
      <c r="H2427" s="1">
        <v>25</v>
      </c>
      <c r="I2427" s="1" t="s">
        <v>125</v>
      </c>
      <c r="J2427" s="3">
        <v>0.45000000000000012</v>
      </c>
      <c r="K2427" s="4">
        <v>5250</v>
      </c>
      <c r="L2427" s="5">
        <f t="shared" si="20"/>
        <v>2362.5000000000005</v>
      </c>
      <c r="M2427" s="5">
        <f t="shared" si="21"/>
        <v>826.87500000000011</v>
      </c>
      <c r="N2427" s="6">
        <v>0.35</v>
      </c>
    </row>
    <row r="2428" spans="1:14" ht="15.75" customHeight="1" x14ac:dyDescent="0.45">
      <c r="A2428" s="1" t="s">
        <v>119</v>
      </c>
      <c r="B2428" s="1">
        <v>1185732</v>
      </c>
      <c r="C2428" s="2">
        <v>44820</v>
      </c>
      <c r="D2428" s="1" t="s">
        <v>38</v>
      </c>
      <c r="E2428" s="1" t="s">
        <v>82</v>
      </c>
      <c r="F2428" s="1" t="s">
        <v>83</v>
      </c>
      <c r="G2428" s="1" t="s">
        <v>15</v>
      </c>
      <c r="H2428" s="1">
        <v>45</v>
      </c>
      <c r="I2428" s="1" t="s">
        <v>126</v>
      </c>
      <c r="J2428" s="3">
        <v>0.20000000000000007</v>
      </c>
      <c r="K2428" s="4">
        <v>4250</v>
      </c>
      <c r="L2428" s="5">
        <f t="shared" si="20"/>
        <v>850.00000000000023</v>
      </c>
      <c r="M2428" s="5">
        <f t="shared" si="21"/>
        <v>340.00000000000011</v>
      </c>
      <c r="N2428" s="6">
        <v>0.4</v>
      </c>
    </row>
    <row r="2429" spans="1:14" ht="15.75" customHeight="1" x14ac:dyDescent="0.45">
      <c r="A2429" s="1" t="s">
        <v>119</v>
      </c>
      <c r="B2429" s="1">
        <v>1185732</v>
      </c>
      <c r="C2429" s="2">
        <v>44820</v>
      </c>
      <c r="D2429" s="1" t="s">
        <v>38</v>
      </c>
      <c r="E2429" s="1" t="s">
        <v>82</v>
      </c>
      <c r="F2429" s="1" t="s">
        <v>83</v>
      </c>
      <c r="G2429" s="1" t="s">
        <v>16</v>
      </c>
      <c r="H2429" s="1">
        <v>24</v>
      </c>
      <c r="I2429" s="1" t="s">
        <v>123</v>
      </c>
      <c r="J2429" s="3">
        <v>0.20000000000000007</v>
      </c>
      <c r="K2429" s="4">
        <v>4000</v>
      </c>
      <c r="L2429" s="5">
        <f t="shared" si="20"/>
        <v>800.00000000000023</v>
      </c>
      <c r="M2429" s="5">
        <f t="shared" si="21"/>
        <v>320.00000000000011</v>
      </c>
      <c r="N2429" s="6">
        <v>0.4</v>
      </c>
    </row>
    <row r="2430" spans="1:14" ht="15.75" customHeight="1" x14ac:dyDescent="0.45">
      <c r="A2430" s="1" t="s">
        <v>119</v>
      </c>
      <c r="B2430" s="1">
        <v>1185732</v>
      </c>
      <c r="C2430" s="2">
        <v>44820</v>
      </c>
      <c r="D2430" s="1" t="s">
        <v>38</v>
      </c>
      <c r="E2430" s="1" t="s">
        <v>82</v>
      </c>
      <c r="F2430" s="1" t="s">
        <v>83</v>
      </c>
      <c r="G2430" s="1" t="s">
        <v>17</v>
      </c>
      <c r="H2430" s="1">
        <v>38</v>
      </c>
      <c r="I2430" s="1" t="s">
        <v>123</v>
      </c>
      <c r="J2430" s="3">
        <v>0.30000000000000004</v>
      </c>
      <c r="K2430" s="4">
        <v>4000</v>
      </c>
      <c r="L2430" s="5">
        <f t="shared" si="20"/>
        <v>1200.0000000000002</v>
      </c>
      <c r="M2430" s="5">
        <f t="shared" si="21"/>
        <v>420.00000000000006</v>
      </c>
      <c r="N2430" s="6">
        <v>0.35</v>
      </c>
    </row>
    <row r="2431" spans="1:14" ht="15.75" customHeight="1" x14ac:dyDescent="0.45">
      <c r="A2431" s="1" t="s">
        <v>119</v>
      </c>
      <c r="B2431" s="1">
        <v>1185732</v>
      </c>
      <c r="C2431" s="2">
        <v>44820</v>
      </c>
      <c r="D2431" s="1" t="s">
        <v>38</v>
      </c>
      <c r="E2431" s="1" t="s">
        <v>82</v>
      </c>
      <c r="F2431" s="1" t="s">
        <v>83</v>
      </c>
      <c r="G2431" s="1" t="s">
        <v>18</v>
      </c>
      <c r="H2431" s="1">
        <v>20</v>
      </c>
      <c r="I2431" s="1" t="s">
        <v>124</v>
      </c>
      <c r="J2431" s="3">
        <v>0.35000000000000009</v>
      </c>
      <c r="K2431" s="4">
        <v>5000</v>
      </c>
      <c r="L2431" s="5">
        <f t="shared" si="20"/>
        <v>1750.0000000000005</v>
      </c>
      <c r="M2431" s="5">
        <f t="shared" si="21"/>
        <v>875.00000000000023</v>
      </c>
      <c r="N2431" s="6">
        <v>0.5</v>
      </c>
    </row>
    <row r="2432" spans="1:14" ht="15.75" customHeight="1" x14ac:dyDescent="0.45">
      <c r="A2432" s="1" t="s">
        <v>119</v>
      </c>
      <c r="B2432" s="1">
        <v>1185732</v>
      </c>
      <c r="C2432" s="2">
        <v>44852</v>
      </c>
      <c r="D2432" s="1" t="s">
        <v>38</v>
      </c>
      <c r="E2432" s="1" t="s">
        <v>82</v>
      </c>
      <c r="F2432" s="1" t="s">
        <v>83</v>
      </c>
      <c r="G2432" s="1" t="s">
        <v>13</v>
      </c>
      <c r="H2432" s="1">
        <v>54</v>
      </c>
      <c r="I2432" s="1" t="s">
        <v>123</v>
      </c>
      <c r="J2432" s="3">
        <v>0.35000000000000009</v>
      </c>
      <c r="K2432" s="4">
        <v>6750</v>
      </c>
      <c r="L2432" s="5">
        <f t="shared" si="20"/>
        <v>2362.5000000000005</v>
      </c>
      <c r="M2432" s="5">
        <f t="shared" si="21"/>
        <v>945.00000000000023</v>
      </c>
      <c r="N2432" s="6">
        <v>0.4</v>
      </c>
    </row>
    <row r="2433" spans="1:14" ht="15.75" customHeight="1" x14ac:dyDescent="0.45">
      <c r="A2433" s="1" t="s">
        <v>119</v>
      </c>
      <c r="B2433" s="1">
        <v>1185732</v>
      </c>
      <c r="C2433" s="2">
        <v>44852</v>
      </c>
      <c r="D2433" s="1" t="s">
        <v>38</v>
      </c>
      <c r="E2433" s="1" t="s">
        <v>82</v>
      </c>
      <c r="F2433" s="1" t="s">
        <v>83</v>
      </c>
      <c r="G2433" s="1" t="s">
        <v>14</v>
      </c>
      <c r="H2433" s="1">
        <v>28</v>
      </c>
      <c r="I2433" s="1" t="s">
        <v>124</v>
      </c>
      <c r="J2433" s="3">
        <v>0.25000000000000011</v>
      </c>
      <c r="K2433" s="4">
        <v>5000</v>
      </c>
      <c r="L2433" s="5">
        <f t="shared" si="20"/>
        <v>1250.0000000000005</v>
      </c>
      <c r="M2433" s="5">
        <f t="shared" si="21"/>
        <v>437.50000000000011</v>
      </c>
      <c r="N2433" s="6">
        <v>0.35</v>
      </c>
    </row>
    <row r="2434" spans="1:14" ht="15.75" customHeight="1" x14ac:dyDescent="0.45">
      <c r="A2434" s="1" t="s">
        <v>119</v>
      </c>
      <c r="B2434" s="1">
        <v>1185732</v>
      </c>
      <c r="C2434" s="2">
        <v>44852</v>
      </c>
      <c r="D2434" s="1" t="s">
        <v>38</v>
      </c>
      <c r="E2434" s="1" t="s">
        <v>82</v>
      </c>
      <c r="F2434" s="1" t="s">
        <v>83</v>
      </c>
      <c r="G2434" s="1" t="s">
        <v>15</v>
      </c>
      <c r="H2434" s="1">
        <v>27</v>
      </c>
      <c r="I2434" s="1" t="s">
        <v>125</v>
      </c>
      <c r="J2434" s="3">
        <v>0.25000000000000011</v>
      </c>
      <c r="K2434" s="4">
        <v>3750</v>
      </c>
      <c r="L2434" s="5">
        <f t="shared" si="20"/>
        <v>937.50000000000045</v>
      </c>
      <c r="M2434" s="5">
        <f t="shared" si="21"/>
        <v>375.00000000000023</v>
      </c>
      <c r="N2434" s="6">
        <v>0.4</v>
      </c>
    </row>
    <row r="2435" spans="1:14" ht="15.75" customHeight="1" x14ac:dyDescent="0.45">
      <c r="A2435" s="1" t="s">
        <v>119</v>
      </c>
      <c r="B2435" s="1">
        <v>1185732</v>
      </c>
      <c r="C2435" s="2">
        <v>44852</v>
      </c>
      <c r="D2435" s="1" t="s">
        <v>38</v>
      </c>
      <c r="E2435" s="1" t="s">
        <v>82</v>
      </c>
      <c r="F2435" s="1" t="s">
        <v>83</v>
      </c>
      <c r="G2435" s="1" t="s">
        <v>16</v>
      </c>
      <c r="H2435" s="1">
        <v>49</v>
      </c>
      <c r="I2435" s="1" t="s">
        <v>125</v>
      </c>
      <c r="J2435" s="3">
        <v>0.25000000000000011</v>
      </c>
      <c r="K2435" s="4">
        <v>3500</v>
      </c>
      <c r="L2435" s="5">
        <f t="shared" si="20"/>
        <v>875.00000000000034</v>
      </c>
      <c r="M2435" s="5">
        <f t="shared" si="21"/>
        <v>350.00000000000017</v>
      </c>
      <c r="N2435" s="6">
        <v>0.4</v>
      </c>
    </row>
    <row r="2436" spans="1:14" ht="15.75" customHeight="1" x14ac:dyDescent="0.45">
      <c r="A2436" s="1" t="s">
        <v>119</v>
      </c>
      <c r="B2436" s="1">
        <v>1185732</v>
      </c>
      <c r="C2436" s="2">
        <v>44852</v>
      </c>
      <c r="D2436" s="1" t="s">
        <v>38</v>
      </c>
      <c r="E2436" s="1" t="s">
        <v>82</v>
      </c>
      <c r="F2436" s="1" t="s">
        <v>83</v>
      </c>
      <c r="G2436" s="1" t="s">
        <v>17</v>
      </c>
      <c r="H2436" s="1">
        <v>30</v>
      </c>
      <c r="I2436" s="1" t="s">
        <v>124</v>
      </c>
      <c r="J2436" s="3">
        <v>0.35000000000000009</v>
      </c>
      <c r="K2436" s="4">
        <v>3500</v>
      </c>
      <c r="L2436" s="5">
        <f t="shared" si="20"/>
        <v>1225.0000000000002</v>
      </c>
      <c r="M2436" s="5">
        <f t="shared" si="21"/>
        <v>428.75000000000006</v>
      </c>
      <c r="N2436" s="6">
        <v>0.35</v>
      </c>
    </row>
    <row r="2437" spans="1:14" ht="15.75" customHeight="1" x14ac:dyDescent="0.45">
      <c r="A2437" s="1" t="s">
        <v>119</v>
      </c>
      <c r="B2437" s="1">
        <v>1185732</v>
      </c>
      <c r="C2437" s="2">
        <v>44852</v>
      </c>
      <c r="D2437" s="1" t="s">
        <v>38</v>
      </c>
      <c r="E2437" s="1" t="s">
        <v>82</v>
      </c>
      <c r="F2437" s="1" t="s">
        <v>83</v>
      </c>
      <c r="G2437" s="1" t="s">
        <v>18</v>
      </c>
      <c r="H2437" s="1">
        <v>51</v>
      </c>
      <c r="I2437" s="1" t="s">
        <v>126</v>
      </c>
      <c r="J2437" s="3">
        <v>0.35000000000000003</v>
      </c>
      <c r="K2437" s="4">
        <v>4750</v>
      </c>
      <c r="L2437" s="5">
        <f t="shared" si="20"/>
        <v>1662.5000000000002</v>
      </c>
      <c r="M2437" s="5">
        <f t="shared" si="21"/>
        <v>831.25000000000011</v>
      </c>
      <c r="N2437" s="6">
        <v>0.5</v>
      </c>
    </row>
    <row r="2438" spans="1:14" ht="15.75" customHeight="1" x14ac:dyDescent="0.45">
      <c r="A2438" s="1" t="s">
        <v>119</v>
      </c>
      <c r="B2438" s="1">
        <v>1185732</v>
      </c>
      <c r="C2438" s="2">
        <v>44882</v>
      </c>
      <c r="D2438" s="1" t="s">
        <v>38</v>
      </c>
      <c r="E2438" s="1" t="s">
        <v>82</v>
      </c>
      <c r="F2438" s="1" t="s">
        <v>83</v>
      </c>
      <c r="G2438" s="1" t="s">
        <v>13</v>
      </c>
      <c r="H2438" s="1">
        <v>54</v>
      </c>
      <c r="I2438" s="1" t="s">
        <v>125</v>
      </c>
      <c r="J2438" s="3">
        <v>0.3000000000000001</v>
      </c>
      <c r="K2438" s="4">
        <v>6250</v>
      </c>
      <c r="L2438" s="5">
        <f t="shared" si="20"/>
        <v>1875.0000000000007</v>
      </c>
      <c r="M2438" s="5">
        <f t="shared" si="21"/>
        <v>750.00000000000034</v>
      </c>
      <c r="N2438" s="6">
        <v>0.4</v>
      </c>
    </row>
    <row r="2439" spans="1:14" ht="15.75" customHeight="1" x14ac:dyDescent="0.45">
      <c r="A2439" s="1" t="s">
        <v>119</v>
      </c>
      <c r="B2439" s="1">
        <v>1185732</v>
      </c>
      <c r="C2439" s="2">
        <v>44882</v>
      </c>
      <c r="D2439" s="1" t="s">
        <v>38</v>
      </c>
      <c r="E2439" s="1" t="s">
        <v>82</v>
      </c>
      <c r="F2439" s="1" t="s">
        <v>83</v>
      </c>
      <c r="G2439" s="1" t="s">
        <v>14</v>
      </c>
      <c r="H2439" s="1">
        <v>17</v>
      </c>
      <c r="I2439" s="1" t="s">
        <v>124</v>
      </c>
      <c r="J2439" s="3">
        <v>0.20000000000000012</v>
      </c>
      <c r="K2439" s="4">
        <v>4500</v>
      </c>
      <c r="L2439" s="5">
        <f t="shared" si="20"/>
        <v>900.00000000000057</v>
      </c>
      <c r="M2439" s="5">
        <f t="shared" si="21"/>
        <v>315.00000000000017</v>
      </c>
      <c r="N2439" s="6">
        <v>0.35</v>
      </c>
    </row>
    <row r="2440" spans="1:14" ht="15.75" customHeight="1" x14ac:dyDescent="0.45">
      <c r="A2440" s="1" t="s">
        <v>119</v>
      </c>
      <c r="B2440" s="1">
        <v>1185732</v>
      </c>
      <c r="C2440" s="2">
        <v>44882</v>
      </c>
      <c r="D2440" s="1" t="s">
        <v>38</v>
      </c>
      <c r="E2440" s="1" t="s">
        <v>82</v>
      </c>
      <c r="F2440" s="1" t="s">
        <v>83</v>
      </c>
      <c r="G2440" s="1" t="s">
        <v>15</v>
      </c>
      <c r="H2440" s="1">
        <v>58</v>
      </c>
      <c r="I2440" s="1" t="s">
        <v>124</v>
      </c>
      <c r="J2440" s="3">
        <v>0.30000000000000016</v>
      </c>
      <c r="K2440" s="4">
        <v>3950</v>
      </c>
      <c r="L2440" s="5">
        <f t="shared" si="20"/>
        <v>1185.0000000000007</v>
      </c>
      <c r="M2440" s="5">
        <f t="shared" si="21"/>
        <v>474.00000000000028</v>
      </c>
      <c r="N2440" s="6">
        <v>0.4</v>
      </c>
    </row>
    <row r="2441" spans="1:14" ht="15.75" customHeight="1" x14ac:dyDescent="0.45">
      <c r="A2441" s="1" t="s">
        <v>119</v>
      </c>
      <c r="B2441" s="1">
        <v>1185732</v>
      </c>
      <c r="C2441" s="2">
        <v>44882</v>
      </c>
      <c r="D2441" s="1" t="s">
        <v>38</v>
      </c>
      <c r="E2441" s="1" t="s">
        <v>82</v>
      </c>
      <c r="F2441" s="1" t="s">
        <v>83</v>
      </c>
      <c r="G2441" s="1" t="s">
        <v>16</v>
      </c>
      <c r="H2441" s="1">
        <v>37</v>
      </c>
      <c r="I2441" s="1" t="s">
        <v>124</v>
      </c>
      <c r="J2441" s="3">
        <v>0.6000000000000002</v>
      </c>
      <c r="K2441" s="4">
        <v>4500</v>
      </c>
      <c r="L2441" s="5">
        <f t="shared" si="20"/>
        <v>2700.0000000000009</v>
      </c>
      <c r="M2441" s="5">
        <f t="shared" si="21"/>
        <v>1080.0000000000005</v>
      </c>
      <c r="N2441" s="6">
        <v>0.4</v>
      </c>
    </row>
    <row r="2442" spans="1:14" ht="15.75" customHeight="1" x14ac:dyDescent="0.45">
      <c r="A2442" s="1" t="s">
        <v>119</v>
      </c>
      <c r="B2442" s="1">
        <v>1185732</v>
      </c>
      <c r="C2442" s="2">
        <v>44882</v>
      </c>
      <c r="D2442" s="1" t="s">
        <v>38</v>
      </c>
      <c r="E2442" s="1" t="s">
        <v>82</v>
      </c>
      <c r="F2442" s="1" t="s">
        <v>83</v>
      </c>
      <c r="G2442" s="1" t="s">
        <v>17</v>
      </c>
      <c r="H2442" s="1">
        <v>16</v>
      </c>
      <c r="I2442" s="1" t="s">
        <v>124</v>
      </c>
      <c r="J2442" s="3">
        <v>0.75000000000000011</v>
      </c>
      <c r="K2442" s="4">
        <v>4250</v>
      </c>
      <c r="L2442" s="5">
        <f t="shared" si="20"/>
        <v>3187.5000000000005</v>
      </c>
      <c r="M2442" s="5">
        <f t="shared" si="21"/>
        <v>1115.625</v>
      </c>
      <c r="N2442" s="6">
        <v>0.35</v>
      </c>
    </row>
    <row r="2443" spans="1:14" ht="15.75" customHeight="1" x14ac:dyDescent="0.45">
      <c r="A2443" s="1" t="s">
        <v>119</v>
      </c>
      <c r="B2443" s="1">
        <v>1185732</v>
      </c>
      <c r="C2443" s="2">
        <v>44882</v>
      </c>
      <c r="D2443" s="1" t="s">
        <v>38</v>
      </c>
      <c r="E2443" s="1" t="s">
        <v>82</v>
      </c>
      <c r="F2443" s="1" t="s">
        <v>83</v>
      </c>
      <c r="G2443" s="1" t="s">
        <v>18</v>
      </c>
      <c r="H2443" s="1">
        <v>22</v>
      </c>
      <c r="I2443" s="1" t="s">
        <v>126</v>
      </c>
      <c r="J2443" s="3">
        <v>0.75</v>
      </c>
      <c r="K2443" s="4">
        <v>5250</v>
      </c>
      <c r="L2443" s="5">
        <f t="shared" si="20"/>
        <v>3937.5</v>
      </c>
      <c r="M2443" s="5">
        <f t="shared" si="21"/>
        <v>1968.75</v>
      </c>
      <c r="N2443" s="6">
        <v>0.5</v>
      </c>
    </row>
    <row r="2444" spans="1:14" ht="15.75" customHeight="1" x14ac:dyDescent="0.45">
      <c r="A2444" s="1" t="s">
        <v>119</v>
      </c>
      <c r="B2444" s="1">
        <v>1185732</v>
      </c>
      <c r="C2444" s="2">
        <v>44911</v>
      </c>
      <c r="D2444" s="1" t="s">
        <v>38</v>
      </c>
      <c r="E2444" s="1" t="s">
        <v>82</v>
      </c>
      <c r="F2444" s="1" t="s">
        <v>83</v>
      </c>
      <c r="G2444" s="1" t="s">
        <v>13</v>
      </c>
      <c r="H2444" s="1">
        <v>38</v>
      </c>
      <c r="I2444" s="1" t="s">
        <v>123</v>
      </c>
      <c r="J2444" s="3">
        <v>0.70000000000000007</v>
      </c>
      <c r="K2444" s="4">
        <v>7750</v>
      </c>
      <c r="L2444" s="5">
        <f t="shared" si="20"/>
        <v>5425.0000000000009</v>
      </c>
      <c r="M2444" s="5">
        <f t="shared" si="21"/>
        <v>2170.0000000000005</v>
      </c>
      <c r="N2444" s="6">
        <v>0.4</v>
      </c>
    </row>
    <row r="2445" spans="1:14" ht="15.75" customHeight="1" x14ac:dyDescent="0.45">
      <c r="A2445" s="1" t="s">
        <v>119</v>
      </c>
      <c r="B2445" s="1">
        <v>1185732</v>
      </c>
      <c r="C2445" s="2">
        <v>44911</v>
      </c>
      <c r="D2445" s="1" t="s">
        <v>38</v>
      </c>
      <c r="E2445" s="1" t="s">
        <v>82</v>
      </c>
      <c r="F2445" s="1" t="s">
        <v>83</v>
      </c>
      <c r="G2445" s="1" t="s">
        <v>14</v>
      </c>
      <c r="H2445" s="1">
        <v>31</v>
      </c>
      <c r="I2445" s="1" t="s">
        <v>124</v>
      </c>
      <c r="J2445" s="3">
        <v>0.60000000000000009</v>
      </c>
      <c r="K2445" s="4">
        <v>5750</v>
      </c>
      <c r="L2445" s="5">
        <f t="shared" si="20"/>
        <v>3450.0000000000005</v>
      </c>
      <c r="M2445" s="5">
        <f t="shared" si="21"/>
        <v>1207.5</v>
      </c>
      <c r="N2445" s="6">
        <v>0.35</v>
      </c>
    </row>
    <row r="2446" spans="1:14" ht="15.75" customHeight="1" x14ac:dyDescent="0.45">
      <c r="A2446" s="1" t="s">
        <v>119</v>
      </c>
      <c r="B2446" s="1">
        <v>1185732</v>
      </c>
      <c r="C2446" s="2">
        <v>44911</v>
      </c>
      <c r="D2446" s="1" t="s">
        <v>38</v>
      </c>
      <c r="E2446" s="1" t="s">
        <v>82</v>
      </c>
      <c r="F2446" s="1" t="s">
        <v>83</v>
      </c>
      <c r="G2446" s="1" t="s">
        <v>15</v>
      </c>
      <c r="H2446" s="1">
        <v>27</v>
      </c>
      <c r="I2446" s="1" t="s">
        <v>126</v>
      </c>
      <c r="J2446" s="3">
        <v>0.60000000000000009</v>
      </c>
      <c r="K2446" s="4">
        <v>5250</v>
      </c>
      <c r="L2446" s="5">
        <f t="shared" si="20"/>
        <v>3150.0000000000005</v>
      </c>
      <c r="M2446" s="5">
        <f t="shared" si="21"/>
        <v>1260.0000000000002</v>
      </c>
      <c r="N2446" s="6">
        <v>0.4</v>
      </c>
    </row>
    <row r="2447" spans="1:14" ht="15.75" customHeight="1" x14ac:dyDescent="0.45">
      <c r="A2447" s="1" t="s">
        <v>119</v>
      </c>
      <c r="B2447" s="1">
        <v>1185732</v>
      </c>
      <c r="C2447" s="2">
        <v>44911</v>
      </c>
      <c r="D2447" s="1" t="s">
        <v>38</v>
      </c>
      <c r="E2447" s="1" t="s">
        <v>82</v>
      </c>
      <c r="F2447" s="1" t="s">
        <v>83</v>
      </c>
      <c r="G2447" s="1" t="s">
        <v>16</v>
      </c>
      <c r="H2447" s="1">
        <v>27</v>
      </c>
      <c r="I2447" s="1" t="s">
        <v>125</v>
      </c>
      <c r="J2447" s="3">
        <v>0.60000000000000009</v>
      </c>
      <c r="K2447" s="4">
        <v>4750</v>
      </c>
      <c r="L2447" s="5">
        <f t="shared" si="20"/>
        <v>2850.0000000000005</v>
      </c>
      <c r="M2447" s="5">
        <f t="shared" si="21"/>
        <v>1140.0000000000002</v>
      </c>
      <c r="N2447" s="6">
        <v>0.4</v>
      </c>
    </row>
    <row r="2448" spans="1:14" ht="15.75" customHeight="1" x14ac:dyDescent="0.45">
      <c r="A2448" s="1" t="s">
        <v>119</v>
      </c>
      <c r="B2448" s="1">
        <v>1185732</v>
      </c>
      <c r="C2448" s="2">
        <v>44911</v>
      </c>
      <c r="D2448" s="1" t="s">
        <v>38</v>
      </c>
      <c r="E2448" s="1" t="s">
        <v>82</v>
      </c>
      <c r="F2448" s="1" t="s">
        <v>83</v>
      </c>
      <c r="G2448" s="1" t="s">
        <v>17</v>
      </c>
      <c r="H2448" s="1">
        <v>30</v>
      </c>
      <c r="I2448" s="1" t="s">
        <v>125</v>
      </c>
      <c r="J2448" s="3">
        <v>0.70000000000000007</v>
      </c>
      <c r="K2448" s="4">
        <v>4750</v>
      </c>
      <c r="L2448" s="5">
        <f t="shared" si="20"/>
        <v>3325.0000000000005</v>
      </c>
      <c r="M2448" s="5">
        <f t="shared" si="21"/>
        <v>1163.75</v>
      </c>
      <c r="N2448" s="6">
        <v>0.35</v>
      </c>
    </row>
    <row r="2449" spans="1:14" ht="15.75" customHeight="1" x14ac:dyDescent="0.45">
      <c r="A2449" s="1" t="s">
        <v>119</v>
      </c>
      <c r="B2449" s="1">
        <v>1185732</v>
      </c>
      <c r="C2449" s="2">
        <v>44911</v>
      </c>
      <c r="D2449" s="1" t="s">
        <v>38</v>
      </c>
      <c r="E2449" s="1" t="s">
        <v>82</v>
      </c>
      <c r="F2449" s="1" t="s">
        <v>83</v>
      </c>
      <c r="G2449" s="1" t="s">
        <v>18</v>
      </c>
      <c r="H2449" s="1">
        <v>20</v>
      </c>
      <c r="I2449" s="1" t="s">
        <v>125</v>
      </c>
      <c r="J2449" s="3">
        <v>0.75</v>
      </c>
      <c r="K2449" s="4">
        <v>5750</v>
      </c>
      <c r="L2449" s="5">
        <f t="shared" si="20"/>
        <v>4312.5</v>
      </c>
      <c r="M2449" s="5">
        <f t="shared" si="21"/>
        <v>2156.25</v>
      </c>
      <c r="N2449" s="6">
        <v>0.5</v>
      </c>
    </row>
    <row r="2450" spans="1:14" ht="15.75" customHeight="1" x14ac:dyDescent="0.45">
      <c r="A2450" s="1" t="s">
        <v>120</v>
      </c>
      <c r="B2450" s="1">
        <v>1197831</v>
      </c>
      <c r="C2450" s="2">
        <v>44584</v>
      </c>
      <c r="D2450" s="1" t="s">
        <v>19</v>
      </c>
      <c r="E2450" s="1" t="s">
        <v>84</v>
      </c>
      <c r="F2450" s="1" t="s">
        <v>85</v>
      </c>
      <c r="G2450" s="1" t="s">
        <v>13</v>
      </c>
      <c r="H2450" s="1">
        <v>31</v>
      </c>
      <c r="I2450" s="1" t="s">
        <v>126</v>
      </c>
      <c r="J2450" s="3">
        <v>0.25000000000000006</v>
      </c>
      <c r="K2450" s="4">
        <v>6500</v>
      </c>
      <c r="L2450" s="5">
        <f t="shared" si="20"/>
        <v>1625.0000000000005</v>
      </c>
      <c r="M2450" s="5">
        <f t="shared" si="21"/>
        <v>650.00000000000023</v>
      </c>
      <c r="N2450" s="6">
        <v>0.4</v>
      </c>
    </row>
    <row r="2451" spans="1:14" ht="15.75" customHeight="1" x14ac:dyDescent="0.45">
      <c r="A2451" s="1" t="s">
        <v>120</v>
      </c>
      <c r="B2451" s="1">
        <v>1197831</v>
      </c>
      <c r="C2451" s="2">
        <v>44584</v>
      </c>
      <c r="D2451" s="1" t="s">
        <v>19</v>
      </c>
      <c r="E2451" s="1" t="s">
        <v>84</v>
      </c>
      <c r="F2451" s="1" t="s">
        <v>85</v>
      </c>
      <c r="G2451" s="1" t="s">
        <v>14</v>
      </c>
      <c r="H2451" s="1">
        <v>26</v>
      </c>
      <c r="I2451" s="1" t="s">
        <v>126</v>
      </c>
      <c r="J2451" s="3">
        <v>0.25000000000000006</v>
      </c>
      <c r="K2451" s="4">
        <v>4500</v>
      </c>
      <c r="L2451" s="5">
        <f t="shared" si="20"/>
        <v>1125.0000000000002</v>
      </c>
      <c r="M2451" s="5">
        <f t="shared" si="21"/>
        <v>393.75000000000006</v>
      </c>
      <c r="N2451" s="6">
        <v>0.35</v>
      </c>
    </row>
    <row r="2452" spans="1:14" ht="15.75" customHeight="1" x14ac:dyDescent="0.45">
      <c r="A2452" s="1" t="s">
        <v>120</v>
      </c>
      <c r="B2452" s="1">
        <v>1197831</v>
      </c>
      <c r="C2452" s="2">
        <v>44584</v>
      </c>
      <c r="D2452" s="1" t="s">
        <v>19</v>
      </c>
      <c r="E2452" s="1" t="s">
        <v>84</v>
      </c>
      <c r="F2452" s="1" t="s">
        <v>85</v>
      </c>
      <c r="G2452" s="1" t="s">
        <v>15</v>
      </c>
      <c r="H2452" s="1">
        <v>17</v>
      </c>
      <c r="I2452" s="1" t="s">
        <v>125</v>
      </c>
      <c r="J2452" s="3">
        <v>0.15000000000000008</v>
      </c>
      <c r="K2452" s="4">
        <v>4500</v>
      </c>
      <c r="L2452" s="5">
        <f t="shared" si="20"/>
        <v>675.00000000000034</v>
      </c>
      <c r="M2452" s="5">
        <f t="shared" si="21"/>
        <v>270.00000000000017</v>
      </c>
      <c r="N2452" s="6">
        <v>0.4</v>
      </c>
    </row>
    <row r="2453" spans="1:14" ht="15.75" customHeight="1" x14ac:dyDescent="0.45">
      <c r="A2453" s="1" t="s">
        <v>120</v>
      </c>
      <c r="B2453" s="1">
        <v>1197831</v>
      </c>
      <c r="C2453" s="2">
        <v>44584</v>
      </c>
      <c r="D2453" s="1" t="s">
        <v>19</v>
      </c>
      <c r="E2453" s="1" t="s">
        <v>84</v>
      </c>
      <c r="F2453" s="1" t="s">
        <v>85</v>
      </c>
      <c r="G2453" s="1" t="s">
        <v>16</v>
      </c>
      <c r="H2453" s="1">
        <v>42</v>
      </c>
      <c r="I2453" s="1" t="s">
        <v>123</v>
      </c>
      <c r="J2453" s="3">
        <v>0.2</v>
      </c>
      <c r="K2453" s="4">
        <v>3000</v>
      </c>
      <c r="L2453" s="5">
        <f t="shared" si="20"/>
        <v>600</v>
      </c>
      <c r="M2453" s="5">
        <f t="shared" si="21"/>
        <v>240</v>
      </c>
      <c r="N2453" s="6">
        <v>0.4</v>
      </c>
    </row>
    <row r="2454" spans="1:14" ht="15.75" customHeight="1" x14ac:dyDescent="0.45">
      <c r="A2454" s="1" t="s">
        <v>120</v>
      </c>
      <c r="B2454" s="1">
        <v>1197831</v>
      </c>
      <c r="C2454" s="2">
        <v>44584</v>
      </c>
      <c r="D2454" s="1" t="s">
        <v>19</v>
      </c>
      <c r="E2454" s="1" t="s">
        <v>84</v>
      </c>
      <c r="F2454" s="1" t="s">
        <v>85</v>
      </c>
      <c r="G2454" s="1" t="s">
        <v>17</v>
      </c>
      <c r="H2454" s="1">
        <v>49</v>
      </c>
      <c r="I2454" s="1" t="s">
        <v>123</v>
      </c>
      <c r="J2454" s="3">
        <v>0.35000000000000003</v>
      </c>
      <c r="K2454" s="4">
        <v>3500</v>
      </c>
      <c r="L2454" s="5">
        <f t="shared" si="20"/>
        <v>1225.0000000000002</v>
      </c>
      <c r="M2454" s="5">
        <f t="shared" si="21"/>
        <v>428.75000000000006</v>
      </c>
      <c r="N2454" s="6">
        <v>0.35</v>
      </c>
    </row>
    <row r="2455" spans="1:14" ht="15.75" customHeight="1" x14ac:dyDescent="0.45">
      <c r="A2455" s="1" t="s">
        <v>120</v>
      </c>
      <c r="B2455" s="1">
        <v>1197831</v>
      </c>
      <c r="C2455" s="2">
        <v>44584</v>
      </c>
      <c r="D2455" s="1" t="s">
        <v>19</v>
      </c>
      <c r="E2455" s="1" t="s">
        <v>84</v>
      </c>
      <c r="F2455" s="1" t="s">
        <v>85</v>
      </c>
      <c r="G2455" s="1" t="s">
        <v>18</v>
      </c>
      <c r="H2455" s="1">
        <v>32</v>
      </c>
      <c r="I2455" s="1" t="s">
        <v>123</v>
      </c>
      <c r="J2455" s="3">
        <v>0.25000000000000006</v>
      </c>
      <c r="K2455" s="4">
        <v>4500</v>
      </c>
      <c r="L2455" s="5">
        <f t="shared" si="20"/>
        <v>1125.0000000000002</v>
      </c>
      <c r="M2455" s="5">
        <f t="shared" si="21"/>
        <v>450.00000000000011</v>
      </c>
      <c r="N2455" s="6">
        <v>0.4</v>
      </c>
    </row>
    <row r="2456" spans="1:14" ht="15.75" customHeight="1" x14ac:dyDescent="0.45">
      <c r="A2456" s="1" t="s">
        <v>120</v>
      </c>
      <c r="B2456" s="1">
        <v>1197831</v>
      </c>
      <c r="C2456" s="2">
        <v>44613</v>
      </c>
      <c r="D2456" s="1" t="s">
        <v>19</v>
      </c>
      <c r="E2456" s="1" t="s">
        <v>84</v>
      </c>
      <c r="F2456" s="1" t="s">
        <v>85</v>
      </c>
      <c r="G2456" s="1" t="s">
        <v>13</v>
      </c>
      <c r="H2456" s="1">
        <v>59</v>
      </c>
      <c r="I2456" s="1" t="s">
        <v>126</v>
      </c>
      <c r="J2456" s="3">
        <v>0.25000000000000006</v>
      </c>
      <c r="K2456" s="4">
        <v>7000</v>
      </c>
      <c r="L2456" s="5">
        <f t="shared" si="20"/>
        <v>1750.0000000000005</v>
      </c>
      <c r="M2456" s="5">
        <f t="shared" si="21"/>
        <v>700.00000000000023</v>
      </c>
      <c r="N2456" s="6">
        <v>0.4</v>
      </c>
    </row>
    <row r="2457" spans="1:14" ht="15.75" customHeight="1" x14ac:dyDescent="0.45">
      <c r="A2457" s="1" t="s">
        <v>120</v>
      </c>
      <c r="B2457" s="1">
        <v>1197831</v>
      </c>
      <c r="C2457" s="2">
        <v>44613</v>
      </c>
      <c r="D2457" s="1" t="s">
        <v>19</v>
      </c>
      <c r="E2457" s="1" t="s">
        <v>84</v>
      </c>
      <c r="F2457" s="1" t="s">
        <v>85</v>
      </c>
      <c r="G2457" s="1" t="s">
        <v>14</v>
      </c>
      <c r="H2457" s="1">
        <v>33</v>
      </c>
      <c r="I2457" s="1" t="s">
        <v>123</v>
      </c>
      <c r="J2457" s="3">
        <v>0.25000000000000006</v>
      </c>
      <c r="K2457" s="4">
        <v>3500</v>
      </c>
      <c r="L2457" s="5">
        <f t="shared" si="20"/>
        <v>875.00000000000023</v>
      </c>
      <c r="M2457" s="5">
        <f t="shared" si="21"/>
        <v>306.25000000000006</v>
      </c>
      <c r="N2457" s="6">
        <v>0.35</v>
      </c>
    </row>
    <row r="2458" spans="1:14" ht="15.75" customHeight="1" x14ac:dyDescent="0.45">
      <c r="A2458" s="1" t="s">
        <v>120</v>
      </c>
      <c r="B2458" s="1">
        <v>1197831</v>
      </c>
      <c r="C2458" s="2">
        <v>44613</v>
      </c>
      <c r="D2458" s="1" t="s">
        <v>19</v>
      </c>
      <c r="E2458" s="1" t="s">
        <v>84</v>
      </c>
      <c r="F2458" s="1" t="s">
        <v>85</v>
      </c>
      <c r="G2458" s="1" t="s">
        <v>15</v>
      </c>
      <c r="H2458" s="1">
        <v>26</v>
      </c>
      <c r="I2458" s="1" t="s">
        <v>123</v>
      </c>
      <c r="J2458" s="3">
        <v>0.15000000000000008</v>
      </c>
      <c r="K2458" s="4">
        <v>4000</v>
      </c>
      <c r="L2458" s="5">
        <f t="shared" si="20"/>
        <v>600.00000000000034</v>
      </c>
      <c r="M2458" s="5">
        <f t="shared" si="21"/>
        <v>240.00000000000014</v>
      </c>
      <c r="N2458" s="6">
        <v>0.4</v>
      </c>
    </row>
    <row r="2459" spans="1:14" ht="15.75" customHeight="1" x14ac:dyDescent="0.45">
      <c r="A2459" s="1" t="s">
        <v>120</v>
      </c>
      <c r="B2459" s="1">
        <v>1197831</v>
      </c>
      <c r="C2459" s="2">
        <v>44613</v>
      </c>
      <c r="D2459" s="1" t="s">
        <v>19</v>
      </c>
      <c r="E2459" s="1" t="s">
        <v>84</v>
      </c>
      <c r="F2459" s="1" t="s">
        <v>85</v>
      </c>
      <c r="G2459" s="1" t="s">
        <v>16</v>
      </c>
      <c r="H2459" s="1">
        <v>47</v>
      </c>
      <c r="I2459" s="1" t="s">
        <v>124</v>
      </c>
      <c r="J2459" s="3">
        <v>0.2</v>
      </c>
      <c r="K2459" s="4">
        <v>2500</v>
      </c>
      <c r="L2459" s="5">
        <f t="shared" si="20"/>
        <v>500</v>
      </c>
      <c r="M2459" s="5">
        <f t="shared" si="21"/>
        <v>200</v>
      </c>
      <c r="N2459" s="6">
        <v>0.4</v>
      </c>
    </row>
    <row r="2460" spans="1:14" ht="15.75" customHeight="1" x14ac:dyDescent="0.45">
      <c r="A2460" s="1" t="s">
        <v>120</v>
      </c>
      <c r="B2460" s="1">
        <v>1197831</v>
      </c>
      <c r="C2460" s="2">
        <v>44613</v>
      </c>
      <c r="D2460" s="1" t="s">
        <v>19</v>
      </c>
      <c r="E2460" s="1" t="s">
        <v>84</v>
      </c>
      <c r="F2460" s="1" t="s">
        <v>85</v>
      </c>
      <c r="G2460" s="1" t="s">
        <v>17</v>
      </c>
      <c r="H2460" s="1">
        <v>38</v>
      </c>
      <c r="I2460" s="1" t="s">
        <v>126</v>
      </c>
      <c r="J2460" s="3">
        <v>0.35000000000000003</v>
      </c>
      <c r="K2460" s="4">
        <v>3250</v>
      </c>
      <c r="L2460" s="5">
        <f t="shared" si="20"/>
        <v>1137.5</v>
      </c>
      <c r="M2460" s="5">
        <f t="shared" si="21"/>
        <v>398.125</v>
      </c>
      <c r="N2460" s="6">
        <v>0.35</v>
      </c>
    </row>
    <row r="2461" spans="1:14" ht="15.75" customHeight="1" x14ac:dyDescent="0.45">
      <c r="A2461" s="1" t="s">
        <v>120</v>
      </c>
      <c r="B2461" s="1">
        <v>1197831</v>
      </c>
      <c r="C2461" s="2">
        <v>44613</v>
      </c>
      <c r="D2461" s="1" t="s">
        <v>19</v>
      </c>
      <c r="E2461" s="1" t="s">
        <v>84</v>
      </c>
      <c r="F2461" s="1" t="s">
        <v>85</v>
      </c>
      <c r="G2461" s="1" t="s">
        <v>18</v>
      </c>
      <c r="H2461" s="1">
        <v>55</v>
      </c>
      <c r="I2461" s="1" t="s">
        <v>126</v>
      </c>
      <c r="J2461" s="3">
        <v>0.2</v>
      </c>
      <c r="K2461" s="4">
        <v>4250</v>
      </c>
      <c r="L2461" s="5">
        <f t="shared" si="20"/>
        <v>850</v>
      </c>
      <c r="M2461" s="5">
        <f t="shared" si="21"/>
        <v>340</v>
      </c>
      <c r="N2461" s="6">
        <v>0.4</v>
      </c>
    </row>
    <row r="2462" spans="1:14" ht="15.75" customHeight="1" x14ac:dyDescent="0.45">
      <c r="A2462" s="1" t="s">
        <v>120</v>
      </c>
      <c r="B2462" s="1">
        <v>1197831</v>
      </c>
      <c r="C2462" s="2">
        <v>44639</v>
      </c>
      <c r="D2462" s="1" t="s">
        <v>19</v>
      </c>
      <c r="E2462" s="1" t="s">
        <v>84</v>
      </c>
      <c r="F2462" s="1" t="s">
        <v>85</v>
      </c>
      <c r="G2462" s="1" t="s">
        <v>13</v>
      </c>
      <c r="H2462" s="1">
        <v>47</v>
      </c>
      <c r="I2462" s="1" t="s">
        <v>124</v>
      </c>
      <c r="J2462" s="3">
        <v>0.2</v>
      </c>
      <c r="K2462" s="4">
        <v>6450</v>
      </c>
      <c r="L2462" s="5">
        <f t="shared" si="20"/>
        <v>1290</v>
      </c>
      <c r="M2462" s="5">
        <f t="shared" si="21"/>
        <v>516</v>
      </c>
      <c r="N2462" s="6">
        <v>0.4</v>
      </c>
    </row>
    <row r="2463" spans="1:14" ht="15.75" customHeight="1" x14ac:dyDescent="0.45">
      <c r="A2463" s="1" t="s">
        <v>120</v>
      </c>
      <c r="B2463" s="1">
        <v>1197831</v>
      </c>
      <c r="C2463" s="2">
        <v>44639</v>
      </c>
      <c r="D2463" s="1" t="s">
        <v>19</v>
      </c>
      <c r="E2463" s="1" t="s">
        <v>84</v>
      </c>
      <c r="F2463" s="1" t="s">
        <v>85</v>
      </c>
      <c r="G2463" s="1" t="s">
        <v>14</v>
      </c>
      <c r="H2463" s="1">
        <v>43</v>
      </c>
      <c r="I2463" s="1" t="s">
        <v>126</v>
      </c>
      <c r="J2463" s="3">
        <v>0.2</v>
      </c>
      <c r="K2463" s="4">
        <v>3250</v>
      </c>
      <c r="L2463" s="5">
        <f t="shared" si="20"/>
        <v>650</v>
      </c>
      <c r="M2463" s="5">
        <f t="shared" si="21"/>
        <v>227.49999999999997</v>
      </c>
      <c r="N2463" s="6">
        <v>0.35</v>
      </c>
    </row>
    <row r="2464" spans="1:14" ht="15.75" customHeight="1" x14ac:dyDescent="0.45">
      <c r="A2464" s="1" t="s">
        <v>120</v>
      </c>
      <c r="B2464" s="1">
        <v>1197831</v>
      </c>
      <c r="C2464" s="2">
        <v>44639</v>
      </c>
      <c r="D2464" s="1" t="s">
        <v>19</v>
      </c>
      <c r="E2464" s="1" t="s">
        <v>84</v>
      </c>
      <c r="F2464" s="1" t="s">
        <v>85</v>
      </c>
      <c r="G2464" s="1" t="s">
        <v>15</v>
      </c>
      <c r="H2464" s="1">
        <v>16</v>
      </c>
      <c r="I2464" s="1" t="s">
        <v>125</v>
      </c>
      <c r="J2464" s="3">
        <v>0.10000000000000002</v>
      </c>
      <c r="K2464" s="4">
        <v>3500</v>
      </c>
      <c r="L2464" s="5">
        <f t="shared" si="20"/>
        <v>350.00000000000006</v>
      </c>
      <c r="M2464" s="5">
        <f t="shared" si="21"/>
        <v>140.00000000000003</v>
      </c>
      <c r="N2464" s="6">
        <v>0.4</v>
      </c>
    </row>
    <row r="2465" spans="1:14" ht="15.75" customHeight="1" x14ac:dyDescent="0.45">
      <c r="A2465" s="1" t="s">
        <v>120</v>
      </c>
      <c r="B2465" s="1">
        <v>1197831</v>
      </c>
      <c r="C2465" s="2">
        <v>44639</v>
      </c>
      <c r="D2465" s="1" t="s">
        <v>19</v>
      </c>
      <c r="E2465" s="1" t="s">
        <v>84</v>
      </c>
      <c r="F2465" s="1" t="s">
        <v>85</v>
      </c>
      <c r="G2465" s="1" t="s">
        <v>16</v>
      </c>
      <c r="H2465" s="1">
        <v>22</v>
      </c>
      <c r="I2465" s="1" t="s">
        <v>126</v>
      </c>
      <c r="J2465" s="3">
        <v>0.19999999999999996</v>
      </c>
      <c r="K2465" s="4">
        <v>2000</v>
      </c>
      <c r="L2465" s="5">
        <f t="shared" si="20"/>
        <v>399.99999999999989</v>
      </c>
      <c r="M2465" s="5">
        <f t="shared" si="21"/>
        <v>159.99999999999997</v>
      </c>
      <c r="N2465" s="6">
        <v>0.4</v>
      </c>
    </row>
    <row r="2466" spans="1:14" ht="15.75" customHeight="1" x14ac:dyDescent="0.45">
      <c r="A2466" s="1" t="s">
        <v>120</v>
      </c>
      <c r="B2466" s="1">
        <v>1197831</v>
      </c>
      <c r="C2466" s="2">
        <v>44639</v>
      </c>
      <c r="D2466" s="1" t="s">
        <v>19</v>
      </c>
      <c r="E2466" s="1" t="s">
        <v>84</v>
      </c>
      <c r="F2466" s="1" t="s">
        <v>85</v>
      </c>
      <c r="G2466" s="1" t="s">
        <v>17</v>
      </c>
      <c r="H2466" s="1">
        <v>51</v>
      </c>
      <c r="I2466" s="1" t="s">
        <v>124</v>
      </c>
      <c r="J2466" s="3">
        <v>0.35000000000000009</v>
      </c>
      <c r="K2466" s="4">
        <v>2500</v>
      </c>
      <c r="L2466" s="5">
        <f t="shared" si="20"/>
        <v>875.00000000000023</v>
      </c>
      <c r="M2466" s="5">
        <f t="shared" si="21"/>
        <v>306.25000000000006</v>
      </c>
      <c r="N2466" s="6">
        <v>0.35</v>
      </c>
    </row>
    <row r="2467" spans="1:14" ht="15.75" customHeight="1" x14ac:dyDescent="0.45">
      <c r="A2467" s="1" t="s">
        <v>120</v>
      </c>
      <c r="B2467" s="1">
        <v>1197831</v>
      </c>
      <c r="C2467" s="2">
        <v>44639</v>
      </c>
      <c r="D2467" s="1" t="s">
        <v>19</v>
      </c>
      <c r="E2467" s="1" t="s">
        <v>84</v>
      </c>
      <c r="F2467" s="1" t="s">
        <v>85</v>
      </c>
      <c r="G2467" s="1" t="s">
        <v>18</v>
      </c>
      <c r="H2467" s="1">
        <v>48</v>
      </c>
      <c r="I2467" s="1" t="s">
        <v>124</v>
      </c>
      <c r="J2467" s="3">
        <v>0.25</v>
      </c>
      <c r="K2467" s="4">
        <v>3500</v>
      </c>
      <c r="L2467" s="5">
        <f t="shared" si="20"/>
        <v>875</v>
      </c>
      <c r="M2467" s="5">
        <f t="shared" si="21"/>
        <v>350</v>
      </c>
      <c r="N2467" s="6">
        <v>0.4</v>
      </c>
    </row>
    <row r="2468" spans="1:14" ht="15.75" customHeight="1" x14ac:dyDescent="0.45">
      <c r="A2468" s="1" t="s">
        <v>120</v>
      </c>
      <c r="B2468" s="1">
        <v>1197831</v>
      </c>
      <c r="C2468" s="2">
        <v>44671</v>
      </c>
      <c r="D2468" s="1" t="s">
        <v>19</v>
      </c>
      <c r="E2468" s="1" t="s">
        <v>84</v>
      </c>
      <c r="F2468" s="1" t="s">
        <v>85</v>
      </c>
      <c r="G2468" s="1" t="s">
        <v>13</v>
      </c>
      <c r="H2468" s="1">
        <v>27</v>
      </c>
      <c r="I2468" s="1" t="s">
        <v>126</v>
      </c>
      <c r="J2468" s="3">
        <v>0.25</v>
      </c>
      <c r="K2468" s="4">
        <v>6000</v>
      </c>
      <c r="L2468" s="5">
        <f t="shared" si="20"/>
        <v>1500</v>
      </c>
      <c r="M2468" s="5">
        <f t="shared" si="21"/>
        <v>600</v>
      </c>
      <c r="N2468" s="6">
        <v>0.4</v>
      </c>
    </row>
    <row r="2469" spans="1:14" ht="15.75" customHeight="1" x14ac:dyDescent="0.45">
      <c r="A2469" s="1" t="s">
        <v>120</v>
      </c>
      <c r="B2469" s="1">
        <v>1197831</v>
      </c>
      <c r="C2469" s="2">
        <v>44671</v>
      </c>
      <c r="D2469" s="1" t="s">
        <v>19</v>
      </c>
      <c r="E2469" s="1" t="s">
        <v>84</v>
      </c>
      <c r="F2469" s="1" t="s">
        <v>85</v>
      </c>
      <c r="G2469" s="1" t="s">
        <v>14</v>
      </c>
      <c r="H2469" s="1">
        <v>23</v>
      </c>
      <c r="I2469" s="1" t="s">
        <v>126</v>
      </c>
      <c r="J2469" s="3">
        <v>0.25</v>
      </c>
      <c r="K2469" s="4">
        <v>3000</v>
      </c>
      <c r="L2469" s="5">
        <f t="shared" si="20"/>
        <v>750</v>
      </c>
      <c r="M2469" s="5">
        <f t="shared" si="21"/>
        <v>262.5</v>
      </c>
      <c r="N2469" s="6">
        <v>0.35</v>
      </c>
    </row>
    <row r="2470" spans="1:14" ht="15.75" customHeight="1" x14ac:dyDescent="0.45">
      <c r="A2470" s="1" t="s">
        <v>120</v>
      </c>
      <c r="B2470" s="1">
        <v>1197831</v>
      </c>
      <c r="C2470" s="2">
        <v>44671</v>
      </c>
      <c r="D2470" s="1" t="s">
        <v>19</v>
      </c>
      <c r="E2470" s="1" t="s">
        <v>84</v>
      </c>
      <c r="F2470" s="1" t="s">
        <v>85</v>
      </c>
      <c r="G2470" s="1" t="s">
        <v>15</v>
      </c>
      <c r="H2470" s="1">
        <v>33</v>
      </c>
      <c r="I2470" s="1" t="s">
        <v>126</v>
      </c>
      <c r="J2470" s="3">
        <v>0.15000000000000002</v>
      </c>
      <c r="K2470" s="4">
        <v>3000</v>
      </c>
      <c r="L2470" s="5">
        <f t="shared" si="20"/>
        <v>450.00000000000006</v>
      </c>
      <c r="M2470" s="5">
        <f t="shared" si="21"/>
        <v>180.00000000000003</v>
      </c>
      <c r="N2470" s="6">
        <v>0.4</v>
      </c>
    </row>
    <row r="2471" spans="1:14" ht="15.75" customHeight="1" x14ac:dyDescent="0.45">
      <c r="A2471" s="1" t="s">
        <v>120</v>
      </c>
      <c r="B2471" s="1">
        <v>1197831</v>
      </c>
      <c r="C2471" s="2">
        <v>44671</v>
      </c>
      <c r="D2471" s="1" t="s">
        <v>19</v>
      </c>
      <c r="E2471" s="1" t="s">
        <v>84</v>
      </c>
      <c r="F2471" s="1" t="s">
        <v>85</v>
      </c>
      <c r="G2471" s="1" t="s">
        <v>16</v>
      </c>
      <c r="H2471" s="1">
        <v>53</v>
      </c>
      <c r="I2471" s="1" t="s">
        <v>124</v>
      </c>
      <c r="J2471" s="3">
        <v>0.19999999999999996</v>
      </c>
      <c r="K2471" s="4">
        <v>2250</v>
      </c>
      <c r="L2471" s="5">
        <f t="shared" si="20"/>
        <v>449.99999999999989</v>
      </c>
      <c r="M2471" s="5">
        <f t="shared" si="21"/>
        <v>179.99999999999997</v>
      </c>
      <c r="N2471" s="6">
        <v>0.4</v>
      </c>
    </row>
    <row r="2472" spans="1:14" ht="15.75" customHeight="1" x14ac:dyDescent="0.45">
      <c r="A2472" s="1" t="s">
        <v>120</v>
      </c>
      <c r="B2472" s="1">
        <v>1197831</v>
      </c>
      <c r="C2472" s="2">
        <v>44671</v>
      </c>
      <c r="D2472" s="1" t="s">
        <v>19</v>
      </c>
      <c r="E2472" s="1" t="s">
        <v>84</v>
      </c>
      <c r="F2472" s="1" t="s">
        <v>85</v>
      </c>
      <c r="G2472" s="1" t="s">
        <v>17</v>
      </c>
      <c r="H2472" s="1">
        <v>18</v>
      </c>
      <c r="I2472" s="1" t="s">
        <v>126</v>
      </c>
      <c r="J2472" s="3">
        <v>0.4</v>
      </c>
      <c r="K2472" s="4">
        <v>2500</v>
      </c>
      <c r="L2472" s="5">
        <f t="shared" si="20"/>
        <v>1000</v>
      </c>
      <c r="M2472" s="5">
        <f t="shared" si="21"/>
        <v>350</v>
      </c>
      <c r="N2472" s="6">
        <v>0.35</v>
      </c>
    </row>
    <row r="2473" spans="1:14" ht="15.75" customHeight="1" x14ac:dyDescent="0.45">
      <c r="A2473" s="1" t="s">
        <v>120</v>
      </c>
      <c r="B2473" s="1">
        <v>1197831</v>
      </c>
      <c r="C2473" s="2">
        <v>44671</v>
      </c>
      <c r="D2473" s="1" t="s">
        <v>19</v>
      </c>
      <c r="E2473" s="1" t="s">
        <v>84</v>
      </c>
      <c r="F2473" s="1" t="s">
        <v>85</v>
      </c>
      <c r="G2473" s="1" t="s">
        <v>18</v>
      </c>
      <c r="H2473" s="1">
        <v>49</v>
      </c>
      <c r="I2473" s="1" t="s">
        <v>125</v>
      </c>
      <c r="J2473" s="3">
        <v>0.30000000000000004</v>
      </c>
      <c r="K2473" s="4">
        <v>4000</v>
      </c>
      <c r="L2473" s="5">
        <f t="shared" si="20"/>
        <v>1200.0000000000002</v>
      </c>
      <c r="M2473" s="5">
        <f t="shared" si="21"/>
        <v>480.00000000000011</v>
      </c>
      <c r="N2473" s="6">
        <v>0.4</v>
      </c>
    </row>
    <row r="2474" spans="1:14" ht="15.75" customHeight="1" x14ac:dyDescent="0.45">
      <c r="A2474" s="1" t="s">
        <v>120</v>
      </c>
      <c r="B2474" s="1">
        <v>1197831</v>
      </c>
      <c r="C2474" s="2">
        <v>44700</v>
      </c>
      <c r="D2474" s="1" t="s">
        <v>19</v>
      </c>
      <c r="E2474" s="1" t="s">
        <v>84</v>
      </c>
      <c r="F2474" s="1" t="s">
        <v>85</v>
      </c>
      <c r="G2474" s="1" t="s">
        <v>13</v>
      </c>
      <c r="H2474" s="1">
        <v>27</v>
      </c>
      <c r="I2474" s="1" t="s">
        <v>123</v>
      </c>
      <c r="J2474" s="3">
        <v>0.4</v>
      </c>
      <c r="K2474" s="4">
        <v>6700</v>
      </c>
      <c r="L2474" s="5">
        <f t="shared" si="20"/>
        <v>2680</v>
      </c>
      <c r="M2474" s="5">
        <f t="shared" si="21"/>
        <v>1072</v>
      </c>
      <c r="N2474" s="6">
        <v>0.4</v>
      </c>
    </row>
    <row r="2475" spans="1:14" ht="15.75" customHeight="1" x14ac:dyDescent="0.45">
      <c r="A2475" s="1" t="s">
        <v>120</v>
      </c>
      <c r="B2475" s="1">
        <v>1197831</v>
      </c>
      <c r="C2475" s="2">
        <v>44700</v>
      </c>
      <c r="D2475" s="1" t="s">
        <v>19</v>
      </c>
      <c r="E2475" s="1" t="s">
        <v>84</v>
      </c>
      <c r="F2475" s="1" t="s">
        <v>85</v>
      </c>
      <c r="G2475" s="1" t="s">
        <v>14</v>
      </c>
      <c r="H2475" s="1">
        <v>58</v>
      </c>
      <c r="I2475" s="1" t="s">
        <v>126</v>
      </c>
      <c r="J2475" s="3">
        <v>0.4</v>
      </c>
      <c r="K2475" s="4">
        <v>3750</v>
      </c>
      <c r="L2475" s="5">
        <f t="shared" si="20"/>
        <v>1500</v>
      </c>
      <c r="M2475" s="5">
        <f t="shared" si="21"/>
        <v>525</v>
      </c>
      <c r="N2475" s="6">
        <v>0.35</v>
      </c>
    </row>
    <row r="2476" spans="1:14" ht="15.75" customHeight="1" x14ac:dyDescent="0.45">
      <c r="A2476" s="1" t="s">
        <v>120</v>
      </c>
      <c r="B2476" s="1">
        <v>1197831</v>
      </c>
      <c r="C2476" s="2">
        <v>44700</v>
      </c>
      <c r="D2476" s="1" t="s">
        <v>19</v>
      </c>
      <c r="E2476" s="1" t="s">
        <v>84</v>
      </c>
      <c r="F2476" s="1" t="s">
        <v>85</v>
      </c>
      <c r="G2476" s="1" t="s">
        <v>15</v>
      </c>
      <c r="H2476" s="1">
        <v>21</v>
      </c>
      <c r="I2476" s="1" t="s">
        <v>123</v>
      </c>
      <c r="J2476" s="3">
        <v>0.35000000000000003</v>
      </c>
      <c r="K2476" s="4">
        <v>3500</v>
      </c>
      <c r="L2476" s="5">
        <f t="shared" si="20"/>
        <v>1225.0000000000002</v>
      </c>
      <c r="M2476" s="5">
        <f t="shared" si="21"/>
        <v>490.00000000000011</v>
      </c>
      <c r="N2476" s="6">
        <v>0.4</v>
      </c>
    </row>
    <row r="2477" spans="1:14" ht="15.75" customHeight="1" x14ac:dyDescent="0.45">
      <c r="A2477" s="1" t="s">
        <v>120</v>
      </c>
      <c r="B2477" s="1">
        <v>1197831</v>
      </c>
      <c r="C2477" s="2">
        <v>44700</v>
      </c>
      <c r="D2477" s="1" t="s">
        <v>19</v>
      </c>
      <c r="E2477" s="1" t="s">
        <v>84</v>
      </c>
      <c r="F2477" s="1" t="s">
        <v>85</v>
      </c>
      <c r="G2477" s="1" t="s">
        <v>16</v>
      </c>
      <c r="H2477" s="1">
        <v>19</v>
      </c>
      <c r="I2477" s="1" t="s">
        <v>126</v>
      </c>
      <c r="J2477" s="3">
        <v>0.35000000000000003</v>
      </c>
      <c r="K2477" s="4">
        <v>3000</v>
      </c>
      <c r="L2477" s="5">
        <f t="shared" si="20"/>
        <v>1050</v>
      </c>
      <c r="M2477" s="5">
        <f t="shared" si="21"/>
        <v>420</v>
      </c>
      <c r="N2477" s="6">
        <v>0.4</v>
      </c>
    </row>
    <row r="2478" spans="1:14" ht="15.75" customHeight="1" x14ac:dyDescent="0.45">
      <c r="A2478" s="1" t="s">
        <v>120</v>
      </c>
      <c r="B2478" s="1">
        <v>1197831</v>
      </c>
      <c r="C2478" s="2">
        <v>44700</v>
      </c>
      <c r="D2478" s="1" t="s">
        <v>19</v>
      </c>
      <c r="E2478" s="1" t="s">
        <v>84</v>
      </c>
      <c r="F2478" s="1" t="s">
        <v>85</v>
      </c>
      <c r="G2478" s="1" t="s">
        <v>17</v>
      </c>
      <c r="H2478" s="1">
        <v>37</v>
      </c>
      <c r="I2478" s="1" t="s">
        <v>123</v>
      </c>
      <c r="J2478" s="3">
        <v>0.44999999999999996</v>
      </c>
      <c r="K2478" s="4">
        <v>3250</v>
      </c>
      <c r="L2478" s="5">
        <f t="shared" si="20"/>
        <v>1462.4999999999998</v>
      </c>
      <c r="M2478" s="5">
        <f t="shared" si="21"/>
        <v>511.87499999999989</v>
      </c>
      <c r="N2478" s="6">
        <v>0.35</v>
      </c>
    </row>
    <row r="2479" spans="1:14" ht="15.75" customHeight="1" x14ac:dyDescent="0.45">
      <c r="A2479" s="1" t="s">
        <v>120</v>
      </c>
      <c r="B2479" s="1">
        <v>1197831</v>
      </c>
      <c r="C2479" s="2">
        <v>44700</v>
      </c>
      <c r="D2479" s="1" t="s">
        <v>19</v>
      </c>
      <c r="E2479" s="1" t="s">
        <v>84</v>
      </c>
      <c r="F2479" s="1" t="s">
        <v>85</v>
      </c>
      <c r="G2479" s="1" t="s">
        <v>18</v>
      </c>
      <c r="H2479" s="1">
        <v>27</v>
      </c>
      <c r="I2479" s="1" t="s">
        <v>125</v>
      </c>
      <c r="J2479" s="3">
        <v>0.44999999999999996</v>
      </c>
      <c r="K2479" s="4">
        <v>4250</v>
      </c>
      <c r="L2479" s="5">
        <f t="shared" si="20"/>
        <v>1912.4999999999998</v>
      </c>
      <c r="M2479" s="5">
        <f t="shared" si="21"/>
        <v>765</v>
      </c>
      <c r="N2479" s="6">
        <v>0.4</v>
      </c>
    </row>
    <row r="2480" spans="1:14" ht="15.75" customHeight="1" x14ac:dyDescent="0.45">
      <c r="A2480" s="1" t="s">
        <v>120</v>
      </c>
      <c r="B2480" s="1">
        <v>1197831</v>
      </c>
      <c r="C2480" s="2">
        <v>44733</v>
      </c>
      <c r="D2480" s="1" t="s">
        <v>19</v>
      </c>
      <c r="E2480" s="1" t="s">
        <v>84</v>
      </c>
      <c r="F2480" s="1" t="s">
        <v>85</v>
      </c>
      <c r="G2480" s="1" t="s">
        <v>13</v>
      </c>
      <c r="H2480" s="1">
        <v>41</v>
      </c>
      <c r="I2480" s="1" t="s">
        <v>124</v>
      </c>
      <c r="J2480" s="3">
        <v>0.39999999999999997</v>
      </c>
      <c r="K2480" s="4">
        <v>6750</v>
      </c>
      <c r="L2480" s="5">
        <f t="shared" si="20"/>
        <v>2700</v>
      </c>
      <c r="M2480" s="5">
        <f t="shared" si="21"/>
        <v>1080</v>
      </c>
      <c r="N2480" s="6">
        <v>0.4</v>
      </c>
    </row>
    <row r="2481" spans="1:14" ht="15.75" customHeight="1" x14ac:dyDescent="0.45">
      <c r="A2481" s="1" t="s">
        <v>120</v>
      </c>
      <c r="B2481" s="1">
        <v>1197831</v>
      </c>
      <c r="C2481" s="2">
        <v>44733</v>
      </c>
      <c r="D2481" s="1" t="s">
        <v>19</v>
      </c>
      <c r="E2481" s="1" t="s">
        <v>84</v>
      </c>
      <c r="F2481" s="1" t="s">
        <v>85</v>
      </c>
      <c r="G2481" s="1" t="s">
        <v>14</v>
      </c>
      <c r="H2481" s="1">
        <v>38</v>
      </c>
      <c r="I2481" s="1" t="s">
        <v>124</v>
      </c>
      <c r="J2481" s="3">
        <v>0.35000000000000003</v>
      </c>
      <c r="K2481" s="4">
        <v>4250</v>
      </c>
      <c r="L2481" s="5">
        <f t="shared" si="20"/>
        <v>1487.5000000000002</v>
      </c>
      <c r="M2481" s="5">
        <f t="shared" si="21"/>
        <v>520.625</v>
      </c>
      <c r="N2481" s="6">
        <v>0.35</v>
      </c>
    </row>
    <row r="2482" spans="1:14" ht="15.75" customHeight="1" x14ac:dyDescent="0.45">
      <c r="A2482" s="1" t="s">
        <v>120</v>
      </c>
      <c r="B2482" s="1">
        <v>1197831</v>
      </c>
      <c r="C2482" s="2">
        <v>44733</v>
      </c>
      <c r="D2482" s="1" t="s">
        <v>19</v>
      </c>
      <c r="E2482" s="1" t="s">
        <v>84</v>
      </c>
      <c r="F2482" s="1" t="s">
        <v>85</v>
      </c>
      <c r="G2482" s="1" t="s">
        <v>15</v>
      </c>
      <c r="H2482" s="1">
        <v>46</v>
      </c>
      <c r="I2482" s="1" t="s">
        <v>126</v>
      </c>
      <c r="J2482" s="3">
        <v>0.4</v>
      </c>
      <c r="K2482" s="4">
        <v>4000</v>
      </c>
      <c r="L2482" s="5">
        <f t="shared" si="20"/>
        <v>1600</v>
      </c>
      <c r="M2482" s="5">
        <f t="shared" si="21"/>
        <v>640</v>
      </c>
      <c r="N2482" s="6">
        <v>0.4</v>
      </c>
    </row>
    <row r="2483" spans="1:14" ht="15.75" customHeight="1" x14ac:dyDescent="0.45">
      <c r="A2483" s="1" t="s">
        <v>120</v>
      </c>
      <c r="B2483" s="1">
        <v>1197831</v>
      </c>
      <c r="C2483" s="2">
        <v>44733</v>
      </c>
      <c r="D2483" s="1" t="s">
        <v>19</v>
      </c>
      <c r="E2483" s="1" t="s">
        <v>84</v>
      </c>
      <c r="F2483" s="1" t="s">
        <v>85</v>
      </c>
      <c r="G2483" s="1" t="s">
        <v>16</v>
      </c>
      <c r="H2483" s="1">
        <v>26</v>
      </c>
      <c r="I2483" s="1" t="s">
        <v>125</v>
      </c>
      <c r="J2483" s="3">
        <v>0.4</v>
      </c>
      <c r="K2483" s="4">
        <v>3750</v>
      </c>
      <c r="L2483" s="5">
        <f t="shared" si="20"/>
        <v>1500</v>
      </c>
      <c r="M2483" s="5">
        <f t="shared" si="21"/>
        <v>600</v>
      </c>
      <c r="N2483" s="6">
        <v>0.4</v>
      </c>
    </row>
    <row r="2484" spans="1:14" ht="15.75" customHeight="1" x14ac:dyDescent="0.45">
      <c r="A2484" s="1" t="s">
        <v>120</v>
      </c>
      <c r="B2484" s="1">
        <v>1197831</v>
      </c>
      <c r="C2484" s="2">
        <v>44733</v>
      </c>
      <c r="D2484" s="1" t="s">
        <v>19</v>
      </c>
      <c r="E2484" s="1" t="s">
        <v>84</v>
      </c>
      <c r="F2484" s="1" t="s">
        <v>85</v>
      </c>
      <c r="G2484" s="1" t="s">
        <v>17</v>
      </c>
      <c r="H2484" s="1">
        <v>55</v>
      </c>
      <c r="I2484" s="1" t="s">
        <v>126</v>
      </c>
      <c r="J2484" s="3">
        <v>0.54999999999999993</v>
      </c>
      <c r="K2484" s="4">
        <v>3750</v>
      </c>
      <c r="L2484" s="5">
        <f t="shared" si="20"/>
        <v>2062.4999999999995</v>
      </c>
      <c r="M2484" s="5">
        <f t="shared" si="21"/>
        <v>721.87499999999977</v>
      </c>
      <c r="N2484" s="6">
        <v>0.35</v>
      </c>
    </row>
    <row r="2485" spans="1:14" ht="15.75" customHeight="1" x14ac:dyDescent="0.45">
      <c r="A2485" s="1" t="s">
        <v>120</v>
      </c>
      <c r="B2485" s="1">
        <v>1197831</v>
      </c>
      <c r="C2485" s="2">
        <v>44733</v>
      </c>
      <c r="D2485" s="1" t="s">
        <v>19</v>
      </c>
      <c r="E2485" s="1" t="s">
        <v>84</v>
      </c>
      <c r="F2485" s="1" t="s">
        <v>85</v>
      </c>
      <c r="G2485" s="1" t="s">
        <v>18</v>
      </c>
      <c r="H2485" s="1">
        <v>44</v>
      </c>
      <c r="I2485" s="1" t="s">
        <v>123</v>
      </c>
      <c r="J2485" s="3">
        <v>0.6</v>
      </c>
      <c r="K2485" s="4">
        <v>5500</v>
      </c>
      <c r="L2485" s="5">
        <f t="shared" si="20"/>
        <v>3300</v>
      </c>
      <c r="M2485" s="5">
        <f t="shared" si="21"/>
        <v>1320</v>
      </c>
      <c r="N2485" s="6">
        <v>0.4</v>
      </c>
    </row>
    <row r="2486" spans="1:14" ht="15.75" customHeight="1" x14ac:dyDescent="0.45">
      <c r="A2486" s="1" t="s">
        <v>120</v>
      </c>
      <c r="B2486" s="1">
        <v>1197831</v>
      </c>
      <c r="C2486" s="2">
        <v>44761</v>
      </c>
      <c r="D2486" s="1" t="s">
        <v>19</v>
      </c>
      <c r="E2486" s="1" t="s">
        <v>84</v>
      </c>
      <c r="F2486" s="1" t="s">
        <v>85</v>
      </c>
      <c r="G2486" s="1" t="s">
        <v>13</v>
      </c>
      <c r="H2486" s="1">
        <v>47</v>
      </c>
      <c r="I2486" s="1" t="s">
        <v>125</v>
      </c>
      <c r="J2486" s="3">
        <v>0.54999999999999993</v>
      </c>
      <c r="K2486" s="4">
        <v>7750</v>
      </c>
      <c r="L2486" s="5">
        <f t="shared" si="20"/>
        <v>4262.4999999999991</v>
      </c>
      <c r="M2486" s="5">
        <f t="shared" si="21"/>
        <v>1704.9999999999998</v>
      </c>
      <c r="N2486" s="6">
        <v>0.4</v>
      </c>
    </row>
    <row r="2487" spans="1:14" ht="15.75" customHeight="1" x14ac:dyDescent="0.45">
      <c r="A2487" s="1" t="s">
        <v>120</v>
      </c>
      <c r="B2487" s="1">
        <v>1197831</v>
      </c>
      <c r="C2487" s="2">
        <v>44761</v>
      </c>
      <c r="D2487" s="1" t="s">
        <v>19</v>
      </c>
      <c r="E2487" s="1" t="s">
        <v>84</v>
      </c>
      <c r="F2487" s="1" t="s">
        <v>85</v>
      </c>
      <c r="G2487" s="1" t="s">
        <v>14</v>
      </c>
      <c r="H2487" s="1">
        <v>60</v>
      </c>
      <c r="I2487" s="1" t="s">
        <v>124</v>
      </c>
      <c r="J2487" s="3">
        <v>0.5</v>
      </c>
      <c r="K2487" s="4">
        <v>5250</v>
      </c>
      <c r="L2487" s="5">
        <f t="shared" si="20"/>
        <v>2625</v>
      </c>
      <c r="M2487" s="5">
        <f t="shared" si="21"/>
        <v>918.74999999999989</v>
      </c>
      <c r="N2487" s="6">
        <v>0.35</v>
      </c>
    </row>
    <row r="2488" spans="1:14" ht="15.75" customHeight="1" x14ac:dyDescent="0.45">
      <c r="A2488" s="1" t="s">
        <v>120</v>
      </c>
      <c r="B2488" s="1">
        <v>1197831</v>
      </c>
      <c r="C2488" s="2">
        <v>44761</v>
      </c>
      <c r="D2488" s="1" t="s">
        <v>19</v>
      </c>
      <c r="E2488" s="1" t="s">
        <v>84</v>
      </c>
      <c r="F2488" s="1" t="s">
        <v>85</v>
      </c>
      <c r="G2488" s="1" t="s">
        <v>15</v>
      </c>
      <c r="H2488" s="1">
        <v>17</v>
      </c>
      <c r="I2488" s="1" t="s">
        <v>124</v>
      </c>
      <c r="J2488" s="3">
        <v>0.45</v>
      </c>
      <c r="K2488" s="4">
        <v>4500</v>
      </c>
      <c r="L2488" s="5">
        <f t="shared" si="20"/>
        <v>2025</v>
      </c>
      <c r="M2488" s="5">
        <f t="shared" si="21"/>
        <v>810</v>
      </c>
      <c r="N2488" s="6">
        <v>0.4</v>
      </c>
    </row>
    <row r="2489" spans="1:14" ht="15.75" customHeight="1" x14ac:dyDescent="0.45">
      <c r="A2489" s="1" t="s">
        <v>120</v>
      </c>
      <c r="B2489" s="1">
        <v>1197831</v>
      </c>
      <c r="C2489" s="2">
        <v>44761</v>
      </c>
      <c r="D2489" s="1" t="s">
        <v>19</v>
      </c>
      <c r="E2489" s="1" t="s">
        <v>84</v>
      </c>
      <c r="F2489" s="1" t="s">
        <v>85</v>
      </c>
      <c r="G2489" s="1" t="s">
        <v>16</v>
      </c>
      <c r="H2489" s="1">
        <v>41</v>
      </c>
      <c r="I2489" s="1" t="s">
        <v>124</v>
      </c>
      <c r="J2489" s="3">
        <v>0.45</v>
      </c>
      <c r="K2489" s="4">
        <v>4000</v>
      </c>
      <c r="L2489" s="5">
        <f t="shared" si="20"/>
        <v>1800</v>
      </c>
      <c r="M2489" s="5">
        <f t="shared" si="21"/>
        <v>720</v>
      </c>
      <c r="N2489" s="6">
        <v>0.4</v>
      </c>
    </row>
    <row r="2490" spans="1:14" ht="15.75" customHeight="1" x14ac:dyDescent="0.45">
      <c r="A2490" s="1" t="s">
        <v>120</v>
      </c>
      <c r="B2490" s="1">
        <v>1197831</v>
      </c>
      <c r="C2490" s="2">
        <v>44761</v>
      </c>
      <c r="D2490" s="1" t="s">
        <v>19</v>
      </c>
      <c r="E2490" s="1" t="s">
        <v>84</v>
      </c>
      <c r="F2490" s="1" t="s">
        <v>85</v>
      </c>
      <c r="G2490" s="1" t="s">
        <v>17</v>
      </c>
      <c r="H2490" s="1">
        <v>41</v>
      </c>
      <c r="I2490" s="1" t="s">
        <v>126</v>
      </c>
      <c r="J2490" s="3">
        <v>0.6</v>
      </c>
      <c r="K2490" s="4">
        <v>4250</v>
      </c>
      <c r="L2490" s="5">
        <f t="shared" si="20"/>
        <v>2550</v>
      </c>
      <c r="M2490" s="5">
        <f t="shared" si="21"/>
        <v>892.5</v>
      </c>
      <c r="N2490" s="6">
        <v>0.35</v>
      </c>
    </row>
    <row r="2491" spans="1:14" ht="15.75" customHeight="1" x14ac:dyDescent="0.45">
      <c r="A2491" s="1" t="s">
        <v>120</v>
      </c>
      <c r="B2491" s="1">
        <v>1197831</v>
      </c>
      <c r="C2491" s="2">
        <v>44761</v>
      </c>
      <c r="D2491" s="1" t="s">
        <v>19</v>
      </c>
      <c r="E2491" s="1" t="s">
        <v>84</v>
      </c>
      <c r="F2491" s="1" t="s">
        <v>85</v>
      </c>
      <c r="G2491" s="1" t="s">
        <v>18</v>
      </c>
      <c r="H2491" s="1">
        <v>51</v>
      </c>
      <c r="I2491" s="1" t="s">
        <v>123</v>
      </c>
      <c r="J2491" s="3">
        <v>0.65</v>
      </c>
      <c r="K2491" s="4">
        <v>6000</v>
      </c>
      <c r="L2491" s="5">
        <f t="shared" si="20"/>
        <v>3900</v>
      </c>
      <c r="M2491" s="5">
        <f t="shared" si="21"/>
        <v>1560</v>
      </c>
      <c r="N2491" s="6">
        <v>0.4</v>
      </c>
    </row>
    <row r="2492" spans="1:14" ht="15.75" customHeight="1" x14ac:dyDescent="0.45">
      <c r="A2492" s="1" t="s">
        <v>120</v>
      </c>
      <c r="B2492" s="1">
        <v>1197831</v>
      </c>
      <c r="C2492" s="2">
        <v>44793</v>
      </c>
      <c r="D2492" s="1" t="s">
        <v>19</v>
      </c>
      <c r="E2492" s="1" t="s">
        <v>84</v>
      </c>
      <c r="F2492" s="1" t="s">
        <v>85</v>
      </c>
      <c r="G2492" s="1" t="s">
        <v>13</v>
      </c>
      <c r="H2492" s="1">
        <v>54</v>
      </c>
      <c r="I2492" s="1" t="s">
        <v>126</v>
      </c>
      <c r="J2492" s="3">
        <v>0.6</v>
      </c>
      <c r="K2492" s="4">
        <v>7500</v>
      </c>
      <c r="L2492" s="5">
        <f t="shared" si="20"/>
        <v>4500</v>
      </c>
      <c r="M2492" s="5">
        <f t="shared" si="21"/>
        <v>1800</v>
      </c>
      <c r="N2492" s="6">
        <v>0.4</v>
      </c>
    </row>
    <row r="2493" spans="1:14" ht="15.75" customHeight="1" x14ac:dyDescent="0.45">
      <c r="A2493" s="1" t="s">
        <v>120</v>
      </c>
      <c r="B2493" s="1">
        <v>1197831</v>
      </c>
      <c r="C2493" s="2">
        <v>44793</v>
      </c>
      <c r="D2493" s="1" t="s">
        <v>19</v>
      </c>
      <c r="E2493" s="1" t="s">
        <v>84</v>
      </c>
      <c r="F2493" s="1" t="s">
        <v>85</v>
      </c>
      <c r="G2493" s="1" t="s">
        <v>14</v>
      </c>
      <c r="H2493" s="1">
        <v>36</v>
      </c>
      <c r="I2493" s="1" t="s">
        <v>124</v>
      </c>
      <c r="J2493" s="3">
        <v>0.55000000000000004</v>
      </c>
      <c r="K2493" s="4">
        <v>5250</v>
      </c>
      <c r="L2493" s="5">
        <f t="shared" si="20"/>
        <v>2887.5000000000005</v>
      </c>
      <c r="M2493" s="5">
        <f t="shared" si="21"/>
        <v>1010.6250000000001</v>
      </c>
      <c r="N2493" s="6">
        <v>0.35</v>
      </c>
    </row>
    <row r="2494" spans="1:14" ht="15.75" customHeight="1" x14ac:dyDescent="0.45">
      <c r="A2494" s="1" t="s">
        <v>120</v>
      </c>
      <c r="B2494" s="1">
        <v>1197831</v>
      </c>
      <c r="C2494" s="2">
        <v>44793</v>
      </c>
      <c r="D2494" s="1" t="s">
        <v>19</v>
      </c>
      <c r="E2494" s="1" t="s">
        <v>84</v>
      </c>
      <c r="F2494" s="1" t="s">
        <v>85</v>
      </c>
      <c r="G2494" s="1" t="s">
        <v>15</v>
      </c>
      <c r="H2494" s="1">
        <v>47</v>
      </c>
      <c r="I2494" s="1" t="s">
        <v>126</v>
      </c>
      <c r="J2494" s="3">
        <v>0.5</v>
      </c>
      <c r="K2494" s="4">
        <v>4500</v>
      </c>
      <c r="L2494" s="5">
        <f t="shared" si="20"/>
        <v>2250</v>
      </c>
      <c r="M2494" s="5">
        <f t="shared" si="21"/>
        <v>900</v>
      </c>
      <c r="N2494" s="6">
        <v>0.4</v>
      </c>
    </row>
    <row r="2495" spans="1:14" ht="15.75" customHeight="1" x14ac:dyDescent="0.45">
      <c r="A2495" s="1" t="s">
        <v>120</v>
      </c>
      <c r="B2495" s="1">
        <v>1197831</v>
      </c>
      <c r="C2495" s="2">
        <v>44793</v>
      </c>
      <c r="D2495" s="1" t="s">
        <v>19</v>
      </c>
      <c r="E2495" s="1" t="s">
        <v>84</v>
      </c>
      <c r="F2495" s="1" t="s">
        <v>85</v>
      </c>
      <c r="G2495" s="1" t="s">
        <v>16</v>
      </c>
      <c r="H2495" s="1">
        <v>56</v>
      </c>
      <c r="I2495" s="1" t="s">
        <v>126</v>
      </c>
      <c r="J2495" s="3">
        <v>0.4</v>
      </c>
      <c r="K2495" s="4">
        <v>4000</v>
      </c>
      <c r="L2495" s="5">
        <f t="shared" si="20"/>
        <v>1600</v>
      </c>
      <c r="M2495" s="5">
        <f t="shared" si="21"/>
        <v>640</v>
      </c>
      <c r="N2495" s="6">
        <v>0.4</v>
      </c>
    </row>
    <row r="2496" spans="1:14" ht="15.75" customHeight="1" x14ac:dyDescent="0.45">
      <c r="A2496" s="1" t="s">
        <v>120</v>
      </c>
      <c r="B2496" s="1">
        <v>1197831</v>
      </c>
      <c r="C2496" s="2">
        <v>44793</v>
      </c>
      <c r="D2496" s="1" t="s">
        <v>19</v>
      </c>
      <c r="E2496" s="1" t="s">
        <v>84</v>
      </c>
      <c r="F2496" s="1" t="s">
        <v>85</v>
      </c>
      <c r="G2496" s="1" t="s">
        <v>17</v>
      </c>
      <c r="H2496" s="1">
        <v>40</v>
      </c>
      <c r="I2496" s="1" t="s">
        <v>123</v>
      </c>
      <c r="J2496" s="3">
        <v>0.5</v>
      </c>
      <c r="K2496" s="4">
        <v>3750</v>
      </c>
      <c r="L2496" s="5">
        <f t="shared" si="20"/>
        <v>1875</v>
      </c>
      <c r="M2496" s="5">
        <f t="shared" si="21"/>
        <v>656.25</v>
      </c>
      <c r="N2496" s="6">
        <v>0.35</v>
      </c>
    </row>
    <row r="2497" spans="1:14" ht="15.75" customHeight="1" x14ac:dyDescent="0.45">
      <c r="A2497" s="1" t="s">
        <v>120</v>
      </c>
      <c r="B2497" s="1">
        <v>1197831</v>
      </c>
      <c r="C2497" s="2">
        <v>44793</v>
      </c>
      <c r="D2497" s="1" t="s">
        <v>19</v>
      </c>
      <c r="E2497" s="1" t="s">
        <v>84</v>
      </c>
      <c r="F2497" s="1" t="s">
        <v>85</v>
      </c>
      <c r="G2497" s="1" t="s">
        <v>18</v>
      </c>
      <c r="H2497" s="1">
        <v>32</v>
      </c>
      <c r="I2497" s="1" t="s">
        <v>123</v>
      </c>
      <c r="J2497" s="3">
        <v>0.55000000000000004</v>
      </c>
      <c r="K2497" s="4">
        <v>5500</v>
      </c>
      <c r="L2497" s="5">
        <f t="shared" si="20"/>
        <v>3025.0000000000005</v>
      </c>
      <c r="M2497" s="5">
        <f t="shared" si="21"/>
        <v>1210.0000000000002</v>
      </c>
      <c r="N2497" s="6">
        <v>0.4</v>
      </c>
    </row>
    <row r="2498" spans="1:14" ht="15.75" customHeight="1" x14ac:dyDescent="0.45">
      <c r="A2498" s="1" t="s">
        <v>120</v>
      </c>
      <c r="B2498" s="1">
        <v>1197831</v>
      </c>
      <c r="C2498" s="2">
        <v>44823</v>
      </c>
      <c r="D2498" s="1" t="s">
        <v>19</v>
      </c>
      <c r="E2498" s="1" t="s">
        <v>84</v>
      </c>
      <c r="F2498" s="1" t="s">
        <v>85</v>
      </c>
      <c r="G2498" s="1" t="s">
        <v>13</v>
      </c>
      <c r="H2498" s="1">
        <v>58</v>
      </c>
      <c r="I2498" s="1" t="s">
        <v>124</v>
      </c>
      <c r="J2498" s="3">
        <v>0.5</v>
      </c>
      <c r="K2498" s="4">
        <v>6500</v>
      </c>
      <c r="L2498" s="5">
        <f t="shared" si="20"/>
        <v>3250</v>
      </c>
      <c r="M2498" s="5">
        <f t="shared" si="21"/>
        <v>1300</v>
      </c>
      <c r="N2498" s="6">
        <v>0.4</v>
      </c>
    </row>
    <row r="2499" spans="1:14" ht="15.75" customHeight="1" x14ac:dyDescent="0.45">
      <c r="A2499" s="1" t="s">
        <v>120</v>
      </c>
      <c r="B2499" s="1">
        <v>1197831</v>
      </c>
      <c r="C2499" s="2">
        <v>44823</v>
      </c>
      <c r="D2499" s="1" t="s">
        <v>19</v>
      </c>
      <c r="E2499" s="1" t="s">
        <v>84</v>
      </c>
      <c r="F2499" s="1" t="s">
        <v>85</v>
      </c>
      <c r="G2499" s="1" t="s">
        <v>14</v>
      </c>
      <c r="H2499" s="1">
        <v>53</v>
      </c>
      <c r="I2499" s="1" t="s">
        <v>123</v>
      </c>
      <c r="J2499" s="3">
        <v>0.40000000000000013</v>
      </c>
      <c r="K2499" s="4">
        <v>4500</v>
      </c>
      <c r="L2499" s="5">
        <f t="shared" si="20"/>
        <v>1800.0000000000007</v>
      </c>
      <c r="M2499" s="5">
        <f t="shared" si="21"/>
        <v>630.00000000000023</v>
      </c>
      <c r="N2499" s="6">
        <v>0.35</v>
      </c>
    </row>
    <row r="2500" spans="1:14" ht="15.75" customHeight="1" x14ac:dyDescent="0.45">
      <c r="A2500" s="1" t="s">
        <v>120</v>
      </c>
      <c r="B2500" s="1">
        <v>1197831</v>
      </c>
      <c r="C2500" s="2">
        <v>44823</v>
      </c>
      <c r="D2500" s="1" t="s">
        <v>19</v>
      </c>
      <c r="E2500" s="1" t="s">
        <v>84</v>
      </c>
      <c r="F2500" s="1" t="s">
        <v>85</v>
      </c>
      <c r="G2500" s="1" t="s">
        <v>15</v>
      </c>
      <c r="H2500" s="1">
        <v>32</v>
      </c>
      <c r="I2500" s="1" t="s">
        <v>125</v>
      </c>
      <c r="J2500" s="3">
        <v>0.15000000000000008</v>
      </c>
      <c r="K2500" s="4">
        <v>3500</v>
      </c>
      <c r="L2500" s="5">
        <f t="shared" si="20"/>
        <v>525.00000000000023</v>
      </c>
      <c r="M2500" s="5">
        <f t="shared" si="21"/>
        <v>210.00000000000011</v>
      </c>
      <c r="N2500" s="6">
        <v>0.4</v>
      </c>
    </row>
    <row r="2501" spans="1:14" ht="15.75" customHeight="1" x14ac:dyDescent="0.45">
      <c r="A2501" s="1" t="s">
        <v>120</v>
      </c>
      <c r="B2501" s="1">
        <v>1197831</v>
      </c>
      <c r="C2501" s="2">
        <v>44823</v>
      </c>
      <c r="D2501" s="1" t="s">
        <v>19</v>
      </c>
      <c r="E2501" s="1" t="s">
        <v>84</v>
      </c>
      <c r="F2501" s="1" t="s">
        <v>85</v>
      </c>
      <c r="G2501" s="1" t="s">
        <v>16</v>
      </c>
      <c r="H2501" s="1">
        <v>42</v>
      </c>
      <c r="I2501" s="1" t="s">
        <v>125</v>
      </c>
      <c r="J2501" s="3">
        <v>0.15000000000000008</v>
      </c>
      <c r="K2501" s="4">
        <v>3250</v>
      </c>
      <c r="L2501" s="5">
        <f t="shared" si="20"/>
        <v>487.50000000000023</v>
      </c>
      <c r="M2501" s="5">
        <f t="shared" si="21"/>
        <v>195.00000000000011</v>
      </c>
      <c r="N2501" s="6">
        <v>0.4</v>
      </c>
    </row>
    <row r="2502" spans="1:14" ht="15.75" customHeight="1" x14ac:dyDescent="0.45">
      <c r="A2502" s="1" t="s">
        <v>120</v>
      </c>
      <c r="B2502" s="1">
        <v>1197831</v>
      </c>
      <c r="C2502" s="2">
        <v>44823</v>
      </c>
      <c r="D2502" s="1" t="s">
        <v>19</v>
      </c>
      <c r="E2502" s="1" t="s">
        <v>84</v>
      </c>
      <c r="F2502" s="1" t="s">
        <v>85</v>
      </c>
      <c r="G2502" s="1" t="s">
        <v>17</v>
      </c>
      <c r="H2502" s="1">
        <v>41</v>
      </c>
      <c r="I2502" s="1" t="s">
        <v>126</v>
      </c>
      <c r="J2502" s="3">
        <v>0.25000000000000006</v>
      </c>
      <c r="K2502" s="4">
        <v>3250</v>
      </c>
      <c r="L2502" s="5">
        <f t="shared" si="20"/>
        <v>812.50000000000023</v>
      </c>
      <c r="M2502" s="5">
        <f t="shared" si="21"/>
        <v>284.37500000000006</v>
      </c>
      <c r="N2502" s="6">
        <v>0.35</v>
      </c>
    </row>
    <row r="2503" spans="1:14" ht="15.75" customHeight="1" x14ac:dyDescent="0.45">
      <c r="A2503" s="1" t="s">
        <v>120</v>
      </c>
      <c r="B2503" s="1">
        <v>1197831</v>
      </c>
      <c r="C2503" s="2">
        <v>44823</v>
      </c>
      <c r="D2503" s="1" t="s">
        <v>19</v>
      </c>
      <c r="E2503" s="1" t="s">
        <v>84</v>
      </c>
      <c r="F2503" s="1" t="s">
        <v>85</v>
      </c>
      <c r="G2503" s="1" t="s">
        <v>18</v>
      </c>
      <c r="H2503" s="1">
        <v>42</v>
      </c>
      <c r="I2503" s="1" t="s">
        <v>125</v>
      </c>
      <c r="J2503" s="3">
        <v>0.3000000000000001</v>
      </c>
      <c r="K2503" s="4">
        <v>4250</v>
      </c>
      <c r="L2503" s="5">
        <f t="shared" si="20"/>
        <v>1275.0000000000005</v>
      </c>
      <c r="M2503" s="5">
        <f t="shared" si="21"/>
        <v>510.00000000000023</v>
      </c>
      <c r="N2503" s="6">
        <v>0.4</v>
      </c>
    </row>
    <row r="2504" spans="1:14" ht="15.75" customHeight="1" x14ac:dyDescent="0.45">
      <c r="A2504" s="1" t="s">
        <v>120</v>
      </c>
      <c r="B2504" s="1">
        <v>1197831</v>
      </c>
      <c r="C2504" s="2">
        <v>44855</v>
      </c>
      <c r="D2504" s="1" t="s">
        <v>19</v>
      </c>
      <c r="E2504" s="1" t="s">
        <v>84</v>
      </c>
      <c r="F2504" s="1" t="s">
        <v>85</v>
      </c>
      <c r="G2504" s="1" t="s">
        <v>13</v>
      </c>
      <c r="H2504" s="1">
        <v>36</v>
      </c>
      <c r="I2504" s="1" t="s">
        <v>126</v>
      </c>
      <c r="J2504" s="3">
        <v>0.3000000000000001</v>
      </c>
      <c r="K2504" s="4">
        <v>6000</v>
      </c>
      <c r="L2504" s="5">
        <f t="shared" si="20"/>
        <v>1800.0000000000007</v>
      </c>
      <c r="M2504" s="5">
        <f t="shared" si="21"/>
        <v>720.00000000000034</v>
      </c>
      <c r="N2504" s="6">
        <v>0.4</v>
      </c>
    </row>
    <row r="2505" spans="1:14" ht="15.75" customHeight="1" x14ac:dyDescent="0.45">
      <c r="A2505" s="1" t="s">
        <v>120</v>
      </c>
      <c r="B2505" s="1">
        <v>1197831</v>
      </c>
      <c r="C2505" s="2">
        <v>44855</v>
      </c>
      <c r="D2505" s="1" t="s">
        <v>19</v>
      </c>
      <c r="E2505" s="1" t="s">
        <v>84</v>
      </c>
      <c r="F2505" s="1" t="s">
        <v>85</v>
      </c>
      <c r="G2505" s="1" t="s">
        <v>14</v>
      </c>
      <c r="H2505" s="1">
        <v>53</v>
      </c>
      <c r="I2505" s="1" t="s">
        <v>124</v>
      </c>
      <c r="J2505" s="3">
        <v>0.20000000000000012</v>
      </c>
      <c r="K2505" s="4">
        <v>4250</v>
      </c>
      <c r="L2505" s="5">
        <f t="shared" si="20"/>
        <v>850.00000000000057</v>
      </c>
      <c r="M2505" s="5">
        <f t="shared" si="21"/>
        <v>297.50000000000017</v>
      </c>
      <c r="N2505" s="6">
        <v>0.35</v>
      </c>
    </row>
    <row r="2506" spans="1:14" ht="15.75" customHeight="1" x14ac:dyDescent="0.45">
      <c r="A2506" s="1" t="s">
        <v>120</v>
      </c>
      <c r="B2506" s="1">
        <v>1197831</v>
      </c>
      <c r="C2506" s="2">
        <v>44855</v>
      </c>
      <c r="D2506" s="1" t="s">
        <v>19</v>
      </c>
      <c r="E2506" s="1" t="s">
        <v>84</v>
      </c>
      <c r="F2506" s="1" t="s">
        <v>85</v>
      </c>
      <c r="G2506" s="1" t="s">
        <v>15</v>
      </c>
      <c r="H2506" s="1">
        <v>18</v>
      </c>
      <c r="I2506" s="1" t="s">
        <v>126</v>
      </c>
      <c r="J2506" s="3">
        <v>0.20000000000000012</v>
      </c>
      <c r="K2506" s="4">
        <v>3000</v>
      </c>
      <c r="L2506" s="5">
        <f t="shared" si="20"/>
        <v>600.00000000000034</v>
      </c>
      <c r="M2506" s="5">
        <f t="shared" si="21"/>
        <v>240.00000000000014</v>
      </c>
      <c r="N2506" s="6">
        <v>0.4</v>
      </c>
    </row>
    <row r="2507" spans="1:14" ht="15.75" customHeight="1" x14ac:dyDescent="0.45">
      <c r="A2507" s="1" t="s">
        <v>120</v>
      </c>
      <c r="B2507" s="1">
        <v>1197831</v>
      </c>
      <c r="C2507" s="2">
        <v>44855</v>
      </c>
      <c r="D2507" s="1" t="s">
        <v>19</v>
      </c>
      <c r="E2507" s="1" t="s">
        <v>84</v>
      </c>
      <c r="F2507" s="1" t="s">
        <v>85</v>
      </c>
      <c r="G2507" s="1" t="s">
        <v>16</v>
      </c>
      <c r="H2507" s="1">
        <v>35</v>
      </c>
      <c r="I2507" s="1" t="s">
        <v>124</v>
      </c>
      <c r="J2507" s="3">
        <v>0.20000000000000012</v>
      </c>
      <c r="K2507" s="4">
        <v>2750</v>
      </c>
      <c r="L2507" s="5">
        <f t="shared" si="20"/>
        <v>550.00000000000034</v>
      </c>
      <c r="M2507" s="5">
        <f t="shared" si="21"/>
        <v>220.00000000000014</v>
      </c>
      <c r="N2507" s="6">
        <v>0.4</v>
      </c>
    </row>
    <row r="2508" spans="1:14" ht="15.75" customHeight="1" x14ac:dyDescent="0.45">
      <c r="A2508" s="1" t="s">
        <v>120</v>
      </c>
      <c r="B2508" s="1">
        <v>1197831</v>
      </c>
      <c r="C2508" s="2">
        <v>44855</v>
      </c>
      <c r="D2508" s="1" t="s">
        <v>19</v>
      </c>
      <c r="E2508" s="1" t="s">
        <v>84</v>
      </c>
      <c r="F2508" s="1" t="s">
        <v>85</v>
      </c>
      <c r="G2508" s="1" t="s">
        <v>17</v>
      </c>
      <c r="H2508" s="1">
        <v>50</v>
      </c>
      <c r="I2508" s="1" t="s">
        <v>125</v>
      </c>
      <c r="J2508" s="3">
        <v>0.3000000000000001</v>
      </c>
      <c r="K2508" s="4">
        <v>2750</v>
      </c>
      <c r="L2508" s="5">
        <f t="shared" si="20"/>
        <v>825.00000000000023</v>
      </c>
      <c r="M2508" s="5">
        <f t="shared" si="21"/>
        <v>288.75000000000006</v>
      </c>
      <c r="N2508" s="6">
        <v>0.35</v>
      </c>
    </row>
    <row r="2509" spans="1:14" ht="15.75" customHeight="1" x14ac:dyDescent="0.45">
      <c r="A2509" s="1" t="s">
        <v>120</v>
      </c>
      <c r="B2509" s="1">
        <v>1197831</v>
      </c>
      <c r="C2509" s="2">
        <v>44855</v>
      </c>
      <c r="D2509" s="1" t="s">
        <v>19</v>
      </c>
      <c r="E2509" s="1" t="s">
        <v>84</v>
      </c>
      <c r="F2509" s="1" t="s">
        <v>85</v>
      </c>
      <c r="G2509" s="1" t="s">
        <v>18</v>
      </c>
      <c r="H2509" s="1">
        <v>16</v>
      </c>
      <c r="I2509" s="1" t="s">
        <v>125</v>
      </c>
      <c r="J2509" s="3">
        <v>0.30000000000000004</v>
      </c>
      <c r="K2509" s="4">
        <v>4000</v>
      </c>
      <c r="L2509" s="5">
        <f t="shared" si="20"/>
        <v>1200.0000000000002</v>
      </c>
      <c r="M2509" s="5">
        <f t="shared" si="21"/>
        <v>480.00000000000011</v>
      </c>
      <c r="N2509" s="6">
        <v>0.4</v>
      </c>
    </row>
    <row r="2510" spans="1:14" ht="15.75" customHeight="1" x14ac:dyDescent="0.45">
      <c r="A2510" s="1" t="s">
        <v>120</v>
      </c>
      <c r="B2510" s="1">
        <v>1197831</v>
      </c>
      <c r="C2510" s="2">
        <v>44885</v>
      </c>
      <c r="D2510" s="1" t="s">
        <v>19</v>
      </c>
      <c r="E2510" s="1" t="s">
        <v>84</v>
      </c>
      <c r="F2510" s="1" t="s">
        <v>85</v>
      </c>
      <c r="G2510" s="1" t="s">
        <v>13</v>
      </c>
      <c r="H2510" s="1">
        <v>50</v>
      </c>
      <c r="I2510" s="1" t="s">
        <v>125</v>
      </c>
      <c r="J2510" s="3">
        <v>0.25000000000000011</v>
      </c>
      <c r="K2510" s="4">
        <v>5500</v>
      </c>
      <c r="L2510" s="5">
        <f t="shared" si="20"/>
        <v>1375.0000000000007</v>
      </c>
      <c r="M2510" s="5">
        <f t="shared" si="21"/>
        <v>550.00000000000034</v>
      </c>
      <c r="N2510" s="6">
        <v>0.4</v>
      </c>
    </row>
    <row r="2511" spans="1:14" ht="15.75" customHeight="1" x14ac:dyDescent="0.45">
      <c r="A2511" s="1" t="s">
        <v>120</v>
      </c>
      <c r="B2511" s="1">
        <v>1197831</v>
      </c>
      <c r="C2511" s="2">
        <v>44885</v>
      </c>
      <c r="D2511" s="1" t="s">
        <v>19</v>
      </c>
      <c r="E2511" s="1" t="s">
        <v>84</v>
      </c>
      <c r="F2511" s="1" t="s">
        <v>85</v>
      </c>
      <c r="G2511" s="1" t="s">
        <v>14</v>
      </c>
      <c r="H2511" s="1">
        <v>15</v>
      </c>
      <c r="I2511" s="1" t="s">
        <v>125</v>
      </c>
      <c r="J2511" s="3">
        <v>0.15000000000000013</v>
      </c>
      <c r="K2511" s="4">
        <v>3750</v>
      </c>
      <c r="L2511" s="5">
        <f t="shared" si="20"/>
        <v>562.50000000000045</v>
      </c>
      <c r="M2511" s="5">
        <f t="shared" si="21"/>
        <v>196.87500000000014</v>
      </c>
      <c r="N2511" s="6">
        <v>0.35</v>
      </c>
    </row>
    <row r="2512" spans="1:14" ht="15.75" customHeight="1" x14ac:dyDescent="0.45">
      <c r="A2512" s="1" t="s">
        <v>120</v>
      </c>
      <c r="B2512" s="1">
        <v>1197831</v>
      </c>
      <c r="C2512" s="2">
        <v>44885</v>
      </c>
      <c r="D2512" s="1" t="s">
        <v>19</v>
      </c>
      <c r="E2512" s="1" t="s">
        <v>84</v>
      </c>
      <c r="F2512" s="1" t="s">
        <v>85</v>
      </c>
      <c r="G2512" s="1" t="s">
        <v>15</v>
      </c>
      <c r="H2512" s="1">
        <v>50</v>
      </c>
      <c r="I2512" s="1" t="s">
        <v>123</v>
      </c>
      <c r="J2512" s="3">
        <v>0.25000000000000017</v>
      </c>
      <c r="K2512" s="4">
        <v>3200</v>
      </c>
      <c r="L2512" s="5">
        <f t="shared" si="20"/>
        <v>800.00000000000057</v>
      </c>
      <c r="M2512" s="5">
        <f t="shared" si="21"/>
        <v>320.00000000000023</v>
      </c>
      <c r="N2512" s="6">
        <v>0.4</v>
      </c>
    </row>
    <row r="2513" spans="1:14" ht="15.75" customHeight="1" x14ac:dyDescent="0.45">
      <c r="A2513" s="1" t="s">
        <v>120</v>
      </c>
      <c r="B2513" s="1">
        <v>1197831</v>
      </c>
      <c r="C2513" s="2">
        <v>44885</v>
      </c>
      <c r="D2513" s="1" t="s">
        <v>19</v>
      </c>
      <c r="E2513" s="1" t="s">
        <v>84</v>
      </c>
      <c r="F2513" s="1" t="s">
        <v>85</v>
      </c>
      <c r="G2513" s="1" t="s">
        <v>16</v>
      </c>
      <c r="H2513" s="1">
        <v>16</v>
      </c>
      <c r="I2513" s="1" t="s">
        <v>124</v>
      </c>
      <c r="J2513" s="3">
        <v>0.55000000000000016</v>
      </c>
      <c r="K2513" s="4">
        <v>3750</v>
      </c>
      <c r="L2513" s="5">
        <f t="shared" si="20"/>
        <v>2062.5000000000005</v>
      </c>
      <c r="M2513" s="5">
        <f t="shared" si="21"/>
        <v>825.00000000000023</v>
      </c>
      <c r="N2513" s="6">
        <v>0.4</v>
      </c>
    </row>
    <row r="2514" spans="1:14" ht="15.75" customHeight="1" x14ac:dyDescent="0.45">
      <c r="A2514" s="1" t="s">
        <v>120</v>
      </c>
      <c r="B2514" s="1">
        <v>1197831</v>
      </c>
      <c r="C2514" s="2">
        <v>44885</v>
      </c>
      <c r="D2514" s="1" t="s">
        <v>19</v>
      </c>
      <c r="E2514" s="1" t="s">
        <v>84</v>
      </c>
      <c r="F2514" s="1" t="s">
        <v>85</v>
      </c>
      <c r="G2514" s="1" t="s">
        <v>17</v>
      </c>
      <c r="H2514" s="1">
        <v>29</v>
      </c>
      <c r="I2514" s="1" t="s">
        <v>123</v>
      </c>
      <c r="J2514" s="3">
        <v>0.75000000000000011</v>
      </c>
      <c r="K2514" s="4">
        <v>3500</v>
      </c>
      <c r="L2514" s="5">
        <f t="shared" si="20"/>
        <v>2625.0000000000005</v>
      </c>
      <c r="M2514" s="5">
        <f t="shared" si="21"/>
        <v>918.75000000000011</v>
      </c>
      <c r="N2514" s="6">
        <v>0.35</v>
      </c>
    </row>
    <row r="2515" spans="1:14" ht="15.75" customHeight="1" x14ac:dyDescent="0.45">
      <c r="A2515" s="1" t="s">
        <v>120</v>
      </c>
      <c r="B2515" s="1">
        <v>1197831</v>
      </c>
      <c r="C2515" s="2">
        <v>44885</v>
      </c>
      <c r="D2515" s="1" t="s">
        <v>19</v>
      </c>
      <c r="E2515" s="1" t="s">
        <v>84</v>
      </c>
      <c r="F2515" s="1" t="s">
        <v>85</v>
      </c>
      <c r="G2515" s="1" t="s">
        <v>18</v>
      </c>
      <c r="H2515" s="1">
        <v>49</v>
      </c>
      <c r="I2515" s="1" t="s">
        <v>125</v>
      </c>
      <c r="J2515" s="3">
        <v>0.75</v>
      </c>
      <c r="K2515" s="4">
        <v>4500</v>
      </c>
      <c r="L2515" s="5">
        <f t="shared" si="20"/>
        <v>3375</v>
      </c>
      <c r="M2515" s="5">
        <f t="shared" si="21"/>
        <v>1350</v>
      </c>
      <c r="N2515" s="6">
        <v>0.4</v>
      </c>
    </row>
    <row r="2516" spans="1:14" ht="15.75" customHeight="1" x14ac:dyDescent="0.45">
      <c r="A2516" s="1" t="s">
        <v>120</v>
      </c>
      <c r="B2516" s="1">
        <v>1197831</v>
      </c>
      <c r="C2516" s="2">
        <v>44914</v>
      </c>
      <c r="D2516" s="1" t="s">
        <v>19</v>
      </c>
      <c r="E2516" s="1" t="s">
        <v>84</v>
      </c>
      <c r="F2516" s="1" t="s">
        <v>85</v>
      </c>
      <c r="G2516" s="1" t="s">
        <v>13</v>
      </c>
      <c r="H2516" s="1">
        <v>31</v>
      </c>
      <c r="I2516" s="1" t="s">
        <v>125</v>
      </c>
      <c r="J2516" s="3">
        <v>0.70000000000000007</v>
      </c>
      <c r="K2516" s="4">
        <v>7000</v>
      </c>
      <c r="L2516" s="5">
        <f t="shared" si="20"/>
        <v>4900.0000000000009</v>
      </c>
      <c r="M2516" s="5">
        <f t="shared" si="21"/>
        <v>1960.0000000000005</v>
      </c>
      <c r="N2516" s="6">
        <v>0.4</v>
      </c>
    </row>
    <row r="2517" spans="1:14" ht="15.75" customHeight="1" x14ac:dyDescent="0.45">
      <c r="A2517" s="1" t="s">
        <v>120</v>
      </c>
      <c r="B2517" s="1">
        <v>1197831</v>
      </c>
      <c r="C2517" s="2">
        <v>44914</v>
      </c>
      <c r="D2517" s="1" t="s">
        <v>19</v>
      </c>
      <c r="E2517" s="1" t="s">
        <v>84</v>
      </c>
      <c r="F2517" s="1" t="s">
        <v>85</v>
      </c>
      <c r="G2517" s="1" t="s">
        <v>14</v>
      </c>
      <c r="H2517" s="1">
        <v>18</v>
      </c>
      <c r="I2517" s="1" t="s">
        <v>125</v>
      </c>
      <c r="J2517" s="3">
        <v>0.60000000000000009</v>
      </c>
      <c r="K2517" s="4">
        <v>5000</v>
      </c>
      <c r="L2517" s="5">
        <f t="shared" si="20"/>
        <v>3000.0000000000005</v>
      </c>
      <c r="M2517" s="5">
        <f t="shared" si="21"/>
        <v>1050</v>
      </c>
      <c r="N2517" s="6">
        <v>0.35</v>
      </c>
    </row>
    <row r="2518" spans="1:14" ht="15.75" customHeight="1" x14ac:dyDescent="0.45">
      <c r="A2518" s="1" t="s">
        <v>120</v>
      </c>
      <c r="B2518" s="1">
        <v>1197831</v>
      </c>
      <c r="C2518" s="2">
        <v>44914</v>
      </c>
      <c r="D2518" s="1" t="s">
        <v>19</v>
      </c>
      <c r="E2518" s="1" t="s">
        <v>84</v>
      </c>
      <c r="F2518" s="1" t="s">
        <v>85</v>
      </c>
      <c r="G2518" s="1" t="s">
        <v>15</v>
      </c>
      <c r="H2518" s="1">
        <v>19</v>
      </c>
      <c r="I2518" s="1" t="s">
        <v>123</v>
      </c>
      <c r="J2518" s="3">
        <v>0.60000000000000009</v>
      </c>
      <c r="K2518" s="4">
        <v>4500</v>
      </c>
      <c r="L2518" s="5">
        <f t="shared" si="20"/>
        <v>2700.0000000000005</v>
      </c>
      <c r="M2518" s="5">
        <f t="shared" si="21"/>
        <v>1080.0000000000002</v>
      </c>
      <c r="N2518" s="6">
        <v>0.4</v>
      </c>
    </row>
    <row r="2519" spans="1:14" ht="15.75" customHeight="1" x14ac:dyDescent="0.45">
      <c r="A2519" s="1" t="s">
        <v>120</v>
      </c>
      <c r="B2519" s="1">
        <v>1197831</v>
      </c>
      <c r="C2519" s="2">
        <v>44914</v>
      </c>
      <c r="D2519" s="1" t="s">
        <v>19</v>
      </c>
      <c r="E2519" s="1" t="s">
        <v>84</v>
      </c>
      <c r="F2519" s="1" t="s">
        <v>85</v>
      </c>
      <c r="G2519" s="1" t="s">
        <v>16</v>
      </c>
      <c r="H2519" s="1">
        <v>43</v>
      </c>
      <c r="I2519" s="1" t="s">
        <v>124</v>
      </c>
      <c r="J2519" s="3">
        <v>0.60000000000000009</v>
      </c>
      <c r="K2519" s="4">
        <v>4000</v>
      </c>
      <c r="L2519" s="5">
        <f t="shared" si="20"/>
        <v>2400.0000000000005</v>
      </c>
      <c r="M2519" s="5">
        <f t="shared" si="21"/>
        <v>960.00000000000023</v>
      </c>
      <c r="N2519" s="6">
        <v>0.4</v>
      </c>
    </row>
    <row r="2520" spans="1:14" ht="15.75" customHeight="1" x14ac:dyDescent="0.45">
      <c r="A2520" s="1" t="s">
        <v>120</v>
      </c>
      <c r="B2520" s="1">
        <v>1197831</v>
      </c>
      <c r="C2520" s="2">
        <v>44914</v>
      </c>
      <c r="D2520" s="1" t="s">
        <v>19</v>
      </c>
      <c r="E2520" s="1" t="s">
        <v>84</v>
      </c>
      <c r="F2520" s="1" t="s">
        <v>85</v>
      </c>
      <c r="G2520" s="1" t="s">
        <v>17</v>
      </c>
      <c r="H2520" s="1">
        <v>24</v>
      </c>
      <c r="I2520" s="1" t="s">
        <v>125</v>
      </c>
      <c r="J2520" s="3">
        <v>0.70000000000000007</v>
      </c>
      <c r="K2520" s="4">
        <v>4000</v>
      </c>
      <c r="L2520" s="5">
        <f t="shared" si="20"/>
        <v>2800.0000000000005</v>
      </c>
      <c r="M2520" s="5">
        <f t="shared" si="21"/>
        <v>980.00000000000011</v>
      </c>
      <c r="N2520" s="6">
        <v>0.35</v>
      </c>
    </row>
    <row r="2521" spans="1:14" ht="15.75" customHeight="1" x14ac:dyDescent="0.45">
      <c r="A2521" s="1" t="s">
        <v>120</v>
      </c>
      <c r="B2521" s="1">
        <v>1197831</v>
      </c>
      <c r="C2521" s="2">
        <v>44914</v>
      </c>
      <c r="D2521" s="1" t="s">
        <v>19</v>
      </c>
      <c r="E2521" s="1" t="s">
        <v>84</v>
      </c>
      <c r="F2521" s="1" t="s">
        <v>85</v>
      </c>
      <c r="G2521" s="1" t="s">
        <v>18</v>
      </c>
      <c r="H2521" s="1">
        <v>23</v>
      </c>
      <c r="I2521" s="1" t="s">
        <v>126</v>
      </c>
      <c r="J2521" s="3">
        <v>0.75</v>
      </c>
      <c r="K2521" s="4">
        <v>5000</v>
      </c>
      <c r="L2521" s="5">
        <f t="shared" si="20"/>
        <v>3750</v>
      </c>
      <c r="M2521" s="5">
        <f t="shared" si="21"/>
        <v>1500</v>
      </c>
      <c r="N2521" s="6">
        <v>0.4</v>
      </c>
    </row>
    <row r="2522" spans="1:14" ht="15.75" customHeight="1" x14ac:dyDescent="0.45">
      <c r="A2522" s="1" t="s">
        <v>120</v>
      </c>
      <c r="B2522" s="1">
        <v>1197831</v>
      </c>
      <c r="C2522" s="2">
        <v>44584</v>
      </c>
      <c r="D2522" s="1" t="s">
        <v>19</v>
      </c>
      <c r="E2522" s="1" t="s">
        <v>86</v>
      </c>
      <c r="F2522" s="1" t="s">
        <v>87</v>
      </c>
      <c r="G2522" s="1" t="s">
        <v>13</v>
      </c>
      <c r="H2522" s="1">
        <v>22</v>
      </c>
      <c r="I2522" s="1" t="s">
        <v>125</v>
      </c>
      <c r="J2522" s="3">
        <v>0.25000000000000006</v>
      </c>
      <c r="K2522" s="4">
        <v>5750</v>
      </c>
      <c r="L2522" s="5">
        <f t="shared" si="20"/>
        <v>1437.5000000000002</v>
      </c>
      <c r="M2522" s="5">
        <f t="shared" si="21"/>
        <v>575.00000000000011</v>
      </c>
      <c r="N2522" s="6">
        <v>0.4</v>
      </c>
    </row>
    <row r="2523" spans="1:14" ht="15.75" customHeight="1" x14ac:dyDescent="0.45">
      <c r="A2523" s="1" t="s">
        <v>120</v>
      </c>
      <c r="B2523" s="1">
        <v>1197831</v>
      </c>
      <c r="C2523" s="2">
        <v>44584</v>
      </c>
      <c r="D2523" s="1" t="s">
        <v>19</v>
      </c>
      <c r="E2523" s="1" t="s">
        <v>86</v>
      </c>
      <c r="F2523" s="1" t="s">
        <v>87</v>
      </c>
      <c r="G2523" s="1" t="s">
        <v>14</v>
      </c>
      <c r="H2523" s="1">
        <v>56</v>
      </c>
      <c r="I2523" s="1" t="s">
        <v>124</v>
      </c>
      <c r="J2523" s="3">
        <v>0.25000000000000006</v>
      </c>
      <c r="K2523" s="4">
        <v>3750</v>
      </c>
      <c r="L2523" s="5">
        <f t="shared" si="20"/>
        <v>937.50000000000023</v>
      </c>
      <c r="M2523" s="5">
        <f t="shared" si="21"/>
        <v>328.12500000000006</v>
      </c>
      <c r="N2523" s="6">
        <v>0.35</v>
      </c>
    </row>
    <row r="2524" spans="1:14" ht="15.75" customHeight="1" x14ac:dyDescent="0.45">
      <c r="A2524" s="1" t="s">
        <v>120</v>
      </c>
      <c r="B2524" s="1">
        <v>1197831</v>
      </c>
      <c r="C2524" s="2">
        <v>44584</v>
      </c>
      <c r="D2524" s="1" t="s">
        <v>19</v>
      </c>
      <c r="E2524" s="1" t="s">
        <v>86</v>
      </c>
      <c r="F2524" s="1" t="s">
        <v>87</v>
      </c>
      <c r="G2524" s="1" t="s">
        <v>15</v>
      </c>
      <c r="H2524" s="1">
        <v>50</v>
      </c>
      <c r="I2524" s="1" t="s">
        <v>126</v>
      </c>
      <c r="J2524" s="3">
        <v>0.15000000000000008</v>
      </c>
      <c r="K2524" s="4">
        <v>3750</v>
      </c>
      <c r="L2524" s="5">
        <f t="shared" si="20"/>
        <v>562.50000000000034</v>
      </c>
      <c r="M2524" s="5">
        <f t="shared" si="21"/>
        <v>225.00000000000014</v>
      </c>
      <c r="N2524" s="6">
        <v>0.4</v>
      </c>
    </row>
    <row r="2525" spans="1:14" ht="15.75" customHeight="1" x14ac:dyDescent="0.45">
      <c r="A2525" s="1" t="s">
        <v>120</v>
      </c>
      <c r="B2525" s="1">
        <v>1197831</v>
      </c>
      <c r="C2525" s="2">
        <v>44584</v>
      </c>
      <c r="D2525" s="1" t="s">
        <v>19</v>
      </c>
      <c r="E2525" s="1" t="s">
        <v>86</v>
      </c>
      <c r="F2525" s="1" t="s">
        <v>87</v>
      </c>
      <c r="G2525" s="1" t="s">
        <v>16</v>
      </c>
      <c r="H2525" s="1">
        <v>50</v>
      </c>
      <c r="I2525" s="1" t="s">
        <v>126</v>
      </c>
      <c r="J2525" s="3">
        <v>0.2</v>
      </c>
      <c r="K2525" s="4">
        <v>2250</v>
      </c>
      <c r="L2525" s="5">
        <f t="shared" si="20"/>
        <v>450</v>
      </c>
      <c r="M2525" s="5">
        <f t="shared" si="21"/>
        <v>180</v>
      </c>
      <c r="N2525" s="6">
        <v>0.4</v>
      </c>
    </row>
    <row r="2526" spans="1:14" ht="15.75" customHeight="1" x14ac:dyDescent="0.45">
      <c r="A2526" s="1" t="s">
        <v>120</v>
      </c>
      <c r="B2526" s="1">
        <v>1197831</v>
      </c>
      <c r="C2526" s="2">
        <v>44584</v>
      </c>
      <c r="D2526" s="1" t="s">
        <v>19</v>
      </c>
      <c r="E2526" s="1" t="s">
        <v>86</v>
      </c>
      <c r="F2526" s="1" t="s">
        <v>87</v>
      </c>
      <c r="G2526" s="1" t="s">
        <v>17</v>
      </c>
      <c r="H2526" s="1">
        <v>20</v>
      </c>
      <c r="I2526" s="1" t="s">
        <v>123</v>
      </c>
      <c r="J2526" s="3">
        <v>0.35000000000000003</v>
      </c>
      <c r="K2526" s="4">
        <v>2750</v>
      </c>
      <c r="L2526" s="5">
        <f t="shared" si="20"/>
        <v>962.50000000000011</v>
      </c>
      <c r="M2526" s="5">
        <f t="shared" si="21"/>
        <v>336.875</v>
      </c>
      <c r="N2526" s="6">
        <v>0.35</v>
      </c>
    </row>
    <row r="2527" spans="1:14" ht="15.75" customHeight="1" x14ac:dyDescent="0.45">
      <c r="A2527" s="1" t="s">
        <v>120</v>
      </c>
      <c r="B2527" s="1">
        <v>1197831</v>
      </c>
      <c r="C2527" s="2">
        <v>44584</v>
      </c>
      <c r="D2527" s="1" t="s">
        <v>19</v>
      </c>
      <c r="E2527" s="1" t="s">
        <v>86</v>
      </c>
      <c r="F2527" s="1" t="s">
        <v>87</v>
      </c>
      <c r="G2527" s="1" t="s">
        <v>18</v>
      </c>
      <c r="H2527" s="1">
        <v>53</v>
      </c>
      <c r="I2527" s="1" t="s">
        <v>124</v>
      </c>
      <c r="J2527" s="3">
        <v>0.25000000000000006</v>
      </c>
      <c r="K2527" s="4">
        <v>3750</v>
      </c>
      <c r="L2527" s="5">
        <f t="shared" si="20"/>
        <v>937.50000000000023</v>
      </c>
      <c r="M2527" s="5">
        <f t="shared" si="21"/>
        <v>375.00000000000011</v>
      </c>
      <c r="N2527" s="6">
        <v>0.4</v>
      </c>
    </row>
    <row r="2528" spans="1:14" ht="15.75" customHeight="1" x14ac:dyDescent="0.45">
      <c r="A2528" s="1" t="s">
        <v>120</v>
      </c>
      <c r="B2528" s="1">
        <v>1197831</v>
      </c>
      <c r="C2528" s="2">
        <v>44613</v>
      </c>
      <c r="D2528" s="1" t="s">
        <v>19</v>
      </c>
      <c r="E2528" s="1" t="s">
        <v>86</v>
      </c>
      <c r="F2528" s="1" t="s">
        <v>87</v>
      </c>
      <c r="G2528" s="1" t="s">
        <v>13</v>
      </c>
      <c r="H2528" s="1">
        <v>45</v>
      </c>
      <c r="I2528" s="1" t="s">
        <v>126</v>
      </c>
      <c r="J2528" s="3">
        <v>0.25000000000000006</v>
      </c>
      <c r="K2528" s="4">
        <v>6250</v>
      </c>
      <c r="L2528" s="5">
        <f t="shared" si="20"/>
        <v>1562.5000000000005</v>
      </c>
      <c r="M2528" s="5">
        <f t="shared" si="21"/>
        <v>625.00000000000023</v>
      </c>
      <c r="N2528" s="6">
        <v>0.4</v>
      </c>
    </row>
    <row r="2529" spans="1:14" ht="15.75" customHeight="1" x14ac:dyDescent="0.45">
      <c r="A2529" s="1" t="s">
        <v>120</v>
      </c>
      <c r="B2529" s="1">
        <v>1197831</v>
      </c>
      <c r="C2529" s="2">
        <v>44613</v>
      </c>
      <c r="D2529" s="1" t="s">
        <v>19</v>
      </c>
      <c r="E2529" s="1" t="s">
        <v>86</v>
      </c>
      <c r="F2529" s="1" t="s">
        <v>87</v>
      </c>
      <c r="G2529" s="1" t="s">
        <v>14</v>
      </c>
      <c r="H2529" s="1">
        <v>19</v>
      </c>
      <c r="I2529" s="1" t="s">
        <v>125</v>
      </c>
      <c r="J2529" s="3">
        <v>0.25000000000000006</v>
      </c>
      <c r="K2529" s="4">
        <v>2750</v>
      </c>
      <c r="L2529" s="5">
        <f t="shared" si="20"/>
        <v>687.50000000000011</v>
      </c>
      <c r="M2529" s="5">
        <f t="shared" si="21"/>
        <v>240.62500000000003</v>
      </c>
      <c r="N2529" s="6">
        <v>0.35</v>
      </c>
    </row>
    <row r="2530" spans="1:14" ht="15.75" customHeight="1" x14ac:dyDescent="0.45">
      <c r="A2530" s="1" t="s">
        <v>120</v>
      </c>
      <c r="B2530" s="1">
        <v>1197831</v>
      </c>
      <c r="C2530" s="2">
        <v>44613</v>
      </c>
      <c r="D2530" s="1" t="s">
        <v>19</v>
      </c>
      <c r="E2530" s="1" t="s">
        <v>86</v>
      </c>
      <c r="F2530" s="1" t="s">
        <v>87</v>
      </c>
      <c r="G2530" s="1" t="s">
        <v>15</v>
      </c>
      <c r="H2530" s="1">
        <v>24</v>
      </c>
      <c r="I2530" s="1" t="s">
        <v>123</v>
      </c>
      <c r="J2530" s="3">
        <v>0.15000000000000008</v>
      </c>
      <c r="K2530" s="4">
        <v>3250</v>
      </c>
      <c r="L2530" s="5">
        <f t="shared" si="20"/>
        <v>487.50000000000023</v>
      </c>
      <c r="M2530" s="5">
        <f t="shared" si="21"/>
        <v>195.00000000000011</v>
      </c>
      <c r="N2530" s="6">
        <v>0.4</v>
      </c>
    </row>
    <row r="2531" spans="1:14" ht="15.75" customHeight="1" x14ac:dyDescent="0.45">
      <c r="A2531" s="1" t="s">
        <v>120</v>
      </c>
      <c r="B2531" s="1">
        <v>1197831</v>
      </c>
      <c r="C2531" s="2">
        <v>44613</v>
      </c>
      <c r="D2531" s="1" t="s">
        <v>19</v>
      </c>
      <c r="E2531" s="1" t="s">
        <v>86</v>
      </c>
      <c r="F2531" s="1" t="s">
        <v>87</v>
      </c>
      <c r="G2531" s="1" t="s">
        <v>16</v>
      </c>
      <c r="H2531" s="1">
        <v>45</v>
      </c>
      <c r="I2531" s="1" t="s">
        <v>125</v>
      </c>
      <c r="J2531" s="3">
        <v>0.2</v>
      </c>
      <c r="K2531" s="4">
        <v>1750</v>
      </c>
      <c r="L2531" s="5">
        <f t="shared" si="20"/>
        <v>350</v>
      </c>
      <c r="M2531" s="5">
        <f t="shared" si="21"/>
        <v>140</v>
      </c>
      <c r="N2531" s="6">
        <v>0.4</v>
      </c>
    </row>
    <row r="2532" spans="1:14" ht="15.75" customHeight="1" x14ac:dyDescent="0.45">
      <c r="A2532" s="1" t="s">
        <v>120</v>
      </c>
      <c r="B2532" s="1">
        <v>1197831</v>
      </c>
      <c r="C2532" s="2">
        <v>44613</v>
      </c>
      <c r="D2532" s="1" t="s">
        <v>19</v>
      </c>
      <c r="E2532" s="1" t="s">
        <v>86</v>
      </c>
      <c r="F2532" s="1" t="s">
        <v>87</v>
      </c>
      <c r="G2532" s="1" t="s">
        <v>17</v>
      </c>
      <c r="H2532" s="1">
        <v>28</v>
      </c>
      <c r="I2532" s="1" t="s">
        <v>124</v>
      </c>
      <c r="J2532" s="3">
        <v>0.35000000000000003</v>
      </c>
      <c r="K2532" s="4">
        <v>2500</v>
      </c>
      <c r="L2532" s="5">
        <f t="shared" si="20"/>
        <v>875.00000000000011</v>
      </c>
      <c r="M2532" s="5">
        <f t="shared" si="21"/>
        <v>306.25</v>
      </c>
      <c r="N2532" s="6">
        <v>0.35</v>
      </c>
    </row>
    <row r="2533" spans="1:14" ht="15.75" customHeight="1" x14ac:dyDescent="0.45">
      <c r="A2533" s="1" t="s">
        <v>120</v>
      </c>
      <c r="B2533" s="1">
        <v>1197831</v>
      </c>
      <c r="C2533" s="2">
        <v>44613</v>
      </c>
      <c r="D2533" s="1" t="s">
        <v>19</v>
      </c>
      <c r="E2533" s="1" t="s">
        <v>86</v>
      </c>
      <c r="F2533" s="1" t="s">
        <v>87</v>
      </c>
      <c r="G2533" s="1" t="s">
        <v>18</v>
      </c>
      <c r="H2533" s="1">
        <v>41</v>
      </c>
      <c r="I2533" s="1" t="s">
        <v>123</v>
      </c>
      <c r="J2533" s="3">
        <v>0.2</v>
      </c>
      <c r="K2533" s="4">
        <v>3500</v>
      </c>
      <c r="L2533" s="5">
        <f t="shared" si="20"/>
        <v>700</v>
      </c>
      <c r="M2533" s="5">
        <f t="shared" si="21"/>
        <v>280</v>
      </c>
      <c r="N2533" s="6">
        <v>0.4</v>
      </c>
    </row>
    <row r="2534" spans="1:14" ht="15.75" customHeight="1" x14ac:dyDescent="0.45">
      <c r="A2534" s="1" t="s">
        <v>120</v>
      </c>
      <c r="B2534" s="1">
        <v>1197831</v>
      </c>
      <c r="C2534" s="2">
        <v>44639</v>
      </c>
      <c r="D2534" s="1" t="s">
        <v>19</v>
      </c>
      <c r="E2534" s="1" t="s">
        <v>86</v>
      </c>
      <c r="F2534" s="1" t="s">
        <v>87</v>
      </c>
      <c r="G2534" s="1" t="s">
        <v>13</v>
      </c>
      <c r="H2534" s="1">
        <v>59</v>
      </c>
      <c r="I2534" s="1" t="s">
        <v>126</v>
      </c>
      <c r="J2534" s="3">
        <v>0.2</v>
      </c>
      <c r="K2534" s="4">
        <v>5700</v>
      </c>
      <c r="L2534" s="5">
        <f t="shared" si="20"/>
        <v>1140</v>
      </c>
      <c r="M2534" s="5">
        <f t="shared" si="21"/>
        <v>456</v>
      </c>
      <c r="N2534" s="6">
        <v>0.4</v>
      </c>
    </row>
    <row r="2535" spans="1:14" ht="15.75" customHeight="1" x14ac:dyDescent="0.45">
      <c r="A2535" s="1" t="s">
        <v>120</v>
      </c>
      <c r="B2535" s="1">
        <v>1197831</v>
      </c>
      <c r="C2535" s="2">
        <v>44639</v>
      </c>
      <c r="D2535" s="1" t="s">
        <v>19</v>
      </c>
      <c r="E2535" s="1" t="s">
        <v>86</v>
      </c>
      <c r="F2535" s="1" t="s">
        <v>87</v>
      </c>
      <c r="G2535" s="1" t="s">
        <v>14</v>
      </c>
      <c r="H2535" s="1">
        <v>16</v>
      </c>
      <c r="I2535" s="1" t="s">
        <v>126</v>
      </c>
      <c r="J2535" s="3">
        <v>0.2</v>
      </c>
      <c r="K2535" s="4">
        <v>2500</v>
      </c>
      <c r="L2535" s="5">
        <f t="shared" si="20"/>
        <v>500</v>
      </c>
      <c r="M2535" s="5">
        <f t="shared" si="21"/>
        <v>175</v>
      </c>
      <c r="N2535" s="6">
        <v>0.35</v>
      </c>
    </row>
    <row r="2536" spans="1:14" ht="15.75" customHeight="1" x14ac:dyDescent="0.45">
      <c r="A2536" s="1" t="s">
        <v>120</v>
      </c>
      <c r="B2536" s="1">
        <v>1197831</v>
      </c>
      <c r="C2536" s="2">
        <v>44639</v>
      </c>
      <c r="D2536" s="1" t="s">
        <v>19</v>
      </c>
      <c r="E2536" s="1" t="s">
        <v>86</v>
      </c>
      <c r="F2536" s="1" t="s">
        <v>87</v>
      </c>
      <c r="G2536" s="1" t="s">
        <v>15</v>
      </c>
      <c r="H2536" s="1">
        <v>55</v>
      </c>
      <c r="I2536" s="1" t="s">
        <v>125</v>
      </c>
      <c r="J2536" s="3">
        <v>0.10000000000000002</v>
      </c>
      <c r="K2536" s="4">
        <v>2750</v>
      </c>
      <c r="L2536" s="5">
        <f t="shared" si="20"/>
        <v>275.00000000000006</v>
      </c>
      <c r="M2536" s="5">
        <f t="shared" si="21"/>
        <v>110.00000000000003</v>
      </c>
      <c r="N2536" s="6">
        <v>0.4</v>
      </c>
    </row>
    <row r="2537" spans="1:14" ht="15.75" customHeight="1" x14ac:dyDescent="0.45">
      <c r="A2537" s="1" t="s">
        <v>120</v>
      </c>
      <c r="B2537" s="1">
        <v>1197831</v>
      </c>
      <c r="C2537" s="2">
        <v>44639</v>
      </c>
      <c r="D2537" s="1" t="s">
        <v>19</v>
      </c>
      <c r="E2537" s="1" t="s">
        <v>86</v>
      </c>
      <c r="F2537" s="1" t="s">
        <v>87</v>
      </c>
      <c r="G2537" s="1" t="s">
        <v>16</v>
      </c>
      <c r="H2537" s="1">
        <v>45</v>
      </c>
      <c r="I2537" s="1" t="s">
        <v>126</v>
      </c>
      <c r="J2537" s="3">
        <v>0.19999999999999996</v>
      </c>
      <c r="K2537" s="4">
        <v>1250</v>
      </c>
      <c r="L2537" s="5">
        <f t="shared" si="20"/>
        <v>249.99999999999994</v>
      </c>
      <c r="M2537" s="5">
        <f t="shared" si="21"/>
        <v>99.999999999999986</v>
      </c>
      <c r="N2537" s="6">
        <v>0.4</v>
      </c>
    </row>
    <row r="2538" spans="1:14" ht="15.75" customHeight="1" x14ac:dyDescent="0.45">
      <c r="A2538" s="1" t="s">
        <v>120</v>
      </c>
      <c r="B2538" s="1">
        <v>1197831</v>
      </c>
      <c r="C2538" s="2">
        <v>44639</v>
      </c>
      <c r="D2538" s="1" t="s">
        <v>19</v>
      </c>
      <c r="E2538" s="1" t="s">
        <v>86</v>
      </c>
      <c r="F2538" s="1" t="s">
        <v>87</v>
      </c>
      <c r="G2538" s="1" t="s">
        <v>17</v>
      </c>
      <c r="H2538" s="1">
        <v>51</v>
      </c>
      <c r="I2538" s="1" t="s">
        <v>125</v>
      </c>
      <c r="J2538" s="3">
        <v>0.35000000000000009</v>
      </c>
      <c r="K2538" s="4">
        <v>1750</v>
      </c>
      <c r="L2538" s="5">
        <f t="shared" si="20"/>
        <v>612.50000000000011</v>
      </c>
      <c r="M2538" s="5">
        <f t="shared" si="21"/>
        <v>214.37500000000003</v>
      </c>
      <c r="N2538" s="6">
        <v>0.35</v>
      </c>
    </row>
    <row r="2539" spans="1:14" ht="15.75" customHeight="1" x14ac:dyDescent="0.45">
      <c r="A2539" s="1" t="s">
        <v>120</v>
      </c>
      <c r="B2539" s="1">
        <v>1197831</v>
      </c>
      <c r="C2539" s="2">
        <v>44639</v>
      </c>
      <c r="D2539" s="1" t="s">
        <v>19</v>
      </c>
      <c r="E2539" s="1" t="s">
        <v>86</v>
      </c>
      <c r="F2539" s="1" t="s">
        <v>87</v>
      </c>
      <c r="G2539" s="1" t="s">
        <v>18</v>
      </c>
      <c r="H2539" s="1">
        <v>54</v>
      </c>
      <c r="I2539" s="1" t="s">
        <v>126</v>
      </c>
      <c r="J2539" s="3">
        <v>0.25</v>
      </c>
      <c r="K2539" s="4">
        <v>2750</v>
      </c>
      <c r="L2539" s="5">
        <f t="shared" si="20"/>
        <v>687.5</v>
      </c>
      <c r="M2539" s="5">
        <f t="shared" si="21"/>
        <v>275</v>
      </c>
      <c r="N2539" s="6">
        <v>0.4</v>
      </c>
    </row>
    <row r="2540" spans="1:14" ht="15.75" customHeight="1" x14ac:dyDescent="0.45">
      <c r="A2540" s="1" t="s">
        <v>120</v>
      </c>
      <c r="B2540" s="1">
        <v>1197831</v>
      </c>
      <c r="C2540" s="2">
        <v>44671</v>
      </c>
      <c r="D2540" s="1" t="s">
        <v>19</v>
      </c>
      <c r="E2540" s="1" t="s">
        <v>86</v>
      </c>
      <c r="F2540" s="1" t="s">
        <v>87</v>
      </c>
      <c r="G2540" s="1" t="s">
        <v>13</v>
      </c>
      <c r="H2540" s="1">
        <v>29</v>
      </c>
      <c r="I2540" s="1" t="s">
        <v>126</v>
      </c>
      <c r="J2540" s="3">
        <v>0.25</v>
      </c>
      <c r="K2540" s="4">
        <v>5250</v>
      </c>
      <c r="L2540" s="5">
        <f t="shared" si="20"/>
        <v>1312.5</v>
      </c>
      <c r="M2540" s="5">
        <f t="shared" si="21"/>
        <v>525</v>
      </c>
      <c r="N2540" s="6">
        <v>0.4</v>
      </c>
    </row>
    <row r="2541" spans="1:14" ht="15.75" customHeight="1" x14ac:dyDescent="0.45">
      <c r="A2541" s="1" t="s">
        <v>120</v>
      </c>
      <c r="B2541" s="1">
        <v>1197831</v>
      </c>
      <c r="C2541" s="2">
        <v>44671</v>
      </c>
      <c r="D2541" s="1" t="s">
        <v>19</v>
      </c>
      <c r="E2541" s="1" t="s">
        <v>86</v>
      </c>
      <c r="F2541" s="1" t="s">
        <v>87</v>
      </c>
      <c r="G2541" s="1" t="s">
        <v>14</v>
      </c>
      <c r="H2541" s="1">
        <v>24</v>
      </c>
      <c r="I2541" s="1" t="s">
        <v>125</v>
      </c>
      <c r="J2541" s="3">
        <v>0.25</v>
      </c>
      <c r="K2541" s="4">
        <v>2250</v>
      </c>
      <c r="L2541" s="5">
        <f t="shared" si="20"/>
        <v>562.5</v>
      </c>
      <c r="M2541" s="5">
        <f t="shared" si="21"/>
        <v>196.875</v>
      </c>
      <c r="N2541" s="6">
        <v>0.35</v>
      </c>
    </row>
    <row r="2542" spans="1:14" ht="15.75" customHeight="1" x14ac:dyDescent="0.45">
      <c r="A2542" s="1" t="s">
        <v>120</v>
      </c>
      <c r="B2542" s="1">
        <v>1197831</v>
      </c>
      <c r="C2542" s="2">
        <v>44671</v>
      </c>
      <c r="D2542" s="1" t="s">
        <v>19</v>
      </c>
      <c r="E2542" s="1" t="s">
        <v>86</v>
      </c>
      <c r="F2542" s="1" t="s">
        <v>87</v>
      </c>
      <c r="G2542" s="1" t="s">
        <v>15</v>
      </c>
      <c r="H2542" s="1">
        <v>49</v>
      </c>
      <c r="I2542" s="1" t="s">
        <v>125</v>
      </c>
      <c r="J2542" s="3">
        <v>0.15000000000000002</v>
      </c>
      <c r="K2542" s="4">
        <v>2250</v>
      </c>
      <c r="L2542" s="5">
        <f t="shared" si="20"/>
        <v>337.50000000000006</v>
      </c>
      <c r="M2542" s="5">
        <f t="shared" si="21"/>
        <v>135.00000000000003</v>
      </c>
      <c r="N2542" s="6">
        <v>0.4</v>
      </c>
    </row>
    <row r="2543" spans="1:14" ht="15.75" customHeight="1" x14ac:dyDescent="0.45">
      <c r="A2543" s="1" t="s">
        <v>120</v>
      </c>
      <c r="B2543" s="1">
        <v>1197831</v>
      </c>
      <c r="C2543" s="2">
        <v>44671</v>
      </c>
      <c r="D2543" s="1" t="s">
        <v>19</v>
      </c>
      <c r="E2543" s="1" t="s">
        <v>86</v>
      </c>
      <c r="F2543" s="1" t="s">
        <v>87</v>
      </c>
      <c r="G2543" s="1" t="s">
        <v>16</v>
      </c>
      <c r="H2543" s="1">
        <v>40</v>
      </c>
      <c r="I2543" s="1" t="s">
        <v>124</v>
      </c>
      <c r="J2543" s="3">
        <v>0.19999999999999996</v>
      </c>
      <c r="K2543" s="4">
        <v>1500</v>
      </c>
      <c r="L2543" s="5">
        <f t="shared" si="20"/>
        <v>299.99999999999994</v>
      </c>
      <c r="M2543" s="5">
        <f t="shared" si="21"/>
        <v>119.99999999999999</v>
      </c>
      <c r="N2543" s="6">
        <v>0.4</v>
      </c>
    </row>
    <row r="2544" spans="1:14" ht="15.75" customHeight="1" x14ac:dyDescent="0.45">
      <c r="A2544" s="1" t="s">
        <v>120</v>
      </c>
      <c r="B2544" s="1">
        <v>1197831</v>
      </c>
      <c r="C2544" s="2">
        <v>44671</v>
      </c>
      <c r="D2544" s="1" t="s">
        <v>19</v>
      </c>
      <c r="E2544" s="1" t="s">
        <v>86</v>
      </c>
      <c r="F2544" s="1" t="s">
        <v>87</v>
      </c>
      <c r="G2544" s="1" t="s">
        <v>17</v>
      </c>
      <c r="H2544" s="1">
        <v>50</v>
      </c>
      <c r="I2544" s="1" t="s">
        <v>124</v>
      </c>
      <c r="J2544" s="3">
        <v>0.4</v>
      </c>
      <c r="K2544" s="4">
        <v>1750</v>
      </c>
      <c r="L2544" s="5">
        <f t="shared" si="20"/>
        <v>700</v>
      </c>
      <c r="M2544" s="5">
        <f t="shared" si="21"/>
        <v>244.99999999999997</v>
      </c>
      <c r="N2544" s="6">
        <v>0.35</v>
      </c>
    </row>
    <row r="2545" spans="1:14" ht="15.75" customHeight="1" x14ac:dyDescent="0.45">
      <c r="A2545" s="1" t="s">
        <v>120</v>
      </c>
      <c r="B2545" s="1">
        <v>1197831</v>
      </c>
      <c r="C2545" s="2">
        <v>44671</v>
      </c>
      <c r="D2545" s="1" t="s">
        <v>19</v>
      </c>
      <c r="E2545" s="1" t="s">
        <v>86</v>
      </c>
      <c r="F2545" s="1" t="s">
        <v>87</v>
      </c>
      <c r="G2545" s="1" t="s">
        <v>18</v>
      </c>
      <c r="H2545" s="1">
        <v>18</v>
      </c>
      <c r="I2545" s="1" t="s">
        <v>125</v>
      </c>
      <c r="J2545" s="3">
        <v>0.30000000000000004</v>
      </c>
      <c r="K2545" s="4">
        <v>3250</v>
      </c>
      <c r="L2545" s="5">
        <f t="shared" si="20"/>
        <v>975.00000000000011</v>
      </c>
      <c r="M2545" s="5">
        <f t="shared" si="21"/>
        <v>390.00000000000006</v>
      </c>
      <c r="N2545" s="6">
        <v>0.4</v>
      </c>
    </row>
    <row r="2546" spans="1:14" ht="15.75" customHeight="1" x14ac:dyDescent="0.45">
      <c r="A2546" s="1" t="s">
        <v>120</v>
      </c>
      <c r="B2546" s="1">
        <v>1197831</v>
      </c>
      <c r="C2546" s="2">
        <v>44700</v>
      </c>
      <c r="D2546" s="1" t="s">
        <v>19</v>
      </c>
      <c r="E2546" s="1" t="s">
        <v>86</v>
      </c>
      <c r="F2546" s="1" t="s">
        <v>87</v>
      </c>
      <c r="G2546" s="1" t="s">
        <v>13</v>
      </c>
      <c r="H2546" s="1">
        <v>55</v>
      </c>
      <c r="I2546" s="1" t="s">
        <v>126</v>
      </c>
      <c r="J2546" s="3">
        <v>0.4</v>
      </c>
      <c r="K2546" s="4">
        <v>5950</v>
      </c>
      <c r="L2546" s="5">
        <f t="shared" si="20"/>
        <v>2380</v>
      </c>
      <c r="M2546" s="5">
        <f t="shared" si="21"/>
        <v>952</v>
      </c>
      <c r="N2546" s="6">
        <v>0.4</v>
      </c>
    </row>
    <row r="2547" spans="1:14" ht="15.75" customHeight="1" x14ac:dyDescent="0.45">
      <c r="A2547" s="1" t="s">
        <v>120</v>
      </c>
      <c r="B2547" s="1">
        <v>1197831</v>
      </c>
      <c r="C2547" s="2">
        <v>44700</v>
      </c>
      <c r="D2547" s="1" t="s">
        <v>19</v>
      </c>
      <c r="E2547" s="1" t="s">
        <v>86</v>
      </c>
      <c r="F2547" s="1" t="s">
        <v>87</v>
      </c>
      <c r="G2547" s="1" t="s">
        <v>14</v>
      </c>
      <c r="H2547" s="1">
        <v>49</v>
      </c>
      <c r="I2547" s="1" t="s">
        <v>126</v>
      </c>
      <c r="J2547" s="3">
        <v>0.4</v>
      </c>
      <c r="K2547" s="4">
        <v>3000</v>
      </c>
      <c r="L2547" s="5">
        <f t="shared" si="20"/>
        <v>1200</v>
      </c>
      <c r="M2547" s="5">
        <f t="shared" si="21"/>
        <v>420</v>
      </c>
      <c r="N2547" s="6">
        <v>0.35</v>
      </c>
    </row>
    <row r="2548" spans="1:14" ht="15.75" customHeight="1" x14ac:dyDescent="0.45">
      <c r="A2548" s="1" t="s">
        <v>120</v>
      </c>
      <c r="B2548" s="1">
        <v>1197831</v>
      </c>
      <c r="C2548" s="2">
        <v>44700</v>
      </c>
      <c r="D2548" s="1" t="s">
        <v>19</v>
      </c>
      <c r="E2548" s="1" t="s">
        <v>86</v>
      </c>
      <c r="F2548" s="1" t="s">
        <v>87</v>
      </c>
      <c r="G2548" s="1" t="s">
        <v>15</v>
      </c>
      <c r="H2548" s="1">
        <v>45</v>
      </c>
      <c r="I2548" s="1" t="s">
        <v>125</v>
      </c>
      <c r="J2548" s="3">
        <v>0.35000000000000003</v>
      </c>
      <c r="K2548" s="4">
        <v>2750</v>
      </c>
      <c r="L2548" s="5">
        <f t="shared" si="20"/>
        <v>962.50000000000011</v>
      </c>
      <c r="M2548" s="5">
        <f t="shared" si="21"/>
        <v>385.00000000000006</v>
      </c>
      <c r="N2548" s="6">
        <v>0.4</v>
      </c>
    </row>
    <row r="2549" spans="1:14" ht="15.75" customHeight="1" x14ac:dyDescent="0.45">
      <c r="A2549" s="1" t="s">
        <v>120</v>
      </c>
      <c r="B2549" s="1">
        <v>1197831</v>
      </c>
      <c r="C2549" s="2">
        <v>44700</v>
      </c>
      <c r="D2549" s="1" t="s">
        <v>19</v>
      </c>
      <c r="E2549" s="1" t="s">
        <v>86</v>
      </c>
      <c r="F2549" s="1" t="s">
        <v>87</v>
      </c>
      <c r="G2549" s="1" t="s">
        <v>16</v>
      </c>
      <c r="H2549" s="1">
        <v>36</v>
      </c>
      <c r="I2549" s="1" t="s">
        <v>124</v>
      </c>
      <c r="J2549" s="3">
        <v>0.35000000000000003</v>
      </c>
      <c r="K2549" s="4">
        <v>2250</v>
      </c>
      <c r="L2549" s="5">
        <f t="shared" si="20"/>
        <v>787.50000000000011</v>
      </c>
      <c r="M2549" s="5">
        <f t="shared" si="21"/>
        <v>315.00000000000006</v>
      </c>
      <c r="N2549" s="6">
        <v>0.4</v>
      </c>
    </row>
    <row r="2550" spans="1:14" ht="15.75" customHeight="1" x14ac:dyDescent="0.45">
      <c r="A2550" s="1" t="s">
        <v>120</v>
      </c>
      <c r="B2550" s="1">
        <v>1197831</v>
      </c>
      <c r="C2550" s="2">
        <v>44700</v>
      </c>
      <c r="D2550" s="1" t="s">
        <v>19</v>
      </c>
      <c r="E2550" s="1" t="s">
        <v>86</v>
      </c>
      <c r="F2550" s="1" t="s">
        <v>87</v>
      </c>
      <c r="G2550" s="1" t="s">
        <v>17</v>
      </c>
      <c r="H2550" s="1">
        <v>16</v>
      </c>
      <c r="I2550" s="1" t="s">
        <v>123</v>
      </c>
      <c r="J2550" s="3">
        <v>0.44999999999999996</v>
      </c>
      <c r="K2550" s="4">
        <v>2500</v>
      </c>
      <c r="L2550" s="5">
        <f t="shared" si="20"/>
        <v>1125</v>
      </c>
      <c r="M2550" s="5">
        <f t="shared" si="21"/>
        <v>393.75</v>
      </c>
      <c r="N2550" s="6">
        <v>0.35</v>
      </c>
    </row>
    <row r="2551" spans="1:14" ht="15.75" customHeight="1" x14ac:dyDescent="0.45">
      <c r="A2551" s="1" t="s">
        <v>120</v>
      </c>
      <c r="B2551" s="1">
        <v>1197831</v>
      </c>
      <c r="C2551" s="2">
        <v>44700</v>
      </c>
      <c r="D2551" s="1" t="s">
        <v>19</v>
      </c>
      <c r="E2551" s="1" t="s">
        <v>86</v>
      </c>
      <c r="F2551" s="1" t="s">
        <v>87</v>
      </c>
      <c r="G2551" s="1" t="s">
        <v>18</v>
      </c>
      <c r="H2551" s="1">
        <v>52</v>
      </c>
      <c r="I2551" s="1" t="s">
        <v>124</v>
      </c>
      <c r="J2551" s="3">
        <v>0.44999999999999996</v>
      </c>
      <c r="K2551" s="4">
        <v>3500</v>
      </c>
      <c r="L2551" s="5">
        <f t="shared" si="20"/>
        <v>1574.9999999999998</v>
      </c>
      <c r="M2551" s="5">
        <f t="shared" si="21"/>
        <v>630</v>
      </c>
      <c r="N2551" s="6">
        <v>0.4</v>
      </c>
    </row>
    <row r="2552" spans="1:14" ht="15.75" customHeight="1" x14ac:dyDescent="0.45">
      <c r="A2552" s="1" t="s">
        <v>120</v>
      </c>
      <c r="B2552" s="1">
        <v>1197831</v>
      </c>
      <c r="C2552" s="2">
        <v>44733</v>
      </c>
      <c r="D2552" s="1" t="s">
        <v>19</v>
      </c>
      <c r="E2552" s="1" t="s">
        <v>86</v>
      </c>
      <c r="F2552" s="1" t="s">
        <v>87</v>
      </c>
      <c r="G2552" s="1" t="s">
        <v>13</v>
      </c>
      <c r="H2552" s="1">
        <v>51</v>
      </c>
      <c r="I2552" s="1" t="s">
        <v>125</v>
      </c>
      <c r="J2552" s="3">
        <v>0.39999999999999997</v>
      </c>
      <c r="K2552" s="4">
        <v>6000</v>
      </c>
      <c r="L2552" s="5">
        <f t="shared" si="20"/>
        <v>2400</v>
      </c>
      <c r="M2552" s="5">
        <f t="shared" si="21"/>
        <v>960</v>
      </c>
      <c r="N2552" s="6">
        <v>0.4</v>
      </c>
    </row>
    <row r="2553" spans="1:14" ht="15.75" customHeight="1" x14ac:dyDescent="0.45">
      <c r="A2553" s="1" t="s">
        <v>120</v>
      </c>
      <c r="B2553" s="1">
        <v>1197831</v>
      </c>
      <c r="C2553" s="2">
        <v>44733</v>
      </c>
      <c r="D2553" s="1" t="s">
        <v>19</v>
      </c>
      <c r="E2553" s="1" t="s">
        <v>86</v>
      </c>
      <c r="F2553" s="1" t="s">
        <v>87</v>
      </c>
      <c r="G2553" s="1" t="s">
        <v>14</v>
      </c>
      <c r="H2553" s="1">
        <v>37</v>
      </c>
      <c r="I2553" s="1" t="s">
        <v>126</v>
      </c>
      <c r="J2553" s="3">
        <v>0.35000000000000003</v>
      </c>
      <c r="K2553" s="4">
        <v>3500</v>
      </c>
      <c r="L2553" s="5">
        <f t="shared" si="20"/>
        <v>1225.0000000000002</v>
      </c>
      <c r="M2553" s="5">
        <f t="shared" si="21"/>
        <v>428.75000000000006</v>
      </c>
      <c r="N2553" s="6">
        <v>0.35</v>
      </c>
    </row>
    <row r="2554" spans="1:14" ht="15.75" customHeight="1" x14ac:dyDescent="0.45">
      <c r="A2554" s="1" t="s">
        <v>120</v>
      </c>
      <c r="B2554" s="1">
        <v>1197831</v>
      </c>
      <c r="C2554" s="2">
        <v>44733</v>
      </c>
      <c r="D2554" s="1" t="s">
        <v>19</v>
      </c>
      <c r="E2554" s="1" t="s">
        <v>86</v>
      </c>
      <c r="F2554" s="1" t="s">
        <v>87</v>
      </c>
      <c r="G2554" s="1" t="s">
        <v>15</v>
      </c>
      <c r="H2554" s="1">
        <v>48</v>
      </c>
      <c r="I2554" s="1" t="s">
        <v>123</v>
      </c>
      <c r="J2554" s="3">
        <v>0.4</v>
      </c>
      <c r="K2554" s="4">
        <v>3250</v>
      </c>
      <c r="L2554" s="5">
        <f t="shared" si="20"/>
        <v>1300</v>
      </c>
      <c r="M2554" s="5">
        <f t="shared" si="21"/>
        <v>520</v>
      </c>
      <c r="N2554" s="6">
        <v>0.4</v>
      </c>
    </row>
    <row r="2555" spans="1:14" ht="15.75" customHeight="1" x14ac:dyDescent="0.45">
      <c r="A2555" s="1" t="s">
        <v>120</v>
      </c>
      <c r="B2555" s="1">
        <v>1197831</v>
      </c>
      <c r="C2555" s="2">
        <v>44733</v>
      </c>
      <c r="D2555" s="1" t="s">
        <v>19</v>
      </c>
      <c r="E2555" s="1" t="s">
        <v>86</v>
      </c>
      <c r="F2555" s="1" t="s">
        <v>87</v>
      </c>
      <c r="G2555" s="1" t="s">
        <v>16</v>
      </c>
      <c r="H2555" s="1">
        <v>34</v>
      </c>
      <c r="I2555" s="1" t="s">
        <v>126</v>
      </c>
      <c r="J2555" s="3">
        <v>0.4</v>
      </c>
      <c r="K2555" s="4">
        <v>3000</v>
      </c>
      <c r="L2555" s="5">
        <f t="shared" si="20"/>
        <v>1200</v>
      </c>
      <c r="M2555" s="5">
        <f t="shared" si="21"/>
        <v>480</v>
      </c>
      <c r="N2555" s="6">
        <v>0.4</v>
      </c>
    </row>
    <row r="2556" spans="1:14" ht="15.75" customHeight="1" x14ac:dyDescent="0.45">
      <c r="A2556" s="1" t="s">
        <v>120</v>
      </c>
      <c r="B2556" s="1">
        <v>1197831</v>
      </c>
      <c r="C2556" s="2">
        <v>44733</v>
      </c>
      <c r="D2556" s="1" t="s">
        <v>19</v>
      </c>
      <c r="E2556" s="1" t="s">
        <v>86</v>
      </c>
      <c r="F2556" s="1" t="s">
        <v>87</v>
      </c>
      <c r="G2556" s="1" t="s">
        <v>17</v>
      </c>
      <c r="H2556" s="1">
        <v>33</v>
      </c>
      <c r="I2556" s="1" t="s">
        <v>123</v>
      </c>
      <c r="J2556" s="3">
        <v>0.54999999999999993</v>
      </c>
      <c r="K2556" s="4">
        <v>3000</v>
      </c>
      <c r="L2556" s="5">
        <f t="shared" si="20"/>
        <v>1649.9999999999998</v>
      </c>
      <c r="M2556" s="5">
        <f t="shared" si="21"/>
        <v>577.49999999999989</v>
      </c>
      <c r="N2556" s="6">
        <v>0.35</v>
      </c>
    </row>
    <row r="2557" spans="1:14" ht="15.75" customHeight="1" x14ac:dyDescent="0.45">
      <c r="A2557" s="1" t="s">
        <v>120</v>
      </c>
      <c r="B2557" s="1">
        <v>1197831</v>
      </c>
      <c r="C2557" s="2">
        <v>44733</v>
      </c>
      <c r="D2557" s="1" t="s">
        <v>19</v>
      </c>
      <c r="E2557" s="1" t="s">
        <v>86</v>
      </c>
      <c r="F2557" s="1" t="s">
        <v>87</v>
      </c>
      <c r="G2557" s="1" t="s">
        <v>18</v>
      </c>
      <c r="H2557" s="1">
        <v>27</v>
      </c>
      <c r="I2557" s="1" t="s">
        <v>124</v>
      </c>
      <c r="J2557" s="3">
        <v>0.6</v>
      </c>
      <c r="K2557" s="4">
        <v>4750</v>
      </c>
      <c r="L2557" s="5">
        <f t="shared" si="20"/>
        <v>2850</v>
      </c>
      <c r="M2557" s="5">
        <f t="shared" si="21"/>
        <v>1140</v>
      </c>
      <c r="N2557" s="6">
        <v>0.4</v>
      </c>
    </row>
    <row r="2558" spans="1:14" ht="15.75" customHeight="1" x14ac:dyDescent="0.45">
      <c r="A2558" s="1" t="s">
        <v>120</v>
      </c>
      <c r="B2558" s="1">
        <v>1197831</v>
      </c>
      <c r="C2558" s="2">
        <v>44761</v>
      </c>
      <c r="D2558" s="1" t="s">
        <v>19</v>
      </c>
      <c r="E2558" s="1" t="s">
        <v>86</v>
      </c>
      <c r="F2558" s="1" t="s">
        <v>87</v>
      </c>
      <c r="G2558" s="1" t="s">
        <v>13</v>
      </c>
      <c r="H2558" s="1">
        <v>56</v>
      </c>
      <c r="I2558" s="1" t="s">
        <v>124</v>
      </c>
      <c r="J2558" s="3">
        <v>0.54999999999999993</v>
      </c>
      <c r="K2558" s="4">
        <v>7000</v>
      </c>
      <c r="L2558" s="5">
        <f t="shared" si="20"/>
        <v>3849.9999999999995</v>
      </c>
      <c r="M2558" s="5">
        <f t="shared" si="21"/>
        <v>1540</v>
      </c>
      <c r="N2558" s="6">
        <v>0.4</v>
      </c>
    </row>
    <row r="2559" spans="1:14" ht="15.75" customHeight="1" x14ac:dyDescent="0.45">
      <c r="A2559" s="1" t="s">
        <v>120</v>
      </c>
      <c r="B2559" s="1">
        <v>1197831</v>
      </c>
      <c r="C2559" s="2">
        <v>44761</v>
      </c>
      <c r="D2559" s="1" t="s">
        <v>19</v>
      </c>
      <c r="E2559" s="1" t="s">
        <v>86</v>
      </c>
      <c r="F2559" s="1" t="s">
        <v>87</v>
      </c>
      <c r="G2559" s="1" t="s">
        <v>14</v>
      </c>
      <c r="H2559" s="1">
        <v>41</v>
      </c>
      <c r="I2559" s="1" t="s">
        <v>124</v>
      </c>
      <c r="J2559" s="3">
        <v>0.5</v>
      </c>
      <c r="K2559" s="4">
        <v>4500</v>
      </c>
      <c r="L2559" s="5">
        <f t="shared" si="20"/>
        <v>2250</v>
      </c>
      <c r="M2559" s="5">
        <f t="shared" si="21"/>
        <v>787.5</v>
      </c>
      <c r="N2559" s="6">
        <v>0.35</v>
      </c>
    </row>
    <row r="2560" spans="1:14" ht="15.75" customHeight="1" x14ac:dyDescent="0.45">
      <c r="A2560" s="1" t="s">
        <v>120</v>
      </c>
      <c r="B2560" s="1">
        <v>1197831</v>
      </c>
      <c r="C2560" s="2">
        <v>44761</v>
      </c>
      <c r="D2560" s="1" t="s">
        <v>19</v>
      </c>
      <c r="E2560" s="1" t="s">
        <v>86</v>
      </c>
      <c r="F2560" s="1" t="s">
        <v>87</v>
      </c>
      <c r="G2560" s="1" t="s">
        <v>15</v>
      </c>
      <c r="H2560" s="1">
        <v>23</v>
      </c>
      <c r="I2560" s="1" t="s">
        <v>125</v>
      </c>
      <c r="J2560" s="3">
        <v>0.45</v>
      </c>
      <c r="K2560" s="4">
        <v>3750</v>
      </c>
      <c r="L2560" s="5">
        <f t="shared" si="20"/>
        <v>1687.5</v>
      </c>
      <c r="M2560" s="5">
        <f t="shared" si="21"/>
        <v>675</v>
      </c>
      <c r="N2560" s="6">
        <v>0.4</v>
      </c>
    </row>
    <row r="2561" spans="1:14" ht="15.75" customHeight="1" x14ac:dyDescent="0.45">
      <c r="A2561" s="1" t="s">
        <v>120</v>
      </c>
      <c r="B2561" s="1">
        <v>1197831</v>
      </c>
      <c r="C2561" s="2">
        <v>44761</v>
      </c>
      <c r="D2561" s="1" t="s">
        <v>19</v>
      </c>
      <c r="E2561" s="1" t="s">
        <v>86</v>
      </c>
      <c r="F2561" s="1" t="s">
        <v>87</v>
      </c>
      <c r="G2561" s="1" t="s">
        <v>16</v>
      </c>
      <c r="H2561" s="1">
        <v>52</v>
      </c>
      <c r="I2561" s="1" t="s">
        <v>125</v>
      </c>
      <c r="J2561" s="3">
        <v>0.45</v>
      </c>
      <c r="K2561" s="4">
        <v>3250</v>
      </c>
      <c r="L2561" s="5">
        <f t="shared" si="20"/>
        <v>1462.5</v>
      </c>
      <c r="M2561" s="5">
        <f t="shared" si="21"/>
        <v>585</v>
      </c>
      <c r="N2561" s="6">
        <v>0.4</v>
      </c>
    </row>
    <row r="2562" spans="1:14" ht="15.75" customHeight="1" x14ac:dyDescent="0.45">
      <c r="A2562" s="1" t="s">
        <v>120</v>
      </c>
      <c r="B2562" s="1">
        <v>1197831</v>
      </c>
      <c r="C2562" s="2">
        <v>44761</v>
      </c>
      <c r="D2562" s="1" t="s">
        <v>19</v>
      </c>
      <c r="E2562" s="1" t="s">
        <v>86</v>
      </c>
      <c r="F2562" s="1" t="s">
        <v>87</v>
      </c>
      <c r="G2562" s="1" t="s">
        <v>17</v>
      </c>
      <c r="H2562" s="1">
        <v>22</v>
      </c>
      <c r="I2562" s="1" t="s">
        <v>123</v>
      </c>
      <c r="J2562" s="3">
        <v>0.6</v>
      </c>
      <c r="K2562" s="4">
        <v>3500</v>
      </c>
      <c r="L2562" s="5">
        <f t="shared" si="20"/>
        <v>2100</v>
      </c>
      <c r="M2562" s="5">
        <f t="shared" si="21"/>
        <v>735</v>
      </c>
      <c r="N2562" s="6">
        <v>0.35</v>
      </c>
    </row>
    <row r="2563" spans="1:14" ht="15.75" customHeight="1" x14ac:dyDescent="0.45">
      <c r="A2563" s="1" t="s">
        <v>120</v>
      </c>
      <c r="B2563" s="1">
        <v>1197831</v>
      </c>
      <c r="C2563" s="2">
        <v>44761</v>
      </c>
      <c r="D2563" s="1" t="s">
        <v>19</v>
      </c>
      <c r="E2563" s="1" t="s">
        <v>86</v>
      </c>
      <c r="F2563" s="1" t="s">
        <v>87</v>
      </c>
      <c r="G2563" s="1" t="s">
        <v>18</v>
      </c>
      <c r="H2563" s="1">
        <v>15</v>
      </c>
      <c r="I2563" s="1" t="s">
        <v>124</v>
      </c>
      <c r="J2563" s="3">
        <v>0.65</v>
      </c>
      <c r="K2563" s="4">
        <v>5250</v>
      </c>
      <c r="L2563" s="5">
        <f t="shared" si="20"/>
        <v>3412.5</v>
      </c>
      <c r="M2563" s="5">
        <f t="shared" si="21"/>
        <v>1365</v>
      </c>
      <c r="N2563" s="6">
        <v>0.4</v>
      </c>
    </row>
    <row r="2564" spans="1:14" ht="15.75" customHeight="1" x14ac:dyDescent="0.45">
      <c r="A2564" s="1" t="s">
        <v>120</v>
      </c>
      <c r="B2564" s="1">
        <v>1197831</v>
      </c>
      <c r="C2564" s="2">
        <v>44793</v>
      </c>
      <c r="D2564" s="1" t="s">
        <v>19</v>
      </c>
      <c r="E2564" s="1" t="s">
        <v>86</v>
      </c>
      <c r="F2564" s="1" t="s">
        <v>87</v>
      </c>
      <c r="G2564" s="1" t="s">
        <v>13</v>
      </c>
      <c r="H2564" s="1">
        <v>19</v>
      </c>
      <c r="I2564" s="1" t="s">
        <v>126</v>
      </c>
      <c r="J2564" s="3">
        <v>0.6</v>
      </c>
      <c r="K2564" s="4">
        <v>6750</v>
      </c>
      <c r="L2564" s="5">
        <f t="shared" si="20"/>
        <v>4050</v>
      </c>
      <c r="M2564" s="5">
        <f t="shared" si="21"/>
        <v>1620</v>
      </c>
      <c r="N2564" s="6">
        <v>0.4</v>
      </c>
    </row>
    <row r="2565" spans="1:14" ht="15.75" customHeight="1" x14ac:dyDescent="0.45">
      <c r="A2565" s="1" t="s">
        <v>120</v>
      </c>
      <c r="B2565" s="1">
        <v>1197831</v>
      </c>
      <c r="C2565" s="2">
        <v>44793</v>
      </c>
      <c r="D2565" s="1" t="s">
        <v>19</v>
      </c>
      <c r="E2565" s="1" t="s">
        <v>86</v>
      </c>
      <c r="F2565" s="1" t="s">
        <v>87</v>
      </c>
      <c r="G2565" s="1" t="s">
        <v>14</v>
      </c>
      <c r="H2565" s="1">
        <v>54</v>
      </c>
      <c r="I2565" s="1" t="s">
        <v>126</v>
      </c>
      <c r="J2565" s="3">
        <v>0.55000000000000004</v>
      </c>
      <c r="K2565" s="4">
        <v>4500</v>
      </c>
      <c r="L2565" s="5">
        <f t="shared" si="20"/>
        <v>2475</v>
      </c>
      <c r="M2565" s="5">
        <f t="shared" si="21"/>
        <v>866.25</v>
      </c>
      <c r="N2565" s="6">
        <v>0.35</v>
      </c>
    </row>
    <row r="2566" spans="1:14" ht="15.75" customHeight="1" x14ac:dyDescent="0.45">
      <c r="A2566" s="1" t="s">
        <v>120</v>
      </c>
      <c r="B2566" s="1">
        <v>1197831</v>
      </c>
      <c r="C2566" s="2">
        <v>44793</v>
      </c>
      <c r="D2566" s="1" t="s">
        <v>19</v>
      </c>
      <c r="E2566" s="1" t="s">
        <v>86</v>
      </c>
      <c r="F2566" s="1" t="s">
        <v>87</v>
      </c>
      <c r="G2566" s="1" t="s">
        <v>15</v>
      </c>
      <c r="H2566" s="1">
        <v>16</v>
      </c>
      <c r="I2566" s="1" t="s">
        <v>126</v>
      </c>
      <c r="J2566" s="3">
        <v>0.5</v>
      </c>
      <c r="K2566" s="4">
        <v>3750</v>
      </c>
      <c r="L2566" s="5">
        <f t="shared" si="20"/>
        <v>1875</v>
      </c>
      <c r="M2566" s="5">
        <f t="shared" si="21"/>
        <v>750</v>
      </c>
      <c r="N2566" s="6">
        <v>0.4</v>
      </c>
    </row>
    <row r="2567" spans="1:14" ht="15.75" customHeight="1" x14ac:dyDescent="0.45">
      <c r="A2567" s="1" t="s">
        <v>120</v>
      </c>
      <c r="B2567" s="1">
        <v>1197831</v>
      </c>
      <c r="C2567" s="2">
        <v>44793</v>
      </c>
      <c r="D2567" s="1" t="s">
        <v>19</v>
      </c>
      <c r="E2567" s="1" t="s">
        <v>86</v>
      </c>
      <c r="F2567" s="1" t="s">
        <v>87</v>
      </c>
      <c r="G2567" s="1" t="s">
        <v>16</v>
      </c>
      <c r="H2567" s="1">
        <v>16</v>
      </c>
      <c r="I2567" s="1" t="s">
        <v>123</v>
      </c>
      <c r="J2567" s="3">
        <v>0.4</v>
      </c>
      <c r="K2567" s="4">
        <v>3250</v>
      </c>
      <c r="L2567" s="5">
        <f t="shared" si="20"/>
        <v>1300</v>
      </c>
      <c r="M2567" s="5">
        <f t="shared" si="21"/>
        <v>520</v>
      </c>
      <c r="N2567" s="6">
        <v>0.4</v>
      </c>
    </row>
    <row r="2568" spans="1:14" ht="15.75" customHeight="1" x14ac:dyDescent="0.45">
      <c r="A2568" s="1" t="s">
        <v>120</v>
      </c>
      <c r="B2568" s="1">
        <v>1197831</v>
      </c>
      <c r="C2568" s="2">
        <v>44793</v>
      </c>
      <c r="D2568" s="1" t="s">
        <v>19</v>
      </c>
      <c r="E2568" s="1" t="s">
        <v>86</v>
      </c>
      <c r="F2568" s="1" t="s">
        <v>87</v>
      </c>
      <c r="G2568" s="1" t="s">
        <v>17</v>
      </c>
      <c r="H2568" s="1">
        <v>15</v>
      </c>
      <c r="I2568" s="1" t="s">
        <v>124</v>
      </c>
      <c r="J2568" s="3">
        <v>0.5</v>
      </c>
      <c r="K2568" s="4">
        <v>3000</v>
      </c>
      <c r="L2568" s="5">
        <f t="shared" si="20"/>
        <v>1500</v>
      </c>
      <c r="M2568" s="5">
        <f t="shared" si="21"/>
        <v>525</v>
      </c>
      <c r="N2568" s="6">
        <v>0.35</v>
      </c>
    </row>
    <row r="2569" spans="1:14" ht="15.75" customHeight="1" x14ac:dyDescent="0.45">
      <c r="A2569" s="1" t="s">
        <v>120</v>
      </c>
      <c r="B2569" s="1">
        <v>1197831</v>
      </c>
      <c r="C2569" s="2">
        <v>44793</v>
      </c>
      <c r="D2569" s="1" t="s">
        <v>19</v>
      </c>
      <c r="E2569" s="1" t="s">
        <v>86</v>
      </c>
      <c r="F2569" s="1" t="s">
        <v>87</v>
      </c>
      <c r="G2569" s="1" t="s">
        <v>18</v>
      </c>
      <c r="H2569" s="1">
        <v>43</v>
      </c>
      <c r="I2569" s="1" t="s">
        <v>123</v>
      </c>
      <c r="J2569" s="3">
        <v>0.55000000000000004</v>
      </c>
      <c r="K2569" s="4">
        <v>4750</v>
      </c>
      <c r="L2569" s="5">
        <f t="shared" si="20"/>
        <v>2612.5</v>
      </c>
      <c r="M2569" s="5">
        <f t="shared" si="21"/>
        <v>1045</v>
      </c>
      <c r="N2569" s="6">
        <v>0.4</v>
      </c>
    </row>
    <row r="2570" spans="1:14" ht="15.75" customHeight="1" x14ac:dyDescent="0.45">
      <c r="A2570" s="1" t="s">
        <v>120</v>
      </c>
      <c r="B2570" s="1">
        <v>1197831</v>
      </c>
      <c r="C2570" s="2">
        <v>44823</v>
      </c>
      <c r="D2570" s="1" t="s">
        <v>19</v>
      </c>
      <c r="E2570" s="1" t="s">
        <v>86</v>
      </c>
      <c r="F2570" s="1" t="s">
        <v>87</v>
      </c>
      <c r="G2570" s="1" t="s">
        <v>13</v>
      </c>
      <c r="H2570" s="1">
        <v>30</v>
      </c>
      <c r="I2570" s="1" t="s">
        <v>123</v>
      </c>
      <c r="J2570" s="3">
        <v>0.5</v>
      </c>
      <c r="K2570" s="4">
        <v>5750</v>
      </c>
      <c r="L2570" s="5">
        <f t="shared" si="20"/>
        <v>2875</v>
      </c>
      <c r="M2570" s="5">
        <f t="shared" si="21"/>
        <v>1150</v>
      </c>
      <c r="N2570" s="6">
        <v>0.4</v>
      </c>
    </row>
    <row r="2571" spans="1:14" ht="15.75" customHeight="1" x14ac:dyDescent="0.45">
      <c r="A2571" s="1" t="s">
        <v>120</v>
      </c>
      <c r="B2571" s="1">
        <v>1197831</v>
      </c>
      <c r="C2571" s="2">
        <v>44823</v>
      </c>
      <c r="D2571" s="1" t="s">
        <v>19</v>
      </c>
      <c r="E2571" s="1" t="s">
        <v>86</v>
      </c>
      <c r="F2571" s="1" t="s">
        <v>87</v>
      </c>
      <c r="G2571" s="1" t="s">
        <v>14</v>
      </c>
      <c r="H2571" s="1">
        <v>57</v>
      </c>
      <c r="I2571" s="1" t="s">
        <v>125</v>
      </c>
      <c r="J2571" s="3">
        <v>0.40000000000000013</v>
      </c>
      <c r="K2571" s="4">
        <v>3750</v>
      </c>
      <c r="L2571" s="5">
        <f t="shared" si="20"/>
        <v>1500.0000000000005</v>
      </c>
      <c r="M2571" s="5">
        <f t="shared" si="21"/>
        <v>525.00000000000011</v>
      </c>
      <c r="N2571" s="6">
        <v>0.35</v>
      </c>
    </row>
    <row r="2572" spans="1:14" ht="15.75" customHeight="1" x14ac:dyDescent="0.45">
      <c r="A2572" s="1" t="s">
        <v>120</v>
      </c>
      <c r="B2572" s="1">
        <v>1197831</v>
      </c>
      <c r="C2572" s="2">
        <v>44823</v>
      </c>
      <c r="D2572" s="1" t="s">
        <v>19</v>
      </c>
      <c r="E2572" s="1" t="s">
        <v>86</v>
      </c>
      <c r="F2572" s="1" t="s">
        <v>87</v>
      </c>
      <c r="G2572" s="1" t="s">
        <v>15</v>
      </c>
      <c r="H2572" s="1">
        <v>15</v>
      </c>
      <c r="I2572" s="1" t="s">
        <v>123</v>
      </c>
      <c r="J2572" s="3">
        <v>0.15000000000000008</v>
      </c>
      <c r="K2572" s="4">
        <v>2750</v>
      </c>
      <c r="L2572" s="5">
        <f t="shared" si="20"/>
        <v>412.50000000000023</v>
      </c>
      <c r="M2572" s="5">
        <f t="shared" si="21"/>
        <v>165.00000000000011</v>
      </c>
      <c r="N2572" s="6">
        <v>0.4</v>
      </c>
    </row>
    <row r="2573" spans="1:14" ht="15.75" customHeight="1" x14ac:dyDescent="0.45">
      <c r="A2573" s="1" t="s">
        <v>120</v>
      </c>
      <c r="B2573" s="1">
        <v>1197831</v>
      </c>
      <c r="C2573" s="2">
        <v>44823</v>
      </c>
      <c r="D2573" s="1" t="s">
        <v>19</v>
      </c>
      <c r="E2573" s="1" t="s">
        <v>86</v>
      </c>
      <c r="F2573" s="1" t="s">
        <v>87</v>
      </c>
      <c r="G2573" s="1" t="s">
        <v>16</v>
      </c>
      <c r="H2573" s="1">
        <v>34</v>
      </c>
      <c r="I2573" s="1" t="s">
        <v>123</v>
      </c>
      <c r="J2573" s="3">
        <v>0.15000000000000008</v>
      </c>
      <c r="K2573" s="4">
        <v>2500</v>
      </c>
      <c r="L2573" s="5">
        <f t="shared" si="20"/>
        <v>375.00000000000017</v>
      </c>
      <c r="M2573" s="5">
        <f t="shared" si="21"/>
        <v>150.00000000000009</v>
      </c>
      <c r="N2573" s="6">
        <v>0.4</v>
      </c>
    </row>
    <row r="2574" spans="1:14" ht="15.75" customHeight="1" x14ac:dyDescent="0.45">
      <c r="A2574" s="1" t="s">
        <v>120</v>
      </c>
      <c r="B2574" s="1">
        <v>1197831</v>
      </c>
      <c r="C2574" s="2">
        <v>44823</v>
      </c>
      <c r="D2574" s="1" t="s">
        <v>19</v>
      </c>
      <c r="E2574" s="1" t="s">
        <v>86</v>
      </c>
      <c r="F2574" s="1" t="s">
        <v>87</v>
      </c>
      <c r="G2574" s="1" t="s">
        <v>17</v>
      </c>
      <c r="H2574" s="1">
        <v>55</v>
      </c>
      <c r="I2574" s="1" t="s">
        <v>125</v>
      </c>
      <c r="J2574" s="3">
        <v>0.25000000000000006</v>
      </c>
      <c r="K2574" s="4">
        <v>2500</v>
      </c>
      <c r="L2574" s="5">
        <f t="shared" si="20"/>
        <v>625.00000000000011</v>
      </c>
      <c r="M2574" s="5">
        <f t="shared" si="21"/>
        <v>218.75000000000003</v>
      </c>
      <c r="N2574" s="6">
        <v>0.35</v>
      </c>
    </row>
    <row r="2575" spans="1:14" ht="15.75" customHeight="1" x14ac:dyDescent="0.45">
      <c r="A2575" s="1" t="s">
        <v>120</v>
      </c>
      <c r="B2575" s="1">
        <v>1197831</v>
      </c>
      <c r="C2575" s="2">
        <v>44823</v>
      </c>
      <c r="D2575" s="1" t="s">
        <v>19</v>
      </c>
      <c r="E2575" s="1" t="s">
        <v>86</v>
      </c>
      <c r="F2575" s="1" t="s">
        <v>87</v>
      </c>
      <c r="G2575" s="1" t="s">
        <v>18</v>
      </c>
      <c r="H2575" s="1">
        <v>33</v>
      </c>
      <c r="I2575" s="1" t="s">
        <v>124</v>
      </c>
      <c r="J2575" s="3">
        <v>0.3000000000000001</v>
      </c>
      <c r="K2575" s="4">
        <v>3500</v>
      </c>
      <c r="L2575" s="5">
        <f t="shared" si="20"/>
        <v>1050.0000000000005</v>
      </c>
      <c r="M2575" s="5">
        <f t="shared" si="21"/>
        <v>420.00000000000023</v>
      </c>
      <c r="N2575" s="6">
        <v>0.4</v>
      </c>
    </row>
    <row r="2576" spans="1:14" ht="15.75" customHeight="1" x14ac:dyDescent="0.45">
      <c r="A2576" s="1" t="s">
        <v>120</v>
      </c>
      <c r="B2576" s="1">
        <v>1197831</v>
      </c>
      <c r="C2576" s="2">
        <v>44855</v>
      </c>
      <c r="D2576" s="1" t="s">
        <v>19</v>
      </c>
      <c r="E2576" s="1" t="s">
        <v>86</v>
      </c>
      <c r="F2576" s="1" t="s">
        <v>87</v>
      </c>
      <c r="G2576" s="1" t="s">
        <v>13</v>
      </c>
      <c r="H2576" s="1">
        <v>19</v>
      </c>
      <c r="I2576" s="1" t="s">
        <v>124</v>
      </c>
      <c r="J2576" s="3">
        <v>0.3000000000000001</v>
      </c>
      <c r="K2576" s="4">
        <v>5250</v>
      </c>
      <c r="L2576" s="5">
        <f t="shared" si="20"/>
        <v>1575.0000000000005</v>
      </c>
      <c r="M2576" s="5">
        <f t="shared" si="21"/>
        <v>630.00000000000023</v>
      </c>
      <c r="N2576" s="6">
        <v>0.4</v>
      </c>
    </row>
    <row r="2577" spans="1:14" ht="15.75" customHeight="1" x14ac:dyDescent="0.45">
      <c r="A2577" s="1" t="s">
        <v>120</v>
      </c>
      <c r="B2577" s="1">
        <v>1197831</v>
      </c>
      <c r="C2577" s="2">
        <v>44855</v>
      </c>
      <c r="D2577" s="1" t="s">
        <v>19</v>
      </c>
      <c r="E2577" s="1" t="s">
        <v>86</v>
      </c>
      <c r="F2577" s="1" t="s">
        <v>87</v>
      </c>
      <c r="G2577" s="1" t="s">
        <v>14</v>
      </c>
      <c r="H2577" s="1">
        <v>25</v>
      </c>
      <c r="I2577" s="1" t="s">
        <v>126</v>
      </c>
      <c r="J2577" s="3">
        <v>0.20000000000000012</v>
      </c>
      <c r="K2577" s="4">
        <v>3500</v>
      </c>
      <c r="L2577" s="5">
        <f t="shared" si="20"/>
        <v>700.00000000000045</v>
      </c>
      <c r="M2577" s="5">
        <f t="shared" si="21"/>
        <v>245.00000000000014</v>
      </c>
      <c r="N2577" s="6">
        <v>0.35</v>
      </c>
    </row>
    <row r="2578" spans="1:14" ht="15.75" customHeight="1" x14ac:dyDescent="0.45">
      <c r="A2578" s="1" t="s">
        <v>120</v>
      </c>
      <c r="B2578" s="1">
        <v>1197831</v>
      </c>
      <c r="C2578" s="2">
        <v>44855</v>
      </c>
      <c r="D2578" s="1" t="s">
        <v>19</v>
      </c>
      <c r="E2578" s="1" t="s">
        <v>86</v>
      </c>
      <c r="F2578" s="1" t="s">
        <v>87</v>
      </c>
      <c r="G2578" s="1" t="s">
        <v>15</v>
      </c>
      <c r="H2578" s="1">
        <v>53</v>
      </c>
      <c r="I2578" s="1" t="s">
        <v>124</v>
      </c>
      <c r="J2578" s="3">
        <v>0.20000000000000012</v>
      </c>
      <c r="K2578" s="4">
        <v>2250</v>
      </c>
      <c r="L2578" s="5">
        <f t="shared" si="20"/>
        <v>450.00000000000028</v>
      </c>
      <c r="M2578" s="5">
        <f t="shared" si="21"/>
        <v>180.00000000000011</v>
      </c>
      <c r="N2578" s="6">
        <v>0.4</v>
      </c>
    </row>
    <row r="2579" spans="1:14" ht="15.75" customHeight="1" x14ac:dyDescent="0.45">
      <c r="A2579" s="1" t="s">
        <v>120</v>
      </c>
      <c r="B2579" s="1">
        <v>1197831</v>
      </c>
      <c r="C2579" s="2">
        <v>44855</v>
      </c>
      <c r="D2579" s="1" t="s">
        <v>19</v>
      </c>
      <c r="E2579" s="1" t="s">
        <v>86</v>
      </c>
      <c r="F2579" s="1" t="s">
        <v>87</v>
      </c>
      <c r="G2579" s="1" t="s">
        <v>16</v>
      </c>
      <c r="H2579" s="1">
        <v>41</v>
      </c>
      <c r="I2579" s="1" t="s">
        <v>126</v>
      </c>
      <c r="J2579" s="3">
        <v>0.20000000000000012</v>
      </c>
      <c r="K2579" s="4">
        <v>2000</v>
      </c>
      <c r="L2579" s="5">
        <f t="shared" si="20"/>
        <v>400.00000000000023</v>
      </c>
      <c r="M2579" s="5">
        <f t="shared" si="21"/>
        <v>160.00000000000011</v>
      </c>
      <c r="N2579" s="6">
        <v>0.4</v>
      </c>
    </row>
    <row r="2580" spans="1:14" ht="15.75" customHeight="1" x14ac:dyDescent="0.45">
      <c r="A2580" s="1" t="s">
        <v>120</v>
      </c>
      <c r="B2580" s="1">
        <v>1197831</v>
      </c>
      <c r="C2580" s="2">
        <v>44855</v>
      </c>
      <c r="D2580" s="1" t="s">
        <v>19</v>
      </c>
      <c r="E2580" s="1" t="s">
        <v>86</v>
      </c>
      <c r="F2580" s="1" t="s">
        <v>87</v>
      </c>
      <c r="G2580" s="1" t="s">
        <v>17</v>
      </c>
      <c r="H2580" s="1">
        <v>45</v>
      </c>
      <c r="I2580" s="1" t="s">
        <v>126</v>
      </c>
      <c r="J2580" s="3">
        <v>0.3000000000000001</v>
      </c>
      <c r="K2580" s="4">
        <v>2000</v>
      </c>
      <c r="L2580" s="5">
        <f t="shared" si="20"/>
        <v>600.00000000000023</v>
      </c>
      <c r="M2580" s="5">
        <f t="shared" si="21"/>
        <v>210.00000000000006</v>
      </c>
      <c r="N2580" s="6">
        <v>0.35</v>
      </c>
    </row>
    <row r="2581" spans="1:14" ht="15.75" customHeight="1" x14ac:dyDescent="0.45">
      <c r="A2581" s="1" t="s">
        <v>120</v>
      </c>
      <c r="B2581" s="1">
        <v>1197831</v>
      </c>
      <c r="C2581" s="2">
        <v>44855</v>
      </c>
      <c r="D2581" s="1" t="s">
        <v>19</v>
      </c>
      <c r="E2581" s="1" t="s">
        <v>86</v>
      </c>
      <c r="F2581" s="1" t="s">
        <v>87</v>
      </c>
      <c r="G2581" s="1" t="s">
        <v>18</v>
      </c>
      <c r="H2581" s="1">
        <v>52</v>
      </c>
      <c r="I2581" s="1" t="s">
        <v>125</v>
      </c>
      <c r="J2581" s="3">
        <v>0.30000000000000004</v>
      </c>
      <c r="K2581" s="4">
        <v>3250</v>
      </c>
      <c r="L2581" s="5">
        <f t="shared" si="20"/>
        <v>975.00000000000011</v>
      </c>
      <c r="M2581" s="5">
        <f t="shared" si="21"/>
        <v>390.00000000000006</v>
      </c>
      <c r="N2581" s="6">
        <v>0.4</v>
      </c>
    </row>
    <row r="2582" spans="1:14" ht="15.75" customHeight="1" x14ac:dyDescent="0.45">
      <c r="A2582" s="1" t="s">
        <v>120</v>
      </c>
      <c r="B2582" s="1">
        <v>1197831</v>
      </c>
      <c r="C2582" s="2">
        <v>44885</v>
      </c>
      <c r="D2582" s="1" t="s">
        <v>19</v>
      </c>
      <c r="E2582" s="1" t="s">
        <v>86</v>
      </c>
      <c r="F2582" s="1" t="s">
        <v>87</v>
      </c>
      <c r="G2582" s="1" t="s">
        <v>13</v>
      </c>
      <c r="H2582" s="1">
        <v>43</v>
      </c>
      <c r="I2582" s="1" t="s">
        <v>124</v>
      </c>
      <c r="J2582" s="3">
        <v>0.25000000000000011</v>
      </c>
      <c r="K2582" s="4">
        <v>4750</v>
      </c>
      <c r="L2582" s="5">
        <f t="shared" si="20"/>
        <v>1187.5000000000005</v>
      </c>
      <c r="M2582" s="5">
        <f t="shared" si="21"/>
        <v>475.00000000000023</v>
      </c>
      <c r="N2582" s="6">
        <v>0.4</v>
      </c>
    </row>
    <row r="2583" spans="1:14" ht="15.75" customHeight="1" x14ac:dyDescent="0.45">
      <c r="A2583" s="1" t="s">
        <v>120</v>
      </c>
      <c r="B2583" s="1">
        <v>1197831</v>
      </c>
      <c r="C2583" s="2">
        <v>44885</v>
      </c>
      <c r="D2583" s="1" t="s">
        <v>19</v>
      </c>
      <c r="E2583" s="1" t="s">
        <v>86</v>
      </c>
      <c r="F2583" s="1" t="s">
        <v>87</v>
      </c>
      <c r="G2583" s="1" t="s">
        <v>14</v>
      </c>
      <c r="H2583" s="1">
        <v>42</v>
      </c>
      <c r="I2583" s="1" t="s">
        <v>125</v>
      </c>
      <c r="J2583" s="3">
        <v>0.15000000000000013</v>
      </c>
      <c r="K2583" s="4">
        <v>3000</v>
      </c>
      <c r="L2583" s="5">
        <f t="shared" si="20"/>
        <v>450.0000000000004</v>
      </c>
      <c r="M2583" s="5">
        <f t="shared" si="21"/>
        <v>157.50000000000014</v>
      </c>
      <c r="N2583" s="6">
        <v>0.35</v>
      </c>
    </row>
    <row r="2584" spans="1:14" ht="15.75" customHeight="1" x14ac:dyDescent="0.45">
      <c r="A2584" s="1" t="s">
        <v>120</v>
      </c>
      <c r="B2584" s="1">
        <v>1197831</v>
      </c>
      <c r="C2584" s="2">
        <v>44885</v>
      </c>
      <c r="D2584" s="1" t="s">
        <v>19</v>
      </c>
      <c r="E2584" s="1" t="s">
        <v>86</v>
      </c>
      <c r="F2584" s="1" t="s">
        <v>87</v>
      </c>
      <c r="G2584" s="1" t="s">
        <v>15</v>
      </c>
      <c r="H2584" s="1">
        <v>27</v>
      </c>
      <c r="I2584" s="1" t="s">
        <v>125</v>
      </c>
      <c r="J2584" s="3">
        <v>0.25000000000000017</v>
      </c>
      <c r="K2584" s="4">
        <v>2450</v>
      </c>
      <c r="L2584" s="5">
        <f t="shared" si="20"/>
        <v>612.50000000000045</v>
      </c>
      <c r="M2584" s="5">
        <f t="shared" si="21"/>
        <v>245.0000000000002</v>
      </c>
      <c r="N2584" s="6">
        <v>0.4</v>
      </c>
    </row>
    <row r="2585" spans="1:14" ht="15.75" customHeight="1" x14ac:dyDescent="0.45">
      <c r="A2585" s="1" t="s">
        <v>120</v>
      </c>
      <c r="B2585" s="1">
        <v>1197831</v>
      </c>
      <c r="C2585" s="2">
        <v>44885</v>
      </c>
      <c r="D2585" s="1" t="s">
        <v>19</v>
      </c>
      <c r="E2585" s="1" t="s">
        <v>86</v>
      </c>
      <c r="F2585" s="1" t="s">
        <v>87</v>
      </c>
      <c r="G2585" s="1" t="s">
        <v>16</v>
      </c>
      <c r="H2585" s="1">
        <v>57</v>
      </c>
      <c r="I2585" s="1" t="s">
        <v>126</v>
      </c>
      <c r="J2585" s="3">
        <v>0.55000000000000016</v>
      </c>
      <c r="K2585" s="4">
        <v>3000</v>
      </c>
      <c r="L2585" s="5">
        <f t="shared" si="20"/>
        <v>1650.0000000000005</v>
      </c>
      <c r="M2585" s="5">
        <f t="shared" si="21"/>
        <v>660.00000000000023</v>
      </c>
      <c r="N2585" s="6">
        <v>0.4</v>
      </c>
    </row>
    <row r="2586" spans="1:14" ht="15.75" customHeight="1" x14ac:dyDescent="0.45">
      <c r="A2586" s="1" t="s">
        <v>120</v>
      </c>
      <c r="B2586" s="1">
        <v>1197831</v>
      </c>
      <c r="C2586" s="2">
        <v>44885</v>
      </c>
      <c r="D2586" s="1" t="s">
        <v>19</v>
      </c>
      <c r="E2586" s="1" t="s">
        <v>86</v>
      </c>
      <c r="F2586" s="1" t="s">
        <v>87</v>
      </c>
      <c r="G2586" s="1" t="s">
        <v>17</v>
      </c>
      <c r="H2586" s="1">
        <v>55</v>
      </c>
      <c r="I2586" s="1" t="s">
        <v>126</v>
      </c>
      <c r="J2586" s="3">
        <v>0.75000000000000011</v>
      </c>
      <c r="K2586" s="4">
        <v>2750</v>
      </c>
      <c r="L2586" s="5">
        <f t="shared" si="20"/>
        <v>2062.5000000000005</v>
      </c>
      <c r="M2586" s="5">
        <f t="shared" si="21"/>
        <v>721.87500000000011</v>
      </c>
      <c r="N2586" s="6">
        <v>0.35</v>
      </c>
    </row>
    <row r="2587" spans="1:14" ht="15.75" customHeight="1" x14ac:dyDescent="0.45">
      <c r="A2587" s="1" t="s">
        <v>120</v>
      </c>
      <c r="B2587" s="1">
        <v>1197831</v>
      </c>
      <c r="C2587" s="2">
        <v>44885</v>
      </c>
      <c r="D2587" s="1" t="s">
        <v>19</v>
      </c>
      <c r="E2587" s="1" t="s">
        <v>86</v>
      </c>
      <c r="F2587" s="1" t="s">
        <v>87</v>
      </c>
      <c r="G2587" s="1" t="s">
        <v>18</v>
      </c>
      <c r="H2587" s="1">
        <v>33</v>
      </c>
      <c r="I2587" s="1" t="s">
        <v>126</v>
      </c>
      <c r="J2587" s="3">
        <v>0.75</v>
      </c>
      <c r="K2587" s="4">
        <v>3750</v>
      </c>
      <c r="L2587" s="5">
        <f t="shared" si="20"/>
        <v>2812.5</v>
      </c>
      <c r="M2587" s="5">
        <f t="shared" si="21"/>
        <v>1125</v>
      </c>
      <c r="N2587" s="6">
        <v>0.4</v>
      </c>
    </row>
    <row r="2588" spans="1:14" ht="15.75" customHeight="1" x14ac:dyDescent="0.45">
      <c r="A2588" s="1" t="s">
        <v>120</v>
      </c>
      <c r="B2588" s="1">
        <v>1197831</v>
      </c>
      <c r="C2588" s="2">
        <v>44914</v>
      </c>
      <c r="D2588" s="1" t="s">
        <v>19</v>
      </c>
      <c r="E2588" s="1" t="s">
        <v>86</v>
      </c>
      <c r="F2588" s="1" t="s">
        <v>87</v>
      </c>
      <c r="G2588" s="1" t="s">
        <v>13</v>
      </c>
      <c r="H2588" s="1">
        <v>28</v>
      </c>
      <c r="I2588" s="1" t="s">
        <v>126</v>
      </c>
      <c r="J2588" s="3">
        <v>0.70000000000000007</v>
      </c>
      <c r="K2588" s="4">
        <v>6250</v>
      </c>
      <c r="L2588" s="5">
        <f t="shared" si="20"/>
        <v>4375</v>
      </c>
      <c r="M2588" s="5">
        <f t="shared" si="21"/>
        <v>1750</v>
      </c>
      <c r="N2588" s="6">
        <v>0.4</v>
      </c>
    </row>
    <row r="2589" spans="1:14" ht="15.75" customHeight="1" x14ac:dyDescent="0.45">
      <c r="A2589" s="1" t="s">
        <v>120</v>
      </c>
      <c r="B2589" s="1">
        <v>1197831</v>
      </c>
      <c r="C2589" s="2">
        <v>44914</v>
      </c>
      <c r="D2589" s="1" t="s">
        <v>19</v>
      </c>
      <c r="E2589" s="1" t="s">
        <v>86</v>
      </c>
      <c r="F2589" s="1" t="s">
        <v>87</v>
      </c>
      <c r="G2589" s="1" t="s">
        <v>14</v>
      </c>
      <c r="H2589" s="1">
        <v>30</v>
      </c>
      <c r="I2589" s="1" t="s">
        <v>124</v>
      </c>
      <c r="J2589" s="3">
        <v>0.60000000000000009</v>
      </c>
      <c r="K2589" s="4">
        <v>4250</v>
      </c>
      <c r="L2589" s="5">
        <f t="shared" si="20"/>
        <v>2550.0000000000005</v>
      </c>
      <c r="M2589" s="5">
        <f t="shared" si="21"/>
        <v>892.50000000000011</v>
      </c>
      <c r="N2589" s="6">
        <v>0.35</v>
      </c>
    </row>
    <row r="2590" spans="1:14" ht="15.75" customHeight="1" x14ac:dyDescent="0.45">
      <c r="A2590" s="1" t="s">
        <v>120</v>
      </c>
      <c r="B2590" s="1">
        <v>1197831</v>
      </c>
      <c r="C2590" s="2">
        <v>44914</v>
      </c>
      <c r="D2590" s="1" t="s">
        <v>19</v>
      </c>
      <c r="E2590" s="1" t="s">
        <v>86</v>
      </c>
      <c r="F2590" s="1" t="s">
        <v>87</v>
      </c>
      <c r="G2590" s="1" t="s">
        <v>15</v>
      </c>
      <c r="H2590" s="1">
        <v>16</v>
      </c>
      <c r="I2590" s="1" t="s">
        <v>125</v>
      </c>
      <c r="J2590" s="3">
        <v>0.60000000000000009</v>
      </c>
      <c r="K2590" s="4">
        <v>3750</v>
      </c>
      <c r="L2590" s="5">
        <f t="shared" si="20"/>
        <v>2250.0000000000005</v>
      </c>
      <c r="M2590" s="5">
        <f t="shared" si="21"/>
        <v>900.00000000000023</v>
      </c>
      <c r="N2590" s="6">
        <v>0.4</v>
      </c>
    </row>
    <row r="2591" spans="1:14" ht="15.75" customHeight="1" x14ac:dyDescent="0.45">
      <c r="A2591" s="1" t="s">
        <v>120</v>
      </c>
      <c r="B2591" s="1">
        <v>1197831</v>
      </c>
      <c r="C2591" s="2">
        <v>44914</v>
      </c>
      <c r="D2591" s="1" t="s">
        <v>19</v>
      </c>
      <c r="E2591" s="1" t="s">
        <v>86</v>
      </c>
      <c r="F2591" s="1" t="s">
        <v>87</v>
      </c>
      <c r="G2591" s="1" t="s">
        <v>16</v>
      </c>
      <c r="H2591" s="1">
        <v>41</v>
      </c>
      <c r="I2591" s="1" t="s">
        <v>124</v>
      </c>
      <c r="J2591" s="3">
        <v>0.60000000000000009</v>
      </c>
      <c r="K2591" s="4">
        <v>3250</v>
      </c>
      <c r="L2591" s="5">
        <f t="shared" si="20"/>
        <v>1950.0000000000002</v>
      </c>
      <c r="M2591" s="5">
        <f t="shared" si="21"/>
        <v>780.00000000000011</v>
      </c>
      <c r="N2591" s="6">
        <v>0.4</v>
      </c>
    </row>
    <row r="2592" spans="1:14" ht="15.75" customHeight="1" x14ac:dyDescent="0.45">
      <c r="A2592" s="1" t="s">
        <v>120</v>
      </c>
      <c r="B2592" s="1">
        <v>1197831</v>
      </c>
      <c r="C2592" s="2">
        <v>44914</v>
      </c>
      <c r="D2592" s="1" t="s">
        <v>19</v>
      </c>
      <c r="E2592" s="1" t="s">
        <v>86</v>
      </c>
      <c r="F2592" s="1" t="s">
        <v>87</v>
      </c>
      <c r="G2592" s="1" t="s">
        <v>17</v>
      </c>
      <c r="H2592" s="1">
        <v>48</v>
      </c>
      <c r="I2592" s="1" t="s">
        <v>125</v>
      </c>
      <c r="J2592" s="3">
        <v>0.70000000000000007</v>
      </c>
      <c r="K2592" s="4">
        <v>3250</v>
      </c>
      <c r="L2592" s="5">
        <f t="shared" si="20"/>
        <v>2275</v>
      </c>
      <c r="M2592" s="5">
        <f t="shared" si="21"/>
        <v>796.25</v>
      </c>
      <c r="N2592" s="6">
        <v>0.35</v>
      </c>
    </row>
    <row r="2593" spans="1:14" ht="15.75" customHeight="1" x14ac:dyDescent="0.45">
      <c r="A2593" s="1" t="s">
        <v>120</v>
      </c>
      <c r="B2593" s="1">
        <v>1197831</v>
      </c>
      <c r="C2593" s="2">
        <v>44914</v>
      </c>
      <c r="D2593" s="1" t="s">
        <v>19</v>
      </c>
      <c r="E2593" s="1" t="s">
        <v>86</v>
      </c>
      <c r="F2593" s="1" t="s">
        <v>87</v>
      </c>
      <c r="G2593" s="1" t="s">
        <v>18</v>
      </c>
      <c r="H2593" s="1">
        <v>22</v>
      </c>
      <c r="I2593" s="1" t="s">
        <v>125</v>
      </c>
      <c r="J2593" s="3">
        <v>0.75</v>
      </c>
      <c r="K2593" s="4">
        <v>4250</v>
      </c>
      <c r="L2593" s="5">
        <f t="shared" si="20"/>
        <v>3187.5</v>
      </c>
      <c r="M2593" s="5">
        <f t="shared" si="21"/>
        <v>1275</v>
      </c>
      <c r="N2593" s="6">
        <v>0.4</v>
      </c>
    </row>
    <row r="2594" spans="1:14" ht="15.75" customHeight="1" x14ac:dyDescent="0.45">
      <c r="A2594" s="1" t="s">
        <v>120</v>
      </c>
      <c r="B2594" s="1">
        <v>1197831</v>
      </c>
      <c r="C2594" s="2">
        <v>44577</v>
      </c>
      <c r="D2594" s="1" t="s">
        <v>19</v>
      </c>
      <c r="E2594" s="1" t="s">
        <v>88</v>
      </c>
      <c r="F2594" s="1" t="s">
        <v>89</v>
      </c>
      <c r="G2594" s="1" t="s">
        <v>13</v>
      </c>
      <c r="H2594" s="1">
        <v>54</v>
      </c>
      <c r="I2594" s="1" t="s">
        <v>123</v>
      </c>
      <c r="J2594" s="3">
        <v>0.25000000000000006</v>
      </c>
      <c r="K2594" s="4">
        <v>5500</v>
      </c>
      <c r="L2594" s="5">
        <f t="shared" si="20"/>
        <v>1375.0000000000002</v>
      </c>
      <c r="M2594" s="5">
        <f t="shared" si="21"/>
        <v>481.25000000000006</v>
      </c>
      <c r="N2594" s="6">
        <v>0.35</v>
      </c>
    </row>
    <row r="2595" spans="1:14" ht="15.75" customHeight="1" x14ac:dyDescent="0.45">
      <c r="A2595" s="1" t="s">
        <v>120</v>
      </c>
      <c r="B2595" s="1">
        <v>1197831</v>
      </c>
      <c r="C2595" s="2">
        <v>44577</v>
      </c>
      <c r="D2595" s="1" t="s">
        <v>19</v>
      </c>
      <c r="E2595" s="1" t="s">
        <v>88</v>
      </c>
      <c r="F2595" s="1" t="s">
        <v>89</v>
      </c>
      <c r="G2595" s="1" t="s">
        <v>14</v>
      </c>
      <c r="H2595" s="1">
        <v>48</v>
      </c>
      <c r="I2595" s="1" t="s">
        <v>126</v>
      </c>
      <c r="J2595" s="3">
        <v>0.25000000000000006</v>
      </c>
      <c r="K2595" s="4">
        <v>3500</v>
      </c>
      <c r="L2595" s="5">
        <f t="shared" si="20"/>
        <v>875.00000000000023</v>
      </c>
      <c r="M2595" s="5">
        <f t="shared" si="21"/>
        <v>306.25000000000006</v>
      </c>
      <c r="N2595" s="6">
        <v>0.35</v>
      </c>
    </row>
    <row r="2596" spans="1:14" ht="15.75" customHeight="1" x14ac:dyDescent="0.45">
      <c r="A2596" s="1" t="s">
        <v>120</v>
      </c>
      <c r="B2596" s="1">
        <v>1197831</v>
      </c>
      <c r="C2596" s="2">
        <v>44577</v>
      </c>
      <c r="D2596" s="1" t="s">
        <v>19</v>
      </c>
      <c r="E2596" s="1" t="s">
        <v>88</v>
      </c>
      <c r="F2596" s="1" t="s">
        <v>89</v>
      </c>
      <c r="G2596" s="1" t="s">
        <v>15</v>
      </c>
      <c r="H2596" s="1">
        <v>19</v>
      </c>
      <c r="I2596" s="1" t="s">
        <v>126</v>
      </c>
      <c r="J2596" s="3">
        <v>0.15000000000000008</v>
      </c>
      <c r="K2596" s="4">
        <v>3500</v>
      </c>
      <c r="L2596" s="5">
        <f t="shared" si="20"/>
        <v>525.00000000000023</v>
      </c>
      <c r="M2596" s="5">
        <f t="shared" si="21"/>
        <v>183.75000000000006</v>
      </c>
      <c r="N2596" s="6">
        <v>0.35</v>
      </c>
    </row>
    <row r="2597" spans="1:14" ht="15.75" customHeight="1" x14ac:dyDescent="0.45">
      <c r="A2597" s="1" t="s">
        <v>120</v>
      </c>
      <c r="B2597" s="1">
        <v>1197831</v>
      </c>
      <c r="C2597" s="2">
        <v>44577</v>
      </c>
      <c r="D2597" s="1" t="s">
        <v>19</v>
      </c>
      <c r="E2597" s="1" t="s">
        <v>88</v>
      </c>
      <c r="F2597" s="1" t="s">
        <v>89</v>
      </c>
      <c r="G2597" s="1" t="s">
        <v>16</v>
      </c>
      <c r="H2597" s="1">
        <v>18</v>
      </c>
      <c r="I2597" s="1" t="s">
        <v>126</v>
      </c>
      <c r="J2597" s="3">
        <v>0.2</v>
      </c>
      <c r="K2597" s="4">
        <v>2000</v>
      </c>
      <c r="L2597" s="5">
        <f t="shared" si="20"/>
        <v>400</v>
      </c>
      <c r="M2597" s="5">
        <f t="shared" si="21"/>
        <v>140</v>
      </c>
      <c r="N2597" s="6">
        <v>0.35</v>
      </c>
    </row>
    <row r="2598" spans="1:14" ht="15.75" customHeight="1" x14ac:dyDescent="0.45">
      <c r="A2598" s="1" t="s">
        <v>120</v>
      </c>
      <c r="B2598" s="1">
        <v>1197831</v>
      </c>
      <c r="C2598" s="2">
        <v>44577</v>
      </c>
      <c r="D2598" s="1" t="s">
        <v>19</v>
      </c>
      <c r="E2598" s="1" t="s">
        <v>88</v>
      </c>
      <c r="F2598" s="1" t="s">
        <v>89</v>
      </c>
      <c r="G2598" s="1" t="s">
        <v>17</v>
      </c>
      <c r="H2598" s="1">
        <v>39</v>
      </c>
      <c r="I2598" s="1" t="s">
        <v>125</v>
      </c>
      <c r="J2598" s="3">
        <v>0.35000000000000003</v>
      </c>
      <c r="K2598" s="4">
        <v>2500</v>
      </c>
      <c r="L2598" s="5">
        <f t="shared" si="20"/>
        <v>875.00000000000011</v>
      </c>
      <c r="M2598" s="5">
        <f t="shared" si="21"/>
        <v>306.25</v>
      </c>
      <c r="N2598" s="6">
        <v>0.35</v>
      </c>
    </row>
    <row r="2599" spans="1:14" ht="15.75" customHeight="1" x14ac:dyDescent="0.45">
      <c r="A2599" s="1" t="s">
        <v>120</v>
      </c>
      <c r="B2599" s="1">
        <v>1197831</v>
      </c>
      <c r="C2599" s="2">
        <v>44577</v>
      </c>
      <c r="D2599" s="1" t="s">
        <v>19</v>
      </c>
      <c r="E2599" s="1" t="s">
        <v>88</v>
      </c>
      <c r="F2599" s="1" t="s">
        <v>89</v>
      </c>
      <c r="G2599" s="1" t="s">
        <v>18</v>
      </c>
      <c r="H2599" s="1">
        <v>53</v>
      </c>
      <c r="I2599" s="1" t="s">
        <v>126</v>
      </c>
      <c r="J2599" s="3">
        <v>0.25000000000000006</v>
      </c>
      <c r="K2599" s="4">
        <v>3500</v>
      </c>
      <c r="L2599" s="5">
        <f t="shared" si="20"/>
        <v>875.00000000000023</v>
      </c>
      <c r="M2599" s="5">
        <f t="shared" si="21"/>
        <v>306.25000000000006</v>
      </c>
      <c r="N2599" s="6">
        <v>0.35</v>
      </c>
    </row>
    <row r="2600" spans="1:14" ht="15.75" customHeight="1" x14ac:dyDescent="0.45">
      <c r="A2600" s="1" t="s">
        <v>120</v>
      </c>
      <c r="B2600" s="1">
        <v>1197831</v>
      </c>
      <c r="C2600" s="2">
        <v>44606</v>
      </c>
      <c r="D2600" s="1" t="s">
        <v>19</v>
      </c>
      <c r="E2600" s="1" t="s">
        <v>88</v>
      </c>
      <c r="F2600" s="1" t="s">
        <v>89</v>
      </c>
      <c r="G2600" s="1" t="s">
        <v>13</v>
      </c>
      <c r="H2600" s="1">
        <v>55</v>
      </c>
      <c r="I2600" s="1" t="s">
        <v>124</v>
      </c>
      <c r="J2600" s="3">
        <v>0.25000000000000006</v>
      </c>
      <c r="K2600" s="4">
        <v>6000</v>
      </c>
      <c r="L2600" s="5">
        <f t="shared" si="20"/>
        <v>1500.0000000000002</v>
      </c>
      <c r="M2600" s="5">
        <f t="shared" si="21"/>
        <v>525</v>
      </c>
      <c r="N2600" s="6">
        <v>0.35</v>
      </c>
    </row>
    <row r="2601" spans="1:14" ht="15.75" customHeight="1" x14ac:dyDescent="0.45">
      <c r="A2601" s="1" t="s">
        <v>120</v>
      </c>
      <c r="B2601" s="1">
        <v>1197831</v>
      </c>
      <c r="C2601" s="2">
        <v>44606</v>
      </c>
      <c r="D2601" s="1" t="s">
        <v>19</v>
      </c>
      <c r="E2601" s="1" t="s">
        <v>88</v>
      </c>
      <c r="F2601" s="1" t="s">
        <v>89</v>
      </c>
      <c r="G2601" s="1" t="s">
        <v>14</v>
      </c>
      <c r="H2601" s="1">
        <v>45</v>
      </c>
      <c r="I2601" s="1" t="s">
        <v>124</v>
      </c>
      <c r="J2601" s="3">
        <v>0.25000000000000006</v>
      </c>
      <c r="K2601" s="4">
        <v>2500</v>
      </c>
      <c r="L2601" s="5">
        <f t="shared" si="20"/>
        <v>625.00000000000011</v>
      </c>
      <c r="M2601" s="5">
        <f t="shared" si="21"/>
        <v>218.75000000000003</v>
      </c>
      <c r="N2601" s="6">
        <v>0.35</v>
      </c>
    </row>
    <row r="2602" spans="1:14" ht="15.75" customHeight="1" x14ac:dyDescent="0.45">
      <c r="A2602" s="1" t="s">
        <v>120</v>
      </c>
      <c r="B2602" s="1">
        <v>1197831</v>
      </c>
      <c r="C2602" s="2">
        <v>44606</v>
      </c>
      <c r="D2602" s="1" t="s">
        <v>19</v>
      </c>
      <c r="E2602" s="1" t="s">
        <v>88</v>
      </c>
      <c r="F2602" s="1" t="s">
        <v>89</v>
      </c>
      <c r="G2602" s="1" t="s">
        <v>15</v>
      </c>
      <c r="H2602" s="1">
        <v>27</v>
      </c>
      <c r="I2602" s="1" t="s">
        <v>124</v>
      </c>
      <c r="J2602" s="3">
        <v>0.15000000000000008</v>
      </c>
      <c r="K2602" s="4">
        <v>3000</v>
      </c>
      <c r="L2602" s="5">
        <f t="shared" si="20"/>
        <v>450.00000000000023</v>
      </c>
      <c r="M2602" s="5">
        <f t="shared" si="21"/>
        <v>157.50000000000006</v>
      </c>
      <c r="N2602" s="6">
        <v>0.35</v>
      </c>
    </row>
    <row r="2603" spans="1:14" ht="15.75" customHeight="1" x14ac:dyDescent="0.45">
      <c r="A2603" s="1" t="s">
        <v>120</v>
      </c>
      <c r="B2603" s="1">
        <v>1197831</v>
      </c>
      <c r="C2603" s="2">
        <v>44606</v>
      </c>
      <c r="D2603" s="1" t="s">
        <v>19</v>
      </c>
      <c r="E2603" s="1" t="s">
        <v>88</v>
      </c>
      <c r="F2603" s="1" t="s">
        <v>89</v>
      </c>
      <c r="G2603" s="1" t="s">
        <v>16</v>
      </c>
      <c r="H2603" s="1">
        <v>53</v>
      </c>
      <c r="I2603" s="1" t="s">
        <v>123</v>
      </c>
      <c r="J2603" s="3">
        <v>0.2</v>
      </c>
      <c r="K2603" s="4">
        <v>1500</v>
      </c>
      <c r="L2603" s="5">
        <f t="shared" si="20"/>
        <v>300</v>
      </c>
      <c r="M2603" s="5">
        <f t="shared" si="21"/>
        <v>105</v>
      </c>
      <c r="N2603" s="6">
        <v>0.35</v>
      </c>
    </row>
    <row r="2604" spans="1:14" ht="15.75" customHeight="1" x14ac:dyDescent="0.45">
      <c r="A2604" s="1" t="s">
        <v>120</v>
      </c>
      <c r="B2604" s="1">
        <v>1197831</v>
      </c>
      <c r="C2604" s="2">
        <v>44606</v>
      </c>
      <c r="D2604" s="1" t="s">
        <v>19</v>
      </c>
      <c r="E2604" s="1" t="s">
        <v>88</v>
      </c>
      <c r="F2604" s="1" t="s">
        <v>89</v>
      </c>
      <c r="G2604" s="1" t="s">
        <v>17</v>
      </c>
      <c r="H2604" s="1">
        <v>46</v>
      </c>
      <c r="I2604" s="1" t="s">
        <v>123</v>
      </c>
      <c r="J2604" s="3">
        <v>0.35000000000000003</v>
      </c>
      <c r="K2604" s="4">
        <v>2250</v>
      </c>
      <c r="L2604" s="5">
        <f t="shared" si="20"/>
        <v>787.50000000000011</v>
      </c>
      <c r="M2604" s="5">
        <f t="shared" si="21"/>
        <v>275.625</v>
      </c>
      <c r="N2604" s="6">
        <v>0.35</v>
      </c>
    </row>
    <row r="2605" spans="1:14" ht="15.75" customHeight="1" x14ac:dyDescent="0.45">
      <c r="A2605" s="1" t="s">
        <v>120</v>
      </c>
      <c r="B2605" s="1">
        <v>1197831</v>
      </c>
      <c r="C2605" s="2">
        <v>44606</v>
      </c>
      <c r="D2605" s="1" t="s">
        <v>19</v>
      </c>
      <c r="E2605" s="1" t="s">
        <v>88</v>
      </c>
      <c r="F2605" s="1" t="s">
        <v>89</v>
      </c>
      <c r="G2605" s="1" t="s">
        <v>18</v>
      </c>
      <c r="H2605" s="1">
        <v>37</v>
      </c>
      <c r="I2605" s="1" t="s">
        <v>126</v>
      </c>
      <c r="J2605" s="3">
        <v>0.2</v>
      </c>
      <c r="K2605" s="4">
        <v>3250</v>
      </c>
      <c r="L2605" s="5">
        <f t="shared" si="20"/>
        <v>650</v>
      </c>
      <c r="M2605" s="5">
        <f t="shared" si="21"/>
        <v>227.49999999999997</v>
      </c>
      <c r="N2605" s="6">
        <v>0.35</v>
      </c>
    </row>
    <row r="2606" spans="1:14" ht="15.75" customHeight="1" x14ac:dyDescent="0.45">
      <c r="A2606" s="1" t="s">
        <v>120</v>
      </c>
      <c r="B2606" s="1">
        <v>1197831</v>
      </c>
      <c r="C2606" s="2">
        <v>44632</v>
      </c>
      <c r="D2606" s="1" t="s">
        <v>19</v>
      </c>
      <c r="E2606" s="1" t="s">
        <v>88</v>
      </c>
      <c r="F2606" s="1" t="s">
        <v>89</v>
      </c>
      <c r="G2606" s="1" t="s">
        <v>13</v>
      </c>
      <c r="H2606" s="1">
        <v>31</v>
      </c>
      <c r="I2606" s="1" t="s">
        <v>123</v>
      </c>
      <c r="J2606" s="3">
        <v>0.2</v>
      </c>
      <c r="K2606" s="4">
        <v>5450</v>
      </c>
      <c r="L2606" s="5">
        <f t="shared" si="20"/>
        <v>1090</v>
      </c>
      <c r="M2606" s="5">
        <f t="shared" si="21"/>
        <v>381.5</v>
      </c>
      <c r="N2606" s="6">
        <v>0.35</v>
      </c>
    </row>
    <row r="2607" spans="1:14" ht="15.75" customHeight="1" x14ac:dyDescent="0.45">
      <c r="A2607" s="1" t="s">
        <v>120</v>
      </c>
      <c r="B2607" s="1">
        <v>1197831</v>
      </c>
      <c r="C2607" s="2">
        <v>44632</v>
      </c>
      <c r="D2607" s="1" t="s">
        <v>19</v>
      </c>
      <c r="E2607" s="1" t="s">
        <v>88</v>
      </c>
      <c r="F2607" s="1" t="s">
        <v>89</v>
      </c>
      <c r="G2607" s="1" t="s">
        <v>14</v>
      </c>
      <c r="H2607" s="1">
        <v>28</v>
      </c>
      <c r="I2607" s="1" t="s">
        <v>124</v>
      </c>
      <c r="J2607" s="3">
        <v>0.2</v>
      </c>
      <c r="K2607" s="4">
        <v>2250</v>
      </c>
      <c r="L2607" s="5">
        <f t="shared" si="20"/>
        <v>450</v>
      </c>
      <c r="M2607" s="5">
        <f t="shared" si="21"/>
        <v>157.5</v>
      </c>
      <c r="N2607" s="6">
        <v>0.35</v>
      </c>
    </row>
    <row r="2608" spans="1:14" ht="15.75" customHeight="1" x14ac:dyDescent="0.45">
      <c r="A2608" s="1" t="s">
        <v>120</v>
      </c>
      <c r="B2608" s="1">
        <v>1197831</v>
      </c>
      <c r="C2608" s="2">
        <v>44632</v>
      </c>
      <c r="D2608" s="1" t="s">
        <v>19</v>
      </c>
      <c r="E2608" s="1" t="s">
        <v>88</v>
      </c>
      <c r="F2608" s="1" t="s">
        <v>89</v>
      </c>
      <c r="G2608" s="1" t="s">
        <v>15</v>
      </c>
      <c r="H2608" s="1">
        <v>56</v>
      </c>
      <c r="I2608" s="1" t="s">
        <v>123</v>
      </c>
      <c r="J2608" s="3">
        <v>0.10000000000000002</v>
      </c>
      <c r="K2608" s="4">
        <v>2500</v>
      </c>
      <c r="L2608" s="5">
        <f t="shared" si="20"/>
        <v>250.00000000000006</v>
      </c>
      <c r="M2608" s="5">
        <f t="shared" si="21"/>
        <v>87.500000000000014</v>
      </c>
      <c r="N2608" s="6">
        <v>0.35</v>
      </c>
    </row>
    <row r="2609" spans="1:14" ht="15.75" customHeight="1" x14ac:dyDescent="0.45">
      <c r="A2609" s="1" t="s">
        <v>120</v>
      </c>
      <c r="B2609" s="1">
        <v>1197831</v>
      </c>
      <c r="C2609" s="2">
        <v>44632</v>
      </c>
      <c r="D2609" s="1" t="s">
        <v>19</v>
      </c>
      <c r="E2609" s="1" t="s">
        <v>88</v>
      </c>
      <c r="F2609" s="1" t="s">
        <v>89</v>
      </c>
      <c r="G2609" s="1" t="s">
        <v>16</v>
      </c>
      <c r="H2609" s="1">
        <v>17</v>
      </c>
      <c r="I2609" s="1" t="s">
        <v>125</v>
      </c>
      <c r="J2609" s="3">
        <v>0.19999999999999996</v>
      </c>
      <c r="K2609" s="4">
        <v>1000</v>
      </c>
      <c r="L2609" s="5">
        <f t="shared" si="20"/>
        <v>199.99999999999994</v>
      </c>
      <c r="M2609" s="5">
        <f t="shared" si="21"/>
        <v>69.999999999999972</v>
      </c>
      <c r="N2609" s="6">
        <v>0.35</v>
      </c>
    </row>
    <row r="2610" spans="1:14" ht="15.75" customHeight="1" x14ac:dyDescent="0.45">
      <c r="A2610" s="1" t="s">
        <v>120</v>
      </c>
      <c r="B2610" s="1">
        <v>1197831</v>
      </c>
      <c r="C2610" s="2">
        <v>44632</v>
      </c>
      <c r="D2610" s="1" t="s">
        <v>19</v>
      </c>
      <c r="E2610" s="1" t="s">
        <v>88</v>
      </c>
      <c r="F2610" s="1" t="s">
        <v>89</v>
      </c>
      <c r="G2610" s="1" t="s">
        <v>17</v>
      </c>
      <c r="H2610" s="1">
        <v>34</v>
      </c>
      <c r="I2610" s="1" t="s">
        <v>123</v>
      </c>
      <c r="J2610" s="3">
        <v>0.35000000000000009</v>
      </c>
      <c r="K2610" s="4">
        <v>1500</v>
      </c>
      <c r="L2610" s="5">
        <f t="shared" si="20"/>
        <v>525.00000000000011</v>
      </c>
      <c r="M2610" s="5">
        <f t="shared" si="21"/>
        <v>183.75000000000003</v>
      </c>
      <c r="N2610" s="6">
        <v>0.35</v>
      </c>
    </row>
    <row r="2611" spans="1:14" ht="15.75" customHeight="1" x14ac:dyDescent="0.45">
      <c r="A2611" s="1" t="s">
        <v>120</v>
      </c>
      <c r="B2611" s="1">
        <v>1197831</v>
      </c>
      <c r="C2611" s="2">
        <v>44632</v>
      </c>
      <c r="D2611" s="1" t="s">
        <v>19</v>
      </c>
      <c r="E2611" s="1" t="s">
        <v>88</v>
      </c>
      <c r="F2611" s="1" t="s">
        <v>89</v>
      </c>
      <c r="G2611" s="1" t="s">
        <v>18</v>
      </c>
      <c r="H2611" s="1">
        <v>45</v>
      </c>
      <c r="I2611" s="1" t="s">
        <v>126</v>
      </c>
      <c r="J2611" s="3">
        <v>0.25</v>
      </c>
      <c r="K2611" s="4">
        <v>2500</v>
      </c>
      <c r="L2611" s="5">
        <f t="shared" si="20"/>
        <v>625</v>
      </c>
      <c r="M2611" s="5">
        <f t="shared" si="21"/>
        <v>218.75</v>
      </c>
      <c r="N2611" s="6">
        <v>0.35</v>
      </c>
    </row>
    <row r="2612" spans="1:14" ht="15.75" customHeight="1" x14ac:dyDescent="0.45">
      <c r="A2612" s="1" t="s">
        <v>120</v>
      </c>
      <c r="B2612" s="1">
        <v>1197831</v>
      </c>
      <c r="C2612" s="2">
        <v>44664</v>
      </c>
      <c r="D2612" s="1" t="s">
        <v>19</v>
      </c>
      <c r="E2612" s="1" t="s">
        <v>88</v>
      </c>
      <c r="F2612" s="1" t="s">
        <v>89</v>
      </c>
      <c r="G2612" s="1" t="s">
        <v>13</v>
      </c>
      <c r="H2612" s="1">
        <v>22</v>
      </c>
      <c r="I2612" s="1" t="s">
        <v>126</v>
      </c>
      <c r="J2612" s="3">
        <v>0.25</v>
      </c>
      <c r="K2612" s="4">
        <v>5000</v>
      </c>
      <c r="L2612" s="5">
        <f t="shared" si="20"/>
        <v>1250</v>
      </c>
      <c r="M2612" s="5">
        <f t="shared" si="21"/>
        <v>437.5</v>
      </c>
      <c r="N2612" s="6">
        <v>0.35</v>
      </c>
    </row>
    <row r="2613" spans="1:14" ht="15.75" customHeight="1" x14ac:dyDescent="0.45">
      <c r="A2613" s="1" t="s">
        <v>120</v>
      </c>
      <c r="B2613" s="1">
        <v>1197831</v>
      </c>
      <c r="C2613" s="2">
        <v>44664</v>
      </c>
      <c r="D2613" s="1" t="s">
        <v>19</v>
      </c>
      <c r="E2613" s="1" t="s">
        <v>88</v>
      </c>
      <c r="F2613" s="1" t="s">
        <v>89</v>
      </c>
      <c r="G2613" s="1" t="s">
        <v>14</v>
      </c>
      <c r="H2613" s="1">
        <v>22</v>
      </c>
      <c r="I2613" s="1" t="s">
        <v>125</v>
      </c>
      <c r="J2613" s="3">
        <v>0.25</v>
      </c>
      <c r="K2613" s="4">
        <v>2000</v>
      </c>
      <c r="L2613" s="5">
        <f t="shared" si="20"/>
        <v>500</v>
      </c>
      <c r="M2613" s="5">
        <f t="shared" si="21"/>
        <v>175</v>
      </c>
      <c r="N2613" s="6">
        <v>0.35</v>
      </c>
    </row>
    <row r="2614" spans="1:14" ht="15.75" customHeight="1" x14ac:dyDescent="0.45">
      <c r="A2614" s="1" t="s">
        <v>120</v>
      </c>
      <c r="B2614" s="1">
        <v>1197831</v>
      </c>
      <c r="C2614" s="2">
        <v>44664</v>
      </c>
      <c r="D2614" s="1" t="s">
        <v>19</v>
      </c>
      <c r="E2614" s="1" t="s">
        <v>88</v>
      </c>
      <c r="F2614" s="1" t="s">
        <v>89</v>
      </c>
      <c r="G2614" s="1" t="s">
        <v>15</v>
      </c>
      <c r="H2614" s="1">
        <v>58</v>
      </c>
      <c r="I2614" s="1" t="s">
        <v>123</v>
      </c>
      <c r="J2614" s="3">
        <v>0.15000000000000002</v>
      </c>
      <c r="K2614" s="4">
        <v>2000</v>
      </c>
      <c r="L2614" s="5">
        <f t="shared" si="20"/>
        <v>300.00000000000006</v>
      </c>
      <c r="M2614" s="5">
        <f t="shared" si="21"/>
        <v>105.00000000000001</v>
      </c>
      <c r="N2614" s="6">
        <v>0.35</v>
      </c>
    </row>
    <row r="2615" spans="1:14" ht="15.75" customHeight="1" x14ac:dyDescent="0.45">
      <c r="A2615" s="1" t="s">
        <v>120</v>
      </c>
      <c r="B2615" s="1">
        <v>1197831</v>
      </c>
      <c r="C2615" s="2">
        <v>44664</v>
      </c>
      <c r="D2615" s="1" t="s">
        <v>19</v>
      </c>
      <c r="E2615" s="1" t="s">
        <v>88</v>
      </c>
      <c r="F2615" s="1" t="s">
        <v>89</v>
      </c>
      <c r="G2615" s="1" t="s">
        <v>16</v>
      </c>
      <c r="H2615" s="1">
        <v>60</v>
      </c>
      <c r="I2615" s="1" t="s">
        <v>123</v>
      </c>
      <c r="J2615" s="3">
        <v>0.19999999999999996</v>
      </c>
      <c r="K2615" s="4">
        <v>1250</v>
      </c>
      <c r="L2615" s="5">
        <f t="shared" si="20"/>
        <v>249.99999999999994</v>
      </c>
      <c r="M2615" s="5">
        <f t="shared" si="21"/>
        <v>87.499999999999972</v>
      </c>
      <c r="N2615" s="6">
        <v>0.35</v>
      </c>
    </row>
    <row r="2616" spans="1:14" ht="15.75" customHeight="1" x14ac:dyDescent="0.45">
      <c r="A2616" s="1" t="s">
        <v>120</v>
      </c>
      <c r="B2616" s="1">
        <v>1197831</v>
      </c>
      <c r="C2616" s="2">
        <v>44664</v>
      </c>
      <c r="D2616" s="1" t="s">
        <v>19</v>
      </c>
      <c r="E2616" s="1" t="s">
        <v>88</v>
      </c>
      <c r="F2616" s="1" t="s">
        <v>89</v>
      </c>
      <c r="G2616" s="1" t="s">
        <v>17</v>
      </c>
      <c r="H2616" s="1">
        <v>22</v>
      </c>
      <c r="I2616" s="1" t="s">
        <v>123</v>
      </c>
      <c r="J2616" s="3">
        <v>0.4</v>
      </c>
      <c r="K2616" s="4">
        <v>1500</v>
      </c>
      <c r="L2616" s="5">
        <f t="shared" si="20"/>
        <v>600</v>
      </c>
      <c r="M2616" s="5">
        <f t="shared" si="21"/>
        <v>210</v>
      </c>
      <c r="N2616" s="6">
        <v>0.35</v>
      </c>
    </row>
    <row r="2617" spans="1:14" ht="15.75" customHeight="1" x14ac:dyDescent="0.45">
      <c r="A2617" s="1" t="s">
        <v>120</v>
      </c>
      <c r="B2617" s="1">
        <v>1197831</v>
      </c>
      <c r="C2617" s="2">
        <v>44664</v>
      </c>
      <c r="D2617" s="1" t="s">
        <v>19</v>
      </c>
      <c r="E2617" s="1" t="s">
        <v>88</v>
      </c>
      <c r="F2617" s="1" t="s">
        <v>89</v>
      </c>
      <c r="G2617" s="1" t="s">
        <v>18</v>
      </c>
      <c r="H2617" s="1">
        <v>33</v>
      </c>
      <c r="I2617" s="1" t="s">
        <v>126</v>
      </c>
      <c r="J2617" s="3">
        <v>0.30000000000000004</v>
      </c>
      <c r="K2617" s="4">
        <v>3000</v>
      </c>
      <c r="L2617" s="5">
        <f t="shared" si="20"/>
        <v>900.00000000000011</v>
      </c>
      <c r="M2617" s="5">
        <f t="shared" si="21"/>
        <v>315</v>
      </c>
      <c r="N2617" s="6">
        <v>0.35</v>
      </c>
    </row>
    <row r="2618" spans="1:14" ht="15.75" customHeight="1" x14ac:dyDescent="0.45">
      <c r="A2618" s="1" t="s">
        <v>120</v>
      </c>
      <c r="B2618" s="1">
        <v>1197831</v>
      </c>
      <c r="C2618" s="2">
        <v>44693</v>
      </c>
      <c r="D2618" s="1" t="s">
        <v>19</v>
      </c>
      <c r="E2618" s="1" t="s">
        <v>88</v>
      </c>
      <c r="F2618" s="1" t="s">
        <v>89</v>
      </c>
      <c r="G2618" s="1" t="s">
        <v>13</v>
      </c>
      <c r="H2618" s="1">
        <v>27</v>
      </c>
      <c r="I2618" s="1" t="s">
        <v>125</v>
      </c>
      <c r="J2618" s="3">
        <v>0.4</v>
      </c>
      <c r="K2618" s="4">
        <v>5700</v>
      </c>
      <c r="L2618" s="5">
        <f t="shared" si="20"/>
        <v>2280</v>
      </c>
      <c r="M2618" s="5">
        <f t="shared" si="21"/>
        <v>798</v>
      </c>
      <c r="N2618" s="6">
        <v>0.35</v>
      </c>
    </row>
    <row r="2619" spans="1:14" ht="15.75" customHeight="1" x14ac:dyDescent="0.45">
      <c r="A2619" s="1" t="s">
        <v>120</v>
      </c>
      <c r="B2619" s="1">
        <v>1197831</v>
      </c>
      <c r="C2619" s="2">
        <v>44693</v>
      </c>
      <c r="D2619" s="1" t="s">
        <v>19</v>
      </c>
      <c r="E2619" s="1" t="s">
        <v>88</v>
      </c>
      <c r="F2619" s="1" t="s">
        <v>89</v>
      </c>
      <c r="G2619" s="1" t="s">
        <v>14</v>
      </c>
      <c r="H2619" s="1">
        <v>19</v>
      </c>
      <c r="I2619" s="1" t="s">
        <v>124</v>
      </c>
      <c r="J2619" s="3">
        <v>0.4</v>
      </c>
      <c r="K2619" s="4">
        <v>2750</v>
      </c>
      <c r="L2619" s="5">
        <f t="shared" si="20"/>
        <v>1100</v>
      </c>
      <c r="M2619" s="5">
        <f t="shared" si="21"/>
        <v>385</v>
      </c>
      <c r="N2619" s="6">
        <v>0.35</v>
      </c>
    </row>
    <row r="2620" spans="1:14" ht="15.75" customHeight="1" x14ac:dyDescent="0.45">
      <c r="A2620" s="1" t="s">
        <v>120</v>
      </c>
      <c r="B2620" s="1">
        <v>1197831</v>
      </c>
      <c r="C2620" s="2">
        <v>44693</v>
      </c>
      <c r="D2620" s="1" t="s">
        <v>19</v>
      </c>
      <c r="E2620" s="1" t="s">
        <v>88</v>
      </c>
      <c r="F2620" s="1" t="s">
        <v>89</v>
      </c>
      <c r="G2620" s="1" t="s">
        <v>15</v>
      </c>
      <c r="H2620" s="1">
        <v>38</v>
      </c>
      <c r="I2620" s="1" t="s">
        <v>126</v>
      </c>
      <c r="J2620" s="3">
        <v>0.35000000000000003</v>
      </c>
      <c r="K2620" s="4">
        <v>2500</v>
      </c>
      <c r="L2620" s="5">
        <f t="shared" si="20"/>
        <v>875.00000000000011</v>
      </c>
      <c r="M2620" s="5">
        <f t="shared" si="21"/>
        <v>306.25</v>
      </c>
      <c r="N2620" s="6">
        <v>0.35</v>
      </c>
    </row>
    <row r="2621" spans="1:14" ht="15.75" customHeight="1" x14ac:dyDescent="0.45">
      <c r="A2621" s="1" t="s">
        <v>120</v>
      </c>
      <c r="B2621" s="1">
        <v>1197831</v>
      </c>
      <c r="C2621" s="2">
        <v>44693</v>
      </c>
      <c r="D2621" s="1" t="s">
        <v>19</v>
      </c>
      <c r="E2621" s="1" t="s">
        <v>88</v>
      </c>
      <c r="F2621" s="1" t="s">
        <v>89</v>
      </c>
      <c r="G2621" s="1" t="s">
        <v>16</v>
      </c>
      <c r="H2621" s="1">
        <v>29</v>
      </c>
      <c r="I2621" s="1" t="s">
        <v>125</v>
      </c>
      <c r="J2621" s="3">
        <v>0.35000000000000003</v>
      </c>
      <c r="K2621" s="4">
        <v>2000</v>
      </c>
      <c r="L2621" s="5">
        <f t="shared" si="20"/>
        <v>700.00000000000011</v>
      </c>
      <c r="M2621" s="5">
        <f t="shared" si="21"/>
        <v>245.00000000000003</v>
      </c>
      <c r="N2621" s="6">
        <v>0.35</v>
      </c>
    </row>
    <row r="2622" spans="1:14" ht="15.75" customHeight="1" x14ac:dyDescent="0.45">
      <c r="A2622" s="1" t="s">
        <v>120</v>
      </c>
      <c r="B2622" s="1">
        <v>1197831</v>
      </c>
      <c r="C2622" s="2">
        <v>44693</v>
      </c>
      <c r="D2622" s="1" t="s">
        <v>19</v>
      </c>
      <c r="E2622" s="1" t="s">
        <v>88</v>
      </c>
      <c r="F2622" s="1" t="s">
        <v>89</v>
      </c>
      <c r="G2622" s="1" t="s">
        <v>17</v>
      </c>
      <c r="H2622" s="1">
        <v>58</v>
      </c>
      <c r="I2622" s="1" t="s">
        <v>123</v>
      </c>
      <c r="J2622" s="3">
        <v>0.44999999999999996</v>
      </c>
      <c r="K2622" s="4">
        <v>2250</v>
      </c>
      <c r="L2622" s="5">
        <f t="shared" si="20"/>
        <v>1012.4999999999999</v>
      </c>
      <c r="M2622" s="5">
        <f t="shared" si="21"/>
        <v>354.37499999999994</v>
      </c>
      <c r="N2622" s="6">
        <v>0.35</v>
      </c>
    </row>
    <row r="2623" spans="1:14" ht="15.75" customHeight="1" x14ac:dyDescent="0.45">
      <c r="A2623" s="1" t="s">
        <v>120</v>
      </c>
      <c r="B2623" s="1">
        <v>1197831</v>
      </c>
      <c r="C2623" s="2">
        <v>44693</v>
      </c>
      <c r="D2623" s="1" t="s">
        <v>19</v>
      </c>
      <c r="E2623" s="1" t="s">
        <v>88</v>
      </c>
      <c r="F2623" s="1" t="s">
        <v>89</v>
      </c>
      <c r="G2623" s="1" t="s">
        <v>18</v>
      </c>
      <c r="H2623" s="1">
        <v>27</v>
      </c>
      <c r="I2623" s="1" t="s">
        <v>123</v>
      </c>
      <c r="J2623" s="3">
        <v>0.44999999999999996</v>
      </c>
      <c r="K2623" s="4">
        <v>3250</v>
      </c>
      <c r="L2623" s="5">
        <f t="shared" si="20"/>
        <v>1462.4999999999998</v>
      </c>
      <c r="M2623" s="5">
        <f t="shared" si="21"/>
        <v>511.87499999999989</v>
      </c>
      <c r="N2623" s="6">
        <v>0.35</v>
      </c>
    </row>
    <row r="2624" spans="1:14" ht="15.75" customHeight="1" x14ac:dyDescent="0.45">
      <c r="A2624" s="1" t="s">
        <v>120</v>
      </c>
      <c r="B2624" s="1">
        <v>1197831</v>
      </c>
      <c r="C2624" s="2">
        <v>44726</v>
      </c>
      <c r="D2624" s="1" t="s">
        <v>19</v>
      </c>
      <c r="E2624" s="1" t="s">
        <v>88</v>
      </c>
      <c r="F2624" s="1" t="s">
        <v>89</v>
      </c>
      <c r="G2624" s="1" t="s">
        <v>13</v>
      </c>
      <c r="H2624" s="1">
        <v>35</v>
      </c>
      <c r="I2624" s="1" t="s">
        <v>124</v>
      </c>
      <c r="J2624" s="3">
        <v>0.39999999999999997</v>
      </c>
      <c r="K2624" s="4">
        <v>5750</v>
      </c>
      <c r="L2624" s="5">
        <f t="shared" si="20"/>
        <v>2300</v>
      </c>
      <c r="M2624" s="5">
        <f t="shared" si="21"/>
        <v>805</v>
      </c>
      <c r="N2624" s="6">
        <v>0.35</v>
      </c>
    </row>
    <row r="2625" spans="1:14" ht="15.75" customHeight="1" x14ac:dyDescent="0.45">
      <c r="A2625" s="1" t="s">
        <v>120</v>
      </c>
      <c r="B2625" s="1">
        <v>1197831</v>
      </c>
      <c r="C2625" s="2">
        <v>44726</v>
      </c>
      <c r="D2625" s="1" t="s">
        <v>19</v>
      </c>
      <c r="E2625" s="1" t="s">
        <v>88</v>
      </c>
      <c r="F2625" s="1" t="s">
        <v>89</v>
      </c>
      <c r="G2625" s="1" t="s">
        <v>14</v>
      </c>
      <c r="H2625" s="1">
        <v>15</v>
      </c>
      <c r="I2625" s="1" t="s">
        <v>124</v>
      </c>
      <c r="J2625" s="3">
        <v>0.35000000000000003</v>
      </c>
      <c r="K2625" s="4">
        <v>3250</v>
      </c>
      <c r="L2625" s="5">
        <f t="shared" si="20"/>
        <v>1137.5</v>
      </c>
      <c r="M2625" s="5">
        <f t="shared" si="21"/>
        <v>398.125</v>
      </c>
      <c r="N2625" s="6">
        <v>0.35</v>
      </c>
    </row>
    <row r="2626" spans="1:14" ht="15.75" customHeight="1" x14ac:dyDescent="0.45">
      <c r="A2626" s="1" t="s">
        <v>120</v>
      </c>
      <c r="B2626" s="1">
        <v>1197831</v>
      </c>
      <c r="C2626" s="2">
        <v>44726</v>
      </c>
      <c r="D2626" s="1" t="s">
        <v>19</v>
      </c>
      <c r="E2626" s="1" t="s">
        <v>88</v>
      </c>
      <c r="F2626" s="1" t="s">
        <v>89</v>
      </c>
      <c r="G2626" s="1" t="s">
        <v>15</v>
      </c>
      <c r="H2626" s="1">
        <v>25</v>
      </c>
      <c r="I2626" s="1" t="s">
        <v>123</v>
      </c>
      <c r="J2626" s="3">
        <v>0.4</v>
      </c>
      <c r="K2626" s="4">
        <v>3000</v>
      </c>
      <c r="L2626" s="5">
        <f t="shared" si="20"/>
        <v>1200</v>
      </c>
      <c r="M2626" s="5">
        <f t="shared" si="21"/>
        <v>420</v>
      </c>
      <c r="N2626" s="6">
        <v>0.35</v>
      </c>
    </row>
    <row r="2627" spans="1:14" ht="15.75" customHeight="1" x14ac:dyDescent="0.45">
      <c r="A2627" s="1" t="s">
        <v>120</v>
      </c>
      <c r="B2627" s="1">
        <v>1197831</v>
      </c>
      <c r="C2627" s="2">
        <v>44726</v>
      </c>
      <c r="D2627" s="1" t="s">
        <v>19</v>
      </c>
      <c r="E2627" s="1" t="s">
        <v>88</v>
      </c>
      <c r="F2627" s="1" t="s">
        <v>89</v>
      </c>
      <c r="G2627" s="1" t="s">
        <v>16</v>
      </c>
      <c r="H2627" s="1">
        <v>18</v>
      </c>
      <c r="I2627" s="1" t="s">
        <v>125</v>
      </c>
      <c r="J2627" s="3">
        <v>0.4</v>
      </c>
      <c r="K2627" s="4">
        <v>2750</v>
      </c>
      <c r="L2627" s="5">
        <f t="shared" si="20"/>
        <v>1100</v>
      </c>
      <c r="M2627" s="5">
        <f t="shared" si="21"/>
        <v>385</v>
      </c>
      <c r="N2627" s="6">
        <v>0.35</v>
      </c>
    </row>
    <row r="2628" spans="1:14" ht="15.75" customHeight="1" x14ac:dyDescent="0.45">
      <c r="A2628" s="1" t="s">
        <v>120</v>
      </c>
      <c r="B2628" s="1">
        <v>1197831</v>
      </c>
      <c r="C2628" s="2">
        <v>44726</v>
      </c>
      <c r="D2628" s="1" t="s">
        <v>19</v>
      </c>
      <c r="E2628" s="1" t="s">
        <v>88</v>
      </c>
      <c r="F2628" s="1" t="s">
        <v>89</v>
      </c>
      <c r="G2628" s="1" t="s">
        <v>17</v>
      </c>
      <c r="H2628" s="1">
        <v>40</v>
      </c>
      <c r="I2628" s="1" t="s">
        <v>125</v>
      </c>
      <c r="J2628" s="3">
        <v>0.54999999999999993</v>
      </c>
      <c r="K2628" s="4">
        <v>2750</v>
      </c>
      <c r="L2628" s="5">
        <f t="shared" si="20"/>
        <v>1512.4999999999998</v>
      </c>
      <c r="M2628" s="5">
        <f t="shared" si="21"/>
        <v>529.37499999999989</v>
      </c>
      <c r="N2628" s="6">
        <v>0.35</v>
      </c>
    </row>
    <row r="2629" spans="1:14" ht="15.75" customHeight="1" x14ac:dyDescent="0.45">
      <c r="A2629" s="1" t="s">
        <v>120</v>
      </c>
      <c r="B2629" s="1">
        <v>1197831</v>
      </c>
      <c r="C2629" s="2">
        <v>44726</v>
      </c>
      <c r="D2629" s="1" t="s">
        <v>19</v>
      </c>
      <c r="E2629" s="1" t="s">
        <v>88</v>
      </c>
      <c r="F2629" s="1" t="s">
        <v>89</v>
      </c>
      <c r="G2629" s="1" t="s">
        <v>18</v>
      </c>
      <c r="H2629" s="1">
        <v>57</v>
      </c>
      <c r="I2629" s="1" t="s">
        <v>125</v>
      </c>
      <c r="J2629" s="3">
        <v>0.6</v>
      </c>
      <c r="K2629" s="4">
        <v>4500</v>
      </c>
      <c r="L2629" s="5">
        <f t="shared" si="20"/>
        <v>2700</v>
      </c>
      <c r="M2629" s="5">
        <f t="shared" si="21"/>
        <v>944.99999999999989</v>
      </c>
      <c r="N2629" s="6">
        <v>0.35</v>
      </c>
    </row>
    <row r="2630" spans="1:14" ht="15.75" customHeight="1" x14ac:dyDescent="0.45">
      <c r="A2630" s="1" t="s">
        <v>120</v>
      </c>
      <c r="B2630" s="1">
        <v>1197831</v>
      </c>
      <c r="C2630" s="2">
        <v>44754</v>
      </c>
      <c r="D2630" s="1" t="s">
        <v>19</v>
      </c>
      <c r="E2630" s="1" t="s">
        <v>88</v>
      </c>
      <c r="F2630" s="1" t="s">
        <v>89</v>
      </c>
      <c r="G2630" s="1" t="s">
        <v>13</v>
      </c>
      <c r="H2630" s="1">
        <v>53</v>
      </c>
      <c r="I2630" s="1" t="s">
        <v>123</v>
      </c>
      <c r="J2630" s="3">
        <v>0.54999999999999993</v>
      </c>
      <c r="K2630" s="4">
        <v>6750</v>
      </c>
      <c r="L2630" s="5">
        <f t="shared" si="20"/>
        <v>3712.4999999999995</v>
      </c>
      <c r="M2630" s="5">
        <f t="shared" si="21"/>
        <v>1299.3749999999998</v>
      </c>
      <c r="N2630" s="6">
        <v>0.35</v>
      </c>
    </row>
    <row r="2631" spans="1:14" ht="15.75" customHeight="1" x14ac:dyDescent="0.45">
      <c r="A2631" s="1" t="s">
        <v>120</v>
      </c>
      <c r="B2631" s="1">
        <v>1197831</v>
      </c>
      <c r="C2631" s="2">
        <v>44754</v>
      </c>
      <c r="D2631" s="1" t="s">
        <v>19</v>
      </c>
      <c r="E2631" s="1" t="s">
        <v>88</v>
      </c>
      <c r="F2631" s="1" t="s">
        <v>89</v>
      </c>
      <c r="G2631" s="1" t="s">
        <v>14</v>
      </c>
      <c r="H2631" s="1">
        <v>39</v>
      </c>
      <c r="I2631" s="1" t="s">
        <v>124</v>
      </c>
      <c r="J2631" s="3">
        <v>0.5</v>
      </c>
      <c r="K2631" s="4">
        <v>4250</v>
      </c>
      <c r="L2631" s="5">
        <f t="shared" si="20"/>
        <v>2125</v>
      </c>
      <c r="M2631" s="5">
        <f t="shared" si="21"/>
        <v>743.75</v>
      </c>
      <c r="N2631" s="6">
        <v>0.35</v>
      </c>
    </row>
    <row r="2632" spans="1:14" ht="15.75" customHeight="1" x14ac:dyDescent="0.45">
      <c r="A2632" s="1" t="s">
        <v>120</v>
      </c>
      <c r="B2632" s="1">
        <v>1197831</v>
      </c>
      <c r="C2632" s="2">
        <v>44754</v>
      </c>
      <c r="D2632" s="1" t="s">
        <v>19</v>
      </c>
      <c r="E2632" s="1" t="s">
        <v>88</v>
      </c>
      <c r="F2632" s="1" t="s">
        <v>89</v>
      </c>
      <c r="G2632" s="1" t="s">
        <v>15</v>
      </c>
      <c r="H2632" s="1">
        <v>56</v>
      </c>
      <c r="I2632" s="1" t="s">
        <v>125</v>
      </c>
      <c r="J2632" s="3">
        <v>0.45</v>
      </c>
      <c r="K2632" s="4">
        <v>3500</v>
      </c>
      <c r="L2632" s="5">
        <f t="shared" si="20"/>
        <v>1575</v>
      </c>
      <c r="M2632" s="5">
        <f t="shared" si="21"/>
        <v>551.25</v>
      </c>
      <c r="N2632" s="6">
        <v>0.35</v>
      </c>
    </row>
    <row r="2633" spans="1:14" ht="15.75" customHeight="1" x14ac:dyDescent="0.45">
      <c r="A2633" s="1" t="s">
        <v>120</v>
      </c>
      <c r="B2633" s="1">
        <v>1197831</v>
      </c>
      <c r="C2633" s="2">
        <v>44754</v>
      </c>
      <c r="D2633" s="1" t="s">
        <v>19</v>
      </c>
      <c r="E2633" s="1" t="s">
        <v>88</v>
      </c>
      <c r="F2633" s="1" t="s">
        <v>89</v>
      </c>
      <c r="G2633" s="1" t="s">
        <v>16</v>
      </c>
      <c r="H2633" s="1">
        <v>19</v>
      </c>
      <c r="I2633" s="1" t="s">
        <v>126</v>
      </c>
      <c r="J2633" s="3">
        <v>0.45</v>
      </c>
      <c r="K2633" s="4">
        <v>3000</v>
      </c>
      <c r="L2633" s="5">
        <f t="shared" si="20"/>
        <v>1350</v>
      </c>
      <c r="M2633" s="5">
        <f t="shared" si="21"/>
        <v>472.49999999999994</v>
      </c>
      <c r="N2633" s="6">
        <v>0.35</v>
      </c>
    </row>
    <row r="2634" spans="1:14" ht="15.75" customHeight="1" x14ac:dyDescent="0.45">
      <c r="A2634" s="1" t="s">
        <v>120</v>
      </c>
      <c r="B2634" s="1">
        <v>1197831</v>
      </c>
      <c r="C2634" s="2">
        <v>44754</v>
      </c>
      <c r="D2634" s="1" t="s">
        <v>19</v>
      </c>
      <c r="E2634" s="1" t="s">
        <v>88</v>
      </c>
      <c r="F2634" s="1" t="s">
        <v>89</v>
      </c>
      <c r="G2634" s="1" t="s">
        <v>17</v>
      </c>
      <c r="H2634" s="1">
        <v>46</v>
      </c>
      <c r="I2634" s="1" t="s">
        <v>124</v>
      </c>
      <c r="J2634" s="3">
        <v>0.6</v>
      </c>
      <c r="K2634" s="4">
        <v>3250</v>
      </c>
      <c r="L2634" s="5">
        <f t="shared" si="20"/>
        <v>1950</v>
      </c>
      <c r="M2634" s="5">
        <f t="shared" si="21"/>
        <v>682.5</v>
      </c>
      <c r="N2634" s="6">
        <v>0.35</v>
      </c>
    </row>
    <row r="2635" spans="1:14" ht="15.75" customHeight="1" x14ac:dyDescent="0.45">
      <c r="A2635" s="1" t="s">
        <v>120</v>
      </c>
      <c r="B2635" s="1">
        <v>1197831</v>
      </c>
      <c r="C2635" s="2">
        <v>44754</v>
      </c>
      <c r="D2635" s="1" t="s">
        <v>19</v>
      </c>
      <c r="E2635" s="1" t="s">
        <v>88</v>
      </c>
      <c r="F2635" s="1" t="s">
        <v>89</v>
      </c>
      <c r="G2635" s="1" t="s">
        <v>18</v>
      </c>
      <c r="H2635" s="1">
        <v>47</v>
      </c>
      <c r="I2635" s="1" t="s">
        <v>123</v>
      </c>
      <c r="J2635" s="3">
        <v>0.65</v>
      </c>
      <c r="K2635" s="4">
        <v>5000</v>
      </c>
      <c r="L2635" s="5">
        <f t="shared" si="20"/>
        <v>3250</v>
      </c>
      <c r="M2635" s="5">
        <f t="shared" si="21"/>
        <v>1137.5</v>
      </c>
      <c r="N2635" s="6">
        <v>0.35</v>
      </c>
    </row>
    <row r="2636" spans="1:14" ht="15.75" customHeight="1" x14ac:dyDescent="0.45">
      <c r="A2636" s="1" t="s">
        <v>120</v>
      </c>
      <c r="B2636" s="1">
        <v>1197831</v>
      </c>
      <c r="C2636" s="2">
        <v>44786</v>
      </c>
      <c r="D2636" s="1" t="s">
        <v>19</v>
      </c>
      <c r="E2636" s="1" t="s">
        <v>88</v>
      </c>
      <c r="F2636" s="1" t="s">
        <v>89</v>
      </c>
      <c r="G2636" s="1" t="s">
        <v>13</v>
      </c>
      <c r="H2636" s="1">
        <v>43</v>
      </c>
      <c r="I2636" s="1" t="s">
        <v>125</v>
      </c>
      <c r="J2636" s="3">
        <v>0.6</v>
      </c>
      <c r="K2636" s="4">
        <v>6500</v>
      </c>
      <c r="L2636" s="5">
        <f t="shared" si="20"/>
        <v>3900</v>
      </c>
      <c r="M2636" s="5">
        <f t="shared" si="21"/>
        <v>1365</v>
      </c>
      <c r="N2636" s="6">
        <v>0.35</v>
      </c>
    </row>
    <row r="2637" spans="1:14" ht="15.75" customHeight="1" x14ac:dyDescent="0.45">
      <c r="A2637" s="1" t="s">
        <v>120</v>
      </c>
      <c r="B2637" s="1">
        <v>1197831</v>
      </c>
      <c r="C2637" s="2">
        <v>44786</v>
      </c>
      <c r="D2637" s="1" t="s">
        <v>19</v>
      </c>
      <c r="E2637" s="1" t="s">
        <v>88</v>
      </c>
      <c r="F2637" s="1" t="s">
        <v>89</v>
      </c>
      <c r="G2637" s="1" t="s">
        <v>14</v>
      </c>
      <c r="H2637" s="1">
        <v>35</v>
      </c>
      <c r="I2637" s="1" t="s">
        <v>124</v>
      </c>
      <c r="J2637" s="3">
        <v>0.55000000000000004</v>
      </c>
      <c r="K2637" s="4">
        <v>4250</v>
      </c>
      <c r="L2637" s="5">
        <f t="shared" si="20"/>
        <v>2337.5</v>
      </c>
      <c r="M2637" s="5">
        <f t="shared" si="21"/>
        <v>818.125</v>
      </c>
      <c r="N2637" s="6">
        <v>0.35</v>
      </c>
    </row>
    <row r="2638" spans="1:14" ht="15.75" customHeight="1" x14ac:dyDescent="0.45">
      <c r="A2638" s="1" t="s">
        <v>120</v>
      </c>
      <c r="B2638" s="1">
        <v>1197831</v>
      </c>
      <c r="C2638" s="2">
        <v>44786</v>
      </c>
      <c r="D2638" s="1" t="s">
        <v>19</v>
      </c>
      <c r="E2638" s="1" t="s">
        <v>88</v>
      </c>
      <c r="F2638" s="1" t="s">
        <v>89</v>
      </c>
      <c r="G2638" s="1" t="s">
        <v>15</v>
      </c>
      <c r="H2638" s="1">
        <v>59</v>
      </c>
      <c r="I2638" s="1" t="s">
        <v>126</v>
      </c>
      <c r="J2638" s="3">
        <v>0.5</v>
      </c>
      <c r="K2638" s="4">
        <v>3500</v>
      </c>
      <c r="L2638" s="5">
        <f t="shared" si="20"/>
        <v>1750</v>
      </c>
      <c r="M2638" s="5">
        <f t="shared" si="21"/>
        <v>612.5</v>
      </c>
      <c r="N2638" s="6">
        <v>0.35</v>
      </c>
    </row>
    <row r="2639" spans="1:14" ht="15.75" customHeight="1" x14ac:dyDescent="0.45">
      <c r="A2639" s="1" t="s">
        <v>120</v>
      </c>
      <c r="B2639" s="1">
        <v>1197831</v>
      </c>
      <c r="C2639" s="2">
        <v>44786</v>
      </c>
      <c r="D2639" s="1" t="s">
        <v>19</v>
      </c>
      <c r="E2639" s="1" t="s">
        <v>88</v>
      </c>
      <c r="F2639" s="1" t="s">
        <v>89</v>
      </c>
      <c r="G2639" s="1" t="s">
        <v>16</v>
      </c>
      <c r="H2639" s="1">
        <v>52</v>
      </c>
      <c r="I2639" s="1" t="s">
        <v>126</v>
      </c>
      <c r="J2639" s="3">
        <v>0.4</v>
      </c>
      <c r="K2639" s="4">
        <v>3000</v>
      </c>
      <c r="L2639" s="5">
        <f t="shared" si="20"/>
        <v>1200</v>
      </c>
      <c r="M2639" s="5">
        <f t="shared" si="21"/>
        <v>420</v>
      </c>
      <c r="N2639" s="6">
        <v>0.35</v>
      </c>
    </row>
    <row r="2640" spans="1:14" ht="15.75" customHeight="1" x14ac:dyDescent="0.45">
      <c r="A2640" s="1" t="s">
        <v>120</v>
      </c>
      <c r="B2640" s="1">
        <v>1197831</v>
      </c>
      <c r="C2640" s="2">
        <v>44786</v>
      </c>
      <c r="D2640" s="1" t="s">
        <v>19</v>
      </c>
      <c r="E2640" s="1" t="s">
        <v>88</v>
      </c>
      <c r="F2640" s="1" t="s">
        <v>89</v>
      </c>
      <c r="G2640" s="1" t="s">
        <v>17</v>
      </c>
      <c r="H2640" s="1">
        <v>22</v>
      </c>
      <c r="I2640" s="1" t="s">
        <v>124</v>
      </c>
      <c r="J2640" s="3">
        <v>0.5</v>
      </c>
      <c r="K2640" s="4">
        <v>2750</v>
      </c>
      <c r="L2640" s="5">
        <f t="shared" si="20"/>
        <v>1375</v>
      </c>
      <c r="M2640" s="5">
        <f t="shared" si="21"/>
        <v>481.24999999999994</v>
      </c>
      <c r="N2640" s="6">
        <v>0.35</v>
      </c>
    </row>
    <row r="2641" spans="1:14" ht="15.75" customHeight="1" x14ac:dyDescent="0.45">
      <c r="A2641" s="1" t="s">
        <v>120</v>
      </c>
      <c r="B2641" s="1">
        <v>1197831</v>
      </c>
      <c r="C2641" s="2">
        <v>44786</v>
      </c>
      <c r="D2641" s="1" t="s">
        <v>19</v>
      </c>
      <c r="E2641" s="1" t="s">
        <v>88</v>
      </c>
      <c r="F2641" s="1" t="s">
        <v>89</v>
      </c>
      <c r="G2641" s="1" t="s">
        <v>18</v>
      </c>
      <c r="H2641" s="1">
        <v>18</v>
      </c>
      <c r="I2641" s="1" t="s">
        <v>123</v>
      </c>
      <c r="J2641" s="3">
        <v>0.55000000000000004</v>
      </c>
      <c r="K2641" s="4">
        <v>4500</v>
      </c>
      <c r="L2641" s="5">
        <f t="shared" si="20"/>
        <v>2475</v>
      </c>
      <c r="M2641" s="5">
        <f t="shared" si="21"/>
        <v>866.25</v>
      </c>
      <c r="N2641" s="6">
        <v>0.35</v>
      </c>
    </row>
    <row r="2642" spans="1:14" ht="15.75" customHeight="1" x14ac:dyDescent="0.45">
      <c r="A2642" s="1" t="s">
        <v>120</v>
      </c>
      <c r="B2642" s="1">
        <v>1197831</v>
      </c>
      <c r="C2642" s="2">
        <v>44816</v>
      </c>
      <c r="D2642" s="1" t="s">
        <v>19</v>
      </c>
      <c r="E2642" s="1" t="s">
        <v>88</v>
      </c>
      <c r="F2642" s="1" t="s">
        <v>89</v>
      </c>
      <c r="G2642" s="1" t="s">
        <v>13</v>
      </c>
      <c r="H2642" s="1">
        <v>43</v>
      </c>
      <c r="I2642" s="1" t="s">
        <v>124</v>
      </c>
      <c r="J2642" s="3">
        <v>0.5</v>
      </c>
      <c r="K2642" s="4">
        <v>5500</v>
      </c>
      <c r="L2642" s="5">
        <f t="shared" si="20"/>
        <v>2750</v>
      </c>
      <c r="M2642" s="5">
        <f t="shared" si="21"/>
        <v>962.49999999999989</v>
      </c>
      <c r="N2642" s="6">
        <v>0.35</v>
      </c>
    </row>
    <row r="2643" spans="1:14" ht="15.75" customHeight="1" x14ac:dyDescent="0.45">
      <c r="A2643" s="1" t="s">
        <v>120</v>
      </c>
      <c r="B2643" s="1">
        <v>1197831</v>
      </c>
      <c r="C2643" s="2">
        <v>44816</v>
      </c>
      <c r="D2643" s="1" t="s">
        <v>19</v>
      </c>
      <c r="E2643" s="1" t="s">
        <v>88</v>
      </c>
      <c r="F2643" s="1" t="s">
        <v>89</v>
      </c>
      <c r="G2643" s="1" t="s">
        <v>14</v>
      </c>
      <c r="H2643" s="1">
        <v>43</v>
      </c>
      <c r="I2643" s="1" t="s">
        <v>124</v>
      </c>
      <c r="J2643" s="3">
        <v>0.40000000000000013</v>
      </c>
      <c r="K2643" s="4">
        <v>3500</v>
      </c>
      <c r="L2643" s="5">
        <f t="shared" si="20"/>
        <v>1400.0000000000005</v>
      </c>
      <c r="M2643" s="5">
        <f t="shared" si="21"/>
        <v>490.00000000000011</v>
      </c>
      <c r="N2643" s="6">
        <v>0.35</v>
      </c>
    </row>
    <row r="2644" spans="1:14" ht="15.75" customHeight="1" x14ac:dyDescent="0.45">
      <c r="A2644" s="1" t="s">
        <v>120</v>
      </c>
      <c r="B2644" s="1">
        <v>1197831</v>
      </c>
      <c r="C2644" s="2">
        <v>44816</v>
      </c>
      <c r="D2644" s="1" t="s">
        <v>19</v>
      </c>
      <c r="E2644" s="1" t="s">
        <v>88</v>
      </c>
      <c r="F2644" s="1" t="s">
        <v>89</v>
      </c>
      <c r="G2644" s="1" t="s">
        <v>15</v>
      </c>
      <c r="H2644" s="1">
        <v>50</v>
      </c>
      <c r="I2644" s="1" t="s">
        <v>126</v>
      </c>
      <c r="J2644" s="3">
        <v>0.15000000000000008</v>
      </c>
      <c r="K2644" s="4">
        <v>2500</v>
      </c>
      <c r="L2644" s="5">
        <f t="shared" si="20"/>
        <v>375.00000000000017</v>
      </c>
      <c r="M2644" s="5">
        <f t="shared" si="21"/>
        <v>131.25000000000006</v>
      </c>
      <c r="N2644" s="6">
        <v>0.35</v>
      </c>
    </row>
    <row r="2645" spans="1:14" ht="15.75" customHeight="1" x14ac:dyDescent="0.45">
      <c r="A2645" s="1" t="s">
        <v>120</v>
      </c>
      <c r="B2645" s="1">
        <v>1197831</v>
      </c>
      <c r="C2645" s="2">
        <v>44816</v>
      </c>
      <c r="D2645" s="1" t="s">
        <v>19</v>
      </c>
      <c r="E2645" s="1" t="s">
        <v>88</v>
      </c>
      <c r="F2645" s="1" t="s">
        <v>89</v>
      </c>
      <c r="G2645" s="1" t="s">
        <v>16</v>
      </c>
      <c r="H2645" s="1">
        <v>55</v>
      </c>
      <c r="I2645" s="1" t="s">
        <v>123</v>
      </c>
      <c r="J2645" s="3">
        <v>0.15000000000000008</v>
      </c>
      <c r="K2645" s="4">
        <v>2250</v>
      </c>
      <c r="L2645" s="5">
        <f t="shared" si="20"/>
        <v>337.50000000000017</v>
      </c>
      <c r="M2645" s="5">
        <f t="shared" si="21"/>
        <v>118.12500000000006</v>
      </c>
      <c r="N2645" s="6">
        <v>0.35</v>
      </c>
    </row>
    <row r="2646" spans="1:14" ht="15.75" customHeight="1" x14ac:dyDescent="0.45">
      <c r="A2646" s="1" t="s">
        <v>120</v>
      </c>
      <c r="B2646" s="1">
        <v>1197831</v>
      </c>
      <c r="C2646" s="2">
        <v>44816</v>
      </c>
      <c r="D2646" s="1" t="s">
        <v>19</v>
      </c>
      <c r="E2646" s="1" t="s">
        <v>88</v>
      </c>
      <c r="F2646" s="1" t="s">
        <v>89</v>
      </c>
      <c r="G2646" s="1" t="s">
        <v>17</v>
      </c>
      <c r="H2646" s="1">
        <v>51</v>
      </c>
      <c r="I2646" s="1" t="s">
        <v>126</v>
      </c>
      <c r="J2646" s="3">
        <v>0.25000000000000006</v>
      </c>
      <c r="K2646" s="4">
        <v>2250</v>
      </c>
      <c r="L2646" s="5">
        <f t="shared" si="20"/>
        <v>562.50000000000011</v>
      </c>
      <c r="M2646" s="5">
        <f t="shared" si="21"/>
        <v>196.87500000000003</v>
      </c>
      <c r="N2646" s="6">
        <v>0.35</v>
      </c>
    </row>
    <row r="2647" spans="1:14" ht="15.75" customHeight="1" x14ac:dyDescent="0.45">
      <c r="A2647" s="1" t="s">
        <v>120</v>
      </c>
      <c r="B2647" s="1">
        <v>1197831</v>
      </c>
      <c r="C2647" s="2">
        <v>44816</v>
      </c>
      <c r="D2647" s="1" t="s">
        <v>19</v>
      </c>
      <c r="E2647" s="1" t="s">
        <v>88</v>
      </c>
      <c r="F2647" s="1" t="s">
        <v>89</v>
      </c>
      <c r="G2647" s="1" t="s">
        <v>18</v>
      </c>
      <c r="H2647" s="1">
        <v>17</v>
      </c>
      <c r="I2647" s="1" t="s">
        <v>126</v>
      </c>
      <c r="J2647" s="3">
        <v>0.3000000000000001</v>
      </c>
      <c r="K2647" s="4">
        <v>3250</v>
      </c>
      <c r="L2647" s="5">
        <f t="shared" si="20"/>
        <v>975.00000000000034</v>
      </c>
      <c r="M2647" s="5">
        <f t="shared" si="21"/>
        <v>341.25000000000011</v>
      </c>
      <c r="N2647" s="6">
        <v>0.35</v>
      </c>
    </row>
    <row r="2648" spans="1:14" ht="15.75" customHeight="1" x14ac:dyDescent="0.45">
      <c r="A2648" s="1" t="s">
        <v>120</v>
      </c>
      <c r="B2648" s="1">
        <v>1197831</v>
      </c>
      <c r="C2648" s="2">
        <v>44848</v>
      </c>
      <c r="D2648" s="1" t="s">
        <v>19</v>
      </c>
      <c r="E2648" s="1" t="s">
        <v>88</v>
      </c>
      <c r="F2648" s="1" t="s">
        <v>89</v>
      </c>
      <c r="G2648" s="1" t="s">
        <v>13</v>
      </c>
      <c r="H2648" s="1">
        <v>55</v>
      </c>
      <c r="I2648" s="1" t="s">
        <v>124</v>
      </c>
      <c r="J2648" s="3">
        <v>0.3000000000000001</v>
      </c>
      <c r="K2648" s="4">
        <v>5000</v>
      </c>
      <c r="L2648" s="5">
        <f t="shared" si="20"/>
        <v>1500.0000000000005</v>
      </c>
      <c r="M2648" s="5">
        <f t="shared" si="21"/>
        <v>525.00000000000011</v>
      </c>
      <c r="N2648" s="6">
        <v>0.35</v>
      </c>
    </row>
    <row r="2649" spans="1:14" ht="15.75" customHeight="1" x14ac:dyDescent="0.45">
      <c r="A2649" s="1" t="s">
        <v>120</v>
      </c>
      <c r="B2649" s="1">
        <v>1197831</v>
      </c>
      <c r="C2649" s="2">
        <v>44848</v>
      </c>
      <c r="D2649" s="1" t="s">
        <v>19</v>
      </c>
      <c r="E2649" s="1" t="s">
        <v>88</v>
      </c>
      <c r="F2649" s="1" t="s">
        <v>89</v>
      </c>
      <c r="G2649" s="1" t="s">
        <v>14</v>
      </c>
      <c r="H2649" s="1">
        <v>39</v>
      </c>
      <c r="I2649" s="1" t="s">
        <v>124</v>
      </c>
      <c r="J2649" s="3">
        <v>0.20000000000000012</v>
      </c>
      <c r="K2649" s="4">
        <v>3250</v>
      </c>
      <c r="L2649" s="5">
        <f t="shared" si="20"/>
        <v>650.00000000000034</v>
      </c>
      <c r="M2649" s="5">
        <f t="shared" si="21"/>
        <v>227.50000000000011</v>
      </c>
      <c r="N2649" s="6">
        <v>0.35</v>
      </c>
    </row>
    <row r="2650" spans="1:14" ht="15.75" customHeight="1" x14ac:dyDescent="0.45">
      <c r="A2650" s="1" t="s">
        <v>120</v>
      </c>
      <c r="B2650" s="1">
        <v>1197831</v>
      </c>
      <c r="C2650" s="2">
        <v>44848</v>
      </c>
      <c r="D2650" s="1" t="s">
        <v>19</v>
      </c>
      <c r="E2650" s="1" t="s">
        <v>88</v>
      </c>
      <c r="F2650" s="1" t="s">
        <v>89</v>
      </c>
      <c r="G2650" s="1" t="s">
        <v>15</v>
      </c>
      <c r="H2650" s="1">
        <v>53</v>
      </c>
      <c r="I2650" s="1" t="s">
        <v>123</v>
      </c>
      <c r="J2650" s="3">
        <v>0.20000000000000012</v>
      </c>
      <c r="K2650" s="4">
        <v>2000</v>
      </c>
      <c r="L2650" s="5">
        <f t="shared" si="20"/>
        <v>400.00000000000023</v>
      </c>
      <c r="M2650" s="5">
        <f t="shared" si="21"/>
        <v>140.00000000000006</v>
      </c>
      <c r="N2650" s="6">
        <v>0.35</v>
      </c>
    </row>
    <row r="2651" spans="1:14" ht="15.75" customHeight="1" x14ac:dyDescent="0.45">
      <c r="A2651" s="1" t="s">
        <v>120</v>
      </c>
      <c r="B2651" s="1">
        <v>1197831</v>
      </c>
      <c r="C2651" s="2">
        <v>44848</v>
      </c>
      <c r="D2651" s="1" t="s">
        <v>19</v>
      </c>
      <c r="E2651" s="1" t="s">
        <v>88</v>
      </c>
      <c r="F2651" s="1" t="s">
        <v>89</v>
      </c>
      <c r="G2651" s="1" t="s">
        <v>16</v>
      </c>
      <c r="H2651" s="1">
        <v>22</v>
      </c>
      <c r="I2651" s="1" t="s">
        <v>123</v>
      </c>
      <c r="J2651" s="3">
        <v>0.20000000000000012</v>
      </c>
      <c r="K2651" s="4">
        <v>1750</v>
      </c>
      <c r="L2651" s="5">
        <f t="shared" si="20"/>
        <v>350.00000000000023</v>
      </c>
      <c r="M2651" s="5">
        <f t="shared" si="21"/>
        <v>122.50000000000007</v>
      </c>
      <c r="N2651" s="6">
        <v>0.35</v>
      </c>
    </row>
    <row r="2652" spans="1:14" ht="15.75" customHeight="1" x14ac:dyDescent="0.45">
      <c r="A2652" s="1" t="s">
        <v>120</v>
      </c>
      <c r="B2652" s="1">
        <v>1197831</v>
      </c>
      <c r="C2652" s="2">
        <v>44848</v>
      </c>
      <c r="D2652" s="1" t="s">
        <v>19</v>
      </c>
      <c r="E2652" s="1" t="s">
        <v>88</v>
      </c>
      <c r="F2652" s="1" t="s">
        <v>89</v>
      </c>
      <c r="G2652" s="1" t="s">
        <v>17</v>
      </c>
      <c r="H2652" s="1">
        <v>34</v>
      </c>
      <c r="I2652" s="1" t="s">
        <v>124</v>
      </c>
      <c r="J2652" s="3">
        <v>0.3000000000000001</v>
      </c>
      <c r="K2652" s="4">
        <v>1750</v>
      </c>
      <c r="L2652" s="5">
        <f t="shared" si="20"/>
        <v>525.00000000000023</v>
      </c>
      <c r="M2652" s="5">
        <f t="shared" si="21"/>
        <v>183.75000000000006</v>
      </c>
      <c r="N2652" s="6">
        <v>0.35</v>
      </c>
    </row>
    <row r="2653" spans="1:14" ht="15.75" customHeight="1" x14ac:dyDescent="0.45">
      <c r="A2653" s="1" t="s">
        <v>120</v>
      </c>
      <c r="B2653" s="1">
        <v>1197831</v>
      </c>
      <c r="C2653" s="2">
        <v>44848</v>
      </c>
      <c r="D2653" s="1" t="s">
        <v>19</v>
      </c>
      <c r="E2653" s="1" t="s">
        <v>88</v>
      </c>
      <c r="F2653" s="1" t="s">
        <v>89</v>
      </c>
      <c r="G2653" s="1" t="s">
        <v>18</v>
      </c>
      <c r="H2653" s="1">
        <v>36</v>
      </c>
      <c r="I2653" s="1" t="s">
        <v>123</v>
      </c>
      <c r="J2653" s="3">
        <v>0.30000000000000004</v>
      </c>
      <c r="K2653" s="4">
        <v>3000</v>
      </c>
      <c r="L2653" s="5">
        <f t="shared" si="20"/>
        <v>900.00000000000011</v>
      </c>
      <c r="M2653" s="5">
        <f t="shared" si="21"/>
        <v>315</v>
      </c>
      <c r="N2653" s="6">
        <v>0.35</v>
      </c>
    </row>
    <row r="2654" spans="1:14" ht="15.75" customHeight="1" x14ac:dyDescent="0.45">
      <c r="A2654" s="1" t="s">
        <v>120</v>
      </c>
      <c r="B2654" s="1">
        <v>1197831</v>
      </c>
      <c r="C2654" s="2">
        <v>44878</v>
      </c>
      <c r="D2654" s="1" t="s">
        <v>19</v>
      </c>
      <c r="E2654" s="1" t="s">
        <v>88</v>
      </c>
      <c r="F2654" s="1" t="s">
        <v>89</v>
      </c>
      <c r="G2654" s="1" t="s">
        <v>13</v>
      </c>
      <c r="H2654" s="1">
        <v>39</v>
      </c>
      <c r="I2654" s="1" t="s">
        <v>124</v>
      </c>
      <c r="J2654" s="3">
        <v>0.25000000000000011</v>
      </c>
      <c r="K2654" s="4">
        <v>4500</v>
      </c>
      <c r="L2654" s="5">
        <f t="shared" si="20"/>
        <v>1125.0000000000005</v>
      </c>
      <c r="M2654" s="5">
        <f t="shared" si="21"/>
        <v>393.75000000000011</v>
      </c>
      <c r="N2654" s="6">
        <v>0.35</v>
      </c>
    </row>
    <row r="2655" spans="1:14" ht="15.75" customHeight="1" x14ac:dyDescent="0.45">
      <c r="A2655" s="1" t="s">
        <v>120</v>
      </c>
      <c r="B2655" s="1">
        <v>1197831</v>
      </c>
      <c r="C2655" s="2">
        <v>44878</v>
      </c>
      <c r="D2655" s="1" t="s">
        <v>19</v>
      </c>
      <c r="E2655" s="1" t="s">
        <v>88</v>
      </c>
      <c r="F2655" s="1" t="s">
        <v>89</v>
      </c>
      <c r="G2655" s="1" t="s">
        <v>14</v>
      </c>
      <c r="H2655" s="1">
        <v>32</v>
      </c>
      <c r="I2655" s="1" t="s">
        <v>126</v>
      </c>
      <c r="J2655" s="3">
        <v>0.15000000000000013</v>
      </c>
      <c r="K2655" s="4">
        <v>2750</v>
      </c>
      <c r="L2655" s="5">
        <f t="shared" si="20"/>
        <v>412.50000000000034</v>
      </c>
      <c r="M2655" s="5">
        <f t="shared" si="21"/>
        <v>144.37500000000011</v>
      </c>
      <c r="N2655" s="6">
        <v>0.35</v>
      </c>
    </row>
    <row r="2656" spans="1:14" ht="15.75" customHeight="1" x14ac:dyDescent="0.45">
      <c r="A2656" s="1" t="s">
        <v>120</v>
      </c>
      <c r="B2656" s="1">
        <v>1197831</v>
      </c>
      <c r="C2656" s="2">
        <v>44878</v>
      </c>
      <c r="D2656" s="1" t="s">
        <v>19</v>
      </c>
      <c r="E2656" s="1" t="s">
        <v>88</v>
      </c>
      <c r="F2656" s="1" t="s">
        <v>89</v>
      </c>
      <c r="G2656" s="1" t="s">
        <v>15</v>
      </c>
      <c r="H2656" s="1">
        <v>42</v>
      </c>
      <c r="I2656" s="1" t="s">
        <v>125</v>
      </c>
      <c r="J2656" s="3">
        <v>0.25000000000000017</v>
      </c>
      <c r="K2656" s="4">
        <v>2200</v>
      </c>
      <c r="L2656" s="5">
        <f t="shared" si="20"/>
        <v>550.00000000000034</v>
      </c>
      <c r="M2656" s="5">
        <f t="shared" si="21"/>
        <v>192.50000000000011</v>
      </c>
      <c r="N2656" s="6">
        <v>0.35</v>
      </c>
    </row>
    <row r="2657" spans="1:14" ht="15.75" customHeight="1" x14ac:dyDescent="0.45">
      <c r="A2657" s="1" t="s">
        <v>120</v>
      </c>
      <c r="B2657" s="1">
        <v>1197831</v>
      </c>
      <c r="C2657" s="2">
        <v>44878</v>
      </c>
      <c r="D2657" s="1" t="s">
        <v>19</v>
      </c>
      <c r="E2657" s="1" t="s">
        <v>88</v>
      </c>
      <c r="F2657" s="1" t="s">
        <v>89</v>
      </c>
      <c r="G2657" s="1" t="s">
        <v>16</v>
      </c>
      <c r="H2657" s="1">
        <v>48</v>
      </c>
      <c r="I2657" s="1" t="s">
        <v>125</v>
      </c>
      <c r="J2657" s="3">
        <v>0.55000000000000016</v>
      </c>
      <c r="K2657" s="4">
        <v>2750</v>
      </c>
      <c r="L2657" s="5">
        <f t="shared" si="20"/>
        <v>1512.5000000000005</v>
      </c>
      <c r="M2657" s="5">
        <f t="shared" si="21"/>
        <v>529.37500000000011</v>
      </c>
      <c r="N2657" s="6">
        <v>0.35</v>
      </c>
    </row>
    <row r="2658" spans="1:14" ht="15.75" customHeight="1" x14ac:dyDescent="0.45">
      <c r="A2658" s="1" t="s">
        <v>120</v>
      </c>
      <c r="B2658" s="1">
        <v>1197831</v>
      </c>
      <c r="C2658" s="2">
        <v>44878</v>
      </c>
      <c r="D2658" s="1" t="s">
        <v>19</v>
      </c>
      <c r="E2658" s="1" t="s">
        <v>88</v>
      </c>
      <c r="F2658" s="1" t="s">
        <v>89</v>
      </c>
      <c r="G2658" s="1" t="s">
        <v>17</v>
      </c>
      <c r="H2658" s="1">
        <v>53</v>
      </c>
      <c r="I2658" s="1" t="s">
        <v>125</v>
      </c>
      <c r="J2658" s="3">
        <v>0.75000000000000011</v>
      </c>
      <c r="K2658" s="4">
        <v>2500</v>
      </c>
      <c r="L2658" s="5">
        <f t="shared" si="20"/>
        <v>1875.0000000000002</v>
      </c>
      <c r="M2658" s="5">
        <f t="shared" si="21"/>
        <v>656.25</v>
      </c>
      <c r="N2658" s="6">
        <v>0.35</v>
      </c>
    </row>
    <row r="2659" spans="1:14" ht="15.75" customHeight="1" x14ac:dyDescent="0.45">
      <c r="A2659" s="1" t="s">
        <v>120</v>
      </c>
      <c r="B2659" s="1">
        <v>1197831</v>
      </c>
      <c r="C2659" s="2">
        <v>44878</v>
      </c>
      <c r="D2659" s="1" t="s">
        <v>19</v>
      </c>
      <c r="E2659" s="1" t="s">
        <v>88</v>
      </c>
      <c r="F2659" s="1" t="s">
        <v>89</v>
      </c>
      <c r="G2659" s="1" t="s">
        <v>18</v>
      </c>
      <c r="H2659" s="1">
        <v>47</v>
      </c>
      <c r="I2659" s="1" t="s">
        <v>126</v>
      </c>
      <c r="J2659" s="3">
        <v>0.75</v>
      </c>
      <c r="K2659" s="4">
        <v>3500</v>
      </c>
      <c r="L2659" s="5">
        <f t="shared" si="20"/>
        <v>2625</v>
      </c>
      <c r="M2659" s="5">
        <f t="shared" si="21"/>
        <v>918.74999999999989</v>
      </c>
      <c r="N2659" s="6">
        <v>0.35</v>
      </c>
    </row>
    <row r="2660" spans="1:14" ht="15.75" customHeight="1" x14ac:dyDescent="0.45">
      <c r="A2660" s="1" t="s">
        <v>120</v>
      </c>
      <c r="B2660" s="1">
        <v>1197831</v>
      </c>
      <c r="C2660" s="2">
        <v>44907</v>
      </c>
      <c r="D2660" s="1" t="s">
        <v>19</v>
      </c>
      <c r="E2660" s="1" t="s">
        <v>88</v>
      </c>
      <c r="F2660" s="1" t="s">
        <v>89</v>
      </c>
      <c r="G2660" s="1" t="s">
        <v>13</v>
      </c>
      <c r="H2660" s="1">
        <v>49</v>
      </c>
      <c r="I2660" s="1" t="s">
        <v>126</v>
      </c>
      <c r="J2660" s="3">
        <v>0.70000000000000007</v>
      </c>
      <c r="K2660" s="4">
        <v>6000</v>
      </c>
      <c r="L2660" s="5">
        <f t="shared" si="20"/>
        <v>4200</v>
      </c>
      <c r="M2660" s="5">
        <f t="shared" si="21"/>
        <v>1470</v>
      </c>
      <c r="N2660" s="6">
        <v>0.35</v>
      </c>
    </row>
    <row r="2661" spans="1:14" ht="15.75" customHeight="1" x14ac:dyDescent="0.45">
      <c r="A2661" s="1" t="s">
        <v>120</v>
      </c>
      <c r="B2661" s="1">
        <v>1197831</v>
      </c>
      <c r="C2661" s="2">
        <v>44907</v>
      </c>
      <c r="D2661" s="1" t="s">
        <v>19</v>
      </c>
      <c r="E2661" s="1" t="s">
        <v>88</v>
      </c>
      <c r="F2661" s="1" t="s">
        <v>89</v>
      </c>
      <c r="G2661" s="1" t="s">
        <v>14</v>
      </c>
      <c r="H2661" s="1">
        <v>40</v>
      </c>
      <c r="I2661" s="1" t="s">
        <v>125</v>
      </c>
      <c r="J2661" s="3">
        <v>0.60000000000000009</v>
      </c>
      <c r="K2661" s="4">
        <v>4000</v>
      </c>
      <c r="L2661" s="5">
        <f t="shared" si="20"/>
        <v>2400.0000000000005</v>
      </c>
      <c r="M2661" s="5">
        <f t="shared" si="21"/>
        <v>840.00000000000011</v>
      </c>
      <c r="N2661" s="6">
        <v>0.35</v>
      </c>
    </row>
    <row r="2662" spans="1:14" ht="15.75" customHeight="1" x14ac:dyDescent="0.45">
      <c r="A2662" s="1" t="s">
        <v>120</v>
      </c>
      <c r="B2662" s="1">
        <v>1197831</v>
      </c>
      <c r="C2662" s="2">
        <v>44907</v>
      </c>
      <c r="D2662" s="1" t="s">
        <v>19</v>
      </c>
      <c r="E2662" s="1" t="s">
        <v>88</v>
      </c>
      <c r="F2662" s="1" t="s">
        <v>89</v>
      </c>
      <c r="G2662" s="1" t="s">
        <v>15</v>
      </c>
      <c r="H2662" s="1">
        <v>33</v>
      </c>
      <c r="I2662" s="1" t="s">
        <v>125</v>
      </c>
      <c r="J2662" s="3">
        <v>0.60000000000000009</v>
      </c>
      <c r="K2662" s="4">
        <v>3500</v>
      </c>
      <c r="L2662" s="5">
        <f t="shared" si="20"/>
        <v>2100.0000000000005</v>
      </c>
      <c r="M2662" s="5">
        <f t="shared" si="21"/>
        <v>735.00000000000011</v>
      </c>
      <c r="N2662" s="6">
        <v>0.35</v>
      </c>
    </row>
    <row r="2663" spans="1:14" ht="15.75" customHeight="1" x14ac:dyDescent="0.45">
      <c r="A2663" s="1" t="s">
        <v>120</v>
      </c>
      <c r="B2663" s="1">
        <v>1197831</v>
      </c>
      <c r="C2663" s="2">
        <v>44907</v>
      </c>
      <c r="D2663" s="1" t="s">
        <v>19</v>
      </c>
      <c r="E2663" s="1" t="s">
        <v>88</v>
      </c>
      <c r="F2663" s="1" t="s">
        <v>89</v>
      </c>
      <c r="G2663" s="1" t="s">
        <v>16</v>
      </c>
      <c r="H2663" s="1">
        <v>21</v>
      </c>
      <c r="I2663" s="1" t="s">
        <v>123</v>
      </c>
      <c r="J2663" s="3">
        <v>0.60000000000000009</v>
      </c>
      <c r="K2663" s="4">
        <v>3000</v>
      </c>
      <c r="L2663" s="5">
        <f t="shared" ref="L2663:L2917" si="22">J2663*K2663</f>
        <v>1800.0000000000002</v>
      </c>
      <c r="M2663" s="5">
        <f t="shared" ref="M2663:M2917" si="23">L2663*N2663</f>
        <v>630</v>
      </c>
      <c r="N2663" s="6">
        <v>0.35</v>
      </c>
    </row>
    <row r="2664" spans="1:14" ht="15.75" customHeight="1" x14ac:dyDescent="0.45">
      <c r="A2664" s="1" t="s">
        <v>120</v>
      </c>
      <c r="B2664" s="1">
        <v>1197831</v>
      </c>
      <c r="C2664" s="2">
        <v>44907</v>
      </c>
      <c r="D2664" s="1" t="s">
        <v>19</v>
      </c>
      <c r="E2664" s="1" t="s">
        <v>88</v>
      </c>
      <c r="F2664" s="1" t="s">
        <v>89</v>
      </c>
      <c r="G2664" s="1" t="s">
        <v>17</v>
      </c>
      <c r="H2664" s="1">
        <v>49</v>
      </c>
      <c r="I2664" s="1" t="s">
        <v>123</v>
      </c>
      <c r="J2664" s="3">
        <v>0.70000000000000007</v>
      </c>
      <c r="K2664" s="4">
        <v>3000</v>
      </c>
      <c r="L2664" s="5">
        <f t="shared" si="22"/>
        <v>2100</v>
      </c>
      <c r="M2664" s="5">
        <f t="shared" si="23"/>
        <v>735</v>
      </c>
      <c r="N2664" s="6">
        <v>0.35</v>
      </c>
    </row>
    <row r="2665" spans="1:14" ht="15.75" customHeight="1" x14ac:dyDescent="0.45">
      <c r="A2665" s="1" t="s">
        <v>120</v>
      </c>
      <c r="B2665" s="1">
        <v>1197831</v>
      </c>
      <c r="C2665" s="2">
        <v>44907</v>
      </c>
      <c r="D2665" s="1" t="s">
        <v>19</v>
      </c>
      <c r="E2665" s="1" t="s">
        <v>88</v>
      </c>
      <c r="F2665" s="1" t="s">
        <v>89</v>
      </c>
      <c r="G2665" s="1" t="s">
        <v>18</v>
      </c>
      <c r="H2665" s="1">
        <v>16</v>
      </c>
      <c r="I2665" s="1" t="s">
        <v>123</v>
      </c>
      <c r="J2665" s="3">
        <v>0.75</v>
      </c>
      <c r="K2665" s="4">
        <v>4000</v>
      </c>
      <c r="L2665" s="5">
        <f t="shared" si="22"/>
        <v>3000</v>
      </c>
      <c r="M2665" s="5">
        <f t="shared" si="23"/>
        <v>1050</v>
      </c>
      <c r="N2665" s="6">
        <v>0.35</v>
      </c>
    </row>
    <row r="2666" spans="1:14" ht="15.75" customHeight="1" x14ac:dyDescent="0.45">
      <c r="A2666" s="1" t="s">
        <v>119</v>
      </c>
      <c r="B2666" s="1">
        <v>1185732</v>
      </c>
      <c r="C2666" s="2">
        <v>44573</v>
      </c>
      <c r="D2666" s="1" t="s">
        <v>26</v>
      </c>
      <c r="E2666" s="1" t="s">
        <v>90</v>
      </c>
      <c r="F2666" s="1" t="s">
        <v>91</v>
      </c>
      <c r="G2666" s="1" t="s">
        <v>13</v>
      </c>
      <c r="H2666" s="1">
        <v>16</v>
      </c>
      <c r="I2666" s="1" t="s">
        <v>125</v>
      </c>
      <c r="J2666" s="3">
        <v>0.4</v>
      </c>
      <c r="K2666" s="4">
        <v>4750</v>
      </c>
      <c r="L2666" s="5">
        <f t="shared" si="22"/>
        <v>1900</v>
      </c>
      <c r="M2666" s="5">
        <f t="shared" si="23"/>
        <v>665</v>
      </c>
      <c r="N2666" s="6">
        <v>0.35</v>
      </c>
    </row>
    <row r="2667" spans="1:14" ht="15.75" customHeight="1" x14ac:dyDescent="0.45">
      <c r="A2667" s="1" t="s">
        <v>119</v>
      </c>
      <c r="B2667" s="1">
        <v>1185732</v>
      </c>
      <c r="C2667" s="2">
        <v>44573</v>
      </c>
      <c r="D2667" s="1" t="s">
        <v>26</v>
      </c>
      <c r="E2667" s="1" t="s">
        <v>90</v>
      </c>
      <c r="F2667" s="1" t="s">
        <v>91</v>
      </c>
      <c r="G2667" s="1" t="s">
        <v>14</v>
      </c>
      <c r="H2667" s="1">
        <v>28</v>
      </c>
      <c r="I2667" s="1" t="s">
        <v>123</v>
      </c>
      <c r="J2667" s="3">
        <v>0.4</v>
      </c>
      <c r="K2667" s="4">
        <v>2750</v>
      </c>
      <c r="L2667" s="5">
        <f t="shared" si="22"/>
        <v>1100</v>
      </c>
      <c r="M2667" s="5">
        <f t="shared" si="23"/>
        <v>330</v>
      </c>
      <c r="N2667" s="6">
        <v>0.3</v>
      </c>
    </row>
    <row r="2668" spans="1:14" ht="15.75" customHeight="1" x14ac:dyDescent="0.45">
      <c r="A2668" s="1" t="s">
        <v>119</v>
      </c>
      <c r="B2668" s="1">
        <v>1185732</v>
      </c>
      <c r="C2668" s="2">
        <v>44573</v>
      </c>
      <c r="D2668" s="1" t="s">
        <v>26</v>
      </c>
      <c r="E2668" s="1" t="s">
        <v>90</v>
      </c>
      <c r="F2668" s="1" t="s">
        <v>91</v>
      </c>
      <c r="G2668" s="1" t="s">
        <v>15</v>
      </c>
      <c r="H2668" s="1">
        <v>53</v>
      </c>
      <c r="I2668" s="1" t="s">
        <v>126</v>
      </c>
      <c r="J2668" s="3">
        <v>0.30000000000000004</v>
      </c>
      <c r="K2668" s="4">
        <v>2750</v>
      </c>
      <c r="L2668" s="5">
        <f t="shared" si="22"/>
        <v>825.00000000000011</v>
      </c>
      <c r="M2668" s="5">
        <f t="shared" si="23"/>
        <v>247.50000000000003</v>
      </c>
      <c r="N2668" s="6">
        <v>0.3</v>
      </c>
    </row>
    <row r="2669" spans="1:14" ht="15.75" customHeight="1" x14ac:dyDescent="0.45">
      <c r="A2669" s="1" t="s">
        <v>119</v>
      </c>
      <c r="B2669" s="1">
        <v>1185732</v>
      </c>
      <c r="C2669" s="2">
        <v>44573</v>
      </c>
      <c r="D2669" s="1" t="s">
        <v>26</v>
      </c>
      <c r="E2669" s="1" t="s">
        <v>90</v>
      </c>
      <c r="F2669" s="1" t="s">
        <v>91</v>
      </c>
      <c r="G2669" s="1" t="s">
        <v>16</v>
      </c>
      <c r="H2669" s="1">
        <v>35</v>
      </c>
      <c r="I2669" s="1" t="s">
        <v>125</v>
      </c>
      <c r="J2669" s="3">
        <v>0.35000000000000003</v>
      </c>
      <c r="K2669" s="4">
        <v>1250</v>
      </c>
      <c r="L2669" s="5">
        <f t="shared" si="22"/>
        <v>437.50000000000006</v>
      </c>
      <c r="M2669" s="5">
        <f t="shared" si="23"/>
        <v>131.25</v>
      </c>
      <c r="N2669" s="6">
        <v>0.3</v>
      </c>
    </row>
    <row r="2670" spans="1:14" ht="15.75" customHeight="1" x14ac:dyDescent="0.45">
      <c r="A2670" s="1" t="s">
        <v>119</v>
      </c>
      <c r="B2670" s="1">
        <v>1185732</v>
      </c>
      <c r="C2670" s="2">
        <v>44573</v>
      </c>
      <c r="D2670" s="1" t="s">
        <v>26</v>
      </c>
      <c r="E2670" s="1" t="s">
        <v>90</v>
      </c>
      <c r="F2670" s="1" t="s">
        <v>91</v>
      </c>
      <c r="G2670" s="1" t="s">
        <v>17</v>
      </c>
      <c r="H2670" s="1">
        <v>35</v>
      </c>
      <c r="I2670" s="1" t="s">
        <v>125</v>
      </c>
      <c r="J2670" s="3">
        <v>0.49999999999999994</v>
      </c>
      <c r="K2670" s="4">
        <v>1750</v>
      </c>
      <c r="L2670" s="5">
        <f t="shared" si="22"/>
        <v>874.99999999999989</v>
      </c>
      <c r="M2670" s="5">
        <f t="shared" si="23"/>
        <v>306.24999999999994</v>
      </c>
      <c r="N2670" s="6">
        <v>0.35</v>
      </c>
    </row>
    <row r="2671" spans="1:14" ht="15.75" customHeight="1" x14ac:dyDescent="0.45">
      <c r="A2671" s="1" t="s">
        <v>119</v>
      </c>
      <c r="B2671" s="1">
        <v>1185732</v>
      </c>
      <c r="C2671" s="2">
        <v>44573</v>
      </c>
      <c r="D2671" s="1" t="s">
        <v>26</v>
      </c>
      <c r="E2671" s="1" t="s">
        <v>90</v>
      </c>
      <c r="F2671" s="1" t="s">
        <v>91</v>
      </c>
      <c r="G2671" s="1" t="s">
        <v>18</v>
      </c>
      <c r="H2671" s="1">
        <v>31</v>
      </c>
      <c r="I2671" s="1" t="s">
        <v>126</v>
      </c>
      <c r="J2671" s="3">
        <v>0.4</v>
      </c>
      <c r="K2671" s="4">
        <v>2750</v>
      </c>
      <c r="L2671" s="5">
        <f t="shared" si="22"/>
        <v>1100</v>
      </c>
      <c r="M2671" s="5">
        <f t="shared" si="23"/>
        <v>440</v>
      </c>
      <c r="N2671" s="6">
        <v>0.4</v>
      </c>
    </row>
    <row r="2672" spans="1:14" ht="15.75" customHeight="1" x14ac:dyDescent="0.45">
      <c r="A2672" s="1" t="s">
        <v>119</v>
      </c>
      <c r="B2672" s="1">
        <v>1185732</v>
      </c>
      <c r="C2672" s="2">
        <v>44604</v>
      </c>
      <c r="D2672" s="1" t="s">
        <v>26</v>
      </c>
      <c r="E2672" s="1" t="s">
        <v>90</v>
      </c>
      <c r="F2672" s="1" t="s">
        <v>91</v>
      </c>
      <c r="G2672" s="1" t="s">
        <v>13</v>
      </c>
      <c r="H2672" s="1">
        <v>49</v>
      </c>
      <c r="I2672" s="1" t="s">
        <v>125</v>
      </c>
      <c r="J2672" s="3">
        <v>0.4</v>
      </c>
      <c r="K2672" s="4">
        <v>5250</v>
      </c>
      <c r="L2672" s="5">
        <f t="shared" si="22"/>
        <v>2100</v>
      </c>
      <c r="M2672" s="5">
        <f t="shared" si="23"/>
        <v>735</v>
      </c>
      <c r="N2672" s="6">
        <v>0.35</v>
      </c>
    </row>
    <row r="2673" spans="1:14" ht="15.75" customHeight="1" x14ac:dyDescent="0.45">
      <c r="A2673" s="1" t="s">
        <v>119</v>
      </c>
      <c r="B2673" s="1">
        <v>1185732</v>
      </c>
      <c r="C2673" s="2">
        <v>44604</v>
      </c>
      <c r="D2673" s="1" t="s">
        <v>26</v>
      </c>
      <c r="E2673" s="1" t="s">
        <v>90</v>
      </c>
      <c r="F2673" s="1" t="s">
        <v>91</v>
      </c>
      <c r="G2673" s="1" t="s">
        <v>14</v>
      </c>
      <c r="H2673" s="1">
        <v>30</v>
      </c>
      <c r="I2673" s="1" t="s">
        <v>123</v>
      </c>
      <c r="J2673" s="3">
        <v>0.4</v>
      </c>
      <c r="K2673" s="4">
        <v>1750</v>
      </c>
      <c r="L2673" s="5">
        <f t="shared" si="22"/>
        <v>700</v>
      </c>
      <c r="M2673" s="5">
        <f t="shared" si="23"/>
        <v>210</v>
      </c>
      <c r="N2673" s="6">
        <v>0.3</v>
      </c>
    </row>
    <row r="2674" spans="1:14" ht="15.75" customHeight="1" x14ac:dyDescent="0.45">
      <c r="A2674" s="1" t="s">
        <v>119</v>
      </c>
      <c r="B2674" s="1">
        <v>1185732</v>
      </c>
      <c r="C2674" s="2">
        <v>44604</v>
      </c>
      <c r="D2674" s="1" t="s">
        <v>26</v>
      </c>
      <c r="E2674" s="1" t="s">
        <v>90</v>
      </c>
      <c r="F2674" s="1" t="s">
        <v>91</v>
      </c>
      <c r="G2674" s="1" t="s">
        <v>15</v>
      </c>
      <c r="H2674" s="1">
        <v>22</v>
      </c>
      <c r="I2674" s="1" t="s">
        <v>126</v>
      </c>
      <c r="J2674" s="3">
        <v>0.30000000000000004</v>
      </c>
      <c r="K2674" s="4">
        <v>2250</v>
      </c>
      <c r="L2674" s="5">
        <f t="shared" si="22"/>
        <v>675.00000000000011</v>
      </c>
      <c r="M2674" s="5">
        <f t="shared" si="23"/>
        <v>202.50000000000003</v>
      </c>
      <c r="N2674" s="6">
        <v>0.3</v>
      </c>
    </row>
    <row r="2675" spans="1:14" ht="15.75" customHeight="1" x14ac:dyDescent="0.45">
      <c r="A2675" s="1" t="s">
        <v>119</v>
      </c>
      <c r="B2675" s="1">
        <v>1185732</v>
      </c>
      <c r="C2675" s="2">
        <v>44604</v>
      </c>
      <c r="D2675" s="1" t="s">
        <v>26</v>
      </c>
      <c r="E2675" s="1" t="s">
        <v>90</v>
      </c>
      <c r="F2675" s="1" t="s">
        <v>91</v>
      </c>
      <c r="G2675" s="1" t="s">
        <v>16</v>
      </c>
      <c r="H2675" s="1">
        <v>60</v>
      </c>
      <c r="I2675" s="1" t="s">
        <v>126</v>
      </c>
      <c r="J2675" s="3">
        <v>0.35000000000000003</v>
      </c>
      <c r="K2675" s="4">
        <v>1000</v>
      </c>
      <c r="L2675" s="5">
        <f t="shared" si="22"/>
        <v>350.00000000000006</v>
      </c>
      <c r="M2675" s="5">
        <f t="shared" si="23"/>
        <v>105.00000000000001</v>
      </c>
      <c r="N2675" s="6">
        <v>0.3</v>
      </c>
    </row>
    <row r="2676" spans="1:14" ht="15.75" customHeight="1" x14ac:dyDescent="0.45">
      <c r="A2676" s="1" t="s">
        <v>119</v>
      </c>
      <c r="B2676" s="1">
        <v>1185732</v>
      </c>
      <c r="C2676" s="2">
        <v>44604</v>
      </c>
      <c r="D2676" s="1" t="s">
        <v>26</v>
      </c>
      <c r="E2676" s="1" t="s">
        <v>90</v>
      </c>
      <c r="F2676" s="1" t="s">
        <v>91</v>
      </c>
      <c r="G2676" s="1" t="s">
        <v>17</v>
      </c>
      <c r="H2676" s="1">
        <v>22</v>
      </c>
      <c r="I2676" s="1" t="s">
        <v>124</v>
      </c>
      <c r="J2676" s="3">
        <v>0.49999999999999994</v>
      </c>
      <c r="K2676" s="4">
        <v>1750</v>
      </c>
      <c r="L2676" s="5">
        <f t="shared" si="22"/>
        <v>874.99999999999989</v>
      </c>
      <c r="M2676" s="5">
        <f t="shared" si="23"/>
        <v>306.24999999999994</v>
      </c>
      <c r="N2676" s="6">
        <v>0.35</v>
      </c>
    </row>
    <row r="2677" spans="1:14" ht="15.75" customHeight="1" x14ac:dyDescent="0.45">
      <c r="A2677" s="1" t="s">
        <v>119</v>
      </c>
      <c r="B2677" s="1">
        <v>1185732</v>
      </c>
      <c r="C2677" s="2">
        <v>44604</v>
      </c>
      <c r="D2677" s="1" t="s">
        <v>26</v>
      </c>
      <c r="E2677" s="1" t="s">
        <v>90</v>
      </c>
      <c r="F2677" s="1" t="s">
        <v>91</v>
      </c>
      <c r="G2677" s="1" t="s">
        <v>18</v>
      </c>
      <c r="H2677" s="1">
        <v>29</v>
      </c>
      <c r="I2677" s="1" t="s">
        <v>126</v>
      </c>
      <c r="J2677" s="3">
        <v>0.35</v>
      </c>
      <c r="K2677" s="4">
        <v>2750</v>
      </c>
      <c r="L2677" s="5">
        <f t="shared" si="22"/>
        <v>962.49999999999989</v>
      </c>
      <c r="M2677" s="5">
        <f t="shared" si="23"/>
        <v>385</v>
      </c>
      <c r="N2677" s="6">
        <v>0.4</v>
      </c>
    </row>
    <row r="2678" spans="1:14" ht="15.75" customHeight="1" x14ac:dyDescent="0.45">
      <c r="A2678" s="1" t="s">
        <v>119</v>
      </c>
      <c r="B2678" s="1">
        <v>1185732</v>
      </c>
      <c r="C2678" s="2">
        <v>44631</v>
      </c>
      <c r="D2678" s="1" t="s">
        <v>26</v>
      </c>
      <c r="E2678" s="1" t="s">
        <v>90</v>
      </c>
      <c r="F2678" s="1" t="s">
        <v>91</v>
      </c>
      <c r="G2678" s="1" t="s">
        <v>13</v>
      </c>
      <c r="H2678" s="1">
        <v>38</v>
      </c>
      <c r="I2678" s="1" t="s">
        <v>126</v>
      </c>
      <c r="J2678" s="3">
        <v>0.4</v>
      </c>
      <c r="K2678" s="4">
        <v>4950</v>
      </c>
      <c r="L2678" s="5">
        <f t="shared" si="22"/>
        <v>1980</v>
      </c>
      <c r="M2678" s="5">
        <f t="shared" si="23"/>
        <v>693</v>
      </c>
      <c r="N2678" s="6">
        <v>0.35</v>
      </c>
    </row>
    <row r="2679" spans="1:14" ht="15.75" customHeight="1" x14ac:dyDescent="0.45">
      <c r="A2679" s="1" t="s">
        <v>119</v>
      </c>
      <c r="B2679" s="1">
        <v>1185732</v>
      </c>
      <c r="C2679" s="2">
        <v>44631</v>
      </c>
      <c r="D2679" s="1" t="s">
        <v>26</v>
      </c>
      <c r="E2679" s="1" t="s">
        <v>90</v>
      </c>
      <c r="F2679" s="1" t="s">
        <v>91</v>
      </c>
      <c r="G2679" s="1" t="s">
        <v>14</v>
      </c>
      <c r="H2679" s="1">
        <v>29</v>
      </c>
      <c r="I2679" s="1" t="s">
        <v>126</v>
      </c>
      <c r="J2679" s="3">
        <v>0.4</v>
      </c>
      <c r="K2679" s="4">
        <v>2000</v>
      </c>
      <c r="L2679" s="5">
        <f t="shared" si="22"/>
        <v>800</v>
      </c>
      <c r="M2679" s="5">
        <f t="shared" si="23"/>
        <v>240</v>
      </c>
      <c r="N2679" s="6">
        <v>0.3</v>
      </c>
    </row>
    <row r="2680" spans="1:14" ht="15.75" customHeight="1" x14ac:dyDescent="0.45">
      <c r="A2680" s="1" t="s">
        <v>119</v>
      </c>
      <c r="B2680" s="1">
        <v>1185732</v>
      </c>
      <c r="C2680" s="2">
        <v>44631</v>
      </c>
      <c r="D2680" s="1" t="s">
        <v>26</v>
      </c>
      <c r="E2680" s="1" t="s">
        <v>90</v>
      </c>
      <c r="F2680" s="1" t="s">
        <v>91</v>
      </c>
      <c r="G2680" s="1" t="s">
        <v>15</v>
      </c>
      <c r="H2680" s="1">
        <v>38</v>
      </c>
      <c r="I2680" s="1" t="s">
        <v>124</v>
      </c>
      <c r="J2680" s="3">
        <v>0.30000000000000004</v>
      </c>
      <c r="K2680" s="4">
        <v>2250</v>
      </c>
      <c r="L2680" s="5">
        <f t="shared" si="22"/>
        <v>675.00000000000011</v>
      </c>
      <c r="M2680" s="5">
        <f t="shared" si="23"/>
        <v>202.50000000000003</v>
      </c>
      <c r="N2680" s="6">
        <v>0.3</v>
      </c>
    </row>
    <row r="2681" spans="1:14" ht="15.75" customHeight="1" x14ac:dyDescent="0.45">
      <c r="A2681" s="1" t="s">
        <v>119</v>
      </c>
      <c r="B2681" s="1">
        <v>1185732</v>
      </c>
      <c r="C2681" s="2">
        <v>44631</v>
      </c>
      <c r="D2681" s="1" t="s">
        <v>26</v>
      </c>
      <c r="E2681" s="1" t="s">
        <v>90</v>
      </c>
      <c r="F2681" s="1" t="s">
        <v>91</v>
      </c>
      <c r="G2681" s="1" t="s">
        <v>16</v>
      </c>
      <c r="H2681" s="1">
        <v>53</v>
      </c>
      <c r="I2681" s="1" t="s">
        <v>123</v>
      </c>
      <c r="J2681" s="3">
        <v>0.35</v>
      </c>
      <c r="K2681" s="4">
        <v>750</v>
      </c>
      <c r="L2681" s="5">
        <f t="shared" si="22"/>
        <v>262.5</v>
      </c>
      <c r="M2681" s="5">
        <f t="shared" si="23"/>
        <v>78.75</v>
      </c>
      <c r="N2681" s="6">
        <v>0.3</v>
      </c>
    </row>
    <row r="2682" spans="1:14" ht="15.75" customHeight="1" x14ac:dyDescent="0.45">
      <c r="A2682" s="1" t="s">
        <v>119</v>
      </c>
      <c r="B2682" s="1">
        <v>1185732</v>
      </c>
      <c r="C2682" s="2">
        <v>44631</v>
      </c>
      <c r="D2682" s="1" t="s">
        <v>26</v>
      </c>
      <c r="E2682" s="1" t="s">
        <v>90</v>
      </c>
      <c r="F2682" s="1" t="s">
        <v>91</v>
      </c>
      <c r="G2682" s="1" t="s">
        <v>17</v>
      </c>
      <c r="H2682" s="1">
        <v>54</v>
      </c>
      <c r="I2682" s="1" t="s">
        <v>126</v>
      </c>
      <c r="J2682" s="3">
        <v>0.5</v>
      </c>
      <c r="K2682" s="4">
        <v>1250</v>
      </c>
      <c r="L2682" s="5">
        <f t="shared" si="22"/>
        <v>625</v>
      </c>
      <c r="M2682" s="5">
        <f t="shared" si="23"/>
        <v>218.75</v>
      </c>
      <c r="N2682" s="6">
        <v>0.35</v>
      </c>
    </row>
    <row r="2683" spans="1:14" ht="15.75" customHeight="1" x14ac:dyDescent="0.45">
      <c r="A2683" s="1" t="s">
        <v>119</v>
      </c>
      <c r="B2683" s="1">
        <v>1185732</v>
      </c>
      <c r="C2683" s="2">
        <v>44631</v>
      </c>
      <c r="D2683" s="1" t="s">
        <v>26</v>
      </c>
      <c r="E2683" s="1" t="s">
        <v>90</v>
      </c>
      <c r="F2683" s="1" t="s">
        <v>91</v>
      </c>
      <c r="G2683" s="1" t="s">
        <v>18</v>
      </c>
      <c r="H2683" s="1">
        <v>51</v>
      </c>
      <c r="I2683" s="1" t="s">
        <v>123</v>
      </c>
      <c r="J2683" s="3">
        <v>0.4</v>
      </c>
      <c r="K2683" s="4">
        <v>2250</v>
      </c>
      <c r="L2683" s="5">
        <f t="shared" si="22"/>
        <v>900</v>
      </c>
      <c r="M2683" s="5">
        <f t="shared" si="23"/>
        <v>360</v>
      </c>
      <c r="N2683" s="6">
        <v>0.4</v>
      </c>
    </row>
    <row r="2684" spans="1:14" ht="15.75" customHeight="1" x14ac:dyDescent="0.45">
      <c r="A2684" s="1" t="s">
        <v>119</v>
      </c>
      <c r="B2684" s="1">
        <v>1185732</v>
      </c>
      <c r="C2684" s="2">
        <v>44663</v>
      </c>
      <c r="D2684" s="1" t="s">
        <v>26</v>
      </c>
      <c r="E2684" s="1" t="s">
        <v>90</v>
      </c>
      <c r="F2684" s="1" t="s">
        <v>91</v>
      </c>
      <c r="G2684" s="1" t="s">
        <v>13</v>
      </c>
      <c r="H2684" s="1">
        <v>36</v>
      </c>
      <c r="I2684" s="1" t="s">
        <v>123</v>
      </c>
      <c r="J2684" s="3">
        <v>0.4</v>
      </c>
      <c r="K2684" s="4">
        <v>4500</v>
      </c>
      <c r="L2684" s="5">
        <f t="shared" si="22"/>
        <v>1800</v>
      </c>
      <c r="M2684" s="5">
        <f t="shared" si="23"/>
        <v>630</v>
      </c>
      <c r="N2684" s="6">
        <v>0.35</v>
      </c>
    </row>
    <row r="2685" spans="1:14" ht="15.75" customHeight="1" x14ac:dyDescent="0.45">
      <c r="A2685" s="1" t="s">
        <v>119</v>
      </c>
      <c r="B2685" s="1">
        <v>1185732</v>
      </c>
      <c r="C2685" s="2">
        <v>44663</v>
      </c>
      <c r="D2685" s="1" t="s">
        <v>26</v>
      </c>
      <c r="E2685" s="1" t="s">
        <v>90</v>
      </c>
      <c r="F2685" s="1" t="s">
        <v>91</v>
      </c>
      <c r="G2685" s="1" t="s">
        <v>14</v>
      </c>
      <c r="H2685" s="1">
        <v>27</v>
      </c>
      <c r="I2685" s="1" t="s">
        <v>125</v>
      </c>
      <c r="J2685" s="3">
        <v>0.4</v>
      </c>
      <c r="K2685" s="4">
        <v>1500</v>
      </c>
      <c r="L2685" s="5">
        <f t="shared" si="22"/>
        <v>600</v>
      </c>
      <c r="M2685" s="5">
        <f t="shared" si="23"/>
        <v>180</v>
      </c>
      <c r="N2685" s="6">
        <v>0.3</v>
      </c>
    </row>
    <row r="2686" spans="1:14" ht="15.75" customHeight="1" x14ac:dyDescent="0.45">
      <c r="A2686" s="1" t="s">
        <v>119</v>
      </c>
      <c r="B2686" s="1">
        <v>1185732</v>
      </c>
      <c r="C2686" s="2">
        <v>44663</v>
      </c>
      <c r="D2686" s="1" t="s">
        <v>26</v>
      </c>
      <c r="E2686" s="1" t="s">
        <v>90</v>
      </c>
      <c r="F2686" s="1" t="s">
        <v>91</v>
      </c>
      <c r="G2686" s="1" t="s">
        <v>15</v>
      </c>
      <c r="H2686" s="1">
        <v>44</v>
      </c>
      <c r="I2686" s="1" t="s">
        <v>123</v>
      </c>
      <c r="J2686" s="3">
        <v>0.30000000000000004</v>
      </c>
      <c r="K2686" s="4">
        <v>1500</v>
      </c>
      <c r="L2686" s="5">
        <f t="shared" si="22"/>
        <v>450.00000000000006</v>
      </c>
      <c r="M2686" s="5">
        <f t="shared" si="23"/>
        <v>135</v>
      </c>
      <c r="N2686" s="6">
        <v>0.3</v>
      </c>
    </row>
    <row r="2687" spans="1:14" ht="15.75" customHeight="1" x14ac:dyDescent="0.45">
      <c r="A2687" s="1" t="s">
        <v>119</v>
      </c>
      <c r="B2687" s="1">
        <v>1185732</v>
      </c>
      <c r="C2687" s="2">
        <v>44663</v>
      </c>
      <c r="D2687" s="1" t="s">
        <v>26</v>
      </c>
      <c r="E2687" s="1" t="s">
        <v>90</v>
      </c>
      <c r="F2687" s="1" t="s">
        <v>91</v>
      </c>
      <c r="G2687" s="1" t="s">
        <v>16</v>
      </c>
      <c r="H2687" s="1">
        <v>54</v>
      </c>
      <c r="I2687" s="1" t="s">
        <v>125</v>
      </c>
      <c r="J2687" s="3">
        <v>0.35</v>
      </c>
      <c r="K2687" s="4">
        <v>750</v>
      </c>
      <c r="L2687" s="5">
        <f t="shared" si="22"/>
        <v>262.5</v>
      </c>
      <c r="M2687" s="5">
        <f t="shared" si="23"/>
        <v>78.75</v>
      </c>
      <c r="N2687" s="6">
        <v>0.3</v>
      </c>
    </row>
    <row r="2688" spans="1:14" ht="15.75" customHeight="1" x14ac:dyDescent="0.45">
      <c r="A2688" s="1" t="s">
        <v>119</v>
      </c>
      <c r="B2688" s="1">
        <v>1185732</v>
      </c>
      <c r="C2688" s="2">
        <v>44663</v>
      </c>
      <c r="D2688" s="1" t="s">
        <v>26</v>
      </c>
      <c r="E2688" s="1" t="s">
        <v>90</v>
      </c>
      <c r="F2688" s="1" t="s">
        <v>91</v>
      </c>
      <c r="G2688" s="1" t="s">
        <v>17</v>
      </c>
      <c r="H2688" s="1">
        <v>28</v>
      </c>
      <c r="I2688" s="1" t="s">
        <v>126</v>
      </c>
      <c r="J2688" s="3">
        <v>0.6</v>
      </c>
      <c r="K2688" s="4">
        <v>1000</v>
      </c>
      <c r="L2688" s="5">
        <f t="shared" si="22"/>
        <v>600</v>
      </c>
      <c r="M2688" s="5">
        <f t="shared" si="23"/>
        <v>210</v>
      </c>
      <c r="N2688" s="6">
        <v>0.35</v>
      </c>
    </row>
    <row r="2689" spans="1:14" ht="15.75" customHeight="1" x14ac:dyDescent="0.45">
      <c r="A2689" s="1" t="s">
        <v>119</v>
      </c>
      <c r="B2689" s="1">
        <v>1185732</v>
      </c>
      <c r="C2689" s="2">
        <v>44663</v>
      </c>
      <c r="D2689" s="1" t="s">
        <v>26</v>
      </c>
      <c r="E2689" s="1" t="s">
        <v>90</v>
      </c>
      <c r="F2689" s="1" t="s">
        <v>91</v>
      </c>
      <c r="G2689" s="1" t="s">
        <v>18</v>
      </c>
      <c r="H2689" s="1">
        <v>54</v>
      </c>
      <c r="I2689" s="1" t="s">
        <v>126</v>
      </c>
      <c r="J2689" s="3">
        <v>0.5</v>
      </c>
      <c r="K2689" s="4">
        <v>2250</v>
      </c>
      <c r="L2689" s="5">
        <f t="shared" si="22"/>
        <v>1125</v>
      </c>
      <c r="M2689" s="5">
        <f t="shared" si="23"/>
        <v>450</v>
      </c>
      <c r="N2689" s="6">
        <v>0.4</v>
      </c>
    </row>
    <row r="2690" spans="1:14" ht="15.75" customHeight="1" x14ac:dyDescent="0.45">
      <c r="A2690" s="1" t="s">
        <v>119</v>
      </c>
      <c r="B2690" s="1">
        <v>1185732</v>
      </c>
      <c r="C2690" s="2">
        <v>44694</v>
      </c>
      <c r="D2690" s="1" t="s">
        <v>26</v>
      </c>
      <c r="E2690" s="1" t="s">
        <v>90</v>
      </c>
      <c r="F2690" s="1" t="s">
        <v>91</v>
      </c>
      <c r="G2690" s="1" t="s">
        <v>13</v>
      </c>
      <c r="H2690" s="1">
        <v>52</v>
      </c>
      <c r="I2690" s="1" t="s">
        <v>124</v>
      </c>
      <c r="J2690" s="3">
        <v>0.6</v>
      </c>
      <c r="K2690" s="4">
        <v>4950</v>
      </c>
      <c r="L2690" s="5">
        <f t="shared" si="22"/>
        <v>2970</v>
      </c>
      <c r="M2690" s="5">
        <f t="shared" si="23"/>
        <v>1039.5</v>
      </c>
      <c r="N2690" s="6">
        <v>0.35</v>
      </c>
    </row>
    <row r="2691" spans="1:14" ht="15.75" customHeight="1" x14ac:dyDescent="0.45">
      <c r="A2691" s="1" t="s">
        <v>119</v>
      </c>
      <c r="B2691" s="1">
        <v>1185732</v>
      </c>
      <c r="C2691" s="2">
        <v>44694</v>
      </c>
      <c r="D2691" s="1" t="s">
        <v>26</v>
      </c>
      <c r="E2691" s="1" t="s">
        <v>90</v>
      </c>
      <c r="F2691" s="1" t="s">
        <v>91</v>
      </c>
      <c r="G2691" s="1" t="s">
        <v>14</v>
      </c>
      <c r="H2691" s="1">
        <v>54</v>
      </c>
      <c r="I2691" s="1" t="s">
        <v>124</v>
      </c>
      <c r="J2691" s="3">
        <v>0.5</v>
      </c>
      <c r="K2691" s="4">
        <v>2000</v>
      </c>
      <c r="L2691" s="5">
        <f t="shared" si="22"/>
        <v>1000</v>
      </c>
      <c r="M2691" s="5">
        <f t="shared" si="23"/>
        <v>300</v>
      </c>
      <c r="N2691" s="6">
        <v>0.3</v>
      </c>
    </row>
    <row r="2692" spans="1:14" ht="15.75" customHeight="1" x14ac:dyDescent="0.45">
      <c r="A2692" s="1" t="s">
        <v>119</v>
      </c>
      <c r="B2692" s="1">
        <v>1185732</v>
      </c>
      <c r="C2692" s="2">
        <v>44694</v>
      </c>
      <c r="D2692" s="1" t="s">
        <v>26</v>
      </c>
      <c r="E2692" s="1" t="s">
        <v>90</v>
      </c>
      <c r="F2692" s="1" t="s">
        <v>91</v>
      </c>
      <c r="G2692" s="1" t="s">
        <v>15</v>
      </c>
      <c r="H2692" s="1">
        <v>20</v>
      </c>
      <c r="I2692" s="1" t="s">
        <v>123</v>
      </c>
      <c r="J2692" s="3">
        <v>0.45</v>
      </c>
      <c r="K2692" s="4">
        <v>1750</v>
      </c>
      <c r="L2692" s="5">
        <f t="shared" si="22"/>
        <v>787.5</v>
      </c>
      <c r="M2692" s="5">
        <f t="shared" si="23"/>
        <v>236.25</v>
      </c>
      <c r="N2692" s="6">
        <v>0.3</v>
      </c>
    </row>
    <row r="2693" spans="1:14" ht="15.75" customHeight="1" x14ac:dyDescent="0.45">
      <c r="A2693" s="1" t="s">
        <v>119</v>
      </c>
      <c r="B2693" s="1">
        <v>1185732</v>
      </c>
      <c r="C2693" s="2">
        <v>44694</v>
      </c>
      <c r="D2693" s="1" t="s">
        <v>26</v>
      </c>
      <c r="E2693" s="1" t="s">
        <v>90</v>
      </c>
      <c r="F2693" s="1" t="s">
        <v>91</v>
      </c>
      <c r="G2693" s="1" t="s">
        <v>16</v>
      </c>
      <c r="H2693" s="1">
        <v>20</v>
      </c>
      <c r="I2693" s="1" t="s">
        <v>124</v>
      </c>
      <c r="J2693" s="3">
        <v>0.45</v>
      </c>
      <c r="K2693" s="4">
        <v>1000</v>
      </c>
      <c r="L2693" s="5">
        <f t="shared" si="22"/>
        <v>450</v>
      </c>
      <c r="M2693" s="5">
        <f t="shared" si="23"/>
        <v>135</v>
      </c>
      <c r="N2693" s="6">
        <v>0.3</v>
      </c>
    </row>
    <row r="2694" spans="1:14" ht="15.75" customHeight="1" x14ac:dyDescent="0.45">
      <c r="A2694" s="1" t="s">
        <v>119</v>
      </c>
      <c r="B2694" s="1">
        <v>1185732</v>
      </c>
      <c r="C2694" s="2">
        <v>44694</v>
      </c>
      <c r="D2694" s="1" t="s">
        <v>26</v>
      </c>
      <c r="E2694" s="1" t="s">
        <v>90</v>
      </c>
      <c r="F2694" s="1" t="s">
        <v>91</v>
      </c>
      <c r="G2694" s="1" t="s">
        <v>17</v>
      </c>
      <c r="H2694" s="1">
        <v>58</v>
      </c>
      <c r="I2694" s="1" t="s">
        <v>123</v>
      </c>
      <c r="J2694" s="3">
        <v>0.54999999999999993</v>
      </c>
      <c r="K2694" s="4">
        <v>1250</v>
      </c>
      <c r="L2694" s="5">
        <f t="shared" si="22"/>
        <v>687.49999999999989</v>
      </c>
      <c r="M2694" s="5">
        <f t="shared" si="23"/>
        <v>240.62499999999994</v>
      </c>
      <c r="N2694" s="6">
        <v>0.35</v>
      </c>
    </row>
    <row r="2695" spans="1:14" ht="15.75" customHeight="1" x14ac:dyDescent="0.45">
      <c r="A2695" s="1" t="s">
        <v>119</v>
      </c>
      <c r="B2695" s="1">
        <v>1185732</v>
      </c>
      <c r="C2695" s="2">
        <v>44694</v>
      </c>
      <c r="D2695" s="1" t="s">
        <v>26</v>
      </c>
      <c r="E2695" s="1" t="s">
        <v>90</v>
      </c>
      <c r="F2695" s="1" t="s">
        <v>91</v>
      </c>
      <c r="G2695" s="1" t="s">
        <v>18</v>
      </c>
      <c r="H2695" s="1">
        <v>54</v>
      </c>
      <c r="I2695" s="1" t="s">
        <v>123</v>
      </c>
      <c r="J2695" s="3">
        <v>0.6</v>
      </c>
      <c r="K2695" s="4">
        <v>2500</v>
      </c>
      <c r="L2695" s="5">
        <f t="shared" si="22"/>
        <v>1500</v>
      </c>
      <c r="M2695" s="5">
        <f t="shared" si="23"/>
        <v>600</v>
      </c>
      <c r="N2695" s="6">
        <v>0.4</v>
      </c>
    </row>
    <row r="2696" spans="1:14" ht="15.75" customHeight="1" x14ac:dyDescent="0.45">
      <c r="A2696" s="1" t="s">
        <v>119</v>
      </c>
      <c r="B2696" s="1">
        <v>1185732</v>
      </c>
      <c r="C2696" s="2">
        <v>44724</v>
      </c>
      <c r="D2696" s="1" t="s">
        <v>26</v>
      </c>
      <c r="E2696" s="1" t="s">
        <v>90</v>
      </c>
      <c r="F2696" s="1" t="s">
        <v>91</v>
      </c>
      <c r="G2696" s="1" t="s">
        <v>13</v>
      </c>
      <c r="H2696" s="1">
        <v>45</v>
      </c>
      <c r="I2696" s="1" t="s">
        <v>124</v>
      </c>
      <c r="J2696" s="3">
        <v>0.45</v>
      </c>
      <c r="K2696" s="4">
        <v>5000</v>
      </c>
      <c r="L2696" s="5">
        <f t="shared" si="22"/>
        <v>2250</v>
      </c>
      <c r="M2696" s="5">
        <f t="shared" si="23"/>
        <v>787.5</v>
      </c>
      <c r="N2696" s="6">
        <v>0.35</v>
      </c>
    </row>
    <row r="2697" spans="1:14" ht="15.75" customHeight="1" x14ac:dyDescent="0.45">
      <c r="A2697" s="1" t="s">
        <v>119</v>
      </c>
      <c r="B2697" s="1">
        <v>1185732</v>
      </c>
      <c r="C2697" s="2">
        <v>44724</v>
      </c>
      <c r="D2697" s="1" t="s">
        <v>26</v>
      </c>
      <c r="E2697" s="1" t="s">
        <v>90</v>
      </c>
      <c r="F2697" s="1" t="s">
        <v>91</v>
      </c>
      <c r="G2697" s="1" t="s">
        <v>14</v>
      </c>
      <c r="H2697" s="1">
        <v>23</v>
      </c>
      <c r="I2697" s="1" t="s">
        <v>125</v>
      </c>
      <c r="J2697" s="3">
        <v>0.40000000000000008</v>
      </c>
      <c r="K2697" s="4">
        <v>2500</v>
      </c>
      <c r="L2697" s="5">
        <f t="shared" si="22"/>
        <v>1000.0000000000002</v>
      </c>
      <c r="M2697" s="5">
        <f t="shared" si="23"/>
        <v>300.00000000000006</v>
      </c>
      <c r="N2697" s="6">
        <v>0.3</v>
      </c>
    </row>
    <row r="2698" spans="1:14" ht="15.75" customHeight="1" x14ac:dyDescent="0.45">
      <c r="A2698" s="1" t="s">
        <v>119</v>
      </c>
      <c r="B2698" s="1">
        <v>1185732</v>
      </c>
      <c r="C2698" s="2">
        <v>44724</v>
      </c>
      <c r="D2698" s="1" t="s">
        <v>26</v>
      </c>
      <c r="E2698" s="1" t="s">
        <v>90</v>
      </c>
      <c r="F2698" s="1" t="s">
        <v>91</v>
      </c>
      <c r="G2698" s="1" t="s">
        <v>15</v>
      </c>
      <c r="H2698" s="1">
        <v>26</v>
      </c>
      <c r="I2698" s="1" t="s">
        <v>123</v>
      </c>
      <c r="J2698" s="3">
        <v>0.35000000000000003</v>
      </c>
      <c r="K2698" s="4">
        <v>2000</v>
      </c>
      <c r="L2698" s="5">
        <f t="shared" si="22"/>
        <v>700.00000000000011</v>
      </c>
      <c r="M2698" s="5">
        <f t="shared" si="23"/>
        <v>210.00000000000003</v>
      </c>
      <c r="N2698" s="6">
        <v>0.3</v>
      </c>
    </row>
    <row r="2699" spans="1:14" ht="15.75" customHeight="1" x14ac:dyDescent="0.45">
      <c r="A2699" s="1" t="s">
        <v>119</v>
      </c>
      <c r="B2699" s="1">
        <v>1185732</v>
      </c>
      <c r="C2699" s="2">
        <v>44724</v>
      </c>
      <c r="D2699" s="1" t="s">
        <v>26</v>
      </c>
      <c r="E2699" s="1" t="s">
        <v>90</v>
      </c>
      <c r="F2699" s="1" t="s">
        <v>91</v>
      </c>
      <c r="G2699" s="1" t="s">
        <v>16</v>
      </c>
      <c r="H2699" s="1">
        <v>58</v>
      </c>
      <c r="I2699" s="1" t="s">
        <v>126</v>
      </c>
      <c r="J2699" s="3">
        <v>0.35000000000000003</v>
      </c>
      <c r="K2699" s="4">
        <v>1750</v>
      </c>
      <c r="L2699" s="5">
        <f t="shared" si="22"/>
        <v>612.50000000000011</v>
      </c>
      <c r="M2699" s="5">
        <f t="shared" si="23"/>
        <v>183.75000000000003</v>
      </c>
      <c r="N2699" s="6">
        <v>0.3</v>
      </c>
    </row>
    <row r="2700" spans="1:14" ht="15.75" customHeight="1" x14ac:dyDescent="0.45">
      <c r="A2700" s="1" t="s">
        <v>119</v>
      </c>
      <c r="B2700" s="1">
        <v>1185732</v>
      </c>
      <c r="C2700" s="2">
        <v>44724</v>
      </c>
      <c r="D2700" s="1" t="s">
        <v>26</v>
      </c>
      <c r="E2700" s="1" t="s">
        <v>90</v>
      </c>
      <c r="F2700" s="1" t="s">
        <v>91</v>
      </c>
      <c r="G2700" s="1" t="s">
        <v>17</v>
      </c>
      <c r="H2700" s="1">
        <v>45</v>
      </c>
      <c r="I2700" s="1" t="s">
        <v>124</v>
      </c>
      <c r="J2700" s="3">
        <v>0.45</v>
      </c>
      <c r="K2700" s="4">
        <v>1750</v>
      </c>
      <c r="L2700" s="5">
        <f t="shared" si="22"/>
        <v>787.5</v>
      </c>
      <c r="M2700" s="5">
        <f t="shared" si="23"/>
        <v>275.625</v>
      </c>
      <c r="N2700" s="6">
        <v>0.35</v>
      </c>
    </row>
    <row r="2701" spans="1:14" ht="15.75" customHeight="1" x14ac:dyDescent="0.45">
      <c r="A2701" s="1" t="s">
        <v>119</v>
      </c>
      <c r="B2701" s="1">
        <v>1185732</v>
      </c>
      <c r="C2701" s="2">
        <v>44724</v>
      </c>
      <c r="D2701" s="1" t="s">
        <v>26</v>
      </c>
      <c r="E2701" s="1" t="s">
        <v>90</v>
      </c>
      <c r="F2701" s="1" t="s">
        <v>91</v>
      </c>
      <c r="G2701" s="1" t="s">
        <v>18</v>
      </c>
      <c r="H2701" s="1">
        <v>46</v>
      </c>
      <c r="I2701" s="1" t="s">
        <v>125</v>
      </c>
      <c r="J2701" s="3">
        <v>0.55000000000000004</v>
      </c>
      <c r="K2701" s="4">
        <v>3250</v>
      </c>
      <c r="L2701" s="5">
        <f t="shared" si="22"/>
        <v>1787.5000000000002</v>
      </c>
      <c r="M2701" s="5">
        <f t="shared" si="23"/>
        <v>715.00000000000011</v>
      </c>
      <c r="N2701" s="6">
        <v>0.4</v>
      </c>
    </row>
    <row r="2702" spans="1:14" ht="15.75" customHeight="1" x14ac:dyDescent="0.45">
      <c r="A2702" s="1" t="s">
        <v>119</v>
      </c>
      <c r="B2702" s="1">
        <v>1185732</v>
      </c>
      <c r="C2702" s="2">
        <v>44753</v>
      </c>
      <c r="D2702" s="1" t="s">
        <v>26</v>
      </c>
      <c r="E2702" s="1" t="s">
        <v>90</v>
      </c>
      <c r="F2702" s="1" t="s">
        <v>91</v>
      </c>
      <c r="G2702" s="1" t="s">
        <v>13</v>
      </c>
      <c r="H2702" s="1">
        <v>29</v>
      </c>
      <c r="I2702" s="1" t="s">
        <v>125</v>
      </c>
      <c r="J2702" s="3">
        <v>0.5</v>
      </c>
      <c r="K2702" s="4">
        <v>5500</v>
      </c>
      <c r="L2702" s="5">
        <f t="shared" si="22"/>
        <v>2750</v>
      </c>
      <c r="M2702" s="5">
        <f t="shared" si="23"/>
        <v>962.49999999999989</v>
      </c>
      <c r="N2702" s="6">
        <v>0.35</v>
      </c>
    </row>
    <row r="2703" spans="1:14" ht="15.75" customHeight="1" x14ac:dyDescent="0.45">
      <c r="A2703" s="1" t="s">
        <v>119</v>
      </c>
      <c r="B2703" s="1">
        <v>1185732</v>
      </c>
      <c r="C2703" s="2">
        <v>44753</v>
      </c>
      <c r="D2703" s="1" t="s">
        <v>26</v>
      </c>
      <c r="E2703" s="1" t="s">
        <v>90</v>
      </c>
      <c r="F2703" s="1" t="s">
        <v>91</v>
      </c>
      <c r="G2703" s="1" t="s">
        <v>14</v>
      </c>
      <c r="H2703" s="1">
        <v>43</v>
      </c>
      <c r="I2703" s="1" t="s">
        <v>124</v>
      </c>
      <c r="J2703" s="3">
        <v>0.45000000000000007</v>
      </c>
      <c r="K2703" s="4">
        <v>3000</v>
      </c>
      <c r="L2703" s="5">
        <f t="shared" si="22"/>
        <v>1350.0000000000002</v>
      </c>
      <c r="M2703" s="5">
        <f t="shared" si="23"/>
        <v>405.00000000000006</v>
      </c>
      <c r="N2703" s="6">
        <v>0.3</v>
      </c>
    </row>
    <row r="2704" spans="1:14" ht="15.75" customHeight="1" x14ac:dyDescent="0.45">
      <c r="A2704" s="1" t="s">
        <v>119</v>
      </c>
      <c r="B2704" s="1">
        <v>1185732</v>
      </c>
      <c r="C2704" s="2">
        <v>44753</v>
      </c>
      <c r="D2704" s="1" t="s">
        <v>26</v>
      </c>
      <c r="E2704" s="1" t="s">
        <v>90</v>
      </c>
      <c r="F2704" s="1" t="s">
        <v>91</v>
      </c>
      <c r="G2704" s="1" t="s">
        <v>15</v>
      </c>
      <c r="H2704" s="1">
        <v>39</v>
      </c>
      <c r="I2704" s="1" t="s">
        <v>123</v>
      </c>
      <c r="J2704" s="3">
        <v>0.4</v>
      </c>
      <c r="K2704" s="4">
        <v>2250</v>
      </c>
      <c r="L2704" s="5">
        <f t="shared" si="22"/>
        <v>900</v>
      </c>
      <c r="M2704" s="5">
        <f t="shared" si="23"/>
        <v>270</v>
      </c>
      <c r="N2704" s="6">
        <v>0.3</v>
      </c>
    </row>
    <row r="2705" spans="1:14" ht="15.75" customHeight="1" x14ac:dyDescent="0.45">
      <c r="A2705" s="1" t="s">
        <v>119</v>
      </c>
      <c r="B2705" s="1">
        <v>1185732</v>
      </c>
      <c r="C2705" s="2">
        <v>44753</v>
      </c>
      <c r="D2705" s="1" t="s">
        <v>26</v>
      </c>
      <c r="E2705" s="1" t="s">
        <v>90</v>
      </c>
      <c r="F2705" s="1" t="s">
        <v>91</v>
      </c>
      <c r="G2705" s="1" t="s">
        <v>16</v>
      </c>
      <c r="H2705" s="1">
        <v>19</v>
      </c>
      <c r="I2705" s="1" t="s">
        <v>126</v>
      </c>
      <c r="J2705" s="3">
        <v>0.4</v>
      </c>
      <c r="K2705" s="4">
        <v>1750</v>
      </c>
      <c r="L2705" s="5">
        <f t="shared" si="22"/>
        <v>700</v>
      </c>
      <c r="M2705" s="5">
        <f t="shared" si="23"/>
        <v>210</v>
      </c>
      <c r="N2705" s="6">
        <v>0.3</v>
      </c>
    </row>
    <row r="2706" spans="1:14" ht="15.75" customHeight="1" x14ac:dyDescent="0.45">
      <c r="A2706" s="1" t="s">
        <v>119</v>
      </c>
      <c r="B2706" s="1">
        <v>1185732</v>
      </c>
      <c r="C2706" s="2">
        <v>44753</v>
      </c>
      <c r="D2706" s="1" t="s">
        <v>26</v>
      </c>
      <c r="E2706" s="1" t="s">
        <v>90</v>
      </c>
      <c r="F2706" s="1" t="s">
        <v>91</v>
      </c>
      <c r="G2706" s="1" t="s">
        <v>17</v>
      </c>
      <c r="H2706" s="1">
        <v>23</v>
      </c>
      <c r="I2706" s="1" t="s">
        <v>123</v>
      </c>
      <c r="J2706" s="3">
        <v>0.5</v>
      </c>
      <c r="K2706" s="4">
        <v>2000</v>
      </c>
      <c r="L2706" s="5">
        <f t="shared" si="22"/>
        <v>1000</v>
      </c>
      <c r="M2706" s="5">
        <f t="shared" si="23"/>
        <v>350</v>
      </c>
      <c r="N2706" s="6">
        <v>0.35</v>
      </c>
    </row>
    <row r="2707" spans="1:14" ht="15.75" customHeight="1" x14ac:dyDescent="0.45">
      <c r="A2707" s="1" t="s">
        <v>119</v>
      </c>
      <c r="B2707" s="1">
        <v>1185732</v>
      </c>
      <c r="C2707" s="2">
        <v>44753</v>
      </c>
      <c r="D2707" s="1" t="s">
        <v>26</v>
      </c>
      <c r="E2707" s="1" t="s">
        <v>90</v>
      </c>
      <c r="F2707" s="1" t="s">
        <v>91</v>
      </c>
      <c r="G2707" s="1" t="s">
        <v>18</v>
      </c>
      <c r="H2707" s="1">
        <v>26</v>
      </c>
      <c r="I2707" s="1" t="s">
        <v>126</v>
      </c>
      <c r="J2707" s="3">
        <v>0.55000000000000004</v>
      </c>
      <c r="K2707" s="4">
        <v>3750</v>
      </c>
      <c r="L2707" s="5">
        <f t="shared" si="22"/>
        <v>2062.5</v>
      </c>
      <c r="M2707" s="5">
        <f t="shared" si="23"/>
        <v>825</v>
      </c>
      <c r="N2707" s="6">
        <v>0.4</v>
      </c>
    </row>
    <row r="2708" spans="1:14" ht="15.75" customHeight="1" x14ac:dyDescent="0.45">
      <c r="A2708" s="1" t="s">
        <v>119</v>
      </c>
      <c r="B2708" s="1">
        <v>1185732</v>
      </c>
      <c r="C2708" s="2">
        <v>44785</v>
      </c>
      <c r="D2708" s="1" t="s">
        <v>26</v>
      </c>
      <c r="E2708" s="1" t="s">
        <v>90</v>
      </c>
      <c r="F2708" s="1" t="s">
        <v>91</v>
      </c>
      <c r="G2708" s="1" t="s">
        <v>13</v>
      </c>
      <c r="H2708" s="1">
        <v>27</v>
      </c>
      <c r="I2708" s="1" t="s">
        <v>123</v>
      </c>
      <c r="J2708" s="3">
        <v>0.5</v>
      </c>
      <c r="K2708" s="4">
        <v>5250</v>
      </c>
      <c r="L2708" s="5">
        <f t="shared" si="22"/>
        <v>2625</v>
      </c>
      <c r="M2708" s="5">
        <f t="shared" si="23"/>
        <v>918.74999999999989</v>
      </c>
      <c r="N2708" s="6">
        <v>0.35</v>
      </c>
    </row>
    <row r="2709" spans="1:14" ht="15.75" customHeight="1" x14ac:dyDescent="0.45">
      <c r="A2709" s="1" t="s">
        <v>119</v>
      </c>
      <c r="B2709" s="1">
        <v>1185732</v>
      </c>
      <c r="C2709" s="2">
        <v>44785</v>
      </c>
      <c r="D2709" s="1" t="s">
        <v>26</v>
      </c>
      <c r="E2709" s="1" t="s">
        <v>90</v>
      </c>
      <c r="F2709" s="1" t="s">
        <v>91</v>
      </c>
      <c r="G2709" s="1" t="s">
        <v>14</v>
      </c>
      <c r="H2709" s="1">
        <v>32</v>
      </c>
      <c r="I2709" s="1" t="s">
        <v>125</v>
      </c>
      <c r="J2709" s="3">
        <v>0.45000000000000007</v>
      </c>
      <c r="K2709" s="4">
        <v>3000</v>
      </c>
      <c r="L2709" s="5">
        <f t="shared" si="22"/>
        <v>1350.0000000000002</v>
      </c>
      <c r="M2709" s="5">
        <f t="shared" si="23"/>
        <v>405.00000000000006</v>
      </c>
      <c r="N2709" s="6">
        <v>0.3</v>
      </c>
    </row>
    <row r="2710" spans="1:14" ht="15.75" customHeight="1" x14ac:dyDescent="0.45">
      <c r="A2710" s="1" t="s">
        <v>119</v>
      </c>
      <c r="B2710" s="1">
        <v>1185732</v>
      </c>
      <c r="C2710" s="2">
        <v>44785</v>
      </c>
      <c r="D2710" s="1" t="s">
        <v>26</v>
      </c>
      <c r="E2710" s="1" t="s">
        <v>90</v>
      </c>
      <c r="F2710" s="1" t="s">
        <v>91</v>
      </c>
      <c r="G2710" s="1" t="s">
        <v>15</v>
      </c>
      <c r="H2710" s="1">
        <v>17</v>
      </c>
      <c r="I2710" s="1" t="s">
        <v>124</v>
      </c>
      <c r="J2710" s="3">
        <v>0.4</v>
      </c>
      <c r="K2710" s="4">
        <v>2250</v>
      </c>
      <c r="L2710" s="5">
        <f t="shared" si="22"/>
        <v>900</v>
      </c>
      <c r="M2710" s="5">
        <f t="shared" si="23"/>
        <v>270</v>
      </c>
      <c r="N2710" s="6">
        <v>0.3</v>
      </c>
    </row>
    <row r="2711" spans="1:14" ht="15.75" customHeight="1" x14ac:dyDescent="0.45">
      <c r="A2711" s="1" t="s">
        <v>119</v>
      </c>
      <c r="B2711" s="1">
        <v>1185732</v>
      </c>
      <c r="C2711" s="2">
        <v>44785</v>
      </c>
      <c r="D2711" s="1" t="s">
        <v>26</v>
      </c>
      <c r="E2711" s="1" t="s">
        <v>90</v>
      </c>
      <c r="F2711" s="1" t="s">
        <v>91</v>
      </c>
      <c r="G2711" s="1" t="s">
        <v>16</v>
      </c>
      <c r="H2711" s="1">
        <v>47</v>
      </c>
      <c r="I2711" s="1" t="s">
        <v>124</v>
      </c>
      <c r="J2711" s="3">
        <v>0.4</v>
      </c>
      <c r="K2711" s="4">
        <v>2000</v>
      </c>
      <c r="L2711" s="5">
        <f t="shared" si="22"/>
        <v>800</v>
      </c>
      <c r="M2711" s="5">
        <f t="shared" si="23"/>
        <v>240</v>
      </c>
      <c r="N2711" s="6">
        <v>0.3</v>
      </c>
    </row>
    <row r="2712" spans="1:14" ht="15.75" customHeight="1" x14ac:dyDescent="0.45">
      <c r="A2712" s="1" t="s">
        <v>119</v>
      </c>
      <c r="B2712" s="1">
        <v>1185732</v>
      </c>
      <c r="C2712" s="2">
        <v>44785</v>
      </c>
      <c r="D2712" s="1" t="s">
        <v>26</v>
      </c>
      <c r="E2712" s="1" t="s">
        <v>90</v>
      </c>
      <c r="F2712" s="1" t="s">
        <v>91</v>
      </c>
      <c r="G2712" s="1" t="s">
        <v>17</v>
      </c>
      <c r="H2712" s="1">
        <v>19</v>
      </c>
      <c r="I2712" s="1" t="s">
        <v>124</v>
      </c>
      <c r="J2712" s="3">
        <v>0.5</v>
      </c>
      <c r="K2712" s="4">
        <v>1750</v>
      </c>
      <c r="L2712" s="5">
        <f t="shared" si="22"/>
        <v>875</v>
      </c>
      <c r="M2712" s="5">
        <f t="shared" si="23"/>
        <v>306.25</v>
      </c>
      <c r="N2712" s="6">
        <v>0.35</v>
      </c>
    </row>
    <row r="2713" spans="1:14" ht="15.75" customHeight="1" x14ac:dyDescent="0.45">
      <c r="A2713" s="1" t="s">
        <v>119</v>
      </c>
      <c r="B2713" s="1">
        <v>1185732</v>
      </c>
      <c r="C2713" s="2">
        <v>44785</v>
      </c>
      <c r="D2713" s="1" t="s">
        <v>26</v>
      </c>
      <c r="E2713" s="1" t="s">
        <v>90</v>
      </c>
      <c r="F2713" s="1" t="s">
        <v>91</v>
      </c>
      <c r="G2713" s="1" t="s">
        <v>18</v>
      </c>
      <c r="H2713" s="1">
        <v>40</v>
      </c>
      <c r="I2713" s="1" t="s">
        <v>125</v>
      </c>
      <c r="J2713" s="3">
        <v>0.55000000000000004</v>
      </c>
      <c r="K2713" s="4">
        <v>3500</v>
      </c>
      <c r="L2713" s="5">
        <f t="shared" si="22"/>
        <v>1925.0000000000002</v>
      </c>
      <c r="M2713" s="5">
        <f t="shared" si="23"/>
        <v>770.00000000000011</v>
      </c>
      <c r="N2713" s="6">
        <v>0.4</v>
      </c>
    </row>
    <row r="2714" spans="1:14" ht="15.75" customHeight="1" x14ac:dyDescent="0.45">
      <c r="A2714" s="1" t="s">
        <v>119</v>
      </c>
      <c r="B2714" s="1">
        <v>1185732</v>
      </c>
      <c r="C2714" s="2">
        <v>44817</v>
      </c>
      <c r="D2714" s="1" t="s">
        <v>26</v>
      </c>
      <c r="E2714" s="1" t="s">
        <v>90</v>
      </c>
      <c r="F2714" s="1" t="s">
        <v>91</v>
      </c>
      <c r="G2714" s="1" t="s">
        <v>13</v>
      </c>
      <c r="H2714" s="1">
        <v>59</v>
      </c>
      <c r="I2714" s="1" t="s">
        <v>124</v>
      </c>
      <c r="J2714" s="3">
        <v>0.45</v>
      </c>
      <c r="K2714" s="4">
        <v>4750</v>
      </c>
      <c r="L2714" s="5">
        <f t="shared" si="22"/>
        <v>2137.5</v>
      </c>
      <c r="M2714" s="5">
        <f t="shared" si="23"/>
        <v>748.125</v>
      </c>
      <c r="N2714" s="6">
        <v>0.35</v>
      </c>
    </row>
    <row r="2715" spans="1:14" ht="15.75" customHeight="1" x14ac:dyDescent="0.45">
      <c r="A2715" s="1" t="s">
        <v>119</v>
      </c>
      <c r="B2715" s="1">
        <v>1185732</v>
      </c>
      <c r="C2715" s="2">
        <v>44817</v>
      </c>
      <c r="D2715" s="1" t="s">
        <v>26</v>
      </c>
      <c r="E2715" s="1" t="s">
        <v>90</v>
      </c>
      <c r="F2715" s="1" t="s">
        <v>91</v>
      </c>
      <c r="G2715" s="1" t="s">
        <v>14</v>
      </c>
      <c r="H2715" s="1">
        <v>30</v>
      </c>
      <c r="I2715" s="1" t="s">
        <v>125</v>
      </c>
      <c r="J2715" s="3">
        <v>0.40000000000000008</v>
      </c>
      <c r="K2715" s="4">
        <v>2750</v>
      </c>
      <c r="L2715" s="5">
        <f t="shared" si="22"/>
        <v>1100.0000000000002</v>
      </c>
      <c r="M2715" s="5">
        <f t="shared" si="23"/>
        <v>330.00000000000006</v>
      </c>
      <c r="N2715" s="6">
        <v>0.3</v>
      </c>
    </row>
    <row r="2716" spans="1:14" ht="15.75" customHeight="1" x14ac:dyDescent="0.45">
      <c r="A2716" s="1" t="s">
        <v>119</v>
      </c>
      <c r="B2716" s="1">
        <v>1185732</v>
      </c>
      <c r="C2716" s="2">
        <v>44817</v>
      </c>
      <c r="D2716" s="1" t="s">
        <v>26</v>
      </c>
      <c r="E2716" s="1" t="s">
        <v>90</v>
      </c>
      <c r="F2716" s="1" t="s">
        <v>91</v>
      </c>
      <c r="G2716" s="1" t="s">
        <v>15</v>
      </c>
      <c r="H2716" s="1">
        <v>35</v>
      </c>
      <c r="I2716" s="1" t="s">
        <v>125</v>
      </c>
      <c r="J2716" s="3">
        <v>0.35000000000000003</v>
      </c>
      <c r="K2716" s="4">
        <v>1750</v>
      </c>
      <c r="L2716" s="5">
        <f t="shared" si="22"/>
        <v>612.50000000000011</v>
      </c>
      <c r="M2716" s="5">
        <f t="shared" si="23"/>
        <v>183.75000000000003</v>
      </c>
      <c r="N2716" s="6">
        <v>0.3</v>
      </c>
    </row>
    <row r="2717" spans="1:14" ht="15.75" customHeight="1" x14ac:dyDescent="0.45">
      <c r="A2717" s="1" t="s">
        <v>119</v>
      </c>
      <c r="B2717" s="1">
        <v>1185732</v>
      </c>
      <c r="C2717" s="2">
        <v>44817</v>
      </c>
      <c r="D2717" s="1" t="s">
        <v>26</v>
      </c>
      <c r="E2717" s="1" t="s">
        <v>90</v>
      </c>
      <c r="F2717" s="1" t="s">
        <v>91</v>
      </c>
      <c r="G2717" s="1" t="s">
        <v>16</v>
      </c>
      <c r="H2717" s="1">
        <v>26</v>
      </c>
      <c r="I2717" s="1" t="s">
        <v>125</v>
      </c>
      <c r="J2717" s="3">
        <v>0.35000000000000003</v>
      </c>
      <c r="K2717" s="4">
        <v>1500</v>
      </c>
      <c r="L2717" s="5">
        <f t="shared" si="22"/>
        <v>525</v>
      </c>
      <c r="M2717" s="5">
        <f t="shared" si="23"/>
        <v>157.5</v>
      </c>
      <c r="N2717" s="6">
        <v>0.3</v>
      </c>
    </row>
    <row r="2718" spans="1:14" ht="15.75" customHeight="1" x14ac:dyDescent="0.45">
      <c r="A2718" s="1" t="s">
        <v>119</v>
      </c>
      <c r="B2718" s="1">
        <v>1185732</v>
      </c>
      <c r="C2718" s="2">
        <v>44817</v>
      </c>
      <c r="D2718" s="1" t="s">
        <v>26</v>
      </c>
      <c r="E2718" s="1" t="s">
        <v>90</v>
      </c>
      <c r="F2718" s="1" t="s">
        <v>91</v>
      </c>
      <c r="G2718" s="1" t="s">
        <v>17</v>
      </c>
      <c r="H2718" s="1">
        <v>36</v>
      </c>
      <c r="I2718" s="1" t="s">
        <v>126</v>
      </c>
      <c r="J2718" s="3">
        <v>0.45</v>
      </c>
      <c r="K2718" s="4">
        <v>1500</v>
      </c>
      <c r="L2718" s="5">
        <f t="shared" si="22"/>
        <v>675</v>
      </c>
      <c r="M2718" s="5">
        <f t="shared" si="23"/>
        <v>236.24999999999997</v>
      </c>
      <c r="N2718" s="6">
        <v>0.35</v>
      </c>
    </row>
    <row r="2719" spans="1:14" ht="15.75" customHeight="1" x14ac:dyDescent="0.45">
      <c r="A2719" s="1" t="s">
        <v>119</v>
      </c>
      <c r="B2719" s="1">
        <v>1185732</v>
      </c>
      <c r="C2719" s="2">
        <v>44817</v>
      </c>
      <c r="D2719" s="1" t="s">
        <v>26</v>
      </c>
      <c r="E2719" s="1" t="s">
        <v>90</v>
      </c>
      <c r="F2719" s="1" t="s">
        <v>91</v>
      </c>
      <c r="G2719" s="1" t="s">
        <v>18</v>
      </c>
      <c r="H2719" s="1">
        <v>23</v>
      </c>
      <c r="I2719" s="1" t="s">
        <v>123</v>
      </c>
      <c r="J2719" s="3">
        <v>0.5</v>
      </c>
      <c r="K2719" s="4">
        <v>2250</v>
      </c>
      <c r="L2719" s="5">
        <f t="shared" si="22"/>
        <v>1125</v>
      </c>
      <c r="M2719" s="5">
        <f t="shared" si="23"/>
        <v>450</v>
      </c>
      <c r="N2719" s="6">
        <v>0.4</v>
      </c>
    </row>
    <row r="2720" spans="1:14" ht="15.75" customHeight="1" x14ac:dyDescent="0.45">
      <c r="A2720" s="1" t="s">
        <v>119</v>
      </c>
      <c r="B2720" s="1">
        <v>1185732</v>
      </c>
      <c r="C2720" s="2">
        <v>44846</v>
      </c>
      <c r="D2720" s="1" t="s">
        <v>26</v>
      </c>
      <c r="E2720" s="1" t="s">
        <v>90</v>
      </c>
      <c r="F2720" s="1" t="s">
        <v>91</v>
      </c>
      <c r="G2720" s="1" t="s">
        <v>13</v>
      </c>
      <c r="H2720" s="1">
        <v>28</v>
      </c>
      <c r="I2720" s="1" t="s">
        <v>125</v>
      </c>
      <c r="J2720" s="3">
        <v>0.54999999999999993</v>
      </c>
      <c r="K2720" s="4">
        <v>4000</v>
      </c>
      <c r="L2720" s="5">
        <f t="shared" si="22"/>
        <v>2199.9999999999995</v>
      </c>
      <c r="M2720" s="5">
        <f t="shared" si="23"/>
        <v>769.99999999999977</v>
      </c>
      <c r="N2720" s="6">
        <v>0.35</v>
      </c>
    </row>
    <row r="2721" spans="1:14" ht="15.75" customHeight="1" x14ac:dyDescent="0.45">
      <c r="A2721" s="1" t="s">
        <v>119</v>
      </c>
      <c r="B2721" s="1">
        <v>1185732</v>
      </c>
      <c r="C2721" s="2">
        <v>44846</v>
      </c>
      <c r="D2721" s="1" t="s">
        <v>26</v>
      </c>
      <c r="E2721" s="1" t="s">
        <v>90</v>
      </c>
      <c r="F2721" s="1" t="s">
        <v>91</v>
      </c>
      <c r="G2721" s="1" t="s">
        <v>14</v>
      </c>
      <c r="H2721" s="1">
        <v>46</v>
      </c>
      <c r="I2721" s="1" t="s">
        <v>125</v>
      </c>
      <c r="J2721" s="3">
        <v>0.45</v>
      </c>
      <c r="K2721" s="4">
        <v>2500</v>
      </c>
      <c r="L2721" s="5">
        <f t="shared" si="22"/>
        <v>1125</v>
      </c>
      <c r="M2721" s="5">
        <f t="shared" si="23"/>
        <v>337.5</v>
      </c>
      <c r="N2721" s="6">
        <v>0.3</v>
      </c>
    </row>
    <row r="2722" spans="1:14" ht="15.75" customHeight="1" x14ac:dyDescent="0.45">
      <c r="A2722" s="1" t="s">
        <v>119</v>
      </c>
      <c r="B2722" s="1">
        <v>1185732</v>
      </c>
      <c r="C2722" s="2">
        <v>44846</v>
      </c>
      <c r="D2722" s="1" t="s">
        <v>26</v>
      </c>
      <c r="E2722" s="1" t="s">
        <v>90</v>
      </c>
      <c r="F2722" s="1" t="s">
        <v>91</v>
      </c>
      <c r="G2722" s="1" t="s">
        <v>15</v>
      </c>
      <c r="H2722" s="1">
        <v>47</v>
      </c>
      <c r="I2722" s="1" t="s">
        <v>126</v>
      </c>
      <c r="J2722" s="3">
        <v>0.45</v>
      </c>
      <c r="K2722" s="4">
        <v>1500</v>
      </c>
      <c r="L2722" s="5">
        <f t="shared" si="22"/>
        <v>675</v>
      </c>
      <c r="M2722" s="5">
        <f t="shared" si="23"/>
        <v>202.5</v>
      </c>
      <c r="N2722" s="6">
        <v>0.3</v>
      </c>
    </row>
    <row r="2723" spans="1:14" ht="15.75" customHeight="1" x14ac:dyDescent="0.45">
      <c r="A2723" s="1" t="s">
        <v>119</v>
      </c>
      <c r="B2723" s="1">
        <v>1185732</v>
      </c>
      <c r="C2723" s="2">
        <v>44846</v>
      </c>
      <c r="D2723" s="1" t="s">
        <v>26</v>
      </c>
      <c r="E2723" s="1" t="s">
        <v>90</v>
      </c>
      <c r="F2723" s="1" t="s">
        <v>91</v>
      </c>
      <c r="G2723" s="1" t="s">
        <v>16</v>
      </c>
      <c r="H2723" s="1">
        <v>57</v>
      </c>
      <c r="I2723" s="1" t="s">
        <v>126</v>
      </c>
      <c r="J2723" s="3">
        <v>0.45</v>
      </c>
      <c r="K2723" s="4">
        <v>1250</v>
      </c>
      <c r="L2723" s="5">
        <f t="shared" si="22"/>
        <v>562.5</v>
      </c>
      <c r="M2723" s="5">
        <f t="shared" si="23"/>
        <v>168.75</v>
      </c>
      <c r="N2723" s="6">
        <v>0.3</v>
      </c>
    </row>
    <row r="2724" spans="1:14" ht="15.75" customHeight="1" x14ac:dyDescent="0.45">
      <c r="A2724" s="1" t="s">
        <v>119</v>
      </c>
      <c r="B2724" s="1">
        <v>1185732</v>
      </c>
      <c r="C2724" s="2">
        <v>44846</v>
      </c>
      <c r="D2724" s="1" t="s">
        <v>26</v>
      </c>
      <c r="E2724" s="1" t="s">
        <v>90</v>
      </c>
      <c r="F2724" s="1" t="s">
        <v>91</v>
      </c>
      <c r="G2724" s="1" t="s">
        <v>17</v>
      </c>
      <c r="H2724" s="1">
        <v>48</v>
      </c>
      <c r="I2724" s="1" t="s">
        <v>126</v>
      </c>
      <c r="J2724" s="3">
        <v>0.54999999999999993</v>
      </c>
      <c r="K2724" s="4">
        <v>1250</v>
      </c>
      <c r="L2724" s="5">
        <f t="shared" si="22"/>
        <v>687.49999999999989</v>
      </c>
      <c r="M2724" s="5">
        <f t="shared" si="23"/>
        <v>240.62499999999994</v>
      </c>
      <c r="N2724" s="6">
        <v>0.35</v>
      </c>
    </row>
    <row r="2725" spans="1:14" ht="15.75" customHeight="1" x14ac:dyDescent="0.45">
      <c r="A2725" s="1" t="s">
        <v>119</v>
      </c>
      <c r="B2725" s="1">
        <v>1185732</v>
      </c>
      <c r="C2725" s="2">
        <v>44846</v>
      </c>
      <c r="D2725" s="1" t="s">
        <v>26</v>
      </c>
      <c r="E2725" s="1" t="s">
        <v>90</v>
      </c>
      <c r="F2725" s="1" t="s">
        <v>91</v>
      </c>
      <c r="G2725" s="1" t="s">
        <v>18</v>
      </c>
      <c r="H2725" s="1">
        <v>36</v>
      </c>
      <c r="I2725" s="1" t="s">
        <v>123</v>
      </c>
      <c r="J2725" s="3">
        <v>0.59999999999999987</v>
      </c>
      <c r="K2725" s="4">
        <v>2500</v>
      </c>
      <c r="L2725" s="5">
        <f t="shared" si="22"/>
        <v>1499.9999999999998</v>
      </c>
      <c r="M2725" s="5">
        <f t="shared" si="23"/>
        <v>599.99999999999989</v>
      </c>
      <c r="N2725" s="6">
        <v>0.4</v>
      </c>
    </row>
    <row r="2726" spans="1:14" ht="15.75" customHeight="1" x14ac:dyDescent="0.45">
      <c r="A2726" s="1" t="s">
        <v>119</v>
      </c>
      <c r="B2726" s="1">
        <v>1185732</v>
      </c>
      <c r="C2726" s="2">
        <v>44877</v>
      </c>
      <c r="D2726" s="1" t="s">
        <v>26</v>
      </c>
      <c r="E2726" s="1" t="s">
        <v>90</v>
      </c>
      <c r="F2726" s="1" t="s">
        <v>91</v>
      </c>
      <c r="G2726" s="1" t="s">
        <v>13</v>
      </c>
      <c r="H2726" s="1">
        <v>45</v>
      </c>
      <c r="I2726" s="1" t="s">
        <v>126</v>
      </c>
      <c r="J2726" s="3">
        <v>0.54999999999999993</v>
      </c>
      <c r="K2726" s="4">
        <v>4000</v>
      </c>
      <c r="L2726" s="5">
        <f t="shared" si="22"/>
        <v>2199.9999999999995</v>
      </c>
      <c r="M2726" s="5">
        <f t="shared" si="23"/>
        <v>769.99999999999977</v>
      </c>
      <c r="N2726" s="6">
        <v>0.35</v>
      </c>
    </row>
    <row r="2727" spans="1:14" ht="15.75" customHeight="1" x14ac:dyDescent="0.45">
      <c r="A2727" s="1" t="s">
        <v>119</v>
      </c>
      <c r="B2727" s="1">
        <v>1185732</v>
      </c>
      <c r="C2727" s="2">
        <v>44877</v>
      </c>
      <c r="D2727" s="1" t="s">
        <v>26</v>
      </c>
      <c r="E2727" s="1" t="s">
        <v>90</v>
      </c>
      <c r="F2727" s="1" t="s">
        <v>91</v>
      </c>
      <c r="G2727" s="1" t="s">
        <v>14</v>
      </c>
      <c r="H2727" s="1">
        <v>52</v>
      </c>
      <c r="I2727" s="1" t="s">
        <v>125</v>
      </c>
      <c r="J2727" s="3">
        <v>0.45</v>
      </c>
      <c r="K2727" s="4">
        <v>2500</v>
      </c>
      <c r="L2727" s="5">
        <f t="shared" si="22"/>
        <v>1125</v>
      </c>
      <c r="M2727" s="5">
        <f t="shared" si="23"/>
        <v>337.5</v>
      </c>
      <c r="N2727" s="6">
        <v>0.3</v>
      </c>
    </row>
    <row r="2728" spans="1:14" ht="15.75" customHeight="1" x14ac:dyDescent="0.45">
      <c r="A2728" s="1" t="s">
        <v>119</v>
      </c>
      <c r="B2728" s="1">
        <v>1185732</v>
      </c>
      <c r="C2728" s="2">
        <v>44877</v>
      </c>
      <c r="D2728" s="1" t="s">
        <v>26</v>
      </c>
      <c r="E2728" s="1" t="s">
        <v>90</v>
      </c>
      <c r="F2728" s="1" t="s">
        <v>91</v>
      </c>
      <c r="G2728" s="1" t="s">
        <v>15</v>
      </c>
      <c r="H2728" s="1">
        <v>40</v>
      </c>
      <c r="I2728" s="1" t="s">
        <v>123</v>
      </c>
      <c r="J2728" s="3">
        <v>0.45</v>
      </c>
      <c r="K2728" s="4">
        <v>1950</v>
      </c>
      <c r="L2728" s="5">
        <f t="shared" si="22"/>
        <v>877.5</v>
      </c>
      <c r="M2728" s="5">
        <f t="shared" si="23"/>
        <v>263.25</v>
      </c>
      <c r="N2728" s="6">
        <v>0.3</v>
      </c>
    </row>
    <row r="2729" spans="1:14" ht="15.75" customHeight="1" x14ac:dyDescent="0.45">
      <c r="A2729" s="1" t="s">
        <v>119</v>
      </c>
      <c r="B2729" s="1">
        <v>1185732</v>
      </c>
      <c r="C2729" s="2">
        <v>44877</v>
      </c>
      <c r="D2729" s="1" t="s">
        <v>26</v>
      </c>
      <c r="E2729" s="1" t="s">
        <v>90</v>
      </c>
      <c r="F2729" s="1" t="s">
        <v>91</v>
      </c>
      <c r="G2729" s="1" t="s">
        <v>16</v>
      </c>
      <c r="H2729" s="1">
        <v>31</v>
      </c>
      <c r="I2729" s="1" t="s">
        <v>123</v>
      </c>
      <c r="J2729" s="3">
        <v>0.45</v>
      </c>
      <c r="K2729" s="4">
        <v>1750</v>
      </c>
      <c r="L2729" s="5">
        <f t="shared" si="22"/>
        <v>787.5</v>
      </c>
      <c r="M2729" s="5">
        <f t="shared" si="23"/>
        <v>236.25</v>
      </c>
      <c r="N2729" s="6">
        <v>0.3</v>
      </c>
    </row>
    <row r="2730" spans="1:14" ht="15.75" customHeight="1" x14ac:dyDescent="0.45">
      <c r="A2730" s="1" t="s">
        <v>119</v>
      </c>
      <c r="B2730" s="1">
        <v>1185732</v>
      </c>
      <c r="C2730" s="2">
        <v>44877</v>
      </c>
      <c r="D2730" s="1" t="s">
        <v>26</v>
      </c>
      <c r="E2730" s="1" t="s">
        <v>90</v>
      </c>
      <c r="F2730" s="1" t="s">
        <v>91</v>
      </c>
      <c r="G2730" s="1" t="s">
        <v>17</v>
      </c>
      <c r="H2730" s="1">
        <v>34</v>
      </c>
      <c r="I2730" s="1" t="s">
        <v>123</v>
      </c>
      <c r="J2730" s="3">
        <v>0.6</v>
      </c>
      <c r="K2730" s="4">
        <v>1500</v>
      </c>
      <c r="L2730" s="5">
        <f t="shared" si="22"/>
        <v>900</v>
      </c>
      <c r="M2730" s="5">
        <f t="shared" si="23"/>
        <v>315</v>
      </c>
      <c r="N2730" s="6">
        <v>0.35</v>
      </c>
    </row>
    <row r="2731" spans="1:14" ht="15.75" customHeight="1" x14ac:dyDescent="0.45">
      <c r="A2731" s="1" t="s">
        <v>119</v>
      </c>
      <c r="B2731" s="1">
        <v>1185732</v>
      </c>
      <c r="C2731" s="2">
        <v>44877</v>
      </c>
      <c r="D2731" s="1" t="s">
        <v>26</v>
      </c>
      <c r="E2731" s="1" t="s">
        <v>90</v>
      </c>
      <c r="F2731" s="1" t="s">
        <v>91</v>
      </c>
      <c r="G2731" s="1" t="s">
        <v>18</v>
      </c>
      <c r="H2731" s="1">
        <v>21</v>
      </c>
      <c r="I2731" s="1" t="s">
        <v>125</v>
      </c>
      <c r="J2731" s="3">
        <v>0.64999999999999991</v>
      </c>
      <c r="K2731" s="4">
        <v>2500</v>
      </c>
      <c r="L2731" s="5">
        <f t="shared" si="22"/>
        <v>1624.9999999999998</v>
      </c>
      <c r="M2731" s="5">
        <f t="shared" si="23"/>
        <v>650</v>
      </c>
      <c r="N2731" s="6">
        <v>0.4</v>
      </c>
    </row>
    <row r="2732" spans="1:14" ht="15.75" customHeight="1" x14ac:dyDescent="0.45">
      <c r="A2732" s="1" t="s">
        <v>119</v>
      </c>
      <c r="B2732" s="1">
        <v>1185732</v>
      </c>
      <c r="C2732" s="2">
        <v>44906</v>
      </c>
      <c r="D2732" s="1" t="s">
        <v>26</v>
      </c>
      <c r="E2732" s="1" t="s">
        <v>90</v>
      </c>
      <c r="F2732" s="1" t="s">
        <v>91</v>
      </c>
      <c r="G2732" s="1" t="s">
        <v>13</v>
      </c>
      <c r="H2732" s="1">
        <v>55</v>
      </c>
      <c r="I2732" s="1" t="s">
        <v>126</v>
      </c>
      <c r="J2732" s="3">
        <v>0.6</v>
      </c>
      <c r="K2732" s="4">
        <v>5000</v>
      </c>
      <c r="L2732" s="5">
        <f t="shared" si="22"/>
        <v>3000</v>
      </c>
      <c r="M2732" s="5">
        <f t="shared" si="23"/>
        <v>1050</v>
      </c>
      <c r="N2732" s="6">
        <v>0.35</v>
      </c>
    </row>
    <row r="2733" spans="1:14" ht="15.75" customHeight="1" x14ac:dyDescent="0.45">
      <c r="A2733" s="1" t="s">
        <v>119</v>
      </c>
      <c r="B2733" s="1">
        <v>1185732</v>
      </c>
      <c r="C2733" s="2">
        <v>44906</v>
      </c>
      <c r="D2733" s="1" t="s">
        <v>26</v>
      </c>
      <c r="E2733" s="1" t="s">
        <v>90</v>
      </c>
      <c r="F2733" s="1" t="s">
        <v>91</v>
      </c>
      <c r="G2733" s="1" t="s">
        <v>14</v>
      </c>
      <c r="H2733" s="1">
        <v>34</v>
      </c>
      <c r="I2733" s="1" t="s">
        <v>125</v>
      </c>
      <c r="J2733" s="3">
        <v>0.5</v>
      </c>
      <c r="K2733" s="4">
        <v>3000</v>
      </c>
      <c r="L2733" s="5">
        <f t="shared" si="22"/>
        <v>1500</v>
      </c>
      <c r="M2733" s="5">
        <f t="shared" si="23"/>
        <v>450</v>
      </c>
      <c r="N2733" s="6">
        <v>0.3</v>
      </c>
    </row>
    <row r="2734" spans="1:14" ht="15.75" customHeight="1" x14ac:dyDescent="0.45">
      <c r="A2734" s="1" t="s">
        <v>119</v>
      </c>
      <c r="B2734" s="1">
        <v>1185732</v>
      </c>
      <c r="C2734" s="2">
        <v>44906</v>
      </c>
      <c r="D2734" s="1" t="s">
        <v>26</v>
      </c>
      <c r="E2734" s="1" t="s">
        <v>90</v>
      </c>
      <c r="F2734" s="1" t="s">
        <v>91</v>
      </c>
      <c r="G2734" s="1" t="s">
        <v>15</v>
      </c>
      <c r="H2734" s="1">
        <v>55</v>
      </c>
      <c r="I2734" s="1" t="s">
        <v>125</v>
      </c>
      <c r="J2734" s="3">
        <v>0.5</v>
      </c>
      <c r="K2734" s="4">
        <v>2500</v>
      </c>
      <c r="L2734" s="5">
        <f t="shared" si="22"/>
        <v>1250</v>
      </c>
      <c r="M2734" s="5">
        <f t="shared" si="23"/>
        <v>375</v>
      </c>
      <c r="N2734" s="6">
        <v>0.3</v>
      </c>
    </row>
    <row r="2735" spans="1:14" ht="15.75" customHeight="1" x14ac:dyDescent="0.45">
      <c r="A2735" s="1" t="s">
        <v>119</v>
      </c>
      <c r="B2735" s="1">
        <v>1185732</v>
      </c>
      <c r="C2735" s="2">
        <v>44906</v>
      </c>
      <c r="D2735" s="1" t="s">
        <v>26</v>
      </c>
      <c r="E2735" s="1" t="s">
        <v>90</v>
      </c>
      <c r="F2735" s="1" t="s">
        <v>91</v>
      </c>
      <c r="G2735" s="1" t="s">
        <v>16</v>
      </c>
      <c r="H2735" s="1">
        <v>56</v>
      </c>
      <c r="I2735" s="1" t="s">
        <v>124</v>
      </c>
      <c r="J2735" s="3">
        <v>0.5</v>
      </c>
      <c r="K2735" s="4">
        <v>2000</v>
      </c>
      <c r="L2735" s="5">
        <f t="shared" si="22"/>
        <v>1000</v>
      </c>
      <c r="M2735" s="5">
        <f t="shared" si="23"/>
        <v>300</v>
      </c>
      <c r="N2735" s="6">
        <v>0.3</v>
      </c>
    </row>
    <row r="2736" spans="1:14" ht="15.75" customHeight="1" x14ac:dyDescent="0.45">
      <c r="A2736" s="1" t="s">
        <v>119</v>
      </c>
      <c r="B2736" s="1">
        <v>1185732</v>
      </c>
      <c r="C2736" s="2">
        <v>44906</v>
      </c>
      <c r="D2736" s="1" t="s">
        <v>26</v>
      </c>
      <c r="E2736" s="1" t="s">
        <v>90</v>
      </c>
      <c r="F2736" s="1" t="s">
        <v>91</v>
      </c>
      <c r="G2736" s="1" t="s">
        <v>17</v>
      </c>
      <c r="H2736" s="1">
        <v>58</v>
      </c>
      <c r="I2736" s="1" t="s">
        <v>123</v>
      </c>
      <c r="J2736" s="3">
        <v>0.6</v>
      </c>
      <c r="K2736" s="4">
        <v>2000</v>
      </c>
      <c r="L2736" s="5">
        <f t="shared" si="22"/>
        <v>1200</v>
      </c>
      <c r="M2736" s="5">
        <f t="shared" si="23"/>
        <v>420</v>
      </c>
      <c r="N2736" s="6">
        <v>0.35</v>
      </c>
    </row>
    <row r="2737" spans="1:14" ht="15.75" customHeight="1" x14ac:dyDescent="0.45">
      <c r="A2737" s="1" t="s">
        <v>119</v>
      </c>
      <c r="B2737" s="1">
        <v>1185732</v>
      </c>
      <c r="C2737" s="2">
        <v>44906</v>
      </c>
      <c r="D2737" s="1" t="s">
        <v>26</v>
      </c>
      <c r="E2737" s="1" t="s">
        <v>90</v>
      </c>
      <c r="F2737" s="1" t="s">
        <v>91</v>
      </c>
      <c r="G2737" s="1" t="s">
        <v>18</v>
      </c>
      <c r="H2737" s="1">
        <v>19</v>
      </c>
      <c r="I2737" s="1" t="s">
        <v>125</v>
      </c>
      <c r="J2737" s="3">
        <v>0.64999999999999991</v>
      </c>
      <c r="K2737" s="4">
        <v>3000</v>
      </c>
      <c r="L2737" s="5">
        <f t="shared" si="22"/>
        <v>1949.9999999999998</v>
      </c>
      <c r="M2737" s="5">
        <f t="shared" si="23"/>
        <v>780</v>
      </c>
      <c r="N2737" s="6">
        <v>0.4</v>
      </c>
    </row>
    <row r="2738" spans="1:14" ht="15.75" customHeight="1" x14ac:dyDescent="0.45">
      <c r="A2738" s="1" t="s">
        <v>119</v>
      </c>
      <c r="B2738" s="1">
        <v>1185732</v>
      </c>
      <c r="C2738" s="2">
        <v>44570</v>
      </c>
      <c r="D2738" s="1" t="s">
        <v>26</v>
      </c>
      <c r="E2738" s="1" t="s">
        <v>92</v>
      </c>
      <c r="F2738" s="1" t="s">
        <v>93</v>
      </c>
      <c r="G2738" s="1" t="s">
        <v>13</v>
      </c>
      <c r="H2738" s="1">
        <v>27</v>
      </c>
      <c r="I2738" s="1" t="s">
        <v>126</v>
      </c>
      <c r="J2738" s="3">
        <v>0.35000000000000003</v>
      </c>
      <c r="K2738" s="4">
        <v>4750</v>
      </c>
      <c r="L2738" s="5">
        <f t="shared" si="22"/>
        <v>1662.5000000000002</v>
      </c>
      <c r="M2738" s="5">
        <f t="shared" si="23"/>
        <v>581.875</v>
      </c>
      <c r="N2738" s="6">
        <v>0.35</v>
      </c>
    </row>
    <row r="2739" spans="1:14" ht="15.75" customHeight="1" x14ac:dyDescent="0.45">
      <c r="A2739" s="1" t="s">
        <v>119</v>
      </c>
      <c r="B2739" s="1">
        <v>1185732</v>
      </c>
      <c r="C2739" s="2">
        <v>44570</v>
      </c>
      <c r="D2739" s="1" t="s">
        <v>26</v>
      </c>
      <c r="E2739" s="1" t="s">
        <v>92</v>
      </c>
      <c r="F2739" s="1" t="s">
        <v>93</v>
      </c>
      <c r="G2739" s="1" t="s">
        <v>14</v>
      </c>
      <c r="H2739" s="1">
        <v>53</v>
      </c>
      <c r="I2739" s="1" t="s">
        <v>123</v>
      </c>
      <c r="J2739" s="3">
        <v>0.35000000000000003</v>
      </c>
      <c r="K2739" s="4">
        <v>2750</v>
      </c>
      <c r="L2739" s="5">
        <f t="shared" si="22"/>
        <v>962.50000000000011</v>
      </c>
      <c r="M2739" s="5">
        <f t="shared" si="23"/>
        <v>288.75</v>
      </c>
      <c r="N2739" s="6">
        <v>0.3</v>
      </c>
    </row>
    <row r="2740" spans="1:14" ht="15.75" customHeight="1" x14ac:dyDescent="0.45">
      <c r="A2740" s="1" t="s">
        <v>119</v>
      </c>
      <c r="B2740" s="1">
        <v>1185732</v>
      </c>
      <c r="C2740" s="2">
        <v>44570</v>
      </c>
      <c r="D2740" s="1" t="s">
        <v>26</v>
      </c>
      <c r="E2740" s="1" t="s">
        <v>92</v>
      </c>
      <c r="F2740" s="1" t="s">
        <v>93</v>
      </c>
      <c r="G2740" s="1" t="s">
        <v>15</v>
      </c>
      <c r="H2740" s="1">
        <v>44</v>
      </c>
      <c r="I2740" s="1" t="s">
        <v>126</v>
      </c>
      <c r="J2740" s="3">
        <v>0.25000000000000006</v>
      </c>
      <c r="K2740" s="4">
        <v>2750</v>
      </c>
      <c r="L2740" s="5">
        <f t="shared" si="22"/>
        <v>687.50000000000011</v>
      </c>
      <c r="M2740" s="5">
        <f t="shared" si="23"/>
        <v>206.25000000000003</v>
      </c>
      <c r="N2740" s="6">
        <v>0.3</v>
      </c>
    </row>
    <row r="2741" spans="1:14" ht="15.75" customHeight="1" x14ac:dyDescent="0.45">
      <c r="A2741" s="1" t="s">
        <v>119</v>
      </c>
      <c r="B2741" s="1">
        <v>1185732</v>
      </c>
      <c r="C2741" s="2">
        <v>44570</v>
      </c>
      <c r="D2741" s="1" t="s">
        <v>26</v>
      </c>
      <c r="E2741" s="1" t="s">
        <v>92</v>
      </c>
      <c r="F2741" s="1" t="s">
        <v>93</v>
      </c>
      <c r="G2741" s="1" t="s">
        <v>16</v>
      </c>
      <c r="H2741" s="1">
        <v>32</v>
      </c>
      <c r="I2741" s="1" t="s">
        <v>125</v>
      </c>
      <c r="J2741" s="3">
        <v>0.30000000000000004</v>
      </c>
      <c r="K2741" s="4">
        <v>1250</v>
      </c>
      <c r="L2741" s="5">
        <f t="shared" si="22"/>
        <v>375.00000000000006</v>
      </c>
      <c r="M2741" s="5">
        <f t="shared" si="23"/>
        <v>112.50000000000001</v>
      </c>
      <c r="N2741" s="6">
        <v>0.3</v>
      </c>
    </row>
    <row r="2742" spans="1:14" ht="15.75" customHeight="1" x14ac:dyDescent="0.45">
      <c r="A2742" s="1" t="s">
        <v>119</v>
      </c>
      <c r="B2742" s="1">
        <v>1185732</v>
      </c>
      <c r="C2742" s="2">
        <v>44570</v>
      </c>
      <c r="D2742" s="1" t="s">
        <v>26</v>
      </c>
      <c r="E2742" s="1" t="s">
        <v>92</v>
      </c>
      <c r="F2742" s="1" t="s">
        <v>93</v>
      </c>
      <c r="G2742" s="1" t="s">
        <v>17</v>
      </c>
      <c r="H2742" s="1">
        <v>44</v>
      </c>
      <c r="I2742" s="1" t="s">
        <v>124</v>
      </c>
      <c r="J2742" s="3">
        <v>0.44999999999999996</v>
      </c>
      <c r="K2742" s="4">
        <v>1750</v>
      </c>
      <c r="L2742" s="5">
        <f t="shared" si="22"/>
        <v>787.49999999999989</v>
      </c>
      <c r="M2742" s="5">
        <f t="shared" si="23"/>
        <v>275.62499999999994</v>
      </c>
      <c r="N2742" s="6">
        <v>0.35</v>
      </c>
    </row>
    <row r="2743" spans="1:14" ht="15.75" customHeight="1" x14ac:dyDescent="0.45">
      <c r="A2743" s="1" t="s">
        <v>119</v>
      </c>
      <c r="B2743" s="1">
        <v>1185732</v>
      </c>
      <c r="C2743" s="2">
        <v>44570</v>
      </c>
      <c r="D2743" s="1" t="s">
        <v>26</v>
      </c>
      <c r="E2743" s="1" t="s">
        <v>92</v>
      </c>
      <c r="F2743" s="1" t="s">
        <v>93</v>
      </c>
      <c r="G2743" s="1" t="s">
        <v>18</v>
      </c>
      <c r="H2743" s="1">
        <v>42</v>
      </c>
      <c r="I2743" s="1" t="s">
        <v>124</v>
      </c>
      <c r="J2743" s="3">
        <v>0.35000000000000003</v>
      </c>
      <c r="K2743" s="4">
        <v>2750</v>
      </c>
      <c r="L2743" s="5">
        <f t="shared" si="22"/>
        <v>962.50000000000011</v>
      </c>
      <c r="M2743" s="5">
        <f t="shared" si="23"/>
        <v>385.00000000000006</v>
      </c>
      <c r="N2743" s="6">
        <v>0.4</v>
      </c>
    </row>
    <row r="2744" spans="1:14" ht="15.75" customHeight="1" x14ac:dyDescent="0.45">
      <c r="A2744" s="1" t="s">
        <v>119</v>
      </c>
      <c r="B2744" s="1">
        <v>1185732</v>
      </c>
      <c r="C2744" s="2">
        <v>44601</v>
      </c>
      <c r="D2744" s="1" t="s">
        <v>26</v>
      </c>
      <c r="E2744" s="1" t="s">
        <v>92</v>
      </c>
      <c r="F2744" s="1" t="s">
        <v>93</v>
      </c>
      <c r="G2744" s="1" t="s">
        <v>13</v>
      </c>
      <c r="H2744" s="1">
        <v>30</v>
      </c>
      <c r="I2744" s="1" t="s">
        <v>125</v>
      </c>
      <c r="J2744" s="3">
        <v>0.35000000000000003</v>
      </c>
      <c r="K2744" s="4">
        <v>5250</v>
      </c>
      <c r="L2744" s="5">
        <f t="shared" si="22"/>
        <v>1837.5000000000002</v>
      </c>
      <c r="M2744" s="5">
        <f t="shared" si="23"/>
        <v>643.125</v>
      </c>
      <c r="N2744" s="6">
        <v>0.35</v>
      </c>
    </row>
    <row r="2745" spans="1:14" ht="15.75" customHeight="1" x14ac:dyDescent="0.45">
      <c r="A2745" s="1" t="s">
        <v>119</v>
      </c>
      <c r="B2745" s="1">
        <v>1185732</v>
      </c>
      <c r="C2745" s="2">
        <v>44601</v>
      </c>
      <c r="D2745" s="1" t="s">
        <v>26</v>
      </c>
      <c r="E2745" s="1" t="s">
        <v>92</v>
      </c>
      <c r="F2745" s="1" t="s">
        <v>93</v>
      </c>
      <c r="G2745" s="1" t="s">
        <v>14</v>
      </c>
      <c r="H2745" s="1">
        <v>59</v>
      </c>
      <c r="I2745" s="1" t="s">
        <v>126</v>
      </c>
      <c r="J2745" s="3">
        <v>0.35000000000000003</v>
      </c>
      <c r="K2745" s="4">
        <v>1750</v>
      </c>
      <c r="L2745" s="5">
        <f t="shared" si="22"/>
        <v>612.50000000000011</v>
      </c>
      <c r="M2745" s="5">
        <f t="shared" si="23"/>
        <v>183.75000000000003</v>
      </c>
      <c r="N2745" s="6">
        <v>0.3</v>
      </c>
    </row>
    <row r="2746" spans="1:14" ht="15.75" customHeight="1" x14ac:dyDescent="0.45">
      <c r="A2746" s="1" t="s">
        <v>119</v>
      </c>
      <c r="B2746" s="1">
        <v>1185732</v>
      </c>
      <c r="C2746" s="2">
        <v>44601</v>
      </c>
      <c r="D2746" s="1" t="s">
        <v>26</v>
      </c>
      <c r="E2746" s="1" t="s">
        <v>92</v>
      </c>
      <c r="F2746" s="1" t="s">
        <v>93</v>
      </c>
      <c r="G2746" s="1" t="s">
        <v>15</v>
      </c>
      <c r="H2746" s="1">
        <v>39</v>
      </c>
      <c r="I2746" s="1" t="s">
        <v>123</v>
      </c>
      <c r="J2746" s="3">
        <v>0.25000000000000006</v>
      </c>
      <c r="K2746" s="4">
        <v>2250</v>
      </c>
      <c r="L2746" s="5">
        <f t="shared" si="22"/>
        <v>562.50000000000011</v>
      </c>
      <c r="M2746" s="5">
        <f t="shared" si="23"/>
        <v>168.75000000000003</v>
      </c>
      <c r="N2746" s="6">
        <v>0.3</v>
      </c>
    </row>
    <row r="2747" spans="1:14" ht="15.75" customHeight="1" x14ac:dyDescent="0.45">
      <c r="A2747" s="1" t="s">
        <v>119</v>
      </c>
      <c r="B2747" s="1">
        <v>1185732</v>
      </c>
      <c r="C2747" s="2">
        <v>44601</v>
      </c>
      <c r="D2747" s="1" t="s">
        <v>26</v>
      </c>
      <c r="E2747" s="1" t="s">
        <v>92</v>
      </c>
      <c r="F2747" s="1" t="s">
        <v>93</v>
      </c>
      <c r="G2747" s="1" t="s">
        <v>16</v>
      </c>
      <c r="H2747" s="1">
        <v>41</v>
      </c>
      <c r="I2747" s="1" t="s">
        <v>126</v>
      </c>
      <c r="J2747" s="3">
        <v>0.30000000000000004</v>
      </c>
      <c r="K2747" s="4">
        <v>1000</v>
      </c>
      <c r="L2747" s="5">
        <f t="shared" si="22"/>
        <v>300.00000000000006</v>
      </c>
      <c r="M2747" s="5">
        <f t="shared" si="23"/>
        <v>90.000000000000014</v>
      </c>
      <c r="N2747" s="6">
        <v>0.3</v>
      </c>
    </row>
    <row r="2748" spans="1:14" ht="15.75" customHeight="1" x14ac:dyDescent="0.45">
      <c r="A2748" s="1" t="s">
        <v>119</v>
      </c>
      <c r="B2748" s="1">
        <v>1185732</v>
      </c>
      <c r="C2748" s="2">
        <v>44601</v>
      </c>
      <c r="D2748" s="1" t="s">
        <v>26</v>
      </c>
      <c r="E2748" s="1" t="s">
        <v>92</v>
      </c>
      <c r="F2748" s="1" t="s">
        <v>93</v>
      </c>
      <c r="G2748" s="1" t="s">
        <v>17</v>
      </c>
      <c r="H2748" s="1">
        <v>23</v>
      </c>
      <c r="I2748" s="1" t="s">
        <v>125</v>
      </c>
      <c r="J2748" s="3">
        <v>0.44999999999999996</v>
      </c>
      <c r="K2748" s="4">
        <v>1750</v>
      </c>
      <c r="L2748" s="5">
        <f t="shared" si="22"/>
        <v>787.49999999999989</v>
      </c>
      <c r="M2748" s="5">
        <f t="shared" si="23"/>
        <v>275.62499999999994</v>
      </c>
      <c r="N2748" s="6">
        <v>0.35</v>
      </c>
    </row>
    <row r="2749" spans="1:14" ht="15.75" customHeight="1" x14ac:dyDescent="0.45">
      <c r="A2749" s="1" t="s">
        <v>119</v>
      </c>
      <c r="B2749" s="1">
        <v>1185732</v>
      </c>
      <c r="C2749" s="2">
        <v>44601</v>
      </c>
      <c r="D2749" s="1" t="s">
        <v>26</v>
      </c>
      <c r="E2749" s="1" t="s">
        <v>92</v>
      </c>
      <c r="F2749" s="1" t="s">
        <v>93</v>
      </c>
      <c r="G2749" s="1" t="s">
        <v>18</v>
      </c>
      <c r="H2749" s="1">
        <v>21</v>
      </c>
      <c r="I2749" s="1" t="s">
        <v>126</v>
      </c>
      <c r="J2749" s="3">
        <v>0.24999999999999997</v>
      </c>
      <c r="K2749" s="4">
        <v>2750</v>
      </c>
      <c r="L2749" s="5">
        <f t="shared" si="22"/>
        <v>687.49999999999989</v>
      </c>
      <c r="M2749" s="5">
        <f t="shared" si="23"/>
        <v>274.99999999999994</v>
      </c>
      <c r="N2749" s="6">
        <v>0.4</v>
      </c>
    </row>
    <row r="2750" spans="1:14" ht="15.75" customHeight="1" x14ac:dyDescent="0.45">
      <c r="A2750" s="1" t="s">
        <v>119</v>
      </c>
      <c r="B2750" s="1">
        <v>1185732</v>
      </c>
      <c r="C2750" s="2">
        <v>44628</v>
      </c>
      <c r="D2750" s="1" t="s">
        <v>26</v>
      </c>
      <c r="E2750" s="1" t="s">
        <v>92</v>
      </c>
      <c r="F2750" s="1" t="s">
        <v>93</v>
      </c>
      <c r="G2750" s="1" t="s">
        <v>13</v>
      </c>
      <c r="H2750" s="1">
        <v>35</v>
      </c>
      <c r="I2750" s="1" t="s">
        <v>124</v>
      </c>
      <c r="J2750" s="3">
        <v>0.30000000000000004</v>
      </c>
      <c r="K2750" s="4">
        <v>4950</v>
      </c>
      <c r="L2750" s="5">
        <f t="shared" si="22"/>
        <v>1485.0000000000002</v>
      </c>
      <c r="M2750" s="5">
        <f t="shared" si="23"/>
        <v>519.75</v>
      </c>
      <c r="N2750" s="6">
        <v>0.35</v>
      </c>
    </row>
    <row r="2751" spans="1:14" ht="15.75" customHeight="1" x14ac:dyDescent="0.45">
      <c r="A2751" s="1" t="s">
        <v>119</v>
      </c>
      <c r="B2751" s="1">
        <v>1185732</v>
      </c>
      <c r="C2751" s="2">
        <v>44628</v>
      </c>
      <c r="D2751" s="1" t="s">
        <v>26</v>
      </c>
      <c r="E2751" s="1" t="s">
        <v>92</v>
      </c>
      <c r="F2751" s="1" t="s">
        <v>93</v>
      </c>
      <c r="G2751" s="1" t="s">
        <v>14</v>
      </c>
      <c r="H2751" s="1">
        <v>31</v>
      </c>
      <c r="I2751" s="1" t="s">
        <v>124</v>
      </c>
      <c r="J2751" s="3">
        <v>0.30000000000000004</v>
      </c>
      <c r="K2751" s="4">
        <v>2000</v>
      </c>
      <c r="L2751" s="5">
        <f t="shared" si="22"/>
        <v>600.00000000000011</v>
      </c>
      <c r="M2751" s="5">
        <f t="shared" si="23"/>
        <v>180.00000000000003</v>
      </c>
      <c r="N2751" s="6">
        <v>0.3</v>
      </c>
    </row>
    <row r="2752" spans="1:14" ht="15.75" customHeight="1" x14ac:dyDescent="0.45">
      <c r="A2752" s="1" t="s">
        <v>119</v>
      </c>
      <c r="B2752" s="1">
        <v>1185732</v>
      </c>
      <c r="C2752" s="2">
        <v>44628</v>
      </c>
      <c r="D2752" s="1" t="s">
        <v>26</v>
      </c>
      <c r="E2752" s="1" t="s">
        <v>92</v>
      </c>
      <c r="F2752" s="1" t="s">
        <v>93</v>
      </c>
      <c r="G2752" s="1" t="s">
        <v>15</v>
      </c>
      <c r="H2752" s="1">
        <v>32</v>
      </c>
      <c r="I2752" s="1" t="s">
        <v>124</v>
      </c>
      <c r="J2752" s="3">
        <v>0.20000000000000004</v>
      </c>
      <c r="K2752" s="4">
        <v>2250</v>
      </c>
      <c r="L2752" s="5">
        <f t="shared" si="22"/>
        <v>450.00000000000011</v>
      </c>
      <c r="M2752" s="5">
        <f t="shared" si="23"/>
        <v>135.00000000000003</v>
      </c>
      <c r="N2752" s="6">
        <v>0.3</v>
      </c>
    </row>
    <row r="2753" spans="1:14" ht="15.75" customHeight="1" x14ac:dyDescent="0.45">
      <c r="A2753" s="1" t="s">
        <v>119</v>
      </c>
      <c r="B2753" s="1">
        <v>1185732</v>
      </c>
      <c r="C2753" s="2">
        <v>44628</v>
      </c>
      <c r="D2753" s="1" t="s">
        <v>26</v>
      </c>
      <c r="E2753" s="1" t="s">
        <v>92</v>
      </c>
      <c r="F2753" s="1" t="s">
        <v>93</v>
      </c>
      <c r="G2753" s="1" t="s">
        <v>16</v>
      </c>
      <c r="H2753" s="1">
        <v>60</v>
      </c>
      <c r="I2753" s="1" t="s">
        <v>124</v>
      </c>
      <c r="J2753" s="3">
        <v>0.24999999999999997</v>
      </c>
      <c r="K2753" s="4">
        <v>750</v>
      </c>
      <c r="L2753" s="5">
        <f t="shared" si="22"/>
        <v>187.49999999999997</v>
      </c>
      <c r="M2753" s="5">
        <f t="shared" si="23"/>
        <v>56.249999999999993</v>
      </c>
      <c r="N2753" s="6">
        <v>0.3</v>
      </c>
    </row>
    <row r="2754" spans="1:14" ht="15.75" customHeight="1" x14ac:dyDescent="0.45">
      <c r="A2754" s="1" t="s">
        <v>119</v>
      </c>
      <c r="B2754" s="1">
        <v>1185732</v>
      </c>
      <c r="C2754" s="2">
        <v>44628</v>
      </c>
      <c r="D2754" s="1" t="s">
        <v>26</v>
      </c>
      <c r="E2754" s="1" t="s">
        <v>92</v>
      </c>
      <c r="F2754" s="1" t="s">
        <v>93</v>
      </c>
      <c r="G2754" s="1" t="s">
        <v>17</v>
      </c>
      <c r="H2754" s="1">
        <v>23</v>
      </c>
      <c r="I2754" s="1" t="s">
        <v>123</v>
      </c>
      <c r="J2754" s="3">
        <v>0.4</v>
      </c>
      <c r="K2754" s="4">
        <v>1250</v>
      </c>
      <c r="L2754" s="5">
        <f t="shared" si="22"/>
        <v>500</v>
      </c>
      <c r="M2754" s="5">
        <f t="shared" si="23"/>
        <v>175</v>
      </c>
      <c r="N2754" s="6">
        <v>0.35</v>
      </c>
    </row>
    <row r="2755" spans="1:14" ht="15.75" customHeight="1" x14ac:dyDescent="0.45">
      <c r="A2755" s="1" t="s">
        <v>119</v>
      </c>
      <c r="B2755" s="1">
        <v>1185732</v>
      </c>
      <c r="C2755" s="2">
        <v>44628</v>
      </c>
      <c r="D2755" s="1" t="s">
        <v>26</v>
      </c>
      <c r="E2755" s="1" t="s">
        <v>92</v>
      </c>
      <c r="F2755" s="1" t="s">
        <v>93</v>
      </c>
      <c r="G2755" s="1" t="s">
        <v>18</v>
      </c>
      <c r="H2755" s="1">
        <v>43</v>
      </c>
      <c r="I2755" s="1" t="s">
        <v>124</v>
      </c>
      <c r="J2755" s="3">
        <v>0.30000000000000004</v>
      </c>
      <c r="K2755" s="4">
        <v>2250</v>
      </c>
      <c r="L2755" s="5">
        <f t="shared" si="22"/>
        <v>675.00000000000011</v>
      </c>
      <c r="M2755" s="5">
        <f t="shared" si="23"/>
        <v>270.00000000000006</v>
      </c>
      <c r="N2755" s="6">
        <v>0.4</v>
      </c>
    </row>
    <row r="2756" spans="1:14" ht="15.75" customHeight="1" x14ac:dyDescent="0.45">
      <c r="A2756" s="1" t="s">
        <v>119</v>
      </c>
      <c r="B2756" s="1">
        <v>1185732</v>
      </c>
      <c r="C2756" s="2">
        <v>44660</v>
      </c>
      <c r="D2756" s="1" t="s">
        <v>26</v>
      </c>
      <c r="E2756" s="1" t="s">
        <v>92</v>
      </c>
      <c r="F2756" s="1" t="s">
        <v>93</v>
      </c>
      <c r="G2756" s="1" t="s">
        <v>13</v>
      </c>
      <c r="H2756" s="1">
        <v>57</v>
      </c>
      <c r="I2756" s="1" t="s">
        <v>123</v>
      </c>
      <c r="J2756" s="3">
        <v>0.30000000000000004</v>
      </c>
      <c r="K2756" s="4">
        <v>4500</v>
      </c>
      <c r="L2756" s="5">
        <f t="shared" si="22"/>
        <v>1350.0000000000002</v>
      </c>
      <c r="M2756" s="5">
        <f t="shared" si="23"/>
        <v>472.50000000000006</v>
      </c>
      <c r="N2756" s="6">
        <v>0.35</v>
      </c>
    </row>
    <row r="2757" spans="1:14" ht="15.75" customHeight="1" x14ac:dyDescent="0.45">
      <c r="A2757" s="1" t="s">
        <v>119</v>
      </c>
      <c r="B2757" s="1">
        <v>1185732</v>
      </c>
      <c r="C2757" s="2">
        <v>44660</v>
      </c>
      <c r="D2757" s="1" t="s">
        <v>26</v>
      </c>
      <c r="E2757" s="1" t="s">
        <v>92</v>
      </c>
      <c r="F2757" s="1" t="s">
        <v>93</v>
      </c>
      <c r="G2757" s="1" t="s">
        <v>14</v>
      </c>
      <c r="H2757" s="1">
        <v>54</v>
      </c>
      <c r="I2757" s="1" t="s">
        <v>126</v>
      </c>
      <c r="J2757" s="3">
        <v>0.30000000000000004</v>
      </c>
      <c r="K2757" s="4">
        <v>1500</v>
      </c>
      <c r="L2757" s="5">
        <f t="shared" si="22"/>
        <v>450.00000000000006</v>
      </c>
      <c r="M2757" s="5">
        <f t="shared" si="23"/>
        <v>135</v>
      </c>
      <c r="N2757" s="6">
        <v>0.3</v>
      </c>
    </row>
    <row r="2758" spans="1:14" ht="15.75" customHeight="1" x14ac:dyDescent="0.45">
      <c r="A2758" s="1" t="s">
        <v>119</v>
      </c>
      <c r="B2758" s="1">
        <v>1185732</v>
      </c>
      <c r="C2758" s="2">
        <v>44660</v>
      </c>
      <c r="D2758" s="1" t="s">
        <v>26</v>
      </c>
      <c r="E2758" s="1" t="s">
        <v>92</v>
      </c>
      <c r="F2758" s="1" t="s">
        <v>93</v>
      </c>
      <c r="G2758" s="1" t="s">
        <v>15</v>
      </c>
      <c r="H2758" s="1">
        <v>34</v>
      </c>
      <c r="I2758" s="1" t="s">
        <v>126</v>
      </c>
      <c r="J2758" s="3">
        <v>0.20000000000000004</v>
      </c>
      <c r="K2758" s="4">
        <v>1500</v>
      </c>
      <c r="L2758" s="5">
        <f t="shared" si="22"/>
        <v>300.00000000000006</v>
      </c>
      <c r="M2758" s="5">
        <f t="shared" si="23"/>
        <v>90.000000000000014</v>
      </c>
      <c r="N2758" s="6">
        <v>0.3</v>
      </c>
    </row>
    <row r="2759" spans="1:14" ht="15.75" customHeight="1" x14ac:dyDescent="0.45">
      <c r="A2759" s="1" t="s">
        <v>119</v>
      </c>
      <c r="B2759" s="1">
        <v>1185732</v>
      </c>
      <c r="C2759" s="2">
        <v>44660</v>
      </c>
      <c r="D2759" s="1" t="s">
        <v>26</v>
      </c>
      <c r="E2759" s="1" t="s">
        <v>92</v>
      </c>
      <c r="F2759" s="1" t="s">
        <v>93</v>
      </c>
      <c r="G2759" s="1" t="s">
        <v>16</v>
      </c>
      <c r="H2759" s="1">
        <v>25</v>
      </c>
      <c r="I2759" s="1" t="s">
        <v>125</v>
      </c>
      <c r="J2759" s="3">
        <v>0.24999999999999997</v>
      </c>
      <c r="K2759" s="4">
        <v>750</v>
      </c>
      <c r="L2759" s="5">
        <f t="shared" si="22"/>
        <v>187.49999999999997</v>
      </c>
      <c r="M2759" s="5">
        <f t="shared" si="23"/>
        <v>56.249999999999993</v>
      </c>
      <c r="N2759" s="6">
        <v>0.3</v>
      </c>
    </row>
    <row r="2760" spans="1:14" ht="15.75" customHeight="1" x14ac:dyDescent="0.45">
      <c r="A2760" s="1" t="s">
        <v>119</v>
      </c>
      <c r="B2760" s="1">
        <v>1185732</v>
      </c>
      <c r="C2760" s="2">
        <v>44660</v>
      </c>
      <c r="D2760" s="1" t="s">
        <v>26</v>
      </c>
      <c r="E2760" s="1" t="s">
        <v>92</v>
      </c>
      <c r="F2760" s="1" t="s">
        <v>93</v>
      </c>
      <c r="G2760" s="1" t="s">
        <v>17</v>
      </c>
      <c r="H2760" s="1">
        <v>41</v>
      </c>
      <c r="I2760" s="1" t="s">
        <v>126</v>
      </c>
      <c r="J2760" s="3">
        <v>0.6</v>
      </c>
      <c r="K2760" s="4">
        <v>1000</v>
      </c>
      <c r="L2760" s="5">
        <f t="shared" si="22"/>
        <v>600</v>
      </c>
      <c r="M2760" s="5">
        <f t="shared" si="23"/>
        <v>210</v>
      </c>
      <c r="N2760" s="6">
        <v>0.35</v>
      </c>
    </row>
    <row r="2761" spans="1:14" ht="15.75" customHeight="1" x14ac:dyDescent="0.45">
      <c r="A2761" s="1" t="s">
        <v>119</v>
      </c>
      <c r="B2761" s="1">
        <v>1185732</v>
      </c>
      <c r="C2761" s="2">
        <v>44660</v>
      </c>
      <c r="D2761" s="1" t="s">
        <v>26</v>
      </c>
      <c r="E2761" s="1" t="s">
        <v>92</v>
      </c>
      <c r="F2761" s="1" t="s">
        <v>93</v>
      </c>
      <c r="G2761" s="1" t="s">
        <v>18</v>
      </c>
      <c r="H2761" s="1">
        <v>48</v>
      </c>
      <c r="I2761" s="1" t="s">
        <v>126</v>
      </c>
      <c r="J2761" s="3">
        <v>0.5</v>
      </c>
      <c r="K2761" s="4">
        <v>2250</v>
      </c>
      <c r="L2761" s="5">
        <f t="shared" si="22"/>
        <v>1125</v>
      </c>
      <c r="M2761" s="5">
        <f t="shared" si="23"/>
        <v>450</v>
      </c>
      <c r="N2761" s="6">
        <v>0.4</v>
      </c>
    </row>
    <row r="2762" spans="1:14" ht="15.75" customHeight="1" x14ac:dyDescent="0.45">
      <c r="A2762" s="1" t="s">
        <v>119</v>
      </c>
      <c r="B2762" s="1">
        <v>1185732</v>
      </c>
      <c r="C2762" s="2">
        <v>44691</v>
      </c>
      <c r="D2762" s="1" t="s">
        <v>26</v>
      </c>
      <c r="E2762" s="1" t="s">
        <v>92</v>
      </c>
      <c r="F2762" s="1" t="s">
        <v>93</v>
      </c>
      <c r="G2762" s="1" t="s">
        <v>13</v>
      </c>
      <c r="H2762" s="1">
        <v>30</v>
      </c>
      <c r="I2762" s="1" t="s">
        <v>124</v>
      </c>
      <c r="J2762" s="3">
        <v>0.6</v>
      </c>
      <c r="K2762" s="4">
        <v>4950</v>
      </c>
      <c r="L2762" s="5">
        <f t="shared" si="22"/>
        <v>2970</v>
      </c>
      <c r="M2762" s="5">
        <f t="shared" si="23"/>
        <v>1039.5</v>
      </c>
      <c r="N2762" s="6">
        <v>0.35</v>
      </c>
    </row>
    <row r="2763" spans="1:14" ht="15.75" customHeight="1" x14ac:dyDescent="0.45">
      <c r="A2763" s="1" t="s">
        <v>119</v>
      </c>
      <c r="B2763" s="1">
        <v>1185732</v>
      </c>
      <c r="C2763" s="2">
        <v>44691</v>
      </c>
      <c r="D2763" s="1" t="s">
        <v>26</v>
      </c>
      <c r="E2763" s="1" t="s">
        <v>92</v>
      </c>
      <c r="F2763" s="1" t="s">
        <v>93</v>
      </c>
      <c r="G2763" s="1" t="s">
        <v>14</v>
      </c>
      <c r="H2763" s="1">
        <v>35</v>
      </c>
      <c r="I2763" s="1" t="s">
        <v>126</v>
      </c>
      <c r="J2763" s="3">
        <v>0.45</v>
      </c>
      <c r="K2763" s="4">
        <v>2000</v>
      </c>
      <c r="L2763" s="5">
        <f t="shared" si="22"/>
        <v>900</v>
      </c>
      <c r="M2763" s="5">
        <f t="shared" si="23"/>
        <v>270</v>
      </c>
      <c r="N2763" s="6">
        <v>0.3</v>
      </c>
    </row>
    <row r="2764" spans="1:14" ht="15.75" customHeight="1" x14ac:dyDescent="0.45">
      <c r="A2764" s="1" t="s">
        <v>119</v>
      </c>
      <c r="B2764" s="1">
        <v>1185732</v>
      </c>
      <c r="C2764" s="2">
        <v>44691</v>
      </c>
      <c r="D2764" s="1" t="s">
        <v>26</v>
      </c>
      <c r="E2764" s="1" t="s">
        <v>92</v>
      </c>
      <c r="F2764" s="1" t="s">
        <v>93</v>
      </c>
      <c r="G2764" s="1" t="s">
        <v>15</v>
      </c>
      <c r="H2764" s="1">
        <v>41</v>
      </c>
      <c r="I2764" s="1" t="s">
        <v>124</v>
      </c>
      <c r="J2764" s="3">
        <v>0.4</v>
      </c>
      <c r="K2764" s="4">
        <v>1750</v>
      </c>
      <c r="L2764" s="5">
        <f t="shared" si="22"/>
        <v>700</v>
      </c>
      <c r="M2764" s="5">
        <f t="shared" si="23"/>
        <v>210</v>
      </c>
      <c r="N2764" s="6">
        <v>0.3</v>
      </c>
    </row>
    <row r="2765" spans="1:14" ht="15.75" customHeight="1" x14ac:dyDescent="0.45">
      <c r="A2765" s="1" t="s">
        <v>119</v>
      </c>
      <c r="B2765" s="1">
        <v>1185732</v>
      </c>
      <c r="C2765" s="2">
        <v>44691</v>
      </c>
      <c r="D2765" s="1" t="s">
        <v>26</v>
      </c>
      <c r="E2765" s="1" t="s">
        <v>92</v>
      </c>
      <c r="F2765" s="1" t="s">
        <v>93</v>
      </c>
      <c r="G2765" s="1" t="s">
        <v>16</v>
      </c>
      <c r="H2765" s="1">
        <v>42</v>
      </c>
      <c r="I2765" s="1" t="s">
        <v>125</v>
      </c>
      <c r="J2765" s="3">
        <v>0.4</v>
      </c>
      <c r="K2765" s="4">
        <v>1000</v>
      </c>
      <c r="L2765" s="5">
        <f t="shared" si="22"/>
        <v>400</v>
      </c>
      <c r="M2765" s="5">
        <f t="shared" si="23"/>
        <v>120</v>
      </c>
      <c r="N2765" s="6">
        <v>0.3</v>
      </c>
    </row>
    <row r="2766" spans="1:14" ht="15.75" customHeight="1" x14ac:dyDescent="0.45">
      <c r="A2766" s="1" t="s">
        <v>119</v>
      </c>
      <c r="B2766" s="1">
        <v>1185732</v>
      </c>
      <c r="C2766" s="2">
        <v>44691</v>
      </c>
      <c r="D2766" s="1" t="s">
        <v>26</v>
      </c>
      <c r="E2766" s="1" t="s">
        <v>92</v>
      </c>
      <c r="F2766" s="1" t="s">
        <v>93</v>
      </c>
      <c r="G2766" s="1" t="s">
        <v>17</v>
      </c>
      <c r="H2766" s="1">
        <v>32</v>
      </c>
      <c r="I2766" s="1" t="s">
        <v>125</v>
      </c>
      <c r="J2766" s="3">
        <v>0.49999999999999994</v>
      </c>
      <c r="K2766" s="4">
        <v>1250</v>
      </c>
      <c r="L2766" s="5">
        <f t="shared" si="22"/>
        <v>624.99999999999989</v>
      </c>
      <c r="M2766" s="5">
        <f t="shared" si="23"/>
        <v>218.74999999999994</v>
      </c>
      <c r="N2766" s="6">
        <v>0.35</v>
      </c>
    </row>
    <row r="2767" spans="1:14" ht="15.75" customHeight="1" x14ac:dyDescent="0.45">
      <c r="A2767" s="1" t="s">
        <v>119</v>
      </c>
      <c r="B2767" s="1">
        <v>1185732</v>
      </c>
      <c r="C2767" s="2">
        <v>44691</v>
      </c>
      <c r="D2767" s="1" t="s">
        <v>26</v>
      </c>
      <c r="E2767" s="1" t="s">
        <v>92</v>
      </c>
      <c r="F2767" s="1" t="s">
        <v>93</v>
      </c>
      <c r="G2767" s="1" t="s">
        <v>18</v>
      </c>
      <c r="H2767" s="1">
        <v>53</v>
      </c>
      <c r="I2767" s="1" t="s">
        <v>123</v>
      </c>
      <c r="J2767" s="3">
        <v>0.54999999999999993</v>
      </c>
      <c r="K2767" s="4">
        <v>2500</v>
      </c>
      <c r="L2767" s="5">
        <f t="shared" si="22"/>
        <v>1374.9999999999998</v>
      </c>
      <c r="M2767" s="5">
        <f t="shared" si="23"/>
        <v>549.99999999999989</v>
      </c>
      <c r="N2767" s="6">
        <v>0.4</v>
      </c>
    </row>
    <row r="2768" spans="1:14" ht="15.75" customHeight="1" x14ac:dyDescent="0.45">
      <c r="A2768" s="1" t="s">
        <v>119</v>
      </c>
      <c r="B2768" s="1">
        <v>1185732</v>
      </c>
      <c r="C2768" s="2">
        <v>44721</v>
      </c>
      <c r="D2768" s="1" t="s">
        <v>26</v>
      </c>
      <c r="E2768" s="1" t="s">
        <v>92</v>
      </c>
      <c r="F2768" s="1" t="s">
        <v>93</v>
      </c>
      <c r="G2768" s="1" t="s">
        <v>13</v>
      </c>
      <c r="H2768" s="1">
        <v>47</v>
      </c>
      <c r="I2768" s="1" t="s">
        <v>123</v>
      </c>
      <c r="J2768" s="3">
        <v>0.4</v>
      </c>
      <c r="K2768" s="4">
        <v>5000</v>
      </c>
      <c r="L2768" s="5">
        <f t="shared" si="22"/>
        <v>2000</v>
      </c>
      <c r="M2768" s="5">
        <f t="shared" si="23"/>
        <v>700</v>
      </c>
      <c r="N2768" s="6">
        <v>0.35</v>
      </c>
    </row>
    <row r="2769" spans="1:14" ht="15.75" customHeight="1" x14ac:dyDescent="0.45">
      <c r="A2769" s="1" t="s">
        <v>119</v>
      </c>
      <c r="B2769" s="1">
        <v>1185732</v>
      </c>
      <c r="C2769" s="2">
        <v>44721</v>
      </c>
      <c r="D2769" s="1" t="s">
        <v>26</v>
      </c>
      <c r="E2769" s="1" t="s">
        <v>92</v>
      </c>
      <c r="F2769" s="1" t="s">
        <v>93</v>
      </c>
      <c r="G2769" s="1" t="s">
        <v>14</v>
      </c>
      <c r="H2769" s="1">
        <v>35</v>
      </c>
      <c r="I2769" s="1" t="s">
        <v>124</v>
      </c>
      <c r="J2769" s="3">
        <v>0.35000000000000009</v>
      </c>
      <c r="K2769" s="4">
        <v>2500</v>
      </c>
      <c r="L2769" s="5">
        <f t="shared" si="22"/>
        <v>875.00000000000023</v>
      </c>
      <c r="M2769" s="5">
        <f t="shared" si="23"/>
        <v>262.50000000000006</v>
      </c>
      <c r="N2769" s="6">
        <v>0.3</v>
      </c>
    </row>
    <row r="2770" spans="1:14" ht="15.75" customHeight="1" x14ac:dyDescent="0.45">
      <c r="A2770" s="1" t="s">
        <v>119</v>
      </c>
      <c r="B2770" s="1">
        <v>1185732</v>
      </c>
      <c r="C2770" s="2">
        <v>44721</v>
      </c>
      <c r="D2770" s="1" t="s">
        <v>26</v>
      </c>
      <c r="E2770" s="1" t="s">
        <v>92</v>
      </c>
      <c r="F2770" s="1" t="s">
        <v>93</v>
      </c>
      <c r="G2770" s="1" t="s">
        <v>15</v>
      </c>
      <c r="H2770" s="1">
        <v>16</v>
      </c>
      <c r="I2770" s="1" t="s">
        <v>123</v>
      </c>
      <c r="J2770" s="3">
        <v>0.30000000000000004</v>
      </c>
      <c r="K2770" s="4">
        <v>2000</v>
      </c>
      <c r="L2770" s="5">
        <f t="shared" si="22"/>
        <v>600.00000000000011</v>
      </c>
      <c r="M2770" s="5">
        <f t="shared" si="23"/>
        <v>180.00000000000003</v>
      </c>
      <c r="N2770" s="6">
        <v>0.3</v>
      </c>
    </row>
    <row r="2771" spans="1:14" ht="15.75" customHeight="1" x14ac:dyDescent="0.45">
      <c r="A2771" s="1" t="s">
        <v>119</v>
      </c>
      <c r="B2771" s="1">
        <v>1185732</v>
      </c>
      <c r="C2771" s="2">
        <v>44721</v>
      </c>
      <c r="D2771" s="1" t="s">
        <v>26</v>
      </c>
      <c r="E2771" s="1" t="s">
        <v>92</v>
      </c>
      <c r="F2771" s="1" t="s">
        <v>93</v>
      </c>
      <c r="G2771" s="1" t="s">
        <v>16</v>
      </c>
      <c r="H2771" s="1">
        <v>16</v>
      </c>
      <c r="I2771" s="1" t="s">
        <v>125</v>
      </c>
      <c r="J2771" s="3">
        <v>0.30000000000000004</v>
      </c>
      <c r="K2771" s="4">
        <v>1750</v>
      </c>
      <c r="L2771" s="5">
        <f t="shared" si="22"/>
        <v>525.00000000000011</v>
      </c>
      <c r="M2771" s="5">
        <f t="shared" si="23"/>
        <v>157.50000000000003</v>
      </c>
      <c r="N2771" s="6">
        <v>0.3</v>
      </c>
    </row>
    <row r="2772" spans="1:14" ht="15.75" customHeight="1" x14ac:dyDescent="0.45">
      <c r="A2772" s="1" t="s">
        <v>119</v>
      </c>
      <c r="B2772" s="1">
        <v>1185732</v>
      </c>
      <c r="C2772" s="2">
        <v>44721</v>
      </c>
      <c r="D2772" s="1" t="s">
        <v>26</v>
      </c>
      <c r="E2772" s="1" t="s">
        <v>92</v>
      </c>
      <c r="F2772" s="1" t="s">
        <v>93</v>
      </c>
      <c r="G2772" s="1" t="s">
        <v>17</v>
      </c>
      <c r="H2772" s="1">
        <v>47</v>
      </c>
      <c r="I2772" s="1" t="s">
        <v>125</v>
      </c>
      <c r="J2772" s="3">
        <v>0.4</v>
      </c>
      <c r="K2772" s="4">
        <v>1750</v>
      </c>
      <c r="L2772" s="5">
        <f t="shared" si="22"/>
        <v>700</v>
      </c>
      <c r="M2772" s="5">
        <f t="shared" si="23"/>
        <v>244.99999999999997</v>
      </c>
      <c r="N2772" s="6">
        <v>0.35</v>
      </c>
    </row>
    <row r="2773" spans="1:14" ht="15.75" customHeight="1" x14ac:dyDescent="0.45">
      <c r="A2773" s="1" t="s">
        <v>119</v>
      </c>
      <c r="B2773" s="1">
        <v>1185732</v>
      </c>
      <c r="C2773" s="2">
        <v>44721</v>
      </c>
      <c r="D2773" s="1" t="s">
        <v>26</v>
      </c>
      <c r="E2773" s="1" t="s">
        <v>92</v>
      </c>
      <c r="F2773" s="1" t="s">
        <v>93</v>
      </c>
      <c r="G2773" s="1" t="s">
        <v>18</v>
      </c>
      <c r="H2773" s="1">
        <v>19</v>
      </c>
      <c r="I2773" s="1" t="s">
        <v>123</v>
      </c>
      <c r="J2773" s="3">
        <v>0.55000000000000004</v>
      </c>
      <c r="K2773" s="4">
        <v>3250</v>
      </c>
      <c r="L2773" s="5">
        <f t="shared" si="22"/>
        <v>1787.5000000000002</v>
      </c>
      <c r="M2773" s="5">
        <f t="shared" si="23"/>
        <v>715.00000000000011</v>
      </c>
      <c r="N2773" s="6">
        <v>0.4</v>
      </c>
    </row>
    <row r="2774" spans="1:14" ht="15.75" customHeight="1" x14ac:dyDescent="0.45">
      <c r="A2774" s="1" t="s">
        <v>119</v>
      </c>
      <c r="B2774" s="1">
        <v>1185732</v>
      </c>
      <c r="C2774" s="2">
        <v>44750</v>
      </c>
      <c r="D2774" s="1" t="s">
        <v>26</v>
      </c>
      <c r="E2774" s="1" t="s">
        <v>92</v>
      </c>
      <c r="F2774" s="1" t="s">
        <v>93</v>
      </c>
      <c r="G2774" s="1" t="s">
        <v>13</v>
      </c>
      <c r="H2774" s="1">
        <v>31</v>
      </c>
      <c r="I2774" s="1" t="s">
        <v>126</v>
      </c>
      <c r="J2774" s="3">
        <v>0.5</v>
      </c>
      <c r="K2774" s="4">
        <v>5500</v>
      </c>
      <c r="L2774" s="5">
        <f t="shared" si="22"/>
        <v>2750</v>
      </c>
      <c r="M2774" s="5">
        <f t="shared" si="23"/>
        <v>962.49999999999989</v>
      </c>
      <c r="N2774" s="6">
        <v>0.35</v>
      </c>
    </row>
    <row r="2775" spans="1:14" ht="15.75" customHeight="1" x14ac:dyDescent="0.45">
      <c r="A2775" s="1" t="s">
        <v>119</v>
      </c>
      <c r="B2775" s="1">
        <v>1185732</v>
      </c>
      <c r="C2775" s="2">
        <v>44750</v>
      </c>
      <c r="D2775" s="1" t="s">
        <v>26</v>
      </c>
      <c r="E2775" s="1" t="s">
        <v>92</v>
      </c>
      <c r="F2775" s="1" t="s">
        <v>93</v>
      </c>
      <c r="G2775" s="1" t="s">
        <v>14</v>
      </c>
      <c r="H2775" s="1">
        <v>24</v>
      </c>
      <c r="I2775" s="1" t="s">
        <v>126</v>
      </c>
      <c r="J2775" s="3">
        <v>0.45000000000000007</v>
      </c>
      <c r="K2775" s="4">
        <v>3000</v>
      </c>
      <c r="L2775" s="5">
        <f t="shared" si="22"/>
        <v>1350.0000000000002</v>
      </c>
      <c r="M2775" s="5">
        <f t="shared" si="23"/>
        <v>405.00000000000006</v>
      </c>
      <c r="N2775" s="6">
        <v>0.3</v>
      </c>
    </row>
    <row r="2776" spans="1:14" ht="15.75" customHeight="1" x14ac:dyDescent="0.45">
      <c r="A2776" s="1" t="s">
        <v>119</v>
      </c>
      <c r="B2776" s="1">
        <v>1185732</v>
      </c>
      <c r="C2776" s="2">
        <v>44750</v>
      </c>
      <c r="D2776" s="1" t="s">
        <v>26</v>
      </c>
      <c r="E2776" s="1" t="s">
        <v>92</v>
      </c>
      <c r="F2776" s="1" t="s">
        <v>93</v>
      </c>
      <c r="G2776" s="1" t="s">
        <v>15</v>
      </c>
      <c r="H2776" s="1">
        <v>54</v>
      </c>
      <c r="I2776" s="1" t="s">
        <v>125</v>
      </c>
      <c r="J2776" s="3">
        <v>0.4</v>
      </c>
      <c r="K2776" s="4">
        <v>2250</v>
      </c>
      <c r="L2776" s="5">
        <f t="shared" si="22"/>
        <v>900</v>
      </c>
      <c r="M2776" s="5">
        <f t="shared" si="23"/>
        <v>270</v>
      </c>
      <c r="N2776" s="6">
        <v>0.3</v>
      </c>
    </row>
    <row r="2777" spans="1:14" ht="15.75" customHeight="1" x14ac:dyDescent="0.45">
      <c r="A2777" s="1" t="s">
        <v>119</v>
      </c>
      <c r="B2777" s="1">
        <v>1185732</v>
      </c>
      <c r="C2777" s="2">
        <v>44750</v>
      </c>
      <c r="D2777" s="1" t="s">
        <v>26</v>
      </c>
      <c r="E2777" s="1" t="s">
        <v>92</v>
      </c>
      <c r="F2777" s="1" t="s">
        <v>93</v>
      </c>
      <c r="G2777" s="1" t="s">
        <v>16</v>
      </c>
      <c r="H2777" s="1">
        <v>34</v>
      </c>
      <c r="I2777" s="1" t="s">
        <v>123</v>
      </c>
      <c r="J2777" s="3">
        <v>0.4</v>
      </c>
      <c r="K2777" s="4">
        <v>1750</v>
      </c>
      <c r="L2777" s="5">
        <f t="shared" si="22"/>
        <v>700</v>
      </c>
      <c r="M2777" s="5">
        <f t="shared" si="23"/>
        <v>210</v>
      </c>
      <c r="N2777" s="6">
        <v>0.3</v>
      </c>
    </row>
    <row r="2778" spans="1:14" ht="15.75" customHeight="1" x14ac:dyDescent="0.45">
      <c r="A2778" s="1" t="s">
        <v>119</v>
      </c>
      <c r="B2778" s="1">
        <v>1185732</v>
      </c>
      <c r="C2778" s="2">
        <v>44750</v>
      </c>
      <c r="D2778" s="1" t="s">
        <v>26</v>
      </c>
      <c r="E2778" s="1" t="s">
        <v>92</v>
      </c>
      <c r="F2778" s="1" t="s">
        <v>93</v>
      </c>
      <c r="G2778" s="1" t="s">
        <v>17</v>
      </c>
      <c r="H2778" s="1">
        <v>18</v>
      </c>
      <c r="I2778" s="1" t="s">
        <v>124</v>
      </c>
      <c r="J2778" s="3">
        <v>0.5</v>
      </c>
      <c r="K2778" s="4">
        <v>2000</v>
      </c>
      <c r="L2778" s="5">
        <f t="shared" si="22"/>
        <v>1000</v>
      </c>
      <c r="M2778" s="5">
        <f t="shared" si="23"/>
        <v>350</v>
      </c>
      <c r="N2778" s="6">
        <v>0.35</v>
      </c>
    </row>
    <row r="2779" spans="1:14" ht="15.75" customHeight="1" x14ac:dyDescent="0.45">
      <c r="A2779" s="1" t="s">
        <v>119</v>
      </c>
      <c r="B2779" s="1">
        <v>1185732</v>
      </c>
      <c r="C2779" s="2">
        <v>44750</v>
      </c>
      <c r="D2779" s="1" t="s">
        <v>26</v>
      </c>
      <c r="E2779" s="1" t="s">
        <v>92</v>
      </c>
      <c r="F2779" s="1" t="s">
        <v>93</v>
      </c>
      <c r="G2779" s="1" t="s">
        <v>18</v>
      </c>
      <c r="H2779" s="1">
        <v>56</v>
      </c>
      <c r="I2779" s="1" t="s">
        <v>124</v>
      </c>
      <c r="J2779" s="3">
        <v>0.55000000000000004</v>
      </c>
      <c r="K2779" s="4">
        <v>3750</v>
      </c>
      <c r="L2779" s="5">
        <f t="shared" si="22"/>
        <v>2062.5</v>
      </c>
      <c r="M2779" s="5">
        <f t="shared" si="23"/>
        <v>825</v>
      </c>
      <c r="N2779" s="6">
        <v>0.4</v>
      </c>
    </row>
    <row r="2780" spans="1:14" ht="15.75" customHeight="1" x14ac:dyDescent="0.45">
      <c r="A2780" s="1" t="s">
        <v>119</v>
      </c>
      <c r="B2780" s="1">
        <v>1185732</v>
      </c>
      <c r="C2780" s="2">
        <v>44782</v>
      </c>
      <c r="D2780" s="1" t="s">
        <v>26</v>
      </c>
      <c r="E2780" s="1" t="s">
        <v>92</v>
      </c>
      <c r="F2780" s="1" t="s">
        <v>93</v>
      </c>
      <c r="G2780" s="1" t="s">
        <v>13</v>
      </c>
      <c r="H2780" s="1">
        <v>29</v>
      </c>
      <c r="I2780" s="1" t="s">
        <v>124</v>
      </c>
      <c r="J2780" s="3">
        <v>0.5</v>
      </c>
      <c r="K2780" s="4">
        <v>5250</v>
      </c>
      <c r="L2780" s="5">
        <f t="shared" si="22"/>
        <v>2625</v>
      </c>
      <c r="M2780" s="5">
        <f t="shared" si="23"/>
        <v>918.74999999999989</v>
      </c>
      <c r="N2780" s="6">
        <v>0.35</v>
      </c>
    </row>
    <row r="2781" spans="1:14" ht="15.75" customHeight="1" x14ac:dyDescent="0.45">
      <c r="A2781" s="1" t="s">
        <v>119</v>
      </c>
      <c r="B2781" s="1">
        <v>1185732</v>
      </c>
      <c r="C2781" s="2">
        <v>44782</v>
      </c>
      <c r="D2781" s="1" t="s">
        <v>26</v>
      </c>
      <c r="E2781" s="1" t="s">
        <v>92</v>
      </c>
      <c r="F2781" s="1" t="s">
        <v>93</v>
      </c>
      <c r="G2781" s="1" t="s">
        <v>14</v>
      </c>
      <c r="H2781" s="1">
        <v>50</v>
      </c>
      <c r="I2781" s="1" t="s">
        <v>125</v>
      </c>
      <c r="J2781" s="3">
        <v>0.45000000000000007</v>
      </c>
      <c r="K2781" s="4">
        <v>3000</v>
      </c>
      <c r="L2781" s="5">
        <f t="shared" si="22"/>
        <v>1350.0000000000002</v>
      </c>
      <c r="M2781" s="5">
        <f t="shared" si="23"/>
        <v>405.00000000000006</v>
      </c>
      <c r="N2781" s="6">
        <v>0.3</v>
      </c>
    </row>
    <row r="2782" spans="1:14" ht="15.75" customHeight="1" x14ac:dyDescent="0.45">
      <c r="A2782" s="1" t="s">
        <v>119</v>
      </c>
      <c r="B2782" s="1">
        <v>1185732</v>
      </c>
      <c r="C2782" s="2">
        <v>44782</v>
      </c>
      <c r="D2782" s="1" t="s">
        <v>26</v>
      </c>
      <c r="E2782" s="1" t="s">
        <v>92</v>
      </c>
      <c r="F2782" s="1" t="s">
        <v>93</v>
      </c>
      <c r="G2782" s="1" t="s">
        <v>15</v>
      </c>
      <c r="H2782" s="1">
        <v>48</v>
      </c>
      <c r="I2782" s="1" t="s">
        <v>126</v>
      </c>
      <c r="J2782" s="3">
        <v>0.4</v>
      </c>
      <c r="K2782" s="4">
        <v>2250</v>
      </c>
      <c r="L2782" s="5">
        <f t="shared" si="22"/>
        <v>900</v>
      </c>
      <c r="M2782" s="5">
        <f t="shared" si="23"/>
        <v>270</v>
      </c>
      <c r="N2782" s="6">
        <v>0.3</v>
      </c>
    </row>
    <row r="2783" spans="1:14" ht="15.75" customHeight="1" x14ac:dyDescent="0.45">
      <c r="A2783" s="1" t="s">
        <v>119</v>
      </c>
      <c r="B2783" s="1">
        <v>1185732</v>
      </c>
      <c r="C2783" s="2">
        <v>44782</v>
      </c>
      <c r="D2783" s="1" t="s">
        <v>26</v>
      </c>
      <c r="E2783" s="1" t="s">
        <v>92</v>
      </c>
      <c r="F2783" s="1" t="s">
        <v>93</v>
      </c>
      <c r="G2783" s="1" t="s">
        <v>16</v>
      </c>
      <c r="H2783" s="1">
        <v>49</v>
      </c>
      <c r="I2783" s="1" t="s">
        <v>124</v>
      </c>
      <c r="J2783" s="3">
        <v>0.4</v>
      </c>
      <c r="K2783" s="4">
        <v>2000</v>
      </c>
      <c r="L2783" s="5">
        <f t="shared" si="22"/>
        <v>800</v>
      </c>
      <c r="M2783" s="5">
        <f t="shared" si="23"/>
        <v>240</v>
      </c>
      <c r="N2783" s="6">
        <v>0.3</v>
      </c>
    </row>
    <row r="2784" spans="1:14" ht="15.75" customHeight="1" x14ac:dyDescent="0.45">
      <c r="A2784" s="1" t="s">
        <v>119</v>
      </c>
      <c r="B2784" s="1">
        <v>1185732</v>
      </c>
      <c r="C2784" s="2">
        <v>44782</v>
      </c>
      <c r="D2784" s="1" t="s">
        <v>26</v>
      </c>
      <c r="E2784" s="1" t="s">
        <v>92</v>
      </c>
      <c r="F2784" s="1" t="s">
        <v>93</v>
      </c>
      <c r="G2784" s="1" t="s">
        <v>17</v>
      </c>
      <c r="H2784" s="1">
        <v>19</v>
      </c>
      <c r="I2784" s="1" t="s">
        <v>124</v>
      </c>
      <c r="J2784" s="3">
        <v>0.5</v>
      </c>
      <c r="K2784" s="4">
        <v>1750</v>
      </c>
      <c r="L2784" s="5">
        <f t="shared" si="22"/>
        <v>875</v>
      </c>
      <c r="M2784" s="5">
        <f t="shared" si="23"/>
        <v>306.25</v>
      </c>
      <c r="N2784" s="6">
        <v>0.35</v>
      </c>
    </row>
    <row r="2785" spans="1:14" ht="15.75" customHeight="1" x14ac:dyDescent="0.45">
      <c r="A2785" s="1" t="s">
        <v>119</v>
      </c>
      <c r="B2785" s="1">
        <v>1185732</v>
      </c>
      <c r="C2785" s="2">
        <v>44782</v>
      </c>
      <c r="D2785" s="1" t="s">
        <v>26</v>
      </c>
      <c r="E2785" s="1" t="s">
        <v>92</v>
      </c>
      <c r="F2785" s="1" t="s">
        <v>93</v>
      </c>
      <c r="G2785" s="1" t="s">
        <v>18</v>
      </c>
      <c r="H2785" s="1">
        <v>16</v>
      </c>
      <c r="I2785" s="1" t="s">
        <v>125</v>
      </c>
      <c r="J2785" s="3">
        <v>0.55000000000000004</v>
      </c>
      <c r="K2785" s="4">
        <v>3500</v>
      </c>
      <c r="L2785" s="5">
        <f t="shared" si="22"/>
        <v>1925.0000000000002</v>
      </c>
      <c r="M2785" s="5">
        <f t="shared" si="23"/>
        <v>770.00000000000011</v>
      </c>
      <c r="N2785" s="6">
        <v>0.4</v>
      </c>
    </row>
    <row r="2786" spans="1:14" ht="15.75" customHeight="1" x14ac:dyDescent="0.45">
      <c r="A2786" s="1" t="s">
        <v>119</v>
      </c>
      <c r="B2786" s="1">
        <v>1185732</v>
      </c>
      <c r="C2786" s="2">
        <v>44814</v>
      </c>
      <c r="D2786" s="1" t="s">
        <v>26</v>
      </c>
      <c r="E2786" s="1" t="s">
        <v>92</v>
      </c>
      <c r="F2786" s="1" t="s">
        <v>93</v>
      </c>
      <c r="G2786" s="1" t="s">
        <v>13</v>
      </c>
      <c r="H2786" s="1">
        <v>31</v>
      </c>
      <c r="I2786" s="1" t="s">
        <v>124</v>
      </c>
      <c r="J2786" s="3">
        <v>0.4</v>
      </c>
      <c r="K2786" s="4">
        <v>4750</v>
      </c>
      <c r="L2786" s="5">
        <f t="shared" si="22"/>
        <v>1900</v>
      </c>
      <c r="M2786" s="5">
        <f t="shared" si="23"/>
        <v>665</v>
      </c>
      <c r="N2786" s="6">
        <v>0.35</v>
      </c>
    </row>
    <row r="2787" spans="1:14" ht="15.75" customHeight="1" x14ac:dyDescent="0.45">
      <c r="A2787" s="1" t="s">
        <v>119</v>
      </c>
      <c r="B2787" s="1">
        <v>1185732</v>
      </c>
      <c r="C2787" s="2">
        <v>44814</v>
      </c>
      <c r="D2787" s="1" t="s">
        <v>26</v>
      </c>
      <c r="E2787" s="1" t="s">
        <v>92</v>
      </c>
      <c r="F2787" s="1" t="s">
        <v>93</v>
      </c>
      <c r="G2787" s="1" t="s">
        <v>14</v>
      </c>
      <c r="H2787" s="1">
        <v>27</v>
      </c>
      <c r="I2787" s="1" t="s">
        <v>124</v>
      </c>
      <c r="J2787" s="3">
        <v>0.35000000000000009</v>
      </c>
      <c r="K2787" s="4">
        <v>2750</v>
      </c>
      <c r="L2787" s="5">
        <f t="shared" si="22"/>
        <v>962.50000000000023</v>
      </c>
      <c r="M2787" s="5">
        <f t="shared" si="23"/>
        <v>288.75000000000006</v>
      </c>
      <c r="N2787" s="6">
        <v>0.3</v>
      </c>
    </row>
    <row r="2788" spans="1:14" ht="15.75" customHeight="1" x14ac:dyDescent="0.45">
      <c r="A2788" s="1" t="s">
        <v>119</v>
      </c>
      <c r="B2788" s="1">
        <v>1185732</v>
      </c>
      <c r="C2788" s="2">
        <v>44814</v>
      </c>
      <c r="D2788" s="1" t="s">
        <v>26</v>
      </c>
      <c r="E2788" s="1" t="s">
        <v>92</v>
      </c>
      <c r="F2788" s="1" t="s">
        <v>93</v>
      </c>
      <c r="G2788" s="1" t="s">
        <v>15</v>
      </c>
      <c r="H2788" s="1">
        <v>54</v>
      </c>
      <c r="I2788" s="1" t="s">
        <v>126</v>
      </c>
      <c r="J2788" s="3">
        <v>0.30000000000000004</v>
      </c>
      <c r="K2788" s="4">
        <v>1750</v>
      </c>
      <c r="L2788" s="5">
        <f t="shared" si="22"/>
        <v>525.00000000000011</v>
      </c>
      <c r="M2788" s="5">
        <f t="shared" si="23"/>
        <v>157.50000000000003</v>
      </c>
      <c r="N2788" s="6">
        <v>0.3</v>
      </c>
    </row>
    <row r="2789" spans="1:14" ht="15.75" customHeight="1" x14ac:dyDescent="0.45">
      <c r="A2789" s="1" t="s">
        <v>119</v>
      </c>
      <c r="B2789" s="1">
        <v>1185732</v>
      </c>
      <c r="C2789" s="2">
        <v>44814</v>
      </c>
      <c r="D2789" s="1" t="s">
        <v>26</v>
      </c>
      <c r="E2789" s="1" t="s">
        <v>92</v>
      </c>
      <c r="F2789" s="1" t="s">
        <v>93</v>
      </c>
      <c r="G2789" s="1" t="s">
        <v>16</v>
      </c>
      <c r="H2789" s="1">
        <v>59</v>
      </c>
      <c r="I2789" s="1" t="s">
        <v>126</v>
      </c>
      <c r="J2789" s="3">
        <v>0.30000000000000004</v>
      </c>
      <c r="K2789" s="4">
        <v>1500</v>
      </c>
      <c r="L2789" s="5">
        <f t="shared" si="22"/>
        <v>450.00000000000006</v>
      </c>
      <c r="M2789" s="5">
        <f t="shared" si="23"/>
        <v>135</v>
      </c>
      <c r="N2789" s="6">
        <v>0.3</v>
      </c>
    </row>
    <row r="2790" spans="1:14" ht="15.75" customHeight="1" x14ac:dyDescent="0.45">
      <c r="A2790" s="1" t="s">
        <v>119</v>
      </c>
      <c r="B2790" s="1">
        <v>1185732</v>
      </c>
      <c r="C2790" s="2">
        <v>44814</v>
      </c>
      <c r="D2790" s="1" t="s">
        <v>26</v>
      </c>
      <c r="E2790" s="1" t="s">
        <v>92</v>
      </c>
      <c r="F2790" s="1" t="s">
        <v>93</v>
      </c>
      <c r="G2790" s="1" t="s">
        <v>17</v>
      </c>
      <c r="H2790" s="1">
        <v>26</v>
      </c>
      <c r="I2790" s="1" t="s">
        <v>124</v>
      </c>
      <c r="J2790" s="3">
        <v>0.4</v>
      </c>
      <c r="K2790" s="4">
        <v>1500</v>
      </c>
      <c r="L2790" s="5">
        <f t="shared" si="22"/>
        <v>600</v>
      </c>
      <c r="M2790" s="5">
        <f t="shared" si="23"/>
        <v>210</v>
      </c>
      <c r="N2790" s="6">
        <v>0.35</v>
      </c>
    </row>
    <row r="2791" spans="1:14" ht="15.75" customHeight="1" x14ac:dyDescent="0.45">
      <c r="A2791" s="1" t="s">
        <v>119</v>
      </c>
      <c r="B2791" s="1">
        <v>1185732</v>
      </c>
      <c r="C2791" s="2">
        <v>44814</v>
      </c>
      <c r="D2791" s="1" t="s">
        <v>26</v>
      </c>
      <c r="E2791" s="1" t="s">
        <v>92</v>
      </c>
      <c r="F2791" s="1" t="s">
        <v>93</v>
      </c>
      <c r="G2791" s="1" t="s">
        <v>18</v>
      </c>
      <c r="H2791" s="1">
        <v>31</v>
      </c>
      <c r="I2791" s="1" t="s">
        <v>125</v>
      </c>
      <c r="J2791" s="3">
        <v>0.45</v>
      </c>
      <c r="K2791" s="4">
        <v>2250</v>
      </c>
      <c r="L2791" s="5">
        <f t="shared" si="22"/>
        <v>1012.5</v>
      </c>
      <c r="M2791" s="5">
        <f t="shared" si="23"/>
        <v>405</v>
      </c>
      <c r="N2791" s="6">
        <v>0.4</v>
      </c>
    </row>
    <row r="2792" spans="1:14" ht="15.75" customHeight="1" x14ac:dyDescent="0.45">
      <c r="A2792" s="1" t="s">
        <v>119</v>
      </c>
      <c r="B2792" s="1">
        <v>1185732</v>
      </c>
      <c r="C2792" s="2">
        <v>44843</v>
      </c>
      <c r="D2792" s="1" t="s">
        <v>26</v>
      </c>
      <c r="E2792" s="1" t="s">
        <v>92</v>
      </c>
      <c r="F2792" s="1" t="s">
        <v>93</v>
      </c>
      <c r="G2792" s="1" t="s">
        <v>13</v>
      </c>
      <c r="H2792" s="1">
        <v>56</v>
      </c>
      <c r="I2792" s="1" t="s">
        <v>125</v>
      </c>
      <c r="J2792" s="3">
        <v>0.49999999999999994</v>
      </c>
      <c r="K2792" s="4">
        <v>4000</v>
      </c>
      <c r="L2792" s="5">
        <f t="shared" si="22"/>
        <v>1999.9999999999998</v>
      </c>
      <c r="M2792" s="5">
        <f t="shared" si="23"/>
        <v>699.99999999999989</v>
      </c>
      <c r="N2792" s="6">
        <v>0.35</v>
      </c>
    </row>
    <row r="2793" spans="1:14" ht="15.75" customHeight="1" x14ac:dyDescent="0.45">
      <c r="A2793" s="1" t="s">
        <v>119</v>
      </c>
      <c r="B2793" s="1">
        <v>1185732</v>
      </c>
      <c r="C2793" s="2">
        <v>44843</v>
      </c>
      <c r="D2793" s="1" t="s">
        <v>26</v>
      </c>
      <c r="E2793" s="1" t="s">
        <v>92</v>
      </c>
      <c r="F2793" s="1" t="s">
        <v>93</v>
      </c>
      <c r="G2793" s="1" t="s">
        <v>14</v>
      </c>
      <c r="H2793" s="1">
        <v>36</v>
      </c>
      <c r="I2793" s="1" t="s">
        <v>124</v>
      </c>
      <c r="J2793" s="3">
        <v>0.4</v>
      </c>
      <c r="K2793" s="4">
        <v>2500</v>
      </c>
      <c r="L2793" s="5">
        <f t="shared" si="22"/>
        <v>1000</v>
      </c>
      <c r="M2793" s="5">
        <f t="shared" si="23"/>
        <v>300</v>
      </c>
      <c r="N2793" s="6">
        <v>0.3</v>
      </c>
    </row>
    <row r="2794" spans="1:14" ht="15.75" customHeight="1" x14ac:dyDescent="0.45">
      <c r="A2794" s="1" t="s">
        <v>119</v>
      </c>
      <c r="B2794" s="1">
        <v>1185732</v>
      </c>
      <c r="C2794" s="2">
        <v>44843</v>
      </c>
      <c r="D2794" s="1" t="s">
        <v>26</v>
      </c>
      <c r="E2794" s="1" t="s">
        <v>92</v>
      </c>
      <c r="F2794" s="1" t="s">
        <v>93</v>
      </c>
      <c r="G2794" s="1" t="s">
        <v>15</v>
      </c>
      <c r="H2794" s="1">
        <v>48</v>
      </c>
      <c r="I2794" s="1" t="s">
        <v>125</v>
      </c>
      <c r="J2794" s="3">
        <v>0.4</v>
      </c>
      <c r="K2794" s="4">
        <v>1500</v>
      </c>
      <c r="L2794" s="5">
        <f t="shared" si="22"/>
        <v>600</v>
      </c>
      <c r="M2794" s="5">
        <f t="shared" si="23"/>
        <v>180</v>
      </c>
      <c r="N2794" s="6">
        <v>0.3</v>
      </c>
    </row>
    <row r="2795" spans="1:14" ht="15.75" customHeight="1" x14ac:dyDescent="0.45">
      <c r="A2795" s="1" t="s">
        <v>119</v>
      </c>
      <c r="B2795" s="1">
        <v>1185732</v>
      </c>
      <c r="C2795" s="2">
        <v>44843</v>
      </c>
      <c r="D2795" s="1" t="s">
        <v>26</v>
      </c>
      <c r="E2795" s="1" t="s">
        <v>92</v>
      </c>
      <c r="F2795" s="1" t="s">
        <v>93</v>
      </c>
      <c r="G2795" s="1" t="s">
        <v>16</v>
      </c>
      <c r="H2795" s="1">
        <v>55</v>
      </c>
      <c r="I2795" s="1" t="s">
        <v>126</v>
      </c>
      <c r="J2795" s="3">
        <v>0.4</v>
      </c>
      <c r="K2795" s="4">
        <v>1250</v>
      </c>
      <c r="L2795" s="5">
        <f t="shared" si="22"/>
        <v>500</v>
      </c>
      <c r="M2795" s="5">
        <f t="shared" si="23"/>
        <v>150</v>
      </c>
      <c r="N2795" s="6">
        <v>0.3</v>
      </c>
    </row>
    <row r="2796" spans="1:14" ht="15.75" customHeight="1" x14ac:dyDescent="0.45">
      <c r="A2796" s="1" t="s">
        <v>119</v>
      </c>
      <c r="B2796" s="1">
        <v>1185732</v>
      </c>
      <c r="C2796" s="2">
        <v>44843</v>
      </c>
      <c r="D2796" s="1" t="s">
        <v>26</v>
      </c>
      <c r="E2796" s="1" t="s">
        <v>92</v>
      </c>
      <c r="F2796" s="1" t="s">
        <v>93</v>
      </c>
      <c r="G2796" s="1" t="s">
        <v>17</v>
      </c>
      <c r="H2796" s="1">
        <v>52</v>
      </c>
      <c r="I2796" s="1" t="s">
        <v>125</v>
      </c>
      <c r="J2796" s="3">
        <v>0.49999999999999994</v>
      </c>
      <c r="K2796" s="4">
        <v>1250</v>
      </c>
      <c r="L2796" s="5">
        <f t="shared" si="22"/>
        <v>624.99999999999989</v>
      </c>
      <c r="M2796" s="5">
        <f t="shared" si="23"/>
        <v>218.74999999999994</v>
      </c>
      <c r="N2796" s="6">
        <v>0.35</v>
      </c>
    </row>
    <row r="2797" spans="1:14" ht="15.75" customHeight="1" x14ac:dyDescent="0.45">
      <c r="A2797" s="1" t="s">
        <v>119</v>
      </c>
      <c r="B2797" s="1">
        <v>1185732</v>
      </c>
      <c r="C2797" s="2">
        <v>44843</v>
      </c>
      <c r="D2797" s="1" t="s">
        <v>26</v>
      </c>
      <c r="E2797" s="1" t="s">
        <v>92</v>
      </c>
      <c r="F2797" s="1" t="s">
        <v>93</v>
      </c>
      <c r="G2797" s="1" t="s">
        <v>18</v>
      </c>
      <c r="H2797" s="1">
        <v>31</v>
      </c>
      <c r="I2797" s="1" t="s">
        <v>124</v>
      </c>
      <c r="J2797" s="3">
        <v>0.54999999999999982</v>
      </c>
      <c r="K2797" s="4">
        <v>2500</v>
      </c>
      <c r="L2797" s="5">
        <f t="shared" si="22"/>
        <v>1374.9999999999995</v>
      </c>
      <c r="M2797" s="5">
        <f t="shared" si="23"/>
        <v>549.99999999999989</v>
      </c>
      <c r="N2797" s="6">
        <v>0.4</v>
      </c>
    </row>
    <row r="2798" spans="1:14" ht="15.75" customHeight="1" x14ac:dyDescent="0.45">
      <c r="A2798" s="1" t="s">
        <v>119</v>
      </c>
      <c r="B2798" s="1">
        <v>1185732</v>
      </c>
      <c r="C2798" s="2">
        <v>44874</v>
      </c>
      <c r="D2798" s="1" t="s">
        <v>26</v>
      </c>
      <c r="E2798" s="1" t="s">
        <v>92</v>
      </c>
      <c r="F2798" s="1" t="s">
        <v>93</v>
      </c>
      <c r="G2798" s="1" t="s">
        <v>13</v>
      </c>
      <c r="H2798" s="1">
        <v>37</v>
      </c>
      <c r="I2798" s="1" t="s">
        <v>125</v>
      </c>
      <c r="J2798" s="3">
        <v>0.49999999999999994</v>
      </c>
      <c r="K2798" s="4">
        <v>4000</v>
      </c>
      <c r="L2798" s="5">
        <f t="shared" si="22"/>
        <v>1999.9999999999998</v>
      </c>
      <c r="M2798" s="5">
        <f t="shared" si="23"/>
        <v>699.99999999999989</v>
      </c>
      <c r="N2798" s="6">
        <v>0.35</v>
      </c>
    </row>
    <row r="2799" spans="1:14" ht="15.75" customHeight="1" x14ac:dyDescent="0.45">
      <c r="A2799" s="1" t="s">
        <v>119</v>
      </c>
      <c r="B2799" s="1">
        <v>1185732</v>
      </c>
      <c r="C2799" s="2">
        <v>44874</v>
      </c>
      <c r="D2799" s="1" t="s">
        <v>26</v>
      </c>
      <c r="E2799" s="1" t="s">
        <v>92</v>
      </c>
      <c r="F2799" s="1" t="s">
        <v>93</v>
      </c>
      <c r="G2799" s="1" t="s">
        <v>14</v>
      </c>
      <c r="H2799" s="1">
        <v>39</v>
      </c>
      <c r="I2799" s="1" t="s">
        <v>124</v>
      </c>
      <c r="J2799" s="3">
        <v>0.4</v>
      </c>
      <c r="K2799" s="4">
        <v>2500</v>
      </c>
      <c r="L2799" s="5">
        <f t="shared" si="22"/>
        <v>1000</v>
      </c>
      <c r="M2799" s="5">
        <f t="shared" si="23"/>
        <v>300</v>
      </c>
      <c r="N2799" s="6">
        <v>0.3</v>
      </c>
    </row>
    <row r="2800" spans="1:14" ht="15.75" customHeight="1" x14ac:dyDescent="0.45">
      <c r="A2800" s="1" t="s">
        <v>119</v>
      </c>
      <c r="B2800" s="1">
        <v>1185732</v>
      </c>
      <c r="C2800" s="2">
        <v>44874</v>
      </c>
      <c r="D2800" s="1" t="s">
        <v>26</v>
      </c>
      <c r="E2800" s="1" t="s">
        <v>92</v>
      </c>
      <c r="F2800" s="1" t="s">
        <v>93</v>
      </c>
      <c r="G2800" s="1" t="s">
        <v>15</v>
      </c>
      <c r="H2800" s="1">
        <v>30</v>
      </c>
      <c r="I2800" s="1" t="s">
        <v>126</v>
      </c>
      <c r="J2800" s="3">
        <v>0.4</v>
      </c>
      <c r="K2800" s="4">
        <v>1950</v>
      </c>
      <c r="L2800" s="5">
        <f t="shared" si="22"/>
        <v>780</v>
      </c>
      <c r="M2800" s="5">
        <f t="shared" si="23"/>
        <v>234</v>
      </c>
      <c r="N2800" s="6">
        <v>0.3</v>
      </c>
    </row>
    <row r="2801" spans="1:14" ht="15.75" customHeight="1" x14ac:dyDescent="0.45">
      <c r="A2801" s="1" t="s">
        <v>119</v>
      </c>
      <c r="B2801" s="1">
        <v>1185732</v>
      </c>
      <c r="C2801" s="2">
        <v>44874</v>
      </c>
      <c r="D2801" s="1" t="s">
        <v>26</v>
      </c>
      <c r="E2801" s="1" t="s">
        <v>92</v>
      </c>
      <c r="F2801" s="1" t="s">
        <v>93</v>
      </c>
      <c r="G2801" s="1" t="s">
        <v>16</v>
      </c>
      <c r="H2801" s="1">
        <v>36</v>
      </c>
      <c r="I2801" s="1" t="s">
        <v>125</v>
      </c>
      <c r="J2801" s="3">
        <v>0.4</v>
      </c>
      <c r="K2801" s="4">
        <v>1750</v>
      </c>
      <c r="L2801" s="5">
        <f t="shared" si="22"/>
        <v>700</v>
      </c>
      <c r="M2801" s="5">
        <f t="shared" si="23"/>
        <v>210</v>
      </c>
      <c r="N2801" s="6">
        <v>0.3</v>
      </c>
    </row>
    <row r="2802" spans="1:14" ht="15.75" customHeight="1" x14ac:dyDescent="0.45">
      <c r="A2802" s="1" t="s">
        <v>119</v>
      </c>
      <c r="B2802" s="1">
        <v>1185732</v>
      </c>
      <c r="C2802" s="2">
        <v>44874</v>
      </c>
      <c r="D2802" s="1" t="s">
        <v>26</v>
      </c>
      <c r="E2802" s="1" t="s">
        <v>92</v>
      </c>
      <c r="F2802" s="1" t="s">
        <v>93</v>
      </c>
      <c r="G2802" s="1" t="s">
        <v>17</v>
      </c>
      <c r="H2802" s="1">
        <v>51</v>
      </c>
      <c r="I2802" s="1" t="s">
        <v>125</v>
      </c>
      <c r="J2802" s="3">
        <v>0.6</v>
      </c>
      <c r="K2802" s="4">
        <v>1500</v>
      </c>
      <c r="L2802" s="5">
        <f t="shared" si="22"/>
        <v>900</v>
      </c>
      <c r="M2802" s="5">
        <f t="shared" si="23"/>
        <v>315</v>
      </c>
      <c r="N2802" s="6">
        <v>0.35</v>
      </c>
    </row>
    <row r="2803" spans="1:14" ht="15.75" customHeight="1" x14ac:dyDescent="0.45">
      <c r="A2803" s="1" t="s">
        <v>119</v>
      </c>
      <c r="B2803" s="1">
        <v>1185732</v>
      </c>
      <c r="C2803" s="2">
        <v>44874</v>
      </c>
      <c r="D2803" s="1" t="s">
        <v>26</v>
      </c>
      <c r="E2803" s="1" t="s">
        <v>92</v>
      </c>
      <c r="F2803" s="1" t="s">
        <v>93</v>
      </c>
      <c r="G2803" s="1" t="s">
        <v>18</v>
      </c>
      <c r="H2803" s="1">
        <v>32</v>
      </c>
      <c r="I2803" s="1" t="s">
        <v>124</v>
      </c>
      <c r="J2803" s="3">
        <v>0.64999999999999991</v>
      </c>
      <c r="K2803" s="4">
        <v>2500</v>
      </c>
      <c r="L2803" s="5">
        <f t="shared" si="22"/>
        <v>1624.9999999999998</v>
      </c>
      <c r="M2803" s="5">
        <f t="shared" si="23"/>
        <v>650</v>
      </c>
      <c r="N2803" s="6">
        <v>0.4</v>
      </c>
    </row>
    <row r="2804" spans="1:14" ht="15.75" customHeight="1" x14ac:dyDescent="0.45">
      <c r="A2804" s="1" t="s">
        <v>119</v>
      </c>
      <c r="B2804" s="1">
        <v>1185732</v>
      </c>
      <c r="C2804" s="2">
        <v>44903</v>
      </c>
      <c r="D2804" s="1" t="s">
        <v>26</v>
      </c>
      <c r="E2804" s="1" t="s">
        <v>92</v>
      </c>
      <c r="F2804" s="1" t="s">
        <v>93</v>
      </c>
      <c r="G2804" s="1" t="s">
        <v>13</v>
      </c>
      <c r="H2804" s="1">
        <v>44</v>
      </c>
      <c r="I2804" s="1" t="s">
        <v>126</v>
      </c>
      <c r="J2804" s="3">
        <v>0.6</v>
      </c>
      <c r="K2804" s="4">
        <v>5000</v>
      </c>
      <c r="L2804" s="5">
        <f t="shared" si="22"/>
        <v>3000</v>
      </c>
      <c r="M2804" s="5">
        <f t="shared" si="23"/>
        <v>1050</v>
      </c>
      <c r="N2804" s="6">
        <v>0.35</v>
      </c>
    </row>
    <row r="2805" spans="1:14" ht="15.75" customHeight="1" x14ac:dyDescent="0.45">
      <c r="A2805" s="1" t="s">
        <v>119</v>
      </c>
      <c r="B2805" s="1">
        <v>1185732</v>
      </c>
      <c r="C2805" s="2">
        <v>44903</v>
      </c>
      <c r="D2805" s="1" t="s">
        <v>26</v>
      </c>
      <c r="E2805" s="1" t="s">
        <v>92</v>
      </c>
      <c r="F2805" s="1" t="s">
        <v>93</v>
      </c>
      <c r="G2805" s="1" t="s">
        <v>14</v>
      </c>
      <c r="H2805" s="1">
        <v>33</v>
      </c>
      <c r="I2805" s="1" t="s">
        <v>124</v>
      </c>
      <c r="J2805" s="3">
        <v>0.5</v>
      </c>
      <c r="K2805" s="4">
        <v>3000</v>
      </c>
      <c r="L2805" s="5">
        <f t="shared" si="22"/>
        <v>1500</v>
      </c>
      <c r="M2805" s="5">
        <f t="shared" si="23"/>
        <v>450</v>
      </c>
      <c r="N2805" s="6">
        <v>0.3</v>
      </c>
    </row>
    <row r="2806" spans="1:14" ht="15.75" customHeight="1" x14ac:dyDescent="0.45">
      <c r="A2806" s="1" t="s">
        <v>119</v>
      </c>
      <c r="B2806" s="1">
        <v>1185732</v>
      </c>
      <c r="C2806" s="2">
        <v>44903</v>
      </c>
      <c r="D2806" s="1" t="s">
        <v>26</v>
      </c>
      <c r="E2806" s="1" t="s">
        <v>92</v>
      </c>
      <c r="F2806" s="1" t="s">
        <v>93</v>
      </c>
      <c r="G2806" s="1" t="s">
        <v>15</v>
      </c>
      <c r="H2806" s="1">
        <v>33</v>
      </c>
      <c r="I2806" s="1" t="s">
        <v>124</v>
      </c>
      <c r="J2806" s="3">
        <v>0.5</v>
      </c>
      <c r="K2806" s="4">
        <v>2500</v>
      </c>
      <c r="L2806" s="5">
        <f t="shared" si="22"/>
        <v>1250</v>
      </c>
      <c r="M2806" s="5">
        <f t="shared" si="23"/>
        <v>375</v>
      </c>
      <c r="N2806" s="6">
        <v>0.3</v>
      </c>
    </row>
    <row r="2807" spans="1:14" ht="15.75" customHeight="1" x14ac:dyDescent="0.45">
      <c r="A2807" s="1" t="s">
        <v>119</v>
      </c>
      <c r="B2807" s="1">
        <v>1185732</v>
      </c>
      <c r="C2807" s="2">
        <v>44903</v>
      </c>
      <c r="D2807" s="1" t="s">
        <v>26</v>
      </c>
      <c r="E2807" s="1" t="s">
        <v>92</v>
      </c>
      <c r="F2807" s="1" t="s">
        <v>93</v>
      </c>
      <c r="G2807" s="1" t="s">
        <v>16</v>
      </c>
      <c r="H2807" s="1">
        <v>60</v>
      </c>
      <c r="I2807" s="1" t="s">
        <v>124</v>
      </c>
      <c r="J2807" s="3">
        <v>0.5</v>
      </c>
      <c r="K2807" s="4">
        <v>2000</v>
      </c>
      <c r="L2807" s="5">
        <f t="shared" si="22"/>
        <v>1000</v>
      </c>
      <c r="M2807" s="5">
        <f t="shared" si="23"/>
        <v>300</v>
      </c>
      <c r="N2807" s="6">
        <v>0.3</v>
      </c>
    </row>
    <row r="2808" spans="1:14" ht="15.75" customHeight="1" x14ac:dyDescent="0.45">
      <c r="A2808" s="1" t="s">
        <v>119</v>
      </c>
      <c r="B2808" s="1">
        <v>1185732</v>
      </c>
      <c r="C2808" s="2">
        <v>44903</v>
      </c>
      <c r="D2808" s="1" t="s">
        <v>26</v>
      </c>
      <c r="E2808" s="1" t="s">
        <v>92</v>
      </c>
      <c r="F2808" s="1" t="s">
        <v>93</v>
      </c>
      <c r="G2808" s="1" t="s">
        <v>17</v>
      </c>
      <c r="H2808" s="1">
        <v>23</v>
      </c>
      <c r="I2808" s="1" t="s">
        <v>126</v>
      </c>
      <c r="J2808" s="3">
        <v>0.6</v>
      </c>
      <c r="K2808" s="4">
        <v>2000</v>
      </c>
      <c r="L2808" s="5">
        <f t="shared" si="22"/>
        <v>1200</v>
      </c>
      <c r="M2808" s="5">
        <f t="shared" si="23"/>
        <v>420</v>
      </c>
      <c r="N2808" s="6">
        <v>0.35</v>
      </c>
    </row>
    <row r="2809" spans="1:14" ht="15.75" customHeight="1" x14ac:dyDescent="0.45">
      <c r="A2809" s="1" t="s">
        <v>119</v>
      </c>
      <c r="B2809" s="1">
        <v>1185732</v>
      </c>
      <c r="C2809" s="2">
        <v>44903</v>
      </c>
      <c r="D2809" s="1" t="s">
        <v>26</v>
      </c>
      <c r="E2809" s="1" t="s">
        <v>92</v>
      </c>
      <c r="F2809" s="1" t="s">
        <v>93</v>
      </c>
      <c r="G2809" s="1" t="s">
        <v>18</v>
      </c>
      <c r="H2809" s="1">
        <v>53</v>
      </c>
      <c r="I2809" s="1" t="s">
        <v>124</v>
      </c>
      <c r="J2809" s="3">
        <v>0.64999999999999991</v>
      </c>
      <c r="K2809" s="4">
        <v>3000</v>
      </c>
      <c r="L2809" s="5">
        <f t="shared" si="22"/>
        <v>1949.9999999999998</v>
      </c>
      <c r="M2809" s="5">
        <f t="shared" si="23"/>
        <v>780</v>
      </c>
      <c r="N2809" s="6">
        <v>0.4</v>
      </c>
    </row>
    <row r="2810" spans="1:14" ht="15.75" customHeight="1" x14ac:dyDescent="0.45">
      <c r="A2810" s="1" t="s">
        <v>119</v>
      </c>
      <c r="B2810" s="1">
        <v>1185732</v>
      </c>
      <c r="C2810" s="2">
        <v>44567</v>
      </c>
      <c r="D2810" s="1" t="s">
        <v>26</v>
      </c>
      <c r="E2810" s="1" t="s">
        <v>94</v>
      </c>
      <c r="F2810" s="1" t="s">
        <v>95</v>
      </c>
      <c r="G2810" s="1" t="s">
        <v>13</v>
      </c>
      <c r="H2810" s="1">
        <v>23</v>
      </c>
      <c r="I2810" s="1" t="s">
        <v>123</v>
      </c>
      <c r="J2810" s="3">
        <v>0.30000000000000004</v>
      </c>
      <c r="K2810" s="4">
        <v>4500</v>
      </c>
      <c r="L2810" s="5">
        <f t="shared" si="22"/>
        <v>1350.0000000000002</v>
      </c>
      <c r="M2810" s="5">
        <f t="shared" si="23"/>
        <v>405.00000000000006</v>
      </c>
      <c r="N2810" s="6">
        <v>0.3</v>
      </c>
    </row>
    <row r="2811" spans="1:14" ht="15.75" customHeight="1" x14ac:dyDescent="0.45">
      <c r="A2811" s="1" t="s">
        <v>119</v>
      </c>
      <c r="B2811" s="1">
        <v>1185732</v>
      </c>
      <c r="C2811" s="2">
        <v>44567</v>
      </c>
      <c r="D2811" s="1" t="s">
        <v>26</v>
      </c>
      <c r="E2811" s="1" t="s">
        <v>94</v>
      </c>
      <c r="F2811" s="1" t="s">
        <v>95</v>
      </c>
      <c r="G2811" s="1" t="s">
        <v>14</v>
      </c>
      <c r="H2811" s="1">
        <v>59</v>
      </c>
      <c r="I2811" s="1" t="s">
        <v>123</v>
      </c>
      <c r="J2811" s="3">
        <v>0.30000000000000004</v>
      </c>
      <c r="K2811" s="4">
        <v>2500</v>
      </c>
      <c r="L2811" s="5">
        <f t="shared" si="22"/>
        <v>750.00000000000011</v>
      </c>
      <c r="M2811" s="5">
        <f t="shared" si="23"/>
        <v>262.5</v>
      </c>
      <c r="N2811" s="6">
        <v>0.35</v>
      </c>
    </row>
    <row r="2812" spans="1:14" ht="15.75" customHeight="1" x14ac:dyDescent="0.45">
      <c r="A2812" s="1" t="s">
        <v>119</v>
      </c>
      <c r="B2812" s="1">
        <v>1185732</v>
      </c>
      <c r="C2812" s="2">
        <v>44567</v>
      </c>
      <c r="D2812" s="1" t="s">
        <v>26</v>
      </c>
      <c r="E2812" s="1" t="s">
        <v>94</v>
      </c>
      <c r="F2812" s="1" t="s">
        <v>95</v>
      </c>
      <c r="G2812" s="1" t="s">
        <v>15</v>
      </c>
      <c r="H2812" s="1">
        <v>52</v>
      </c>
      <c r="I2812" s="1" t="s">
        <v>124</v>
      </c>
      <c r="J2812" s="3">
        <v>0.20000000000000007</v>
      </c>
      <c r="K2812" s="4">
        <v>2500</v>
      </c>
      <c r="L2812" s="5">
        <f t="shared" si="22"/>
        <v>500.00000000000017</v>
      </c>
      <c r="M2812" s="5">
        <f t="shared" si="23"/>
        <v>150.00000000000006</v>
      </c>
      <c r="N2812" s="6">
        <v>0.3</v>
      </c>
    </row>
    <row r="2813" spans="1:14" ht="15.75" customHeight="1" x14ac:dyDescent="0.45">
      <c r="A2813" s="1" t="s">
        <v>119</v>
      </c>
      <c r="B2813" s="1">
        <v>1185732</v>
      </c>
      <c r="C2813" s="2">
        <v>44567</v>
      </c>
      <c r="D2813" s="1" t="s">
        <v>26</v>
      </c>
      <c r="E2813" s="1" t="s">
        <v>94</v>
      </c>
      <c r="F2813" s="1" t="s">
        <v>95</v>
      </c>
      <c r="G2813" s="1" t="s">
        <v>16</v>
      </c>
      <c r="H2813" s="1">
        <v>40</v>
      </c>
      <c r="I2813" s="1" t="s">
        <v>123</v>
      </c>
      <c r="J2813" s="3">
        <v>0.25000000000000006</v>
      </c>
      <c r="K2813" s="4">
        <v>1000</v>
      </c>
      <c r="L2813" s="5">
        <f t="shared" si="22"/>
        <v>250.00000000000006</v>
      </c>
      <c r="M2813" s="5">
        <f t="shared" si="23"/>
        <v>75.000000000000014</v>
      </c>
      <c r="N2813" s="6">
        <v>0.3</v>
      </c>
    </row>
    <row r="2814" spans="1:14" ht="15.75" customHeight="1" x14ac:dyDescent="0.45">
      <c r="A2814" s="1" t="s">
        <v>119</v>
      </c>
      <c r="B2814" s="1">
        <v>1185732</v>
      </c>
      <c r="C2814" s="2">
        <v>44567</v>
      </c>
      <c r="D2814" s="1" t="s">
        <v>26</v>
      </c>
      <c r="E2814" s="1" t="s">
        <v>94</v>
      </c>
      <c r="F2814" s="1" t="s">
        <v>95</v>
      </c>
      <c r="G2814" s="1" t="s">
        <v>17</v>
      </c>
      <c r="H2814" s="1">
        <v>42</v>
      </c>
      <c r="I2814" s="1" t="s">
        <v>124</v>
      </c>
      <c r="J2814" s="3">
        <v>0.39999999999999997</v>
      </c>
      <c r="K2814" s="4">
        <v>1500</v>
      </c>
      <c r="L2814" s="5">
        <f t="shared" si="22"/>
        <v>600</v>
      </c>
      <c r="M2814" s="5">
        <f t="shared" si="23"/>
        <v>300</v>
      </c>
      <c r="N2814" s="6">
        <v>0.5</v>
      </c>
    </row>
    <row r="2815" spans="1:14" ht="15.75" customHeight="1" x14ac:dyDescent="0.45">
      <c r="A2815" s="1" t="s">
        <v>119</v>
      </c>
      <c r="B2815" s="1">
        <v>1185732</v>
      </c>
      <c r="C2815" s="2">
        <v>44567</v>
      </c>
      <c r="D2815" s="1" t="s">
        <v>26</v>
      </c>
      <c r="E2815" s="1" t="s">
        <v>94</v>
      </c>
      <c r="F2815" s="1" t="s">
        <v>95</v>
      </c>
      <c r="G2815" s="1" t="s">
        <v>18</v>
      </c>
      <c r="H2815" s="1">
        <v>33</v>
      </c>
      <c r="I2815" s="1" t="s">
        <v>126</v>
      </c>
      <c r="J2815" s="3">
        <v>0.30000000000000004</v>
      </c>
      <c r="K2815" s="4">
        <v>2500</v>
      </c>
      <c r="L2815" s="5">
        <f t="shared" si="22"/>
        <v>750.00000000000011</v>
      </c>
      <c r="M2815" s="5">
        <f t="shared" si="23"/>
        <v>300.00000000000006</v>
      </c>
      <c r="N2815" s="6">
        <v>0.4</v>
      </c>
    </row>
    <row r="2816" spans="1:14" ht="15.75" customHeight="1" x14ac:dyDescent="0.45">
      <c r="A2816" s="1" t="s">
        <v>119</v>
      </c>
      <c r="B2816" s="1">
        <v>1185732</v>
      </c>
      <c r="C2816" s="2">
        <v>44598</v>
      </c>
      <c r="D2816" s="1" t="s">
        <v>26</v>
      </c>
      <c r="E2816" s="1" t="s">
        <v>94</v>
      </c>
      <c r="F2816" s="1" t="s">
        <v>95</v>
      </c>
      <c r="G2816" s="1" t="s">
        <v>13</v>
      </c>
      <c r="H2816" s="1">
        <v>35</v>
      </c>
      <c r="I2816" s="1" t="s">
        <v>126</v>
      </c>
      <c r="J2816" s="3">
        <v>0.30000000000000004</v>
      </c>
      <c r="K2816" s="4">
        <v>5000</v>
      </c>
      <c r="L2816" s="5">
        <f t="shared" si="22"/>
        <v>1500.0000000000002</v>
      </c>
      <c r="M2816" s="5">
        <f t="shared" si="23"/>
        <v>450.00000000000006</v>
      </c>
      <c r="N2816" s="6">
        <v>0.3</v>
      </c>
    </row>
    <row r="2817" spans="1:14" ht="15.75" customHeight="1" x14ac:dyDescent="0.45">
      <c r="A2817" s="1" t="s">
        <v>119</v>
      </c>
      <c r="B2817" s="1">
        <v>1185732</v>
      </c>
      <c r="C2817" s="2">
        <v>44598</v>
      </c>
      <c r="D2817" s="1" t="s">
        <v>26</v>
      </c>
      <c r="E2817" s="1" t="s">
        <v>94</v>
      </c>
      <c r="F2817" s="1" t="s">
        <v>95</v>
      </c>
      <c r="G2817" s="1" t="s">
        <v>14</v>
      </c>
      <c r="H2817" s="1">
        <v>50</v>
      </c>
      <c r="I2817" s="1" t="s">
        <v>126</v>
      </c>
      <c r="J2817" s="3">
        <v>0.30000000000000004</v>
      </c>
      <c r="K2817" s="4">
        <v>1500</v>
      </c>
      <c r="L2817" s="5">
        <f t="shared" si="22"/>
        <v>450.00000000000006</v>
      </c>
      <c r="M2817" s="5">
        <f t="shared" si="23"/>
        <v>157.5</v>
      </c>
      <c r="N2817" s="6">
        <v>0.35</v>
      </c>
    </row>
    <row r="2818" spans="1:14" ht="15.75" customHeight="1" x14ac:dyDescent="0.45">
      <c r="A2818" s="1" t="s">
        <v>119</v>
      </c>
      <c r="B2818" s="1">
        <v>1185732</v>
      </c>
      <c r="C2818" s="2">
        <v>44598</v>
      </c>
      <c r="D2818" s="1" t="s">
        <v>26</v>
      </c>
      <c r="E2818" s="1" t="s">
        <v>94</v>
      </c>
      <c r="F2818" s="1" t="s">
        <v>95</v>
      </c>
      <c r="G2818" s="1" t="s">
        <v>15</v>
      </c>
      <c r="H2818" s="1">
        <v>17</v>
      </c>
      <c r="I2818" s="1" t="s">
        <v>123</v>
      </c>
      <c r="J2818" s="3">
        <v>0.20000000000000007</v>
      </c>
      <c r="K2818" s="4">
        <v>2000</v>
      </c>
      <c r="L2818" s="5">
        <f t="shared" si="22"/>
        <v>400.00000000000011</v>
      </c>
      <c r="M2818" s="5">
        <f t="shared" si="23"/>
        <v>120.00000000000003</v>
      </c>
      <c r="N2818" s="6">
        <v>0.3</v>
      </c>
    </row>
    <row r="2819" spans="1:14" ht="15.75" customHeight="1" x14ac:dyDescent="0.45">
      <c r="A2819" s="1" t="s">
        <v>119</v>
      </c>
      <c r="B2819" s="1">
        <v>1185732</v>
      </c>
      <c r="C2819" s="2">
        <v>44598</v>
      </c>
      <c r="D2819" s="1" t="s">
        <v>26</v>
      </c>
      <c r="E2819" s="1" t="s">
        <v>94</v>
      </c>
      <c r="F2819" s="1" t="s">
        <v>95</v>
      </c>
      <c r="G2819" s="1" t="s">
        <v>16</v>
      </c>
      <c r="H2819" s="1">
        <v>40</v>
      </c>
      <c r="I2819" s="1" t="s">
        <v>123</v>
      </c>
      <c r="J2819" s="3">
        <v>0.25000000000000006</v>
      </c>
      <c r="K2819" s="4">
        <v>750</v>
      </c>
      <c r="L2819" s="5">
        <f t="shared" si="22"/>
        <v>187.50000000000003</v>
      </c>
      <c r="M2819" s="5">
        <f t="shared" si="23"/>
        <v>56.250000000000007</v>
      </c>
      <c r="N2819" s="6">
        <v>0.3</v>
      </c>
    </row>
    <row r="2820" spans="1:14" ht="15.75" customHeight="1" x14ac:dyDescent="0.45">
      <c r="A2820" s="1" t="s">
        <v>119</v>
      </c>
      <c r="B2820" s="1">
        <v>1185732</v>
      </c>
      <c r="C2820" s="2">
        <v>44598</v>
      </c>
      <c r="D2820" s="1" t="s">
        <v>26</v>
      </c>
      <c r="E2820" s="1" t="s">
        <v>94</v>
      </c>
      <c r="F2820" s="1" t="s">
        <v>95</v>
      </c>
      <c r="G2820" s="1" t="s">
        <v>17</v>
      </c>
      <c r="H2820" s="1">
        <v>59</v>
      </c>
      <c r="I2820" s="1" t="s">
        <v>125</v>
      </c>
      <c r="J2820" s="3">
        <v>0.39999999999999997</v>
      </c>
      <c r="K2820" s="4">
        <v>1500</v>
      </c>
      <c r="L2820" s="5">
        <f t="shared" si="22"/>
        <v>600</v>
      </c>
      <c r="M2820" s="5">
        <f t="shared" si="23"/>
        <v>300</v>
      </c>
      <c r="N2820" s="6">
        <v>0.5</v>
      </c>
    </row>
    <row r="2821" spans="1:14" ht="15.75" customHeight="1" x14ac:dyDescent="0.45">
      <c r="A2821" s="1" t="s">
        <v>119</v>
      </c>
      <c r="B2821" s="1">
        <v>1185732</v>
      </c>
      <c r="C2821" s="2">
        <v>44598</v>
      </c>
      <c r="D2821" s="1" t="s">
        <v>26</v>
      </c>
      <c r="E2821" s="1" t="s">
        <v>94</v>
      </c>
      <c r="F2821" s="1" t="s">
        <v>95</v>
      </c>
      <c r="G2821" s="1" t="s">
        <v>18</v>
      </c>
      <c r="H2821" s="1">
        <v>40</v>
      </c>
      <c r="I2821" s="1" t="s">
        <v>125</v>
      </c>
      <c r="J2821" s="3">
        <v>0.14999999999999997</v>
      </c>
      <c r="K2821" s="4">
        <v>2500</v>
      </c>
      <c r="L2821" s="5">
        <f t="shared" si="22"/>
        <v>374.99999999999994</v>
      </c>
      <c r="M2821" s="5">
        <f t="shared" si="23"/>
        <v>149.99999999999997</v>
      </c>
      <c r="N2821" s="6">
        <v>0.4</v>
      </c>
    </row>
    <row r="2822" spans="1:14" ht="15.75" customHeight="1" x14ac:dyDescent="0.45">
      <c r="A2822" s="1" t="s">
        <v>119</v>
      </c>
      <c r="B2822" s="1">
        <v>1185732</v>
      </c>
      <c r="C2822" s="2">
        <v>44625</v>
      </c>
      <c r="D2822" s="1" t="s">
        <v>26</v>
      </c>
      <c r="E2822" s="1" t="s">
        <v>94</v>
      </c>
      <c r="F2822" s="1" t="s">
        <v>95</v>
      </c>
      <c r="G2822" s="1" t="s">
        <v>13</v>
      </c>
      <c r="H2822" s="1">
        <v>36</v>
      </c>
      <c r="I2822" s="1" t="s">
        <v>123</v>
      </c>
      <c r="J2822" s="3">
        <v>0.20000000000000004</v>
      </c>
      <c r="K2822" s="4">
        <v>4700</v>
      </c>
      <c r="L2822" s="5">
        <f t="shared" si="22"/>
        <v>940.00000000000023</v>
      </c>
      <c r="M2822" s="5">
        <f t="shared" si="23"/>
        <v>282.00000000000006</v>
      </c>
      <c r="N2822" s="6">
        <v>0.3</v>
      </c>
    </row>
    <row r="2823" spans="1:14" ht="15.75" customHeight="1" x14ac:dyDescent="0.45">
      <c r="A2823" s="1" t="s">
        <v>119</v>
      </c>
      <c r="B2823" s="1">
        <v>1185732</v>
      </c>
      <c r="C2823" s="2">
        <v>44625</v>
      </c>
      <c r="D2823" s="1" t="s">
        <v>26</v>
      </c>
      <c r="E2823" s="1" t="s">
        <v>94</v>
      </c>
      <c r="F2823" s="1" t="s">
        <v>95</v>
      </c>
      <c r="G2823" s="1" t="s">
        <v>14</v>
      </c>
      <c r="H2823" s="1">
        <v>23</v>
      </c>
      <c r="I2823" s="1" t="s">
        <v>126</v>
      </c>
      <c r="J2823" s="3">
        <v>0.20000000000000004</v>
      </c>
      <c r="K2823" s="4">
        <v>1750</v>
      </c>
      <c r="L2823" s="5">
        <f t="shared" si="22"/>
        <v>350.00000000000006</v>
      </c>
      <c r="M2823" s="5">
        <f t="shared" si="23"/>
        <v>122.50000000000001</v>
      </c>
      <c r="N2823" s="6">
        <v>0.35</v>
      </c>
    </row>
    <row r="2824" spans="1:14" ht="15.75" customHeight="1" x14ac:dyDescent="0.45">
      <c r="A2824" s="1" t="s">
        <v>119</v>
      </c>
      <c r="B2824" s="1">
        <v>1185732</v>
      </c>
      <c r="C2824" s="2">
        <v>44625</v>
      </c>
      <c r="D2824" s="1" t="s">
        <v>26</v>
      </c>
      <c r="E2824" s="1" t="s">
        <v>94</v>
      </c>
      <c r="F2824" s="1" t="s">
        <v>95</v>
      </c>
      <c r="G2824" s="1" t="s">
        <v>15</v>
      </c>
      <c r="H2824" s="1">
        <v>45</v>
      </c>
      <c r="I2824" s="1" t="s">
        <v>126</v>
      </c>
      <c r="J2824" s="3">
        <v>0.10000000000000003</v>
      </c>
      <c r="K2824" s="4">
        <v>2250</v>
      </c>
      <c r="L2824" s="5">
        <f t="shared" si="22"/>
        <v>225.00000000000009</v>
      </c>
      <c r="M2824" s="5">
        <f t="shared" si="23"/>
        <v>67.500000000000028</v>
      </c>
      <c r="N2824" s="6">
        <v>0.3</v>
      </c>
    </row>
    <row r="2825" spans="1:14" ht="15.75" customHeight="1" x14ac:dyDescent="0.45">
      <c r="A2825" s="1" t="s">
        <v>119</v>
      </c>
      <c r="B2825" s="1">
        <v>1185732</v>
      </c>
      <c r="C2825" s="2">
        <v>44625</v>
      </c>
      <c r="D2825" s="1" t="s">
        <v>26</v>
      </c>
      <c r="E2825" s="1" t="s">
        <v>94</v>
      </c>
      <c r="F2825" s="1" t="s">
        <v>95</v>
      </c>
      <c r="G2825" s="1" t="s">
        <v>16</v>
      </c>
      <c r="H2825" s="1">
        <v>57</v>
      </c>
      <c r="I2825" s="1" t="s">
        <v>125</v>
      </c>
      <c r="J2825" s="3">
        <v>0.14999999999999997</v>
      </c>
      <c r="K2825" s="4">
        <v>1000</v>
      </c>
      <c r="L2825" s="5">
        <f t="shared" si="22"/>
        <v>149.99999999999997</v>
      </c>
      <c r="M2825" s="5">
        <f t="shared" si="23"/>
        <v>44.999999999999993</v>
      </c>
      <c r="N2825" s="6">
        <v>0.3</v>
      </c>
    </row>
    <row r="2826" spans="1:14" ht="15.75" customHeight="1" x14ac:dyDescent="0.45">
      <c r="A2826" s="1" t="s">
        <v>119</v>
      </c>
      <c r="B2826" s="1">
        <v>1185732</v>
      </c>
      <c r="C2826" s="2">
        <v>44625</v>
      </c>
      <c r="D2826" s="1" t="s">
        <v>26</v>
      </c>
      <c r="E2826" s="1" t="s">
        <v>94</v>
      </c>
      <c r="F2826" s="1" t="s">
        <v>95</v>
      </c>
      <c r="G2826" s="1" t="s">
        <v>17</v>
      </c>
      <c r="H2826" s="1">
        <v>51</v>
      </c>
      <c r="I2826" s="1" t="s">
        <v>125</v>
      </c>
      <c r="J2826" s="3">
        <v>0.30000000000000004</v>
      </c>
      <c r="K2826" s="4">
        <v>1500</v>
      </c>
      <c r="L2826" s="5">
        <f t="shared" si="22"/>
        <v>450.00000000000006</v>
      </c>
      <c r="M2826" s="5">
        <f t="shared" si="23"/>
        <v>225.00000000000003</v>
      </c>
      <c r="N2826" s="6">
        <v>0.5</v>
      </c>
    </row>
    <row r="2827" spans="1:14" ht="15.75" customHeight="1" x14ac:dyDescent="0.45">
      <c r="A2827" s="1" t="s">
        <v>119</v>
      </c>
      <c r="B2827" s="1">
        <v>1185732</v>
      </c>
      <c r="C2827" s="2">
        <v>44625</v>
      </c>
      <c r="D2827" s="1" t="s">
        <v>26</v>
      </c>
      <c r="E2827" s="1" t="s">
        <v>94</v>
      </c>
      <c r="F2827" s="1" t="s">
        <v>95</v>
      </c>
      <c r="G2827" s="1" t="s">
        <v>18</v>
      </c>
      <c r="H2827" s="1">
        <v>17</v>
      </c>
      <c r="I2827" s="1" t="s">
        <v>126</v>
      </c>
      <c r="J2827" s="3">
        <v>0.20000000000000004</v>
      </c>
      <c r="K2827" s="4">
        <v>2500</v>
      </c>
      <c r="L2827" s="5">
        <f t="shared" si="22"/>
        <v>500.00000000000011</v>
      </c>
      <c r="M2827" s="5">
        <f t="shared" si="23"/>
        <v>200.00000000000006</v>
      </c>
      <c r="N2827" s="6">
        <v>0.4</v>
      </c>
    </row>
    <row r="2828" spans="1:14" ht="15.75" customHeight="1" x14ac:dyDescent="0.45">
      <c r="A2828" s="1" t="s">
        <v>119</v>
      </c>
      <c r="B2828" s="1">
        <v>1185732</v>
      </c>
      <c r="C2828" s="2">
        <v>44657</v>
      </c>
      <c r="D2828" s="1" t="s">
        <v>26</v>
      </c>
      <c r="E2828" s="1" t="s">
        <v>94</v>
      </c>
      <c r="F2828" s="1" t="s">
        <v>95</v>
      </c>
      <c r="G2828" s="1" t="s">
        <v>13</v>
      </c>
      <c r="H2828" s="1">
        <v>57</v>
      </c>
      <c r="I2828" s="1" t="s">
        <v>124</v>
      </c>
      <c r="J2828" s="3">
        <v>0.20000000000000004</v>
      </c>
      <c r="K2828" s="4">
        <v>4750</v>
      </c>
      <c r="L2828" s="5">
        <f t="shared" si="22"/>
        <v>950.00000000000023</v>
      </c>
      <c r="M2828" s="5">
        <f t="shared" si="23"/>
        <v>285.00000000000006</v>
      </c>
      <c r="N2828" s="6">
        <v>0.3</v>
      </c>
    </row>
    <row r="2829" spans="1:14" ht="15.75" customHeight="1" x14ac:dyDescent="0.45">
      <c r="A2829" s="1" t="s">
        <v>119</v>
      </c>
      <c r="B2829" s="1">
        <v>1185732</v>
      </c>
      <c r="C2829" s="2">
        <v>44657</v>
      </c>
      <c r="D2829" s="1" t="s">
        <v>26</v>
      </c>
      <c r="E2829" s="1" t="s">
        <v>94</v>
      </c>
      <c r="F2829" s="1" t="s">
        <v>95</v>
      </c>
      <c r="G2829" s="1" t="s">
        <v>14</v>
      </c>
      <c r="H2829" s="1">
        <v>32</v>
      </c>
      <c r="I2829" s="1" t="s">
        <v>126</v>
      </c>
      <c r="J2829" s="3">
        <v>0.20000000000000004</v>
      </c>
      <c r="K2829" s="4">
        <v>1750</v>
      </c>
      <c r="L2829" s="5">
        <f t="shared" si="22"/>
        <v>350.00000000000006</v>
      </c>
      <c r="M2829" s="5">
        <f t="shared" si="23"/>
        <v>122.50000000000001</v>
      </c>
      <c r="N2829" s="6">
        <v>0.35</v>
      </c>
    </row>
    <row r="2830" spans="1:14" ht="15.75" customHeight="1" x14ac:dyDescent="0.45">
      <c r="A2830" s="1" t="s">
        <v>119</v>
      </c>
      <c r="B2830" s="1">
        <v>1185732</v>
      </c>
      <c r="C2830" s="2">
        <v>44657</v>
      </c>
      <c r="D2830" s="1" t="s">
        <v>26</v>
      </c>
      <c r="E2830" s="1" t="s">
        <v>94</v>
      </c>
      <c r="F2830" s="1" t="s">
        <v>95</v>
      </c>
      <c r="G2830" s="1" t="s">
        <v>15</v>
      </c>
      <c r="H2830" s="1">
        <v>60</v>
      </c>
      <c r="I2830" s="1" t="s">
        <v>125</v>
      </c>
      <c r="J2830" s="3">
        <v>0.10000000000000003</v>
      </c>
      <c r="K2830" s="4">
        <v>1750</v>
      </c>
      <c r="L2830" s="5">
        <f t="shared" si="22"/>
        <v>175.00000000000006</v>
      </c>
      <c r="M2830" s="5">
        <f t="shared" si="23"/>
        <v>52.500000000000014</v>
      </c>
      <c r="N2830" s="6">
        <v>0.3</v>
      </c>
    </row>
    <row r="2831" spans="1:14" ht="15.75" customHeight="1" x14ac:dyDescent="0.45">
      <c r="A2831" s="1" t="s">
        <v>119</v>
      </c>
      <c r="B2831" s="1">
        <v>1185732</v>
      </c>
      <c r="C2831" s="2">
        <v>44657</v>
      </c>
      <c r="D2831" s="1" t="s">
        <v>26</v>
      </c>
      <c r="E2831" s="1" t="s">
        <v>94</v>
      </c>
      <c r="F2831" s="1" t="s">
        <v>95</v>
      </c>
      <c r="G2831" s="1" t="s">
        <v>16</v>
      </c>
      <c r="H2831" s="1">
        <v>28</v>
      </c>
      <c r="I2831" s="1" t="s">
        <v>126</v>
      </c>
      <c r="J2831" s="3">
        <v>0.14999999999999997</v>
      </c>
      <c r="K2831" s="4">
        <v>1000</v>
      </c>
      <c r="L2831" s="5">
        <f t="shared" si="22"/>
        <v>149.99999999999997</v>
      </c>
      <c r="M2831" s="5">
        <f t="shared" si="23"/>
        <v>44.999999999999993</v>
      </c>
      <c r="N2831" s="6">
        <v>0.3</v>
      </c>
    </row>
    <row r="2832" spans="1:14" ht="15.75" customHeight="1" x14ac:dyDescent="0.45">
      <c r="A2832" s="1" t="s">
        <v>119</v>
      </c>
      <c r="B2832" s="1">
        <v>1185732</v>
      </c>
      <c r="C2832" s="2">
        <v>44657</v>
      </c>
      <c r="D2832" s="1" t="s">
        <v>26</v>
      </c>
      <c r="E2832" s="1" t="s">
        <v>94</v>
      </c>
      <c r="F2832" s="1" t="s">
        <v>95</v>
      </c>
      <c r="G2832" s="1" t="s">
        <v>17</v>
      </c>
      <c r="H2832" s="1">
        <v>34</v>
      </c>
      <c r="I2832" s="1" t="s">
        <v>123</v>
      </c>
      <c r="J2832" s="3">
        <v>0.6</v>
      </c>
      <c r="K2832" s="4">
        <v>1250</v>
      </c>
      <c r="L2832" s="5">
        <f t="shared" si="22"/>
        <v>750</v>
      </c>
      <c r="M2832" s="5">
        <f t="shared" si="23"/>
        <v>375</v>
      </c>
      <c r="N2832" s="6">
        <v>0.5</v>
      </c>
    </row>
    <row r="2833" spans="1:14" ht="15.75" customHeight="1" x14ac:dyDescent="0.45">
      <c r="A2833" s="1" t="s">
        <v>119</v>
      </c>
      <c r="B2833" s="1">
        <v>1185732</v>
      </c>
      <c r="C2833" s="2">
        <v>44657</v>
      </c>
      <c r="D2833" s="1" t="s">
        <v>26</v>
      </c>
      <c r="E2833" s="1" t="s">
        <v>94</v>
      </c>
      <c r="F2833" s="1" t="s">
        <v>95</v>
      </c>
      <c r="G2833" s="1" t="s">
        <v>18</v>
      </c>
      <c r="H2833" s="1">
        <v>38</v>
      </c>
      <c r="I2833" s="1" t="s">
        <v>123</v>
      </c>
      <c r="J2833" s="3">
        <v>0.5</v>
      </c>
      <c r="K2833" s="4">
        <v>2500</v>
      </c>
      <c r="L2833" s="5">
        <f t="shared" si="22"/>
        <v>1250</v>
      </c>
      <c r="M2833" s="5">
        <f t="shared" si="23"/>
        <v>500</v>
      </c>
      <c r="N2833" s="6">
        <v>0.4</v>
      </c>
    </row>
    <row r="2834" spans="1:14" ht="15.75" customHeight="1" x14ac:dyDescent="0.45">
      <c r="A2834" s="1" t="s">
        <v>119</v>
      </c>
      <c r="B2834" s="1">
        <v>1185732</v>
      </c>
      <c r="C2834" s="2">
        <v>44688</v>
      </c>
      <c r="D2834" s="1" t="s">
        <v>26</v>
      </c>
      <c r="E2834" s="1" t="s">
        <v>94</v>
      </c>
      <c r="F2834" s="1" t="s">
        <v>95</v>
      </c>
      <c r="G2834" s="1" t="s">
        <v>13</v>
      </c>
      <c r="H2834" s="1">
        <v>39</v>
      </c>
      <c r="I2834" s="1" t="s">
        <v>123</v>
      </c>
      <c r="J2834" s="3">
        <v>0.6</v>
      </c>
      <c r="K2834" s="4">
        <v>5200</v>
      </c>
      <c r="L2834" s="5">
        <f t="shared" si="22"/>
        <v>3120</v>
      </c>
      <c r="M2834" s="5">
        <f t="shared" si="23"/>
        <v>936</v>
      </c>
      <c r="N2834" s="6">
        <v>0.3</v>
      </c>
    </row>
    <row r="2835" spans="1:14" ht="15.75" customHeight="1" x14ac:dyDescent="0.45">
      <c r="A2835" s="1" t="s">
        <v>119</v>
      </c>
      <c r="B2835" s="1">
        <v>1185732</v>
      </c>
      <c r="C2835" s="2">
        <v>44688</v>
      </c>
      <c r="D2835" s="1" t="s">
        <v>26</v>
      </c>
      <c r="E2835" s="1" t="s">
        <v>94</v>
      </c>
      <c r="F2835" s="1" t="s">
        <v>95</v>
      </c>
      <c r="G2835" s="1" t="s">
        <v>14</v>
      </c>
      <c r="H2835" s="1">
        <v>20</v>
      </c>
      <c r="I2835" s="1" t="s">
        <v>124</v>
      </c>
      <c r="J2835" s="3">
        <v>0.4</v>
      </c>
      <c r="K2835" s="4">
        <v>2250</v>
      </c>
      <c r="L2835" s="5">
        <f t="shared" si="22"/>
        <v>900</v>
      </c>
      <c r="M2835" s="5">
        <f t="shared" si="23"/>
        <v>315</v>
      </c>
      <c r="N2835" s="6">
        <v>0.35</v>
      </c>
    </row>
    <row r="2836" spans="1:14" ht="15.75" customHeight="1" x14ac:dyDescent="0.45">
      <c r="A2836" s="1" t="s">
        <v>119</v>
      </c>
      <c r="B2836" s="1">
        <v>1185732</v>
      </c>
      <c r="C2836" s="2">
        <v>44688</v>
      </c>
      <c r="D2836" s="1" t="s">
        <v>26</v>
      </c>
      <c r="E2836" s="1" t="s">
        <v>94</v>
      </c>
      <c r="F2836" s="1" t="s">
        <v>95</v>
      </c>
      <c r="G2836" s="1" t="s">
        <v>15</v>
      </c>
      <c r="H2836" s="1">
        <v>26</v>
      </c>
      <c r="I2836" s="1" t="s">
        <v>125</v>
      </c>
      <c r="J2836" s="3">
        <v>0.35000000000000003</v>
      </c>
      <c r="K2836" s="4">
        <v>2000</v>
      </c>
      <c r="L2836" s="5">
        <f t="shared" si="22"/>
        <v>700.00000000000011</v>
      </c>
      <c r="M2836" s="5">
        <f t="shared" si="23"/>
        <v>210.00000000000003</v>
      </c>
      <c r="N2836" s="6">
        <v>0.3</v>
      </c>
    </row>
    <row r="2837" spans="1:14" ht="15.75" customHeight="1" x14ac:dyDescent="0.45">
      <c r="A2837" s="1" t="s">
        <v>119</v>
      </c>
      <c r="B2837" s="1">
        <v>1185732</v>
      </c>
      <c r="C2837" s="2">
        <v>44688</v>
      </c>
      <c r="D2837" s="1" t="s">
        <v>26</v>
      </c>
      <c r="E2837" s="1" t="s">
        <v>94</v>
      </c>
      <c r="F2837" s="1" t="s">
        <v>95</v>
      </c>
      <c r="G2837" s="1" t="s">
        <v>16</v>
      </c>
      <c r="H2837" s="1">
        <v>49</v>
      </c>
      <c r="I2837" s="1" t="s">
        <v>125</v>
      </c>
      <c r="J2837" s="3">
        <v>0.35000000000000003</v>
      </c>
      <c r="K2837" s="4">
        <v>1250</v>
      </c>
      <c r="L2837" s="5">
        <f t="shared" si="22"/>
        <v>437.50000000000006</v>
      </c>
      <c r="M2837" s="5">
        <f t="shared" si="23"/>
        <v>131.25</v>
      </c>
      <c r="N2837" s="6">
        <v>0.3</v>
      </c>
    </row>
    <row r="2838" spans="1:14" ht="15.75" customHeight="1" x14ac:dyDescent="0.45">
      <c r="A2838" s="1" t="s">
        <v>119</v>
      </c>
      <c r="B2838" s="1">
        <v>1185732</v>
      </c>
      <c r="C2838" s="2">
        <v>44688</v>
      </c>
      <c r="D2838" s="1" t="s">
        <v>26</v>
      </c>
      <c r="E2838" s="1" t="s">
        <v>94</v>
      </c>
      <c r="F2838" s="1" t="s">
        <v>95</v>
      </c>
      <c r="G2838" s="1" t="s">
        <v>17</v>
      </c>
      <c r="H2838" s="1">
        <v>23</v>
      </c>
      <c r="I2838" s="1" t="s">
        <v>126</v>
      </c>
      <c r="J2838" s="3">
        <v>0.44999999999999996</v>
      </c>
      <c r="K2838" s="4">
        <v>1500</v>
      </c>
      <c r="L2838" s="5">
        <f t="shared" si="22"/>
        <v>674.99999999999989</v>
      </c>
      <c r="M2838" s="5">
        <f t="shared" si="23"/>
        <v>337.49999999999994</v>
      </c>
      <c r="N2838" s="6">
        <v>0.5</v>
      </c>
    </row>
    <row r="2839" spans="1:14" ht="15.75" customHeight="1" x14ac:dyDescent="0.45">
      <c r="A2839" s="1" t="s">
        <v>119</v>
      </c>
      <c r="B2839" s="1">
        <v>1185732</v>
      </c>
      <c r="C2839" s="2">
        <v>44688</v>
      </c>
      <c r="D2839" s="1" t="s">
        <v>26</v>
      </c>
      <c r="E2839" s="1" t="s">
        <v>94</v>
      </c>
      <c r="F2839" s="1" t="s">
        <v>95</v>
      </c>
      <c r="G2839" s="1" t="s">
        <v>18</v>
      </c>
      <c r="H2839" s="1">
        <v>59</v>
      </c>
      <c r="I2839" s="1" t="s">
        <v>126</v>
      </c>
      <c r="J2839" s="3">
        <v>0.49999999999999994</v>
      </c>
      <c r="K2839" s="4">
        <v>2750</v>
      </c>
      <c r="L2839" s="5">
        <f t="shared" si="22"/>
        <v>1374.9999999999998</v>
      </c>
      <c r="M2839" s="5">
        <f t="shared" si="23"/>
        <v>549.99999999999989</v>
      </c>
      <c r="N2839" s="6">
        <v>0.4</v>
      </c>
    </row>
    <row r="2840" spans="1:14" ht="15.75" customHeight="1" x14ac:dyDescent="0.45">
      <c r="A2840" s="1" t="s">
        <v>119</v>
      </c>
      <c r="B2840" s="1">
        <v>1185732</v>
      </c>
      <c r="C2840" s="2">
        <v>44718</v>
      </c>
      <c r="D2840" s="1" t="s">
        <v>26</v>
      </c>
      <c r="E2840" s="1" t="s">
        <v>94</v>
      </c>
      <c r="F2840" s="1" t="s">
        <v>95</v>
      </c>
      <c r="G2840" s="1" t="s">
        <v>13</v>
      </c>
      <c r="H2840" s="1">
        <v>24</v>
      </c>
      <c r="I2840" s="1" t="s">
        <v>126</v>
      </c>
      <c r="J2840" s="3">
        <v>0.35000000000000003</v>
      </c>
      <c r="K2840" s="4">
        <v>5250</v>
      </c>
      <c r="L2840" s="5">
        <f t="shared" si="22"/>
        <v>1837.5000000000002</v>
      </c>
      <c r="M2840" s="5">
        <f t="shared" si="23"/>
        <v>551.25</v>
      </c>
      <c r="N2840" s="6">
        <v>0.3</v>
      </c>
    </row>
    <row r="2841" spans="1:14" ht="15.75" customHeight="1" x14ac:dyDescent="0.45">
      <c r="A2841" s="1" t="s">
        <v>119</v>
      </c>
      <c r="B2841" s="1">
        <v>1185732</v>
      </c>
      <c r="C2841" s="2">
        <v>44718</v>
      </c>
      <c r="D2841" s="1" t="s">
        <v>26</v>
      </c>
      <c r="E2841" s="1" t="s">
        <v>94</v>
      </c>
      <c r="F2841" s="1" t="s">
        <v>95</v>
      </c>
      <c r="G2841" s="1" t="s">
        <v>14</v>
      </c>
      <c r="H2841" s="1">
        <v>47</v>
      </c>
      <c r="I2841" s="1" t="s">
        <v>125</v>
      </c>
      <c r="J2841" s="3">
        <v>0.3000000000000001</v>
      </c>
      <c r="K2841" s="4">
        <v>2750</v>
      </c>
      <c r="L2841" s="5">
        <f t="shared" si="22"/>
        <v>825.00000000000023</v>
      </c>
      <c r="M2841" s="5">
        <f t="shared" si="23"/>
        <v>288.75000000000006</v>
      </c>
      <c r="N2841" s="6">
        <v>0.35</v>
      </c>
    </row>
    <row r="2842" spans="1:14" ht="15.75" customHeight="1" x14ac:dyDescent="0.45">
      <c r="A2842" s="1" t="s">
        <v>119</v>
      </c>
      <c r="B2842" s="1">
        <v>1185732</v>
      </c>
      <c r="C2842" s="2">
        <v>44718</v>
      </c>
      <c r="D2842" s="1" t="s">
        <v>26</v>
      </c>
      <c r="E2842" s="1" t="s">
        <v>94</v>
      </c>
      <c r="F2842" s="1" t="s">
        <v>95</v>
      </c>
      <c r="G2842" s="1" t="s">
        <v>15</v>
      </c>
      <c r="H2842" s="1">
        <v>56</v>
      </c>
      <c r="I2842" s="1" t="s">
        <v>126</v>
      </c>
      <c r="J2842" s="3">
        <v>0.25000000000000006</v>
      </c>
      <c r="K2842" s="4">
        <v>2000</v>
      </c>
      <c r="L2842" s="5">
        <f t="shared" si="22"/>
        <v>500.00000000000011</v>
      </c>
      <c r="M2842" s="5">
        <f t="shared" si="23"/>
        <v>150.00000000000003</v>
      </c>
      <c r="N2842" s="6">
        <v>0.3</v>
      </c>
    </row>
    <row r="2843" spans="1:14" ht="15.75" customHeight="1" x14ac:dyDescent="0.45">
      <c r="A2843" s="1" t="s">
        <v>119</v>
      </c>
      <c r="B2843" s="1">
        <v>1185732</v>
      </c>
      <c r="C2843" s="2">
        <v>44718</v>
      </c>
      <c r="D2843" s="1" t="s">
        <v>26</v>
      </c>
      <c r="E2843" s="1" t="s">
        <v>94</v>
      </c>
      <c r="F2843" s="1" t="s">
        <v>95</v>
      </c>
      <c r="G2843" s="1" t="s">
        <v>16</v>
      </c>
      <c r="H2843" s="1">
        <v>36</v>
      </c>
      <c r="I2843" s="1" t="s">
        <v>125</v>
      </c>
      <c r="J2843" s="3">
        <v>0.25000000000000006</v>
      </c>
      <c r="K2843" s="4">
        <v>1750</v>
      </c>
      <c r="L2843" s="5">
        <f t="shared" si="22"/>
        <v>437.50000000000011</v>
      </c>
      <c r="M2843" s="5">
        <f t="shared" si="23"/>
        <v>131.25000000000003</v>
      </c>
      <c r="N2843" s="6">
        <v>0.3</v>
      </c>
    </row>
    <row r="2844" spans="1:14" ht="15.75" customHeight="1" x14ac:dyDescent="0.45">
      <c r="A2844" s="1" t="s">
        <v>119</v>
      </c>
      <c r="B2844" s="1">
        <v>1185732</v>
      </c>
      <c r="C2844" s="2">
        <v>44718</v>
      </c>
      <c r="D2844" s="1" t="s">
        <v>26</v>
      </c>
      <c r="E2844" s="1" t="s">
        <v>94</v>
      </c>
      <c r="F2844" s="1" t="s">
        <v>95</v>
      </c>
      <c r="G2844" s="1" t="s">
        <v>17</v>
      </c>
      <c r="H2844" s="1">
        <v>38</v>
      </c>
      <c r="I2844" s="1" t="s">
        <v>126</v>
      </c>
      <c r="J2844" s="3">
        <v>0.35000000000000003</v>
      </c>
      <c r="K2844" s="4">
        <v>1750</v>
      </c>
      <c r="L2844" s="5">
        <f t="shared" si="22"/>
        <v>612.50000000000011</v>
      </c>
      <c r="M2844" s="5">
        <f t="shared" si="23"/>
        <v>306.25000000000006</v>
      </c>
      <c r="N2844" s="6">
        <v>0.5</v>
      </c>
    </row>
    <row r="2845" spans="1:14" ht="15.75" customHeight="1" x14ac:dyDescent="0.45">
      <c r="A2845" s="1" t="s">
        <v>119</v>
      </c>
      <c r="B2845" s="1">
        <v>1185732</v>
      </c>
      <c r="C2845" s="2">
        <v>44718</v>
      </c>
      <c r="D2845" s="1" t="s">
        <v>26</v>
      </c>
      <c r="E2845" s="1" t="s">
        <v>94</v>
      </c>
      <c r="F2845" s="1" t="s">
        <v>95</v>
      </c>
      <c r="G2845" s="1" t="s">
        <v>18</v>
      </c>
      <c r="H2845" s="1">
        <v>31</v>
      </c>
      <c r="I2845" s="1" t="s">
        <v>125</v>
      </c>
      <c r="J2845" s="3">
        <v>0.55000000000000004</v>
      </c>
      <c r="K2845" s="4">
        <v>3250</v>
      </c>
      <c r="L2845" s="5">
        <f t="shared" si="22"/>
        <v>1787.5000000000002</v>
      </c>
      <c r="M2845" s="5">
        <f t="shared" si="23"/>
        <v>715.00000000000011</v>
      </c>
      <c r="N2845" s="6">
        <v>0.4</v>
      </c>
    </row>
    <row r="2846" spans="1:14" ht="15.75" customHeight="1" x14ac:dyDescent="0.45">
      <c r="A2846" s="1" t="s">
        <v>119</v>
      </c>
      <c r="B2846" s="1">
        <v>1185732</v>
      </c>
      <c r="C2846" s="2">
        <v>44747</v>
      </c>
      <c r="D2846" s="1" t="s">
        <v>26</v>
      </c>
      <c r="E2846" s="1" t="s">
        <v>94</v>
      </c>
      <c r="F2846" s="1" t="s">
        <v>95</v>
      </c>
      <c r="G2846" s="1" t="s">
        <v>13</v>
      </c>
      <c r="H2846" s="1">
        <v>26</v>
      </c>
      <c r="I2846" s="1" t="s">
        <v>123</v>
      </c>
      <c r="J2846" s="3">
        <v>0.5</v>
      </c>
      <c r="K2846" s="4">
        <v>5500</v>
      </c>
      <c r="L2846" s="5">
        <f t="shared" si="22"/>
        <v>2750</v>
      </c>
      <c r="M2846" s="5">
        <f t="shared" si="23"/>
        <v>825</v>
      </c>
      <c r="N2846" s="6">
        <v>0.3</v>
      </c>
    </row>
    <row r="2847" spans="1:14" ht="15.75" customHeight="1" x14ac:dyDescent="0.45">
      <c r="A2847" s="1" t="s">
        <v>119</v>
      </c>
      <c r="B2847" s="1">
        <v>1185732</v>
      </c>
      <c r="C2847" s="2">
        <v>44747</v>
      </c>
      <c r="D2847" s="1" t="s">
        <v>26</v>
      </c>
      <c r="E2847" s="1" t="s">
        <v>94</v>
      </c>
      <c r="F2847" s="1" t="s">
        <v>95</v>
      </c>
      <c r="G2847" s="1" t="s">
        <v>14</v>
      </c>
      <c r="H2847" s="1">
        <v>28</v>
      </c>
      <c r="I2847" s="1" t="s">
        <v>125</v>
      </c>
      <c r="J2847" s="3">
        <v>0.45000000000000007</v>
      </c>
      <c r="K2847" s="4">
        <v>3000</v>
      </c>
      <c r="L2847" s="5">
        <f t="shared" si="22"/>
        <v>1350.0000000000002</v>
      </c>
      <c r="M2847" s="5">
        <f t="shared" si="23"/>
        <v>472.50000000000006</v>
      </c>
      <c r="N2847" s="6">
        <v>0.35</v>
      </c>
    </row>
    <row r="2848" spans="1:14" ht="15.75" customHeight="1" x14ac:dyDescent="0.45">
      <c r="A2848" s="1" t="s">
        <v>119</v>
      </c>
      <c r="B2848" s="1">
        <v>1185732</v>
      </c>
      <c r="C2848" s="2">
        <v>44747</v>
      </c>
      <c r="D2848" s="1" t="s">
        <v>26</v>
      </c>
      <c r="E2848" s="1" t="s">
        <v>94</v>
      </c>
      <c r="F2848" s="1" t="s">
        <v>95</v>
      </c>
      <c r="G2848" s="1" t="s">
        <v>15</v>
      </c>
      <c r="H2848" s="1">
        <v>44</v>
      </c>
      <c r="I2848" s="1" t="s">
        <v>126</v>
      </c>
      <c r="J2848" s="3">
        <v>0.4</v>
      </c>
      <c r="K2848" s="4">
        <v>2250</v>
      </c>
      <c r="L2848" s="5">
        <f t="shared" si="22"/>
        <v>900</v>
      </c>
      <c r="M2848" s="5">
        <f t="shared" si="23"/>
        <v>270</v>
      </c>
      <c r="N2848" s="6">
        <v>0.3</v>
      </c>
    </row>
    <row r="2849" spans="1:14" ht="15.75" customHeight="1" x14ac:dyDescent="0.45">
      <c r="A2849" s="1" t="s">
        <v>119</v>
      </c>
      <c r="B2849" s="1">
        <v>1185732</v>
      </c>
      <c r="C2849" s="2">
        <v>44747</v>
      </c>
      <c r="D2849" s="1" t="s">
        <v>26</v>
      </c>
      <c r="E2849" s="1" t="s">
        <v>94</v>
      </c>
      <c r="F2849" s="1" t="s">
        <v>95</v>
      </c>
      <c r="G2849" s="1" t="s">
        <v>16</v>
      </c>
      <c r="H2849" s="1">
        <v>28</v>
      </c>
      <c r="I2849" s="1" t="s">
        <v>124</v>
      </c>
      <c r="J2849" s="3">
        <v>0.4</v>
      </c>
      <c r="K2849" s="4">
        <v>1750</v>
      </c>
      <c r="L2849" s="5">
        <f t="shared" si="22"/>
        <v>700</v>
      </c>
      <c r="M2849" s="5">
        <f t="shared" si="23"/>
        <v>210</v>
      </c>
      <c r="N2849" s="6">
        <v>0.3</v>
      </c>
    </row>
    <row r="2850" spans="1:14" ht="15.75" customHeight="1" x14ac:dyDescent="0.45">
      <c r="A2850" s="1" t="s">
        <v>119</v>
      </c>
      <c r="B2850" s="1">
        <v>1185732</v>
      </c>
      <c r="C2850" s="2">
        <v>44747</v>
      </c>
      <c r="D2850" s="1" t="s">
        <v>26</v>
      </c>
      <c r="E2850" s="1" t="s">
        <v>94</v>
      </c>
      <c r="F2850" s="1" t="s">
        <v>95</v>
      </c>
      <c r="G2850" s="1" t="s">
        <v>17</v>
      </c>
      <c r="H2850" s="1">
        <v>28</v>
      </c>
      <c r="I2850" s="1" t="s">
        <v>126</v>
      </c>
      <c r="J2850" s="3">
        <v>0.5</v>
      </c>
      <c r="K2850" s="4">
        <v>2000</v>
      </c>
      <c r="L2850" s="5">
        <f t="shared" si="22"/>
        <v>1000</v>
      </c>
      <c r="M2850" s="5">
        <f t="shared" si="23"/>
        <v>500</v>
      </c>
      <c r="N2850" s="6">
        <v>0.5</v>
      </c>
    </row>
    <row r="2851" spans="1:14" ht="15.75" customHeight="1" x14ac:dyDescent="0.45">
      <c r="A2851" s="1" t="s">
        <v>119</v>
      </c>
      <c r="B2851" s="1">
        <v>1185732</v>
      </c>
      <c r="C2851" s="2">
        <v>44747</v>
      </c>
      <c r="D2851" s="1" t="s">
        <v>26</v>
      </c>
      <c r="E2851" s="1" t="s">
        <v>94</v>
      </c>
      <c r="F2851" s="1" t="s">
        <v>95</v>
      </c>
      <c r="G2851" s="1" t="s">
        <v>18</v>
      </c>
      <c r="H2851" s="1">
        <v>22</v>
      </c>
      <c r="I2851" s="1" t="s">
        <v>124</v>
      </c>
      <c r="J2851" s="3">
        <v>0.55000000000000004</v>
      </c>
      <c r="K2851" s="4">
        <v>3750</v>
      </c>
      <c r="L2851" s="5">
        <f t="shared" si="22"/>
        <v>2062.5</v>
      </c>
      <c r="M2851" s="5">
        <f t="shared" si="23"/>
        <v>825</v>
      </c>
      <c r="N2851" s="6">
        <v>0.4</v>
      </c>
    </row>
    <row r="2852" spans="1:14" ht="15.75" customHeight="1" x14ac:dyDescent="0.45">
      <c r="A2852" s="1" t="s">
        <v>119</v>
      </c>
      <c r="B2852" s="1">
        <v>1185732</v>
      </c>
      <c r="C2852" s="2">
        <v>44779</v>
      </c>
      <c r="D2852" s="1" t="s">
        <v>26</v>
      </c>
      <c r="E2852" s="1" t="s">
        <v>94</v>
      </c>
      <c r="F2852" s="1" t="s">
        <v>95</v>
      </c>
      <c r="G2852" s="1" t="s">
        <v>13</v>
      </c>
      <c r="H2852" s="1">
        <v>57</v>
      </c>
      <c r="I2852" s="1" t="s">
        <v>124</v>
      </c>
      <c r="J2852" s="3">
        <v>0.5</v>
      </c>
      <c r="K2852" s="4">
        <v>5250</v>
      </c>
      <c r="L2852" s="5">
        <f t="shared" si="22"/>
        <v>2625</v>
      </c>
      <c r="M2852" s="5">
        <f t="shared" si="23"/>
        <v>787.5</v>
      </c>
      <c r="N2852" s="6">
        <v>0.3</v>
      </c>
    </row>
    <row r="2853" spans="1:14" ht="15.75" customHeight="1" x14ac:dyDescent="0.45">
      <c r="A2853" s="1" t="s">
        <v>119</v>
      </c>
      <c r="B2853" s="1">
        <v>1185732</v>
      </c>
      <c r="C2853" s="2">
        <v>44779</v>
      </c>
      <c r="D2853" s="1" t="s">
        <v>26</v>
      </c>
      <c r="E2853" s="1" t="s">
        <v>94</v>
      </c>
      <c r="F2853" s="1" t="s">
        <v>95</v>
      </c>
      <c r="G2853" s="1" t="s">
        <v>14</v>
      </c>
      <c r="H2853" s="1">
        <v>20</v>
      </c>
      <c r="I2853" s="1" t="s">
        <v>126</v>
      </c>
      <c r="J2853" s="3">
        <v>0.45000000000000007</v>
      </c>
      <c r="K2853" s="4">
        <v>3000</v>
      </c>
      <c r="L2853" s="5">
        <f t="shared" si="22"/>
        <v>1350.0000000000002</v>
      </c>
      <c r="M2853" s="5">
        <f t="shared" si="23"/>
        <v>472.50000000000006</v>
      </c>
      <c r="N2853" s="6">
        <v>0.35</v>
      </c>
    </row>
    <row r="2854" spans="1:14" ht="15.75" customHeight="1" x14ac:dyDescent="0.45">
      <c r="A2854" s="1" t="s">
        <v>119</v>
      </c>
      <c r="B2854" s="1">
        <v>1185732</v>
      </c>
      <c r="C2854" s="2">
        <v>44779</v>
      </c>
      <c r="D2854" s="1" t="s">
        <v>26</v>
      </c>
      <c r="E2854" s="1" t="s">
        <v>94</v>
      </c>
      <c r="F2854" s="1" t="s">
        <v>95</v>
      </c>
      <c r="G2854" s="1" t="s">
        <v>15</v>
      </c>
      <c r="H2854" s="1">
        <v>31</v>
      </c>
      <c r="I2854" s="1" t="s">
        <v>126</v>
      </c>
      <c r="J2854" s="3">
        <v>0.4</v>
      </c>
      <c r="K2854" s="4">
        <v>2250</v>
      </c>
      <c r="L2854" s="5">
        <f t="shared" si="22"/>
        <v>900</v>
      </c>
      <c r="M2854" s="5">
        <f t="shared" si="23"/>
        <v>270</v>
      </c>
      <c r="N2854" s="6">
        <v>0.3</v>
      </c>
    </row>
    <row r="2855" spans="1:14" ht="15.75" customHeight="1" x14ac:dyDescent="0.45">
      <c r="A2855" s="1" t="s">
        <v>119</v>
      </c>
      <c r="B2855" s="1">
        <v>1185732</v>
      </c>
      <c r="C2855" s="2">
        <v>44779</v>
      </c>
      <c r="D2855" s="1" t="s">
        <v>26</v>
      </c>
      <c r="E2855" s="1" t="s">
        <v>94</v>
      </c>
      <c r="F2855" s="1" t="s">
        <v>95</v>
      </c>
      <c r="G2855" s="1" t="s">
        <v>16</v>
      </c>
      <c r="H2855" s="1">
        <v>54</v>
      </c>
      <c r="I2855" s="1" t="s">
        <v>124</v>
      </c>
      <c r="J2855" s="3">
        <v>0.4</v>
      </c>
      <c r="K2855" s="4">
        <v>2000</v>
      </c>
      <c r="L2855" s="5">
        <f t="shared" si="22"/>
        <v>800</v>
      </c>
      <c r="M2855" s="5">
        <f t="shared" si="23"/>
        <v>240</v>
      </c>
      <c r="N2855" s="6">
        <v>0.3</v>
      </c>
    </row>
    <row r="2856" spans="1:14" ht="15.75" customHeight="1" x14ac:dyDescent="0.45">
      <c r="A2856" s="1" t="s">
        <v>119</v>
      </c>
      <c r="B2856" s="1">
        <v>1185732</v>
      </c>
      <c r="C2856" s="2">
        <v>44779</v>
      </c>
      <c r="D2856" s="1" t="s">
        <v>26</v>
      </c>
      <c r="E2856" s="1" t="s">
        <v>94</v>
      </c>
      <c r="F2856" s="1" t="s">
        <v>95</v>
      </c>
      <c r="G2856" s="1" t="s">
        <v>17</v>
      </c>
      <c r="H2856" s="1">
        <v>20</v>
      </c>
      <c r="I2856" s="1" t="s">
        <v>125</v>
      </c>
      <c r="J2856" s="3">
        <v>0.5</v>
      </c>
      <c r="K2856" s="4">
        <v>1750</v>
      </c>
      <c r="L2856" s="5">
        <f t="shared" si="22"/>
        <v>875</v>
      </c>
      <c r="M2856" s="5">
        <f t="shared" si="23"/>
        <v>437.5</v>
      </c>
      <c r="N2856" s="6">
        <v>0.5</v>
      </c>
    </row>
    <row r="2857" spans="1:14" ht="15.75" customHeight="1" x14ac:dyDescent="0.45">
      <c r="A2857" s="1" t="s">
        <v>119</v>
      </c>
      <c r="B2857" s="1">
        <v>1185732</v>
      </c>
      <c r="C2857" s="2">
        <v>44779</v>
      </c>
      <c r="D2857" s="1" t="s">
        <v>26</v>
      </c>
      <c r="E2857" s="1" t="s">
        <v>94</v>
      </c>
      <c r="F2857" s="1" t="s">
        <v>95</v>
      </c>
      <c r="G2857" s="1" t="s">
        <v>18</v>
      </c>
      <c r="H2857" s="1">
        <v>32</v>
      </c>
      <c r="I2857" s="1" t="s">
        <v>124</v>
      </c>
      <c r="J2857" s="3">
        <v>0.55000000000000004</v>
      </c>
      <c r="K2857" s="4">
        <v>3500</v>
      </c>
      <c r="L2857" s="5">
        <f t="shared" si="22"/>
        <v>1925.0000000000002</v>
      </c>
      <c r="M2857" s="5">
        <f t="shared" si="23"/>
        <v>770.00000000000011</v>
      </c>
      <c r="N2857" s="6">
        <v>0.4</v>
      </c>
    </row>
    <row r="2858" spans="1:14" ht="15.75" customHeight="1" x14ac:dyDescent="0.45">
      <c r="A2858" s="1" t="s">
        <v>119</v>
      </c>
      <c r="B2858" s="1">
        <v>1185732</v>
      </c>
      <c r="C2858" s="2">
        <v>44811</v>
      </c>
      <c r="D2858" s="1" t="s">
        <v>26</v>
      </c>
      <c r="E2858" s="1" t="s">
        <v>94</v>
      </c>
      <c r="F2858" s="1" t="s">
        <v>95</v>
      </c>
      <c r="G2858" s="1" t="s">
        <v>13</v>
      </c>
      <c r="H2858" s="1">
        <v>36</v>
      </c>
      <c r="I2858" s="1" t="s">
        <v>124</v>
      </c>
      <c r="J2858" s="3">
        <v>0.35000000000000003</v>
      </c>
      <c r="K2858" s="4">
        <v>4750</v>
      </c>
      <c r="L2858" s="5">
        <f t="shared" si="22"/>
        <v>1662.5000000000002</v>
      </c>
      <c r="M2858" s="5">
        <f t="shared" si="23"/>
        <v>498.75000000000006</v>
      </c>
      <c r="N2858" s="6">
        <v>0.3</v>
      </c>
    </row>
    <row r="2859" spans="1:14" ht="15.75" customHeight="1" x14ac:dyDescent="0.45">
      <c r="A2859" s="1" t="s">
        <v>119</v>
      </c>
      <c r="B2859" s="1">
        <v>1185732</v>
      </c>
      <c r="C2859" s="2">
        <v>44811</v>
      </c>
      <c r="D2859" s="1" t="s">
        <v>26</v>
      </c>
      <c r="E2859" s="1" t="s">
        <v>94</v>
      </c>
      <c r="F2859" s="1" t="s">
        <v>95</v>
      </c>
      <c r="G2859" s="1" t="s">
        <v>14</v>
      </c>
      <c r="H2859" s="1">
        <v>32</v>
      </c>
      <c r="I2859" s="1" t="s">
        <v>124</v>
      </c>
      <c r="J2859" s="3">
        <v>0.3000000000000001</v>
      </c>
      <c r="K2859" s="4">
        <v>2750</v>
      </c>
      <c r="L2859" s="5">
        <f t="shared" si="22"/>
        <v>825.00000000000023</v>
      </c>
      <c r="M2859" s="5">
        <f t="shared" si="23"/>
        <v>288.75000000000006</v>
      </c>
      <c r="N2859" s="6">
        <v>0.35</v>
      </c>
    </row>
    <row r="2860" spans="1:14" ht="15.75" customHeight="1" x14ac:dyDescent="0.45">
      <c r="A2860" s="1" t="s">
        <v>119</v>
      </c>
      <c r="B2860" s="1">
        <v>1185732</v>
      </c>
      <c r="C2860" s="2">
        <v>44811</v>
      </c>
      <c r="D2860" s="1" t="s">
        <v>26</v>
      </c>
      <c r="E2860" s="1" t="s">
        <v>94</v>
      </c>
      <c r="F2860" s="1" t="s">
        <v>95</v>
      </c>
      <c r="G2860" s="1" t="s">
        <v>15</v>
      </c>
      <c r="H2860" s="1">
        <v>56</v>
      </c>
      <c r="I2860" s="1" t="s">
        <v>125</v>
      </c>
      <c r="J2860" s="3">
        <v>0.25000000000000006</v>
      </c>
      <c r="K2860" s="4">
        <v>1750</v>
      </c>
      <c r="L2860" s="5">
        <f t="shared" si="22"/>
        <v>437.50000000000011</v>
      </c>
      <c r="M2860" s="5">
        <f t="shared" si="23"/>
        <v>131.25000000000003</v>
      </c>
      <c r="N2860" s="6">
        <v>0.3</v>
      </c>
    </row>
    <row r="2861" spans="1:14" ht="15.75" customHeight="1" x14ac:dyDescent="0.45">
      <c r="A2861" s="1" t="s">
        <v>119</v>
      </c>
      <c r="B2861" s="1">
        <v>1185732</v>
      </c>
      <c r="C2861" s="2">
        <v>44811</v>
      </c>
      <c r="D2861" s="1" t="s">
        <v>26</v>
      </c>
      <c r="E2861" s="1" t="s">
        <v>94</v>
      </c>
      <c r="F2861" s="1" t="s">
        <v>95</v>
      </c>
      <c r="G2861" s="1" t="s">
        <v>16</v>
      </c>
      <c r="H2861" s="1">
        <v>35</v>
      </c>
      <c r="I2861" s="1" t="s">
        <v>125</v>
      </c>
      <c r="J2861" s="3">
        <v>0.25000000000000006</v>
      </c>
      <c r="K2861" s="4">
        <v>1500</v>
      </c>
      <c r="L2861" s="5">
        <f t="shared" si="22"/>
        <v>375.00000000000006</v>
      </c>
      <c r="M2861" s="5">
        <f t="shared" si="23"/>
        <v>112.50000000000001</v>
      </c>
      <c r="N2861" s="6">
        <v>0.3</v>
      </c>
    </row>
    <row r="2862" spans="1:14" ht="15.75" customHeight="1" x14ac:dyDescent="0.45">
      <c r="A2862" s="1" t="s">
        <v>119</v>
      </c>
      <c r="B2862" s="1">
        <v>1185732</v>
      </c>
      <c r="C2862" s="2">
        <v>44811</v>
      </c>
      <c r="D2862" s="1" t="s">
        <v>26</v>
      </c>
      <c r="E2862" s="1" t="s">
        <v>94</v>
      </c>
      <c r="F2862" s="1" t="s">
        <v>95</v>
      </c>
      <c r="G2862" s="1" t="s">
        <v>17</v>
      </c>
      <c r="H2862" s="1">
        <v>51</v>
      </c>
      <c r="I2862" s="1" t="s">
        <v>126</v>
      </c>
      <c r="J2862" s="3">
        <v>0.35000000000000003</v>
      </c>
      <c r="K2862" s="4">
        <v>1500</v>
      </c>
      <c r="L2862" s="5">
        <f t="shared" si="22"/>
        <v>525</v>
      </c>
      <c r="M2862" s="5">
        <f t="shared" si="23"/>
        <v>262.5</v>
      </c>
      <c r="N2862" s="6">
        <v>0.5</v>
      </c>
    </row>
    <row r="2863" spans="1:14" ht="15.75" customHeight="1" x14ac:dyDescent="0.45">
      <c r="A2863" s="1" t="s">
        <v>119</v>
      </c>
      <c r="B2863" s="1">
        <v>1185732</v>
      </c>
      <c r="C2863" s="2">
        <v>44811</v>
      </c>
      <c r="D2863" s="1" t="s">
        <v>26</v>
      </c>
      <c r="E2863" s="1" t="s">
        <v>94</v>
      </c>
      <c r="F2863" s="1" t="s">
        <v>95</v>
      </c>
      <c r="G2863" s="1" t="s">
        <v>18</v>
      </c>
      <c r="H2863" s="1">
        <v>56</v>
      </c>
      <c r="I2863" s="1" t="s">
        <v>123</v>
      </c>
      <c r="J2863" s="3">
        <v>0.4</v>
      </c>
      <c r="K2863" s="4">
        <v>2250</v>
      </c>
      <c r="L2863" s="5">
        <f t="shared" si="22"/>
        <v>900</v>
      </c>
      <c r="M2863" s="5">
        <f t="shared" si="23"/>
        <v>360</v>
      </c>
      <c r="N2863" s="6">
        <v>0.4</v>
      </c>
    </row>
    <row r="2864" spans="1:14" ht="15.75" customHeight="1" x14ac:dyDescent="0.45">
      <c r="A2864" s="1" t="s">
        <v>119</v>
      </c>
      <c r="B2864" s="1">
        <v>1185732</v>
      </c>
      <c r="C2864" s="2">
        <v>44840</v>
      </c>
      <c r="D2864" s="1" t="s">
        <v>26</v>
      </c>
      <c r="E2864" s="1" t="s">
        <v>94</v>
      </c>
      <c r="F2864" s="1" t="s">
        <v>95</v>
      </c>
      <c r="G2864" s="1" t="s">
        <v>13</v>
      </c>
      <c r="H2864" s="1">
        <v>52</v>
      </c>
      <c r="I2864" s="1" t="s">
        <v>125</v>
      </c>
      <c r="J2864" s="3">
        <v>0.44999999999999996</v>
      </c>
      <c r="K2864" s="4">
        <v>4000</v>
      </c>
      <c r="L2864" s="5">
        <f t="shared" si="22"/>
        <v>1799.9999999999998</v>
      </c>
      <c r="M2864" s="5">
        <f t="shared" si="23"/>
        <v>539.99999999999989</v>
      </c>
      <c r="N2864" s="6">
        <v>0.3</v>
      </c>
    </row>
    <row r="2865" spans="1:14" ht="15.75" customHeight="1" x14ac:dyDescent="0.45">
      <c r="A2865" s="1" t="s">
        <v>119</v>
      </c>
      <c r="B2865" s="1">
        <v>1185732</v>
      </c>
      <c r="C2865" s="2">
        <v>44840</v>
      </c>
      <c r="D2865" s="1" t="s">
        <v>26</v>
      </c>
      <c r="E2865" s="1" t="s">
        <v>94</v>
      </c>
      <c r="F2865" s="1" t="s">
        <v>95</v>
      </c>
      <c r="G2865" s="1" t="s">
        <v>14</v>
      </c>
      <c r="H2865" s="1">
        <v>36</v>
      </c>
      <c r="I2865" s="1" t="s">
        <v>124</v>
      </c>
      <c r="J2865" s="3">
        <v>0.35000000000000003</v>
      </c>
      <c r="K2865" s="4">
        <v>2500</v>
      </c>
      <c r="L2865" s="5">
        <f t="shared" si="22"/>
        <v>875.00000000000011</v>
      </c>
      <c r="M2865" s="5">
        <f t="shared" si="23"/>
        <v>306.25</v>
      </c>
      <c r="N2865" s="6">
        <v>0.35</v>
      </c>
    </row>
    <row r="2866" spans="1:14" ht="15.75" customHeight="1" x14ac:dyDescent="0.45">
      <c r="A2866" s="1" t="s">
        <v>119</v>
      </c>
      <c r="B2866" s="1">
        <v>1185732</v>
      </c>
      <c r="C2866" s="2">
        <v>44840</v>
      </c>
      <c r="D2866" s="1" t="s">
        <v>26</v>
      </c>
      <c r="E2866" s="1" t="s">
        <v>94</v>
      </c>
      <c r="F2866" s="1" t="s">
        <v>95</v>
      </c>
      <c r="G2866" s="1" t="s">
        <v>15</v>
      </c>
      <c r="H2866" s="1">
        <v>49</v>
      </c>
      <c r="I2866" s="1" t="s">
        <v>123</v>
      </c>
      <c r="J2866" s="3">
        <v>0.35000000000000003</v>
      </c>
      <c r="K2866" s="4">
        <v>1500</v>
      </c>
      <c r="L2866" s="5">
        <f t="shared" si="22"/>
        <v>525</v>
      </c>
      <c r="M2866" s="5">
        <f t="shared" si="23"/>
        <v>157.5</v>
      </c>
      <c r="N2866" s="6">
        <v>0.3</v>
      </c>
    </row>
    <row r="2867" spans="1:14" ht="15.75" customHeight="1" x14ac:dyDescent="0.45">
      <c r="A2867" s="1" t="s">
        <v>119</v>
      </c>
      <c r="B2867" s="1">
        <v>1185732</v>
      </c>
      <c r="C2867" s="2">
        <v>44840</v>
      </c>
      <c r="D2867" s="1" t="s">
        <v>26</v>
      </c>
      <c r="E2867" s="1" t="s">
        <v>94</v>
      </c>
      <c r="F2867" s="1" t="s">
        <v>95</v>
      </c>
      <c r="G2867" s="1" t="s">
        <v>16</v>
      </c>
      <c r="H2867" s="1">
        <v>35</v>
      </c>
      <c r="I2867" s="1" t="s">
        <v>125</v>
      </c>
      <c r="J2867" s="3">
        <v>0.35000000000000003</v>
      </c>
      <c r="K2867" s="4">
        <v>1250</v>
      </c>
      <c r="L2867" s="5">
        <f t="shared" si="22"/>
        <v>437.50000000000006</v>
      </c>
      <c r="M2867" s="5">
        <f t="shared" si="23"/>
        <v>131.25</v>
      </c>
      <c r="N2867" s="6">
        <v>0.3</v>
      </c>
    </row>
    <row r="2868" spans="1:14" ht="15.75" customHeight="1" x14ac:dyDescent="0.45">
      <c r="A2868" s="1" t="s">
        <v>119</v>
      </c>
      <c r="B2868" s="1">
        <v>1185732</v>
      </c>
      <c r="C2868" s="2">
        <v>44840</v>
      </c>
      <c r="D2868" s="1" t="s">
        <v>26</v>
      </c>
      <c r="E2868" s="1" t="s">
        <v>94</v>
      </c>
      <c r="F2868" s="1" t="s">
        <v>95</v>
      </c>
      <c r="G2868" s="1" t="s">
        <v>17</v>
      </c>
      <c r="H2868" s="1">
        <v>49</v>
      </c>
      <c r="I2868" s="1" t="s">
        <v>125</v>
      </c>
      <c r="J2868" s="3">
        <v>0.44999999999999996</v>
      </c>
      <c r="K2868" s="4">
        <v>1250</v>
      </c>
      <c r="L2868" s="5">
        <f t="shared" si="22"/>
        <v>562.5</v>
      </c>
      <c r="M2868" s="5">
        <f t="shared" si="23"/>
        <v>281.25</v>
      </c>
      <c r="N2868" s="6">
        <v>0.5</v>
      </c>
    </row>
    <row r="2869" spans="1:14" ht="15.75" customHeight="1" x14ac:dyDescent="0.45">
      <c r="A2869" s="1" t="s">
        <v>119</v>
      </c>
      <c r="B2869" s="1">
        <v>1185732</v>
      </c>
      <c r="C2869" s="2">
        <v>44840</v>
      </c>
      <c r="D2869" s="1" t="s">
        <v>26</v>
      </c>
      <c r="E2869" s="1" t="s">
        <v>94</v>
      </c>
      <c r="F2869" s="1" t="s">
        <v>95</v>
      </c>
      <c r="G2869" s="1" t="s">
        <v>18</v>
      </c>
      <c r="H2869" s="1">
        <v>24</v>
      </c>
      <c r="I2869" s="1" t="s">
        <v>126</v>
      </c>
      <c r="J2869" s="3">
        <v>0.49999999999999983</v>
      </c>
      <c r="K2869" s="4">
        <v>2500</v>
      </c>
      <c r="L2869" s="5">
        <f t="shared" si="22"/>
        <v>1249.9999999999995</v>
      </c>
      <c r="M2869" s="5">
        <f t="shared" si="23"/>
        <v>499.99999999999983</v>
      </c>
      <c r="N2869" s="6">
        <v>0.4</v>
      </c>
    </row>
    <row r="2870" spans="1:14" ht="15.75" customHeight="1" x14ac:dyDescent="0.45">
      <c r="A2870" s="1" t="s">
        <v>119</v>
      </c>
      <c r="B2870" s="1">
        <v>1185732</v>
      </c>
      <c r="C2870" s="2">
        <v>44871</v>
      </c>
      <c r="D2870" s="1" t="s">
        <v>26</v>
      </c>
      <c r="E2870" s="1" t="s">
        <v>94</v>
      </c>
      <c r="F2870" s="1" t="s">
        <v>95</v>
      </c>
      <c r="G2870" s="1" t="s">
        <v>13</v>
      </c>
      <c r="H2870" s="1">
        <v>32</v>
      </c>
      <c r="I2870" s="1" t="s">
        <v>123</v>
      </c>
      <c r="J2870" s="3">
        <v>0.44999999999999996</v>
      </c>
      <c r="K2870" s="4">
        <v>4000</v>
      </c>
      <c r="L2870" s="5">
        <f t="shared" si="22"/>
        <v>1799.9999999999998</v>
      </c>
      <c r="M2870" s="5">
        <f t="shared" si="23"/>
        <v>539.99999999999989</v>
      </c>
      <c r="N2870" s="6">
        <v>0.3</v>
      </c>
    </row>
    <row r="2871" spans="1:14" ht="15.75" customHeight="1" x14ac:dyDescent="0.45">
      <c r="A2871" s="1" t="s">
        <v>119</v>
      </c>
      <c r="B2871" s="1">
        <v>1185732</v>
      </c>
      <c r="C2871" s="2">
        <v>44871</v>
      </c>
      <c r="D2871" s="1" t="s">
        <v>26</v>
      </c>
      <c r="E2871" s="1" t="s">
        <v>94</v>
      </c>
      <c r="F2871" s="1" t="s">
        <v>95</v>
      </c>
      <c r="G2871" s="1" t="s">
        <v>14</v>
      </c>
      <c r="H2871" s="1">
        <v>30</v>
      </c>
      <c r="I2871" s="1" t="s">
        <v>125</v>
      </c>
      <c r="J2871" s="3">
        <v>0.35000000000000003</v>
      </c>
      <c r="K2871" s="4">
        <v>2750</v>
      </c>
      <c r="L2871" s="5">
        <f t="shared" si="22"/>
        <v>962.50000000000011</v>
      </c>
      <c r="M2871" s="5">
        <f t="shared" si="23"/>
        <v>336.875</v>
      </c>
      <c r="N2871" s="6">
        <v>0.35</v>
      </c>
    </row>
    <row r="2872" spans="1:14" ht="15.75" customHeight="1" x14ac:dyDescent="0.45">
      <c r="A2872" s="1" t="s">
        <v>119</v>
      </c>
      <c r="B2872" s="1">
        <v>1185732</v>
      </c>
      <c r="C2872" s="2">
        <v>44871</v>
      </c>
      <c r="D2872" s="1" t="s">
        <v>26</v>
      </c>
      <c r="E2872" s="1" t="s">
        <v>94</v>
      </c>
      <c r="F2872" s="1" t="s">
        <v>95</v>
      </c>
      <c r="G2872" s="1" t="s">
        <v>15</v>
      </c>
      <c r="H2872" s="1">
        <v>45</v>
      </c>
      <c r="I2872" s="1" t="s">
        <v>123</v>
      </c>
      <c r="J2872" s="3">
        <v>0.35000000000000003</v>
      </c>
      <c r="K2872" s="4">
        <v>2200</v>
      </c>
      <c r="L2872" s="5">
        <f t="shared" si="22"/>
        <v>770.00000000000011</v>
      </c>
      <c r="M2872" s="5">
        <f t="shared" si="23"/>
        <v>231.00000000000003</v>
      </c>
      <c r="N2872" s="6">
        <v>0.3</v>
      </c>
    </row>
    <row r="2873" spans="1:14" ht="15.75" customHeight="1" x14ac:dyDescent="0.45">
      <c r="A2873" s="1" t="s">
        <v>119</v>
      </c>
      <c r="B2873" s="1">
        <v>1185732</v>
      </c>
      <c r="C2873" s="2">
        <v>44871</v>
      </c>
      <c r="D2873" s="1" t="s">
        <v>26</v>
      </c>
      <c r="E2873" s="1" t="s">
        <v>94</v>
      </c>
      <c r="F2873" s="1" t="s">
        <v>95</v>
      </c>
      <c r="G2873" s="1" t="s">
        <v>16</v>
      </c>
      <c r="H2873" s="1">
        <v>15</v>
      </c>
      <c r="I2873" s="1" t="s">
        <v>125</v>
      </c>
      <c r="J2873" s="3">
        <v>0.35000000000000003</v>
      </c>
      <c r="K2873" s="4">
        <v>2000</v>
      </c>
      <c r="L2873" s="5">
        <f t="shared" si="22"/>
        <v>700.00000000000011</v>
      </c>
      <c r="M2873" s="5">
        <f t="shared" si="23"/>
        <v>210.00000000000003</v>
      </c>
      <c r="N2873" s="6">
        <v>0.3</v>
      </c>
    </row>
    <row r="2874" spans="1:14" ht="15.75" customHeight="1" x14ac:dyDescent="0.45">
      <c r="A2874" s="1" t="s">
        <v>119</v>
      </c>
      <c r="B2874" s="1">
        <v>1185732</v>
      </c>
      <c r="C2874" s="2">
        <v>44871</v>
      </c>
      <c r="D2874" s="1" t="s">
        <v>26</v>
      </c>
      <c r="E2874" s="1" t="s">
        <v>94</v>
      </c>
      <c r="F2874" s="1" t="s">
        <v>95</v>
      </c>
      <c r="G2874" s="1" t="s">
        <v>17</v>
      </c>
      <c r="H2874" s="1">
        <v>18</v>
      </c>
      <c r="I2874" s="1" t="s">
        <v>123</v>
      </c>
      <c r="J2874" s="3">
        <v>0.6</v>
      </c>
      <c r="K2874" s="4">
        <v>1750</v>
      </c>
      <c r="L2874" s="5">
        <f t="shared" si="22"/>
        <v>1050</v>
      </c>
      <c r="M2874" s="5">
        <f t="shared" si="23"/>
        <v>525</v>
      </c>
      <c r="N2874" s="6">
        <v>0.5</v>
      </c>
    </row>
    <row r="2875" spans="1:14" ht="15.75" customHeight="1" x14ac:dyDescent="0.45">
      <c r="A2875" s="1" t="s">
        <v>119</v>
      </c>
      <c r="B2875" s="1">
        <v>1185732</v>
      </c>
      <c r="C2875" s="2">
        <v>44871</v>
      </c>
      <c r="D2875" s="1" t="s">
        <v>26</v>
      </c>
      <c r="E2875" s="1" t="s">
        <v>94</v>
      </c>
      <c r="F2875" s="1" t="s">
        <v>95</v>
      </c>
      <c r="G2875" s="1" t="s">
        <v>18</v>
      </c>
      <c r="H2875" s="1">
        <v>45</v>
      </c>
      <c r="I2875" s="1" t="s">
        <v>123</v>
      </c>
      <c r="J2875" s="3">
        <v>0.64999999999999991</v>
      </c>
      <c r="K2875" s="4">
        <v>2750</v>
      </c>
      <c r="L2875" s="5">
        <f t="shared" si="22"/>
        <v>1787.4999999999998</v>
      </c>
      <c r="M2875" s="5">
        <f t="shared" si="23"/>
        <v>715</v>
      </c>
      <c r="N2875" s="6">
        <v>0.4</v>
      </c>
    </row>
    <row r="2876" spans="1:14" ht="15.75" customHeight="1" x14ac:dyDescent="0.45">
      <c r="A2876" s="1" t="s">
        <v>119</v>
      </c>
      <c r="B2876" s="1">
        <v>1185732</v>
      </c>
      <c r="C2876" s="2">
        <v>44900</v>
      </c>
      <c r="D2876" s="1" t="s">
        <v>26</v>
      </c>
      <c r="E2876" s="1" t="s">
        <v>94</v>
      </c>
      <c r="F2876" s="1" t="s">
        <v>95</v>
      </c>
      <c r="G2876" s="1" t="s">
        <v>13</v>
      </c>
      <c r="H2876" s="1">
        <v>40</v>
      </c>
      <c r="I2876" s="1" t="s">
        <v>126</v>
      </c>
      <c r="J2876" s="3">
        <v>0.6</v>
      </c>
      <c r="K2876" s="4">
        <v>5250</v>
      </c>
      <c r="L2876" s="5">
        <f t="shared" si="22"/>
        <v>3150</v>
      </c>
      <c r="M2876" s="5">
        <f t="shared" si="23"/>
        <v>945</v>
      </c>
      <c r="N2876" s="6">
        <v>0.3</v>
      </c>
    </row>
    <row r="2877" spans="1:14" ht="15.75" customHeight="1" x14ac:dyDescent="0.45">
      <c r="A2877" s="1" t="s">
        <v>119</v>
      </c>
      <c r="B2877" s="1">
        <v>1185732</v>
      </c>
      <c r="C2877" s="2">
        <v>44900</v>
      </c>
      <c r="D2877" s="1" t="s">
        <v>26</v>
      </c>
      <c r="E2877" s="1" t="s">
        <v>94</v>
      </c>
      <c r="F2877" s="1" t="s">
        <v>95</v>
      </c>
      <c r="G2877" s="1" t="s">
        <v>14</v>
      </c>
      <c r="H2877" s="1">
        <v>26</v>
      </c>
      <c r="I2877" s="1" t="s">
        <v>124</v>
      </c>
      <c r="J2877" s="3">
        <v>0.5</v>
      </c>
      <c r="K2877" s="4">
        <v>3250</v>
      </c>
      <c r="L2877" s="5">
        <f t="shared" si="22"/>
        <v>1625</v>
      </c>
      <c r="M2877" s="5">
        <f t="shared" si="23"/>
        <v>568.75</v>
      </c>
      <c r="N2877" s="6">
        <v>0.35</v>
      </c>
    </row>
    <row r="2878" spans="1:14" ht="15.75" customHeight="1" x14ac:dyDescent="0.45">
      <c r="A2878" s="1" t="s">
        <v>119</v>
      </c>
      <c r="B2878" s="1">
        <v>1185732</v>
      </c>
      <c r="C2878" s="2">
        <v>44900</v>
      </c>
      <c r="D2878" s="1" t="s">
        <v>26</v>
      </c>
      <c r="E2878" s="1" t="s">
        <v>94</v>
      </c>
      <c r="F2878" s="1" t="s">
        <v>95</v>
      </c>
      <c r="G2878" s="1" t="s">
        <v>15</v>
      </c>
      <c r="H2878" s="1">
        <v>21</v>
      </c>
      <c r="I2878" s="1" t="s">
        <v>125</v>
      </c>
      <c r="J2878" s="3">
        <v>0.5</v>
      </c>
      <c r="K2878" s="4">
        <v>2750</v>
      </c>
      <c r="L2878" s="5">
        <f t="shared" si="22"/>
        <v>1375</v>
      </c>
      <c r="M2878" s="5">
        <f t="shared" si="23"/>
        <v>412.5</v>
      </c>
      <c r="N2878" s="6">
        <v>0.3</v>
      </c>
    </row>
    <row r="2879" spans="1:14" ht="15.75" customHeight="1" x14ac:dyDescent="0.45">
      <c r="A2879" s="1" t="s">
        <v>119</v>
      </c>
      <c r="B2879" s="1">
        <v>1185732</v>
      </c>
      <c r="C2879" s="2">
        <v>44900</v>
      </c>
      <c r="D2879" s="1" t="s">
        <v>26</v>
      </c>
      <c r="E2879" s="1" t="s">
        <v>94</v>
      </c>
      <c r="F2879" s="1" t="s">
        <v>95</v>
      </c>
      <c r="G2879" s="1" t="s">
        <v>16</v>
      </c>
      <c r="H2879" s="1">
        <v>28</v>
      </c>
      <c r="I2879" s="1" t="s">
        <v>123</v>
      </c>
      <c r="J2879" s="3">
        <v>0.5</v>
      </c>
      <c r="K2879" s="4">
        <v>2250</v>
      </c>
      <c r="L2879" s="5">
        <f t="shared" si="22"/>
        <v>1125</v>
      </c>
      <c r="M2879" s="5">
        <f t="shared" si="23"/>
        <v>337.5</v>
      </c>
      <c r="N2879" s="6">
        <v>0.3</v>
      </c>
    </row>
    <row r="2880" spans="1:14" ht="15.75" customHeight="1" x14ac:dyDescent="0.45">
      <c r="A2880" s="1" t="s">
        <v>119</v>
      </c>
      <c r="B2880" s="1">
        <v>1185732</v>
      </c>
      <c r="C2880" s="2">
        <v>44900</v>
      </c>
      <c r="D2880" s="1" t="s">
        <v>26</v>
      </c>
      <c r="E2880" s="1" t="s">
        <v>94</v>
      </c>
      <c r="F2880" s="1" t="s">
        <v>95</v>
      </c>
      <c r="G2880" s="1" t="s">
        <v>17</v>
      </c>
      <c r="H2880" s="1">
        <v>27</v>
      </c>
      <c r="I2880" s="1" t="s">
        <v>125</v>
      </c>
      <c r="J2880" s="3">
        <v>0.6</v>
      </c>
      <c r="K2880" s="4">
        <v>2250</v>
      </c>
      <c r="L2880" s="5">
        <f t="shared" si="22"/>
        <v>1350</v>
      </c>
      <c r="M2880" s="5">
        <f t="shared" si="23"/>
        <v>675</v>
      </c>
      <c r="N2880" s="6">
        <v>0.5</v>
      </c>
    </row>
    <row r="2881" spans="1:14" ht="15.75" customHeight="1" x14ac:dyDescent="0.45">
      <c r="A2881" s="1" t="s">
        <v>119</v>
      </c>
      <c r="B2881" s="1">
        <v>1185732</v>
      </c>
      <c r="C2881" s="2">
        <v>44900</v>
      </c>
      <c r="D2881" s="1" t="s">
        <v>26</v>
      </c>
      <c r="E2881" s="1" t="s">
        <v>94</v>
      </c>
      <c r="F2881" s="1" t="s">
        <v>95</v>
      </c>
      <c r="G2881" s="1" t="s">
        <v>18</v>
      </c>
      <c r="H2881" s="1">
        <v>56</v>
      </c>
      <c r="I2881" s="1" t="s">
        <v>124</v>
      </c>
      <c r="J2881" s="3">
        <v>0.64999999999999991</v>
      </c>
      <c r="K2881" s="4">
        <v>3250</v>
      </c>
      <c r="L2881" s="5">
        <f t="shared" si="22"/>
        <v>2112.4999999999995</v>
      </c>
      <c r="M2881" s="5">
        <f t="shared" si="23"/>
        <v>844.99999999999989</v>
      </c>
      <c r="N2881" s="6">
        <v>0.4</v>
      </c>
    </row>
    <row r="2882" spans="1:14" ht="15.75" customHeight="1" x14ac:dyDescent="0.45">
      <c r="A2882" s="1" t="s">
        <v>119</v>
      </c>
      <c r="B2882" s="1">
        <v>1185732</v>
      </c>
      <c r="C2882" s="2">
        <v>44564</v>
      </c>
      <c r="D2882" s="1" t="s">
        <v>26</v>
      </c>
      <c r="E2882" s="1" t="s">
        <v>96</v>
      </c>
      <c r="F2882" s="1" t="s">
        <v>97</v>
      </c>
      <c r="G2882" s="1" t="s">
        <v>13</v>
      </c>
      <c r="H2882" s="1">
        <v>49</v>
      </c>
      <c r="I2882" s="1" t="s">
        <v>124</v>
      </c>
      <c r="J2882" s="3">
        <v>0.30000000000000004</v>
      </c>
      <c r="K2882" s="4">
        <v>4500</v>
      </c>
      <c r="L2882" s="5">
        <f t="shared" si="22"/>
        <v>1350.0000000000002</v>
      </c>
      <c r="M2882" s="5">
        <f t="shared" si="23"/>
        <v>405.00000000000006</v>
      </c>
      <c r="N2882" s="6">
        <v>0.3</v>
      </c>
    </row>
    <row r="2883" spans="1:14" ht="15.75" customHeight="1" x14ac:dyDescent="0.45">
      <c r="A2883" s="1" t="s">
        <v>119</v>
      </c>
      <c r="B2883" s="1">
        <v>1185732</v>
      </c>
      <c r="C2883" s="2">
        <v>44564</v>
      </c>
      <c r="D2883" s="1" t="s">
        <v>26</v>
      </c>
      <c r="E2883" s="1" t="s">
        <v>96</v>
      </c>
      <c r="F2883" s="1" t="s">
        <v>97</v>
      </c>
      <c r="G2883" s="1" t="s">
        <v>14</v>
      </c>
      <c r="H2883" s="1">
        <v>41</v>
      </c>
      <c r="I2883" s="1" t="s">
        <v>125</v>
      </c>
      <c r="J2883" s="3">
        <v>0.30000000000000004</v>
      </c>
      <c r="K2883" s="4">
        <v>2500</v>
      </c>
      <c r="L2883" s="5">
        <f t="shared" si="22"/>
        <v>750.00000000000011</v>
      </c>
      <c r="M2883" s="5">
        <f t="shared" si="23"/>
        <v>262.5</v>
      </c>
      <c r="N2883" s="6">
        <v>0.35</v>
      </c>
    </row>
    <row r="2884" spans="1:14" ht="15.75" customHeight="1" x14ac:dyDescent="0.45">
      <c r="A2884" s="1" t="s">
        <v>119</v>
      </c>
      <c r="B2884" s="1">
        <v>1185732</v>
      </c>
      <c r="C2884" s="2">
        <v>44564</v>
      </c>
      <c r="D2884" s="1" t="s">
        <v>26</v>
      </c>
      <c r="E2884" s="1" t="s">
        <v>96</v>
      </c>
      <c r="F2884" s="1" t="s">
        <v>97</v>
      </c>
      <c r="G2884" s="1" t="s">
        <v>15</v>
      </c>
      <c r="H2884" s="1">
        <v>51</v>
      </c>
      <c r="I2884" s="1" t="s">
        <v>124</v>
      </c>
      <c r="J2884" s="3">
        <v>0.20000000000000007</v>
      </c>
      <c r="K2884" s="4">
        <v>2500</v>
      </c>
      <c r="L2884" s="5">
        <f t="shared" si="22"/>
        <v>500.00000000000017</v>
      </c>
      <c r="M2884" s="5">
        <f t="shared" si="23"/>
        <v>150.00000000000006</v>
      </c>
      <c r="N2884" s="6">
        <v>0.3</v>
      </c>
    </row>
    <row r="2885" spans="1:14" ht="15.75" customHeight="1" x14ac:dyDescent="0.45">
      <c r="A2885" s="1" t="s">
        <v>119</v>
      </c>
      <c r="B2885" s="1">
        <v>1185732</v>
      </c>
      <c r="C2885" s="2">
        <v>44564</v>
      </c>
      <c r="D2885" s="1" t="s">
        <v>26</v>
      </c>
      <c r="E2885" s="1" t="s">
        <v>96</v>
      </c>
      <c r="F2885" s="1" t="s">
        <v>97</v>
      </c>
      <c r="G2885" s="1" t="s">
        <v>16</v>
      </c>
      <c r="H2885" s="1">
        <v>19</v>
      </c>
      <c r="I2885" s="1" t="s">
        <v>126</v>
      </c>
      <c r="J2885" s="3">
        <v>0.25000000000000006</v>
      </c>
      <c r="K2885" s="4">
        <v>1000</v>
      </c>
      <c r="L2885" s="5">
        <f t="shared" si="22"/>
        <v>250.00000000000006</v>
      </c>
      <c r="M2885" s="5">
        <f t="shared" si="23"/>
        <v>75.000000000000014</v>
      </c>
      <c r="N2885" s="6">
        <v>0.3</v>
      </c>
    </row>
    <row r="2886" spans="1:14" ht="15.75" customHeight="1" x14ac:dyDescent="0.45">
      <c r="A2886" s="1" t="s">
        <v>119</v>
      </c>
      <c r="B2886" s="1">
        <v>1185732</v>
      </c>
      <c r="C2886" s="2">
        <v>44564</v>
      </c>
      <c r="D2886" s="1" t="s">
        <v>26</v>
      </c>
      <c r="E2886" s="1" t="s">
        <v>96</v>
      </c>
      <c r="F2886" s="1" t="s">
        <v>97</v>
      </c>
      <c r="G2886" s="1" t="s">
        <v>17</v>
      </c>
      <c r="H2886" s="1">
        <v>21</v>
      </c>
      <c r="I2886" s="1" t="s">
        <v>124</v>
      </c>
      <c r="J2886" s="3">
        <v>0.39999999999999997</v>
      </c>
      <c r="K2886" s="4">
        <v>1500</v>
      </c>
      <c r="L2886" s="5">
        <f t="shared" si="22"/>
        <v>600</v>
      </c>
      <c r="M2886" s="5">
        <f t="shared" si="23"/>
        <v>300</v>
      </c>
      <c r="N2886" s="6">
        <v>0.5</v>
      </c>
    </row>
    <row r="2887" spans="1:14" ht="15.75" customHeight="1" x14ac:dyDescent="0.45">
      <c r="A2887" s="1" t="s">
        <v>119</v>
      </c>
      <c r="B2887" s="1">
        <v>1185732</v>
      </c>
      <c r="C2887" s="2">
        <v>44564</v>
      </c>
      <c r="D2887" s="1" t="s">
        <v>26</v>
      </c>
      <c r="E2887" s="1" t="s">
        <v>96</v>
      </c>
      <c r="F2887" s="1" t="s">
        <v>97</v>
      </c>
      <c r="G2887" s="1" t="s">
        <v>18</v>
      </c>
      <c r="H2887" s="1">
        <v>42</v>
      </c>
      <c r="I2887" s="1" t="s">
        <v>123</v>
      </c>
      <c r="J2887" s="3">
        <v>0.30000000000000004</v>
      </c>
      <c r="K2887" s="4">
        <v>2500</v>
      </c>
      <c r="L2887" s="5">
        <f t="shared" si="22"/>
        <v>750.00000000000011</v>
      </c>
      <c r="M2887" s="5">
        <f t="shared" si="23"/>
        <v>300.00000000000006</v>
      </c>
      <c r="N2887" s="6">
        <v>0.4</v>
      </c>
    </row>
    <row r="2888" spans="1:14" ht="15.75" customHeight="1" x14ac:dyDescent="0.45">
      <c r="A2888" s="1" t="s">
        <v>119</v>
      </c>
      <c r="B2888" s="1">
        <v>1185732</v>
      </c>
      <c r="C2888" s="2">
        <v>44595</v>
      </c>
      <c r="D2888" s="1" t="s">
        <v>26</v>
      </c>
      <c r="E2888" s="1" t="s">
        <v>96</v>
      </c>
      <c r="F2888" s="1" t="s">
        <v>97</v>
      </c>
      <c r="G2888" s="1" t="s">
        <v>13</v>
      </c>
      <c r="H2888" s="1">
        <v>36</v>
      </c>
      <c r="I2888" s="1" t="s">
        <v>126</v>
      </c>
      <c r="J2888" s="3">
        <v>0.30000000000000004</v>
      </c>
      <c r="K2888" s="4">
        <v>5000</v>
      </c>
      <c r="L2888" s="5">
        <f t="shared" si="22"/>
        <v>1500.0000000000002</v>
      </c>
      <c r="M2888" s="5">
        <f t="shared" si="23"/>
        <v>450.00000000000006</v>
      </c>
      <c r="N2888" s="6">
        <v>0.3</v>
      </c>
    </row>
    <row r="2889" spans="1:14" ht="15.75" customHeight="1" x14ac:dyDescent="0.45">
      <c r="A2889" s="1" t="s">
        <v>119</v>
      </c>
      <c r="B2889" s="1">
        <v>1185732</v>
      </c>
      <c r="C2889" s="2">
        <v>44595</v>
      </c>
      <c r="D2889" s="1" t="s">
        <v>26</v>
      </c>
      <c r="E2889" s="1" t="s">
        <v>96</v>
      </c>
      <c r="F2889" s="1" t="s">
        <v>97</v>
      </c>
      <c r="G2889" s="1" t="s">
        <v>14</v>
      </c>
      <c r="H2889" s="1">
        <v>23</v>
      </c>
      <c r="I2889" s="1" t="s">
        <v>126</v>
      </c>
      <c r="J2889" s="3">
        <v>0.30000000000000004</v>
      </c>
      <c r="K2889" s="4">
        <v>1500</v>
      </c>
      <c r="L2889" s="5">
        <f t="shared" si="22"/>
        <v>450.00000000000006</v>
      </c>
      <c r="M2889" s="5">
        <f t="shared" si="23"/>
        <v>157.5</v>
      </c>
      <c r="N2889" s="6">
        <v>0.35</v>
      </c>
    </row>
    <row r="2890" spans="1:14" ht="15.75" customHeight="1" x14ac:dyDescent="0.45">
      <c r="A2890" s="1" t="s">
        <v>119</v>
      </c>
      <c r="B2890" s="1">
        <v>1185732</v>
      </c>
      <c r="C2890" s="2">
        <v>44595</v>
      </c>
      <c r="D2890" s="1" t="s">
        <v>26</v>
      </c>
      <c r="E2890" s="1" t="s">
        <v>96</v>
      </c>
      <c r="F2890" s="1" t="s">
        <v>97</v>
      </c>
      <c r="G2890" s="1" t="s">
        <v>15</v>
      </c>
      <c r="H2890" s="1">
        <v>53</v>
      </c>
      <c r="I2890" s="1" t="s">
        <v>125</v>
      </c>
      <c r="J2890" s="3">
        <v>0.20000000000000007</v>
      </c>
      <c r="K2890" s="4">
        <v>2000</v>
      </c>
      <c r="L2890" s="5">
        <f t="shared" si="22"/>
        <v>400.00000000000011</v>
      </c>
      <c r="M2890" s="5">
        <f t="shared" si="23"/>
        <v>120.00000000000003</v>
      </c>
      <c r="N2890" s="6">
        <v>0.3</v>
      </c>
    </row>
    <row r="2891" spans="1:14" ht="15.75" customHeight="1" x14ac:dyDescent="0.45">
      <c r="A2891" s="1" t="s">
        <v>119</v>
      </c>
      <c r="B2891" s="1">
        <v>1185732</v>
      </c>
      <c r="C2891" s="2">
        <v>44595</v>
      </c>
      <c r="D2891" s="1" t="s">
        <v>26</v>
      </c>
      <c r="E2891" s="1" t="s">
        <v>96</v>
      </c>
      <c r="F2891" s="1" t="s">
        <v>97</v>
      </c>
      <c r="G2891" s="1" t="s">
        <v>16</v>
      </c>
      <c r="H2891" s="1">
        <v>34</v>
      </c>
      <c r="I2891" s="1" t="s">
        <v>123</v>
      </c>
      <c r="J2891" s="3">
        <v>0.25000000000000006</v>
      </c>
      <c r="K2891" s="4">
        <v>750</v>
      </c>
      <c r="L2891" s="5">
        <f t="shared" si="22"/>
        <v>187.50000000000003</v>
      </c>
      <c r="M2891" s="5">
        <f t="shared" si="23"/>
        <v>56.250000000000007</v>
      </c>
      <c r="N2891" s="6">
        <v>0.3</v>
      </c>
    </row>
    <row r="2892" spans="1:14" ht="15.75" customHeight="1" x14ac:dyDescent="0.45">
      <c r="A2892" s="1" t="s">
        <v>119</v>
      </c>
      <c r="B2892" s="1">
        <v>1185732</v>
      </c>
      <c r="C2892" s="2">
        <v>44595</v>
      </c>
      <c r="D2892" s="1" t="s">
        <v>26</v>
      </c>
      <c r="E2892" s="1" t="s">
        <v>96</v>
      </c>
      <c r="F2892" s="1" t="s">
        <v>97</v>
      </c>
      <c r="G2892" s="1" t="s">
        <v>17</v>
      </c>
      <c r="H2892" s="1">
        <v>16</v>
      </c>
      <c r="I2892" s="1" t="s">
        <v>123</v>
      </c>
      <c r="J2892" s="3">
        <v>0.39999999999999997</v>
      </c>
      <c r="K2892" s="4">
        <v>1500</v>
      </c>
      <c r="L2892" s="5">
        <f t="shared" si="22"/>
        <v>600</v>
      </c>
      <c r="M2892" s="5">
        <f t="shared" si="23"/>
        <v>300</v>
      </c>
      <c r="N2892" s="6">
        <v>0.5</v>
      </c>
    </row>
    <row r="2893" spans="1:14" ht="15.75" customHeight="1" x14ac:dyDescent="0.45">
      <c r="A2893" s="1" t="s">
        <v>119</v>
      </c>
      <c r="B2893" s="1">
        <v>1185732</v>
      </c>
      <c r="C2893" s="2">
        <v>44595</v>
      </c>
      <c r="D2893" s="1" t="s">
        <v>26</v>
      </c>
      <c r="E2893" s="1" t="s">
        <v>96</v>
      </c>
      <c r="F2893" s="1" t="s">
        <v>97</v>
      </c>
      <c r="G2893" s="1" t="s">
        <v>18</v>
      </c>
      <c r="H2893" s="1">
        <v>37</v>
      </c>
      <c r="I2893" s="1" t="s">
        <v>125</v>
      </c>
      <c r="J2893" s="3">
        <v>0.14999999999999997</v>
      </c>
      <c r="K2893" s="4">
        <v>2500</v>
      </c>
      <c r="L2893" s="5">
        <f t="shared" si="22"/>
        <v>374.99999999999994</v>
      </c>
      <c r="M2893" s="5">
        <f t="shared" si="23"/>
        <v>149.99999999999997</v>
      </c>
      <c r="N2893" s="6">
        <v>0.4</v>
      </c>
    </row>
    <row r="2894" spans="1:14" ht="15.75" customHeight="1" x14ac:dyDescent="0.45">
      <c r="A2894" s="1" t="s">
        <v>119</v>
      </c>
      <c r="B2894" s="1">
        <v>1185732</v>
      </c>
      <c r="C2894" s="2">
        <v>44622</v>
      </c>
      <c r="D2894" s="1" t="s">
        <v>26</v>
      </c>
      <c r="E2894" s="1" t="s">
        <v>96</v>
      </c>
      <c r="F2894" s="1" t="s">
        <v>97</v>
      </c>
      <c r="G2894" s="1" t="s">
        <v>13</v>
      </c>
      <c r="H2894" s="1">
        <v>37</v>
      </c>
      <c r="I2894" s="1" t="s">
        <v>124</v>
      </c>
      <c r="J2894" s="3">
        <v>0.20000000000000004</v>
      </c>
      <c r="K2894" s="4">
        <v>4700</v>
      </c>
      <c r="L2894" s="5">
        <f t="shared" si="22"/>
        <v>940.00000000000023</v>
      </c>
      <c r="M2894" s="5">
        <f t="shared" si="23"/>
        <v>282.00000000000006</v>
      </c>
      <c r="N2894" s="6">
        <v>0.3</v>
      </c>
    </row>
    <row r="2895" spans="1:14" ht="15.75" customHeight="1" x14ac:dyDescent="0.45">
      <c r="A2895" s="1" t="s">
        <v>119</v>
      </c>
      <c r="B2895" s="1">
        <v>1185732</v>
      </c>
      <c r="C2895" s="2">
        <v>44622</v>
      </c>
      <c r="D2895" s="1" t="s">
        <v>26</v>
      </c>
      <c r="E2895" s="1" t="s">
        <v>96</v>
      </c>
      <c r="F2895" s="1" t="s">
        <v>97</v>
      </c>
      <c r="G2895" s="1" t="s">
        <v>14</v>
      </c>
      <c r="H2895" s="1">
        <v>25</v>
      </c>
      <c r="I2895" s="1" t="s">
        <v>123</v>
      </c>
      <c r="J2895" s="3">
        <v>0.20000000000000004</v>
      </c>
      <c r="K2895" s="4">
        <v>1750</v>
      </c>
      <c r="L2895" s="5">
        <f t="shared" si="22"/>
        <v>350.00000000000006</v>
      </c>
      <c r="M2895" s="5">
        <f t="shared" si="23"/>
        <v>122.50000000000001</v>
      </c>
      <c r="N2895" s="6">
        <v>0.35</v>
      </c>
    </row>
    <row r="2896" spans="1:14" ht="15.75" customHeight="1" x14ac:dyDescent="0.45">
      <c r="A2896" s="1" t="s">
        <v>119</v>
      </c>
      <c r="B2896" s="1">
        <v>1185732</v>
      </c>
      <c r="C2896" s="2">
        <v>44622</v>
      </c>
      <c r="D2896" s="1" t="s">
        <v>26</v>
      </c>
      <c r="E2896" s="1" t="s">
        <v>96</v>
      </c>
      <c r="F2896" s="1" t="s">
        <v>97</v>
      </c>
      <c r="G2896" s="1" t="s">
        <v>15</v>
      </c>
      <c r="H2896" s="1">
        <v>28</v>
      </c>
      <c r="I2896" s="1" t="s">
        <v>125</v>
      </c>
      <c r="J2896" s="3">
        <v>0.10000000000000003</v>
      </c>
      <c r="K2896" s="4">
        <v>2250</v>
      </c>
      <c r="L2896" s="5">
        <f t="shared" si="22"/>
        <v>225.00000000000009</v>
      </c>
      <c r="M2896" s="5">
        <f t="shared" si="23"/>
        <v>67.500000000000028</v>
      </c>
      <c r="N2896" s="6">
        <v>0.3</v>
      </c>
    </row>
    <row r="2897" spans="1:14" ht="15.75" customHeight="1" x14ac:dyDescent="0.45">
      <c r="A2897" s="1" t="s">
        <v>119</v>
      </c>
      <c r="B2897" s="1">
        <v>1185732</v>
      </c>
      <c r="C2897" s="2">
        <v>44622</v>
      </c>
      <c r="D2897" s="1" t="s">
        <v>26</v>
      </c>
      <c r="E2897" s="1" t="s">
        <v>96</v>
      </c>
      <c r="F2897" s="1" t="s">
        <v>97</v>
      </c>
      <c r="G2897" s="1" t="s">
        <v>16</v>
      </c>
      <c r="H2897" s="1">
        <v>39</v>
      </c>
      <c r="I2897" s="1" t="s">
        <v>125</v>
      </c>
      <c r="J2897" s="3">
        <v>0.14999999999999997</v>
      </c>
      <c r="K2897" s="4">
        <v>750</v>
      </c>
      <c r="L2897" s="5">
        <f t="shared" si="22"/>
        <v>112.49999999999997</v>
      </c>
      <c r="M2897" s="5">
        <f t="shared" si="23"/>
        <v>33.749999999999993</v>
      </c>
      <c r="N2897" s="6">
        <v>0.3</v>
      </c>
    </row>
    <row r="2898" spans="1:14" ht="15.75" customHeight="1" x14ac:dyDescent="0.45">
      <c r="A2898" s="1" t="s">
        <v>119</v>
      </c>
      <c r="B2898" s="1">
        <v>1185732</v>
      </c>
      <c r="C2898" s="2">
        <v>44622</v>
      </c>
      <c r="D2898" s="1" t="s">
        <v>26</v>
      </c>
      <c r="E2898" s="1" t="s">
        <v>96</v>
      </c>
      <c r="F2898" s="1" t="s">
        <v>97</v>
      </c>
      <c r="G2898" s="1" t="s">
        <v>17</v>
      </c>
      <c r="H2898" s="1">
        <v>39</v>
      </c>
      <c r="I2898" s="1" t="s">
        <v>123</v>
      </c>
      <c r="J2898" s="3">
        <v>0.30000000000000004</v>
      </c>
      <c r="K2898" s="4">
        <v>1250</v>
      </c>
      <c r="L2898" s="5">
        <f t="shared" si="22"/>
        <v>375.00000000000006</v>
      </c>
      <c r="M2898" s="5">
        <f t="shared" si="23"/>
        <v>187.50000000000003</v>
      </c>
      <c r="N2898" s="6">
        <v>0.5</v>
      </c>
    </row>
    <row r="2899" spans="1:14" ht="15.75" customHeight="1" x14ac:dyDescent="0.45">
      <c r="A2899" s="1" t="s">
        <v>119</v>
      </c>
      <c r="B2899" s="1">
        <v>1185732</v>
      </c>
      <c r="C2899" s="2">
        <v>44622</v>
      </c>
      <c r="D2899" s="1" t="s">
        <v>26</v>
      </c>
      <c r="E2899" s="1" t="s">
        <v>96</v>
      </c>
      <c r="F2899" s="1" t="s">
        <v>97</v>
      </c>
      <c r="G2899" s="1" t="s">
        <v>18</v>
      </c>
      <c r="H2899" s="1">
        <v>46</v>
      </c>
      <c r="I2899" s="1" t="s">
        <v>125</v>
      </c>
      <c r="J2899" s="3">
        <v>0.20000000000000004</v>
      </c>
      <c r="K2899" s="4">
        <v>2250</v>
      </c>
      <c r="L2899" s="5">
        <f t="shared" si="22"/>
        <v>450.00000000000011</v>
      </c>
      <c r="M2899" s="5">
        <f t="shared" si="23"/>
        <v>180.00000000000006</v>
      </c>
      <c r="N2899" s="6">
        <v>0.4</v>
      </c>
    </row>
    <row r="2900" spans="1:14" ht="15.75" customHeight="1" x14ac:dyDescent="0.45">
      <c r="A2900" s="1" t="s">
        <v>119</v>
      </c>
      <c r="B2900" s="1">
        <v>1185732</v>
      </c>
      <c r="C2900" s="2">
        <v>44654</v>
      </c>
      <c r="D2900" s="1" t="s">
        <v>26</v>
      </c>
      <c r="E2900" s="1" t="s">
        <v>96</v>
      </c>
      <c r="F2900" s="1" t="s">
        <v>97</v>
      </c>
      <c r="G2900" s="1" t="s">
        <v>13</v>
      </c>
      <c r="H2900" s="1">
        <v>49</v>
      </c>
      <c r="I2900" s="1" t="s">
        <v>126</v>
      </c>
      <c r="J2900" s="3">
        <v>0.20000000000000004</v>
      </c>
      <c r="K2900" s="4">
        <v>4500</v>
      </c>
      <c r="L2900" s="5">
        <f t="shared" si="22"/>
        <v>900.00000000000023</v>
      </c>
      <c r="M2900" s="5">
        <f t="shared" si="23"/>
        <v>270.00000000000006</v>
      </c>
      <c r="N2900" s="6">
        <v>0.3</v>
      </c>
    </row>
    <row r="2901" spans="1:14" ht="15.75" customHeight="1" x14ac:dyDescent="0.45">
      <c r="A2901" s="1" t="s">
        <v>119</v>
      </c>
      <c r="B2901" s="1">
        <v>1185732</v>
      </c>
      <c r="C2901" s="2">
        <v>44654</v>
      </c>
      <c r="D2901" s="1" t="s">
        <v>26</v>
      </c>
      <c r="E2901" s="1" t="s">
        <v>96</v>
      </c>
      <c r="F2901" s="1" t="s">
        <v>97</v>
      </c>
      <c r="G2901" s="1" t="s">
        <v>14</v>
      </c>
      <c r="H2901" s="1">
        <v>29</v>
      </c>
      <c r="I2901" s="1" t="s">
        <v>126</v>
      </c>
      <c r="J2901" s="3">
        <v>0.20000000000000004</v>
      </c>
      <c r="K2901" s="4">
        <v>1500</v>
      </c>
      <c r="L2901" s="5">
        <f t="shared" si="22"/>
        <v>300.00000000000006</v>
      </c>
      <c r="M2901" s="5">
        <f t="shared" si="23"/>
        <v>105.00000000000001</v>
      </c>
      <c r="N2901" s="6">
        <v>0.35</v>
      </c>
    </row>
    <row r="2902" spans="1:14" ht="15.75" customHeight="1" x14ac:dyDescent="0.45">
      <c r="A2902" s="1" t="s">
        <v>119</v>
      </c>
      <c r="B2902" s="1">
        <v>1185732</v>
      </c>
      <c r="C2902" s="2">
        <v>44654</v>
      </c>
      <c r="D2902" s="1" t="s">
        <v>26</v>
      </c>
      <c r="E2902" s="1" t="s">
        <v>96</v>
      </c>
      <c r="F2902" s="1" t="s">
        <v>97</v>
      </c>
      <c r="G2902" s="1" t="s">
        <v>15</v>
      </c>
      <c r="H2902" s="1">
        <v>54</v>
      </c>
      <c r="I2902" s="1" t="s">
        <v>125</v>
      </c>
      <c r="J2902" s="3">
        <v>0.10000000000000003</v>
      </c>
      <c r="K2902" s="4">
        <v>1500</v>
      </c>
      <c r="L2902" s="5">
        <f t="shared" si="22"/>
        <v>150.00000000000006</v>
      </c>
      <c r="M2902" s="5">
        <f t="shared" si="23"/>
        <v>45.000000000000014</v>
      </c>
      <c r="N2902" s="6">
        <v>0.3</v>
      </c>
    </row>
    <row r="2903" spans="1:14" ht="15.75" customHeight="1" x14ac:dyDescent="0.45">
      <c r="A2903" s="1" t="s">
        <v>119</v>
      </c>
      <c r="B2903" s="1">
        <v>1185732</v>
      </c>
      <c r="C2903" s="2">
        <v>44654</v>
      </c>
      <c r="D2903" s="1" t="s">
        <v>26</v>
      </c>
      <c r="E2903" s="1" t="s">
        <v>96</v>
      </c>
      <c r="F2903" s="1" t="s">
        <v>97</v>
      </c>
      <c r="G2903" s="1" t="s">
        <v>16</v>
      </c>
      <c r="H2903" s="1">
        <v>36</v>
      </c>
      <c r="I2903" s="1" t="s">
        <v>124</v>
      </c>
      <c r="J2903" s="3">
        <v>0.14999999999999997</v>
      </c>
      <c r="K2903" s="4">
        <v>750</v>
      </c>
      <c r="L2903" s="5">
        <f t="shared" si="22"/>
        <v>112.49999999999997</v>
      </c>
      <c r="M2903" s="5">
        <f t="shared" si="23"/>
        <v>33.749999999999993</v>
      </c>
      <c r="N2903" s="6">
        <v>0.3</v>
      </c>
    </row>
    <row r="2904" spans="1:14" ht="15.75" customHeight="1" x14ac:dyDescent="0.45">
      <c r="A2904" s="1" t="s">
        <v>119</v>
      </c>
      <c r="B2904" s="1">
        <v>1185732</v>
      </c>
      <c r="C2904" s="2">
        <v>44654</v>
      </c>
      <c r="D2904" s="1" t="s">
        <v>26</v>
      </c>
      <c r="E2904" s="1" t="s">
        <v>96</v>
      </c>
      <c r="F2904" s="1" t="s">
        <v>97</v>
      </c>
      <c r="G2904" s="1" t="s">
        <v>17</v>
      </c>
      <c r="H2904" s="1">
        <v>30</v>
      </c>
      <c r="I2904" s="1" t="s">
        <v>123</v>
      </c>
      <c r="J2904" s="3">
        <v>0.6</v>
      </c>
      <c r="K2904" s="4">
        <v>1000</v>
      </c>
      <c r="L2904" s="5">
        <f t="shared" si="22"/>
        <v>600</v>
      </c>
      <c r="M2904" s="5">
        <f t="shared" si="23"/>
        <v>300</v>
      </c>
      <c r="N2904" s="6">
        <v>0.5</v>
      </c>
    </row>
    <row r="2905" spans="1:14" ht="15.75" customHeight="1" x14ac:dyDescent="0.45">
      <c r="A2905" s="1" t="s">
        <v>119</v>
      </c>
      <c r="B2905" s="1">
        <v>1185732</v>
      </c>
      <c r="C2905" s="2">
        <v>44654</v>
      </c>
      <c r="D2905" s="1" t="s">
        <v>26</v>
      </c>
      <c r="E2905" s="1" t="s">
        <v>96</v>
      </c>
      <c r="F2905" s="1" t="s">
        <v>97</v>
      </c>
      <c r="G2905" s="1" t="s">
        <v>18</v>
      </c>
      <c r="H2905" s="1">
        <v>49</v>
      </c>
      <c r="I2905" s="1" t="s">
        <v>124</v>
      </c>
      <c r="J2905" s="3">
        <v>0.5</v>
      </c>
      <c r="K2905" s="4">
        <v>2250</v>
      </c>
      <c r="L2905" s="5">
        <f t="shared" si="22"/>
        <v>1125</v>
      </c>
      <c r="M2905" s="5">
        <f t="shared" si="23"/>
        <v>450</v>
      </c>
      <c r="N2905" s="6">
        <v>0.4</v>
      </c>
    </row>
    <row r="2906" spans="1:14" ht="15.75" customHeight="1" x14ac:dyDescent="0.45">
      <c r="A2906" s="1" t="s">
        <v>119</v>
      </c>
      <c r="B2906" s="1">
        <v>1185732</v>
      </c>
      <c r="C2906" s="2">
        <v>44685</v>
      </c>
      <c r="D2906" s="1" t="s">
        <v>26</v>
      </c>
      <c r="E2906" s="1" t="s">
        <v>96</v>
      </c>
      <c r="F2906" s="1" t="s">
        <v>97</v>
      </c>
      <c r="G2906" s="1" t="s">
        <v>13</v>
      </c>
      <c r="H2906" s="1">
        <v>59</v>
      </c>
      <c r="I2906" s="1" t="s">
        <v>124</v>
      </c>
      <c r="J2906" s="3">
        <v>0.6</v>
      </c>
      <c r="K2906" s="4">
        <v>4950</v>
      </c>
      <c r="L2906" s="5">
        <f t="shared" si="22"/>
        <v>2970</v>
      </c>
      <c r="M2906" s="5">
        <f t="shared" si="23"/>
        <v>891</v>
      </c>
      <c r="N2906" s="6">
        <v>0.3</v>
      </c>
    </row>
    <row r="2907" spans="1:14" ht="15.75" customHeight="1" x14ac:dyDescent="0.45">
      <c r="A2907" s="1" t="s">
        <v>119</v>
      </c>
      <c r="B2907" s="1">
        <v>1185732</v>
      </c>
      <c r="C2907" s="2">
        <v>44685</v>
      </c>
      <c r="D2907" s="1" t="s">
        <v>26</v>
      </c>
      <c r="E2907" s="1" t="s">
        <v>96</v>
      </c>
      <c r="F2907" s="1" t="s">
        <v>97</v>
      </c>
      <c r="G2907" s="1" t="s">
        <v>14</v>
      </c>
      <c r="H2907" s="1">
        <v>26</v>
      </c>
      <c r="I2907" s="1" t="s">
        <v>123</v>
      </c>
      <c r="J2907" s="3">
        <v>0.4</v>
      </c>
      <c r="K2907" s="4">
        <v>2000</v>
      </c>
      <c r="L2907" s="5">
        <f t="shared" si="22"/>
        <v>800</v>
      </c>
      <c r="M2907" s="5">
        <f t="shared" si="23"/>
        <v>280</v>
      </c>
      <c r="N2907" s="6">
        <v>0.35</v>
      </c>
    </row>
    <row r="2908" spans="1:14" ht="15.75" customHeight="1" x14ac:dyDescent="0.45">
      <c r="A2908" s="1" t="s">
        <v>119</v>
      </c>
      <c r="B2908" s="1">
        <v>1185732</v>
      </c>
      <c r="C2908" s="2">
        <v>44685</v>
      </c>
      <c r="D2908" s="1" t="s">
        <v>26</v>
      </c>
      <c r="E2908" s="1" t="s">
        <v>96</v>
      </c>
      <c r="F2908" s="1" t="s">
        <v>97</v>
      </c>
      <c r="G2908" s="1" t="s">
        <v>15</v>
      </c>
      <c r="H2908" s="1">
        <v>52</v>
      </c>
      <c r="I2908" s="1" t="s">
        <v>123</v>
      </c>
      <c r="J2908" s="3">
        <v>0.35000000000000003</v>
      </c>
      <c r="K2908" s="4">
        <v>1750</v>
      </c>
      <c r="L2908" s="5">
        <f t="shared" si="22"/>
        <v>612.50000000000011</v>
      </c>
      <c r="M2908" s="5">
        <f t="shared" si="23"/>
        <v>183.75000000000003</v>
      </c>
      <c r="N2908" s="6">
        <v>0.3</v>
      </c>
    </row>
    <row r="2909" spans="1:14" ht="15.75" customHeight="1" x14ac:dyDescent="0.45">
      <c r="A2909" s="1" t="s">
        <v>119</v>
      </c>
      <c r="B2909" s="1">
        <v>1185732</v>
      </c>
      <c r="C2909" s="2">
        <v>44685</v>
      </c>
      <c r="D2909" s="1" t="s">
        <v>26</v>
      </c>
      <c r="E2909" s="1" t="s">
        <v>96</v>
      </c>
      <c r="F2909" s="1" t="s">
        <v>97</v>
      </c>
      <c r="G2909" s="1" t="s">
        <v>16</v>
      </c>
      <c r="H2909" s="1">
        <v>22</v>
      </c>
      <c r="I2909" s="1" t="s">
        <v>123</v>
      </c>
      <c r="J2909" s="3">
        <v>0.35000000000000003</v>
      </c>
      <c r="K2909" s="4">
        <v>1500</v>
      </c>
      <c r="L2909" s="5">
        <f t="shared" si="22"/>
        <v>525</v>
      </c>
      <c r="M2909" s="5">
        <f t="shared" si="23"/>
        <v>157.5</v>
      </c>
      <c r="N2909" s="6">
        <v>0.3</v>
      </c>
    </row>
    <row r="2910" spans="1:14" ht="15.75" customHeight="1" x14ac:dyDescent="0.45">
      <c r="A2910" s="1" t="s">
        <v>119</v>
      </c>
      <c r="B2910" s="1">
        <v>1185732</v>
      </c>
      <c r="C2910" s="2">
        <v>44685</v>
      </c>
      <c r="D2910" s="1" t="s">
        <v>26</v>
      </c>
      <c r="E2910" s="1" t="s">
        <v>96</v>
      </c>
      <c r="F2910" s="1" t="s">
        <v>97</v>
      </c>
      <c r="G2910" s="1" t="s">
        <v>17</v>
      </c>
      <c r="H2910" s="1">
        <v>24</v>
      </c>
      <c r="I2910" s="1" t="s">
        <v>123</v>
      </c>
      <c r="J2910" s="3">
        <v>0.44999999999999996</v>
      </c>
      <c r="K2910" s="4">
        <v>1750</v>
      </c>
      <c r="L2910" s="5">
        <f t="shared" si="22"/>
        <v>787.49999999999989</v>
      </c>
      <c r="M2910" s="5">
        <f t="shared" si="23"/>
        <v>393.74999999999994</v>
      </c>
      <c r="N2910" s="6">
        <v>0.5</v>
      </c>
    </row>
    <row r="2911" spans="1:14" ht="15.75" customHeight="1" x14ac:dyDescent="0.45">
      <c r="A2911" s="1" t="s">
        <v>119</v>
      </c>
      <c r="B2911" s="1">
        <v>1185732</v>
      </c>
      <c r="C2911" s="2">
        <v>44685</v>
      </c>
      <c r="D2911" s="1" t="s">
        <v>26</v>
      </c>
      <c r="E2911" s="1" t="s">
        <v>96</v>
      </c>
      <c r="F2911" s="1" t="s">
        <v>97</v>
      </c>
      <c r="G2911" s="1" t="s">
        <v>18</v>
      </c>
      <c r="H2911" s="1">
        <v>33</v>
      </c>
      <c r="I2911" s="1" t="s">
        <v>125</v>
      </c>
      <c r="J2911" s="3">
        <v>0.49999999999999994</v>
      </c>
      <c r="K2911" s="4">
        <v>3000</v>
      </c>
      <c r="L2911" s="5">
        <f t="shared" si="22"/>
        <v>1499.9999999999998</v>
      </c>
      <c r="M2911" s="5">
        <f t="shared" si="23"/>
        <v>599.99999999999989</v>
      </c>
      <c r="N2911" s="6">
        <v>0.4</v>
      </c>
    </row>
    <row r="2912" spans="1:14" ht="15.75" customHeight="1" x14ac:dyDescent="0.45">
      <c r="A2912" s="1" t="s">
        <v>119</v>
      </c>
      <c r="B2912" s="1">
        <v>1185732</v>
      </c>
      <c r="C2912" s="2">
        <v>44715</v>
      </c>
      <c r="D2912" s="1" t="s">
        <v>26</v>
      </c>
      <c r="E2912" s="1" t="s">
        <v>96</v>
      </c>
      <c r="F2912" s="1" t="s">
        <v>97</v>
      </c>
      <c r="G2912" s="1" t="s">
        <v>13</v>
      </c>
      <c r="H2912" s="1">
        <v>46</v>
      </c>
      <c r="I2912" s="1" t="s">
        <v>126</v>
      </c>
      <c r="J2912" s="3">
        <v>0.35000000000000003</v>
      </c>
      <c r="K2912" s="4">
        <v>5500</v>
      </c>
      <c r="L2912" s="5">
        <f t="shared" si="22"/>
        <v>1925.0000000000002</v>
      </c>
      <c r="M2912" s="5">
        <f t="shared" si="23"/>
        <v>577.5</v>
      </c>
      <c r="N2912" s="6">
        <v>0.3</v>
      </c>
    </row>
    <row r="2913" spans="1:14" ht="15.75" customHeight="1" x14ac:dyDescent="0.45">
      <c r="A2913" s="1" t="s">
        <v>119</v>
      </c>
      <c r="B2913" s="1">
        <v>1185732</v>
      </c>
      <c r="C2913" s="2">
        <v>44715</v>
      </c>
      <c r="D2913" s="1" t="s">
        <v>26</v>
      </c>
      <c r="E2913" s="1" t="s">
        <v>96</v>
      </c>
      <c r="F2913" s="1" t="s">
        <v>97</v>
      </c>
      <c r="G2913" s="1" t="s">
        <v>14</v>
      </c>
      <c r="H2913" s="1">
        <v>37</v>
      </c>
      <c r="I2913" s="1" t="s">
        <v>123</v>
      </c>
      <c r="J2913" s="3">
        <v>0.3000000000000001</v>
      </c>
      <c r="K2913" s="4">
        <v>3000</v>
      </c>
      <c r="L2913" s="5">
        <f t="shared" si="22"/>
        <v>900.00000000000034</v>
      </c>
      <c r="M2913" s="5">
        <f t="shared" si="23"/>
        <v>315.00000000000011</v>
      </c>
      <c r="N2913" s="6">
        <v>0.35</v>
      </c>
    </row>
    <row r="2914" spans="1:14" ht="15.75" customHeight="1" x14ac:dyDescent="0.45">
      <c r="A2914" s="1" t="s">
        <v>119</v>
      </c>
      <c r="B2914" s="1">
        <v>1185732</v>
      </c>
      <c r="C2914" s="2">
        <v>44715</v>
      </c>
      <c r="D2914" s="1" t="s">
        <v>26</v>
      </c>
      <c r="E2914" s="1" t="s">
        <v>96</v>
      </c>
      <c r="F2914" s="1" t="s">
        <v>97</v>
      </c>
      <c r="G2914" s="1" t="s">
        <v>15</v>
      </c>
      <c r="H2914" s="1">
        <v>53</v>
      </c>
      <c r="I2914" s="1" t="s">
        <v>126</v>
      </c>
      <c r="J2914" s="3">
        <v>0.25000000000000006</v>
      </c>
      <c r="K2914" s="4">
        <v>2000</v>
      </c>
      <c r="L2914" s="5">
        <f t="shared" si="22"/>
        <v>500.00000000000011</v>
      </c>
      <c r="M2914" s="5">
        <f t="shared" si="23"/>
        <v>150.00000000000003</v>
      </c>
      <c r="N2914" s="6">
        <v>0.3</v>
      </c>
    </row>
    <row r="2915" spans="1:14" ht="15.75" customHeight="1" x14ac:dyDescent="0.45">
      <c r="A2915" s="1" t="s">
        <v>119</v>
      </c>
      <c r="B2915" s="1">
        <v>1185732</v>
      </c>
      <c r="C2915" s="2">
        <v>44715</v>
      </c>
      <c r="D2915" s="1" t="s">
        <v>26</v>
      </c>
      <c r="E2915" s="1" t="s">
        <v>96</v>
      </c>
      <c r="F2915" s="1" t="s">
        <v>97</v>
      </c>
      <c r="G2915" s="1" t="s">
        <v>16</v>
      </c>
      <c r="H2915" s="1">
        <v>43</v>
      </c>
      <c r="I2915" s="1" t="s">
        <v>124</v>
      </c>
      <c r="J2915" s="3">
        <v>0.25000000000000006</v>
      </c>
      <c r="K2915" s="4">
        <v>1750</v>
      </c>
      <c r="L2915" s="5">
        <f t="shared" si="22"/>
        <v>437.50000000000011</v>
      </c>
      <c r="M2915" s="5">
        <f t="shared" si="23"/>
        <v>131.25000000000003</v>
      </c>
      <c r="N2915" s="6">
        <v>0.3</v>
      </c>
    </row>
    <row r="2916" spans="1:14" ht="15.75" customHeight="1" x14ac:dyDescent="0.45">
      <c r="A2916" s="1" t="s">
        <v>119</v>
      </c>
      <c r="B2916" s="1">
        <v>1185732</v>
      </c>
      <c r="C2916" s="2">
        <v>44715</v>
      </c>
      <c r="D2916" s="1" t="s">
        <v>26</v>
      </c>
      <c r="E2916" s="1" t="s">
        <v>96</v>
      </c>
      <c r="F2916" s="1" t="s">
        <v>97</v>
      </c>
      <c r="G2916" s="1" t="s">
        <v>17</v>
      </c>
      <c r="H2916" s="1">
        <v>55</v>
      </c>
      <c r="I2916" s="1" t="s">
        <v>124</v>
      </c>
      <c r="J2916" s="3">
        <v>0.35000000000000003</v>
      </c>
      <c r="K2916" s="4">
        <v>1750</v>
      </c>
      <c r="L2916" s="5">
        <f t="shared" si="22"/>
        <v>612.50000000000011</v>
      </c>
      <c r="M2916" s="5">
        <f t="shared" si="23"/>
        <v>306.25000000000006</v>
      </c>
      <c r="N2916" s="6">
        <v>0.5</v>
      </c>
    </row>
    <row r="2917" spans="1:14" ht="15.75" customHeight="1" x14ac:dyDescent="0.45">
      <c r="A2917" s="1" t="s">
        <v>119</v>
      </c>
      <c r="B2917" s="1">
        <v>1185732</v>
      </c>
      <c r="C2917" s="2">
        <v>44715</v>
      </c>
      <c r="D2917" s="1" t="s">
        <v>26</v>
      </c>
      <c r="E2917" s="1" t="s">
        <v>96</v>
      </c>
      <c r="F2917" s="1" t="s">
        <v>97</v>
      </c>
      <c r="G2917" s="1" t="s">
        <v>18</v>
      </c>
      <c r="H2917" s="1">
        <v>19</v>
      </c>
      <c r="I2917" s="1" t="s">
        <v>126</v>
      </c>
      <c r="J2917" s="3">
        <v>0.55000000000000004</v>
      </c>
      <c r="K2917" s="4">
        <v>3250</v>
      </c>
      <c r="L2917" s="5">
        <f t="shared" si="22"/>
        <v>1787.5000000000002</v>
      </c>
      <c r="M2917" s="5">
        <f t="shared" si="23"/>
        <v>715.00000000000011</v>
      </c>
      <c r="N2917" s="6">
        <v>0.4</v>
      </c>
    </row>
    <row r="2918" spans="1:14" ht="15.75" customHeight="1" x14ac:dyDescent="0.45">
      <c r="A2918" s="1" t="s">
        <v>119</v>
      </c>
      <c r="B2918" s="1">
        <v>1185732</v>
      </c>
      <c r="C2918" s="2">
        <v>44744</v>
      </c>
      <c r="D2918" s="1" t="s">
        <v>26</v>
      </c>
      <c r="E2918" s="1" t="s">
        <v>96</v>
      </c>
      <c r="F2918" s="1" t="s">
        <v>97</v>
      </c>
      <c r="G2918" s="1" t="s">
        <v>13</v>
      </c>
      <c r="H2918" s="1">
        <v>32</v>
      </c>
      <c r="I2918" s="1" t="s">
        <v>123</v>
      </c>
      <c r="J2918" s="3">
        <v>0.5</v>
      </c>
      <c r="K2918" s="4">
        <v>5500</v>
      </c>
      <c r="L2918" s="5">
        <f t="shared" ref="L2918:L3172" si="24">J2918*K2918</f>
        <v>2750</v>
      </c>
      <c r="M2918" s="5">
        <f t="shared" ref="M2918:M3172" si="25">L2918*N2918</f>
        <v>825</v>
      </c>
      <c r="N2918" s="6">
        <v>0.3</v>
      </c>
    </row>
    <row r="2919" spans="1:14" ht="15.75" customHeight="1" x14ac:dyDescent="0.45">
      <c r="A2919" s="1" t="s">
        <v>119</v>
      </c>
      <c r="B2919" s="1">
        <v>1185732</v>
      </c>
      <c r="C2919" s="2">
        <v>44744</v>
      </c>
      <c r="D2919" s="1" t="s">
        <v>26</v>
      </c>
      <c r="E2919" s="1" t="s">
        <v>96</v>
      </c>
      <c r="F2919" s="1" t="s">
        <v>97</v>
      </c>
      <c r="G2919" s="1" t="s">
        <v>14</v>
      </c>
      <c r="H2919" s="1">
        <v>28</v>
      </c>
      <c r="I2919" s="1" t="s">
        <v>124</v>
      </c>
      <c r="J2919" s="3">
        <v>0.45000000000000007</v>
      </c>
      <c r="K2919" s="4">
        <v>3000</v>
      </c>
      <c r="L2919" s="5">
        <f t="shared" si="24"/>
        <v>1350.0000000000002</v>
      </c>
      <c r="M2919" s="5">
        <f t="shared" si="25"/>
        <v>472.50000000000006</v>
      </c>
      <c r="N2919" s="6">
        <v>0.35</v>
      </c>
    </row>
    <row r="2920" spans="1:14" ht="15.75" customHeight="1" x14ac:dyDescent="0.45">
      <c r="A2920" s="1" t="s">
        <v>119</v>
      </c>
      <c r="B2920" s="1">
        <v>1185732</v>
      </c>
      <c r="C2920" s="2">
        <v>44744</v>
      </c>
      <c r="D2920" s="1" t="s">
        <v>26</v>
      </c>
      <c r="E2920" s="1" t="s">
        <v>96</v>
      </c>
      <c r="F2920" s="1" t="s">
        <v>97</v>
      </c>
      <c r="G2920" s="1" t="s">
        <v>15</v>
      </c>
      <c r="H2920" s="1">
        <v>46</v>
      </c>
      <c r="I2920" s="1" t="s">
        <v>125</v>
      </c>
      <c r="J2920" s="3">
        <v>0.4</v>
      </c>
      <c r="K2920" s="4">
        <v>2250</v>
      </c>
      <c r="L2920" s="5">
        <f t="shared" si="24"/>
        <v>900</v>
      </c>
      <c r="M2920" s="5">
        <f t="shared" si="25"/>
        <v>270</v>
      </c>
      <c r="N2920" s="6">
        <v>0.3</v>
      </c>
    </row>
    <row r="2921" spans="1:14" ht="15.75" customHeight="1" x14ac:dyDescent="0.45">
      <c r="A2921" s="1" t="s">
        <v>119</v>
      </c>
      <c r="B2921" s="1">
        <v>1185732</v>
      </c>
      <c r="C2921" s="2">
        <v>44744</v>
      </c>
      <c r="D2921" s="1" t="s">
        <v>26</v>
      </c>
      <c r="E2921" s="1" t="s">
        <v>96</v>
      </c>
      <c r="F2921" s="1" t="s">
        <v>97</v>
      </c>
      <c r="G2921" s="1" t="s">
        <v>16</v>
      </c>
      <c r="H2921" s="1">
        <v>20</v>
      </c>
      <c r="I2921" s="1" t="s">
        <v>126</v>
      </c>
      <c r="J2921" s="3">
        <v>0.4</v>
      </c>
      <c r="K2921" s="4">
        <v>1750</v>
      </c>
      <c r="L2921" s="5">
        <f t="shared" si="24"/>
        <v>700</v>
      </c>
      <c r="M2921" s="5">
        <f t="shared" si="25"/>
        <v>210</v>
      </c>
      <c r="N2921" s="6">
        <v>0.3</v>
      </c>
    </row>
    <row r="2922" spans="1:14" ht="15.75" customHeight="1" x14ac:dyDescent="0.45">
      <c r="A2922" s="1" t="s">
        <v>119</v>
      </c>
      <c r="B2922" s="1">
        <v>1185732</v>
      </c>
      <c r="C2922" s="2">
        <v>44744</v>
      </c>
      <c r="D2922" s="1" t="s">
        <v>26</v>
      </c>
      <c r="E2922" s="1" t="s">
        <v>96</v>
      </c>
      <c r="F2922" s="1" t="s">
        <v>97</v>
      </c>
      <c r="G2922" s="1" t="s">
        <v>17</v>
      </c>
      <c r="H2922" s="1">
        <v>25</v>
      </c>
      <c r="I2922" s="1" t="s">
        <v>123</v>
      </c>
      <c r="J2922" s="3">
        <v>0.5</v>
      </c>
      <c r="K2922" s="4">
        <v>2000</v>
      </c>
      <c r="L2922" s="5">
        <f t="shared" si="24"/>
        <v>1000</v>
      </c>
      <c r="M2922" s="5">
        <f t="shared" si="25"/>
        <v>500</v>
      </c>
      <c r="N2922" s="6">
        <v>0.5</v>
      </c>
    </row>
    <row r="2923" spans="1:14" ht="15.75" customHeight="1" x14ac:dyDescent="0.45">
      <c r="A2923" s="1" t="s">
        <v>119</v>
      </c>
      <c r="B2923" s="1">
        <v>1185732</v>
      </c>
      <c r="C2923" s="2">
        <v>44744</v>
      </c>
      <c r="D2923" s="1" t="s">
        <v>26</v>
      </c>
      <c r="E2923" s="1" t="s">
        <v>96</v>
      </c>
      <c r="F2923" s="1" t="s">
        <v>97</v>
      </c>
      <c r="G2923" s="1" t="s">
        <v>18</v>
      </c>
      <c r="H2923" s="1">
        <v>17</v>
      </c>
      <c r="I2923" s="1" t="s">
        <v>126</v>
      </c>
      <c r="J2923" s="3">
        <v>0.55000000000000004</v>
      </c>
      <c r="K2923" s="4">
        <v>3750</v>
      </c>
      <c r="L2923" s="5">
        <f t="shared" si="24"/>
        <v>2062.5</v>
      </c>
      <c r="M2923" s="5">
        <f t="shared" si="25"/>
        <v>825</v>
      </c>
      <c r="N2923" s="6">
        <v>0.4</v>
      </c>
    </row>
    <row r="2924" spans="1:14" ht="15.75" customHeight="1" x14ac:dyDescent="0.45">
      <c r="A2924" s="1" t="s">
        <v>119</v>
      </c>
      <c r="B2924" s="1">
        <v>1185732</v>
      </c>
      <c r="C2924" s="2">
        <v>44776</v>
      </c>
      <c r="D2924" s="1" t="s">
        <v>26</v>
      </c>
      <c r="E2924" s="1" t="s">
        <v>96</v>
      </c>
      <c r="F2924" s="1" t="s">
        <v>97</v>
      </c>
      <c r="G2924" s="1" t="s">
        <v>13</v>
      </c>
      <c r="H2924" s="1">
        <v>43</v>
      </c>
      <c r="I2924" s="1" t="s">
        <v>125</v>
      </c>
      <c r="J2924" s="3">
        <v>0.5</v>
      </c>
      <c r="K2924" s="4">
        <v>5250</v>
      </c>
      <c r="L2924" s="5">
        <f t="shared" si="24"/>
        <v>2625</v>
      </c>
      <c r="M2924" s="5">
        <f t="shared" si="25"/>
        <v>787.5</v>
      </c>
      <c r="N2924" s="6">
        <v>0.3</v>
      </c>
    </row>
    <row r="2925" spans="1:14" ht="15.75" customHeight="1" x14ac:dyDescent="0.45">
      <c r="A2925" s="1" t="s">
        <v>119</v>
      </c>
      <c r="B2925" s="1">
        <v>1185732</v>
      </c>
      <c r="C2925" s="2">
        <v>44776</v>
      </c>
      <c r="D2925" s="1" t="s">
        <v>26</v>
      </c>
      <c r="E2925" s="1" t="s">
        <v>96</v>
      </c>
      <c r="F2925" s="1" t="s">
        <v>97</v>
      </c>
      <c r="G2925" s="1" t="s">
        <v>14</v>
      </c>
      <c r="H2925" s="1">
        <v>60</v>
      </c>
      <c r="I2925" s="1" t="s">
        <v>124</v>
      </c>
      <c r="J2925" s="3">
        <v>0.45000000000000007</v>
      </c>
      <c r="K2925" s="4">
        <v>3000</v>
      </c>
      <c r="L2925" s="5">
        <f t="shared" si="24"/>
        <v>1350.0000000000002</v>
      </c>
      <c r="M2925" s="5">
        <f t="shared" si="25"/>
        <v>472.50000000000006</v>
      </c>
      <c r="N2925" s="6">
        <v>0.35</v>
      </c>
    </row>
    <row r="2926" spans="1:14" ht="15.75" customHeight="1" x14ac:dyDescent="0.45">
      <c r="A2926" s="1" t="s">
        <v>119</v>
      </c>
      <c r="B2926" s="1">
        <v>1185732</v>
      </c>
      <c r="C2926" s="2">
        <v>44776</v>
      </c>
      <c r="D2926" s="1" t="s">
        <v>26</v>
      </c>
      <c r="E2926" s="1" t="s">
        <v>96</v>
      </c>
      <c r="F2926" s="1" t="s">
        <v>97</v>
      </c>
      <c r="G2926" s="1" t="s">
        <v>15</v>
      </c>
      <c r="H2926" s="1">
        <v>42</v>
      </c>
      <c r="I2926" s="1" t="s">
        <v>126</v>
      </c>
      <c r="J2926" s="3">
        <v>0.4</v>
      </c>
      <c r="K2926" s="4">
        <v>2250</v>
      </c>
      <c r="L2926" s="5">
        <f t="shared" si="24"/>
        <v>900</v>
      </c>
      <c r="M2926" s="5">
        <f t="shared" si="25"/>
        <v>270</v>
      </c>
      <c r="N2926" s="6">
        <v>0.3</v>
      </c>
    </row>
    <row r="2927" spans="1:14" ht="15.75" customHeight="1" x14ac:dyDescent="0.45">
      <c r="A2927" s="1" t="s">
        <v>119</v>
      </c>
      <c r="B2927" s="1">
        <v>1185732</v>
      </c>
      <c r="C2927" s="2">
        <v>44776</v>
      </c>
      <c r="D2927" s="1" t="s">
        <v>26</v>
      </c>
      <c r="E2927" s="1" t="s">
        <v>96</v>
      </c>
      <c r="F2927" s="1" t="s">
        <v>97</v>
      </c>
      <c r="G2927" s="1" t="s">
        <v>16</v>
      </c>
      <c r="H2927" s="1">
        <v>20</v>
      </c>
      <c r="I2927" s="1" t="s">
        <v>125</v>
      </c>
      <c r="J2927" s="3">
        <v>0.4</v>
      </c>
      <c r="K2927" s="4">
        <v>2000</v>
      </c>
      <c r="L2927" s="5">
        <f t="shared" si="24"/>
        <v>800</v>
      </c>
      <c r="M2927" s="5">
        <f t="shared" si="25"/>
        <v>240</v>
      </c>
      <c r="N2927" s="6">
        <v>0.3</v>
      </c>
    </row>
    <row r="2928" spans="1:14" ht="15.75" customHeight="1" x14ac:dyDescent="0.45">
      <c r="A2928" s="1" t="s">
        <v>119</v>
      </c>
      <c r="B2928" s="1">
        <v>1185732</v>
      </c>
      <c r="C2928" s="2">
        <v>44776</v>
      </c>
      <c r="D2928" s="1" t="s">
        <v>26</v>
      </c>
      <c r="E2928" s="1" t="s">
        <v>96</v>
      </c>
      <c r="F2928" s="1" t="s">
        <v>97</v>
      </c>
      <c r="G2928" s="1" t="s">
        <v>17</v>
      </c>
      <c r="H2928" s="1">
        <v>19</v>
      </c>
      <c r="I2928" s="1" t="s">
        <v>126</v>
      </c>
      <c r="J2928" s="3">
        <v>0.5</v>
      </c>
      <c r="K2928" s="4">
        <v>1750</v>
      </c>
      <c r="L2928" s="5">
        <f t="shared" si="24"/>
        <v>875</v>
      </c>
      <c r="M2928" s="5">
        <f t="shared" si="25"/>
        <v>437.5</v>
      </c>
      <c r="N2928" s="6">
        <v>0.5</v>
      </c>
    </row>
    <row r="2929" spans="1:14" ht="15.75" customHeight="1" x14ac:dyDescent="0.45">
      <c r="A2929" s="1" t="s">
        <v>119</v>
      </c>
      <c r="B2929" s="1">
        <v>1185732</v>
      </c>
      <c r="C2929" s="2">
        <v>44776</v>
      </c>
      <c r="D2929" s="1" t="s">
        <v>26</v>
      </c>
      <c r="E2929" s="1" t="s">
        <v>96</v>
      </c>
      <c r="F2929" s="1" t="s">
        <v>97</v>
      </c>
      <c r="G2929" s="1" t="s">
        <v>18</v>
      </c>
      <c r="H2929" s="1">
        <v>37</v>
      </c>
      <c r="I2929" s="1" t="s">
        <v>123</v>
      </c>
      <c r="J2929" s="3">
        <v>0.55000000000000004</v>
      </c>
      <c r="K2929" s="4">
        <v>3500</v>
      </c>
      <c r="L2929" s="5">
        <f t="shared" si="24"/>
        <v>1925.0000000000002</v>
      </c>
      <c r="M2929" s="5">
        <f t="shared" si="25"/>
        <v>770.00000000000011</v>
      </c>
      <c r="N2929" s="6">
        <v>0.4</v>
      </c>
    </row>
    <row r="2930" spans="1:14" ht="15.75" customHeight="1" x14ac:dyDescent="0.45">
      <c r="A2930" s="1" t="s">
        <v>119</v>
      </c>
      <c r="B2930" s="1">
        <v>1185732</v>
      </c>
      <c r="C2930" s="2">
        <v>44808</v>
      </c>
      <c r="D2930" s="1" t="s">
        <v>26</v>
      </c>
      <c r="E2930" s="1" t="s">
        <v>96</v>
      </c>
      <c r="F2930" s="1" t="s">
        <v>97</v>
      </c>
      <c r="G2930" s="1" t="s">
        <v>13</v>
      </c>
      <c r="H2930" s="1">
        <v>51</v>
      </c>
      <c r="I2930" s="1" t="s">
        <v>125</v>
      </c>
      <c r="J2930" s="3">
        <v>0.35000000000000003</v>
      </c>
      <c r="K2930" s="4">
        <v>4750</v>
      </c>
      <c r="L2930" s="5">
        <f t="shared" si="24"/>
        <v>1662.5000000000002</v>
      </c>
      <c r="M2930" s="5">
        <f t="shared" si="25"/>
        <v>498.75000000000006</v>
      </c>
      <c r="N2930" s="6">
        <v>0.3</v>
      </c>
    </row>
    <row r="2931" spans="1:14" ht="15.75" customHeight="1" x14ac:dyDescent="0.45">
      <c r="A2931" s="1" t="s">
        <v>119</v>
      </c>
      <c r="B2931" s="1">
        <v>1185732</v>
      </c>
      <c r="C2931" s="2">
        <v>44808</v>
      </c>
      <c r="D2931" s="1" t="s">
        <v>26</v>
      </c>
      <c r="E2931" s="1" t="s">
        <v>96</v>
      </c>
      <c r="F2931" s="1" t="s">
        <v>97</v>
      </c>
      <c r="G2931" s="1" t="s">
        <v>14</v>
      </c>
      <c r="H2931" s="1">
        <v>29</v>
      </c>
      <c r="I2931" s="1" t="s">
        <v>126</v>
      </c>
      <c r="J2931" s="3">
        <v>0.3000000000000001</v>
      </c>
      <c r="K2931" s="4">
        <v>2500</v>
      </c>
      <c r="L2931" s="5">
        <f t="shared" si="24"/>
        <v>750.00000000000023</v>
      </c>
      <c r="M2931" s="5">
        <f t="shared" si="25"/>
        <v>262.50000000000006</v>
      </c>
      <c r="N2931" s="6">
        <v>0.35</v>
      </c>
    </row>
    <row r="2932" spans="1:14" ht="15.75" customHeight="1" x14ac:dyDescent="0.45">
      <c r="A2932" s="1" t="s">
        <v>119</v>
      </c>
      <c r="B2932" s="1">
        <v>1185732</v>
      </c>
      <c r="C2932" s="2">
        <v>44808</v>
      </c>
      <c r="D2932" s="1" t="s">
        <v>26</v>
      </c>
      <c r="E2932" s="1" t="s">
        <v>96</v>
      </c>
      <c r="F2932" s="1" t="s">
        <v>97</v>
      </c>
      <c r="G2932" s="1" t="s">
        <v>15</v>
      </c>
      <c r="H2932" s="1">
        <v>22</v>
      </c>
      <c r="I2932" s="1" t="s">
        <v>124</v>
      </c>
      <c r="J2932" s="3">
        <v>0.25000000000000006</v>
      </c>
      <c r="K2932" s="4">
        <v>1500</v>
      </c>
      <c r="L2932" s="5">
        <f t="shared" si="24"/>
        <v>375.00000000000006</v>
      </c>
      <c r="M2932" s="5">
        <f t="shared" si="25"/>
        <v>112.50000000000001</v>
      </c>
      <c r="N2932" s="6">
        <v>0.3</v>
      </c>
    </row>
    <row r="2933" spans="1:14" ht="15.75" customHeight="1" x14ac:dyDescent="0.45">
      <c r="A2933" s="1" t="s">
        <v>119</v>
      </c>
      <c r="B2933" s="1">
        <v>1185732</v>
      </c>
      <c r="C2933" s="2">
        <v>44808</v>
      </c>
      <c r="D2933" s="1" t="s">
        <v>26</v>
      </c>
      <c r="E2933" s="1" t="s">
        <v>96</v>
      </c>
      <c r="F2933" s="1" t="s">
        <v>97</v>
      </c>
      <c r="G2933" s="1" t="s">
        <v>16</v>
      </c>
      <c r="H2933" s="1">
        <v>21</v>
      </c>
      <c r="I2933" s="1" t="s">
        <v>126</v>
      </c>
      <c r="J2933" s="3">
        <v>0.25000000000000006</v>
      </c>
      <c r="K2933" s="4">
        <v>1250</v>
      </c>
      <c r="L2933" s="5">
        <f t="shared" si="24"/>
        <v>312.50000000000006</v>
      </c>
      <c r="M2933" s="5">
        <f t="shared" si="25"/>
        <v>93.750000000000014</v>
      </c>
      <c r="N2933" s="6">
        <v>0.3</v>
      </c>
    </row>
    <row r="2934" spans="1:14" ht="15.75" customHeight="1" x14ac:dyDescent="0.45">
      <c r="A2934" s="1" t="s">
        <v>119</v>
      </c>
      <c r="B2934" s="1">
        <v>1185732</v>
      </c>
      <c r="C2934" s="2">
        <v>44808</v>
      </c>
      <c r="D2934" s="1" t="s">
        <v>26</v>
      </c>
      <c r="E2934" s="1" t="s">
        <v>96</v>
      </c>
      <c r="F2934" s="1" t="s">
        <v>97</v>
      </c>
      <c r="G2934" s="1" t="s">
        <v>17</v>
      </c>
      <c r="H2934" s="1">
        <v>15</v>
      </c>
      <c r="I2934" s="1" t="s">
        <v>124</v>
      </c>
      <c r="J2934" s="3">
        <v>0.35000000000000003</v>
      </c>
      <c r="K2934" s="4">
        <v>1250</v>
      </c>
      <c r="L2934" s="5">
        <f t="shared" si="24"/>
        <v>437.50000000000006</v>
      </c>
      <c r="M2934" s="5">
        <f t="shared" si="25"/>
        <v>218.75000000000003</v>
      </c>
      <c r="N2934" s="6">
        <v>0.5</v>
      </c>
    </row>
    <row r="2935" spans="1:14" ht="15.75" customHeight="1" x14ac:dyDescent="0.45">
      <c r="A2935" s="1" t="s">
        <v>119</v>
      </c>
      <c r="B2935" s="1">
        <v>1185732</v>
      </c>
      <c r="C2935" s="2">
        <v>44808</v>
      </c>
      <c r="D2935" s="1" t="s">
        <v>26</v>
      </c>
      <c r="E2935" s="1" t="s">
        <v>96</v>
      </c>
      <c r="F2935" s="1" t="s">
        <v>97</v>
      </c>
      <c r="G2935" s="1" t="s">
        <v>18</v>
      </c>
      <c r="H2935" s="1">
        <v>40</v>
      </c>
      <c r="I2935" s="1" t="s">
        <v>124</v>
      </c>
      <c r="J2935" s="3">
        <v>0.4</v>
      </c>
      <c r="K2935" s="4">
        <v>2000</v>
      </c>
      <c r="L2935" s="5">
        <f t="shared" si="24"/>
        <v>800</v>
      </c>
      <c r="M2935" s="5">
        <f t="shared" si="25"/>
        <v>320</v>
      </c>
      <c r="N2935" s="6">
        <v>0.4</v>
      </c>
    </row>
    <row r="2936" spans="1:14" ht="15.75" customHeight="1" x14ac:dyDescent="0.45">
      <c r="A2936" s="1" t="s">
        <v>119</v>
      </c>
      <c r="B2936" s="1">
        <v>1185732</v>
      </c>
      <c r="C2936" s="2">
        <v>44837</v>
      </c>
      <c r="D2936" s="1" t="s">
        <v>26</v>
      </c>
      <c r="E2936" s="1" t="s">
        <v>96</v>
      </c>
      <c r="F2936" s="1" t="s">
        <v>97</v>
      </c>
      <c r="G2936" s="1" t="s">
        <v>13</v>
      </c>
      <c r="H2936" s="1">
        <v>44</v>
      </c>
      <c r="I2936" s="1" t="s">
        <v>124</v>
      </c>
      <c r="J2936" s="3">
        <v>0.44999999999999996</v>
      </c>
      <c r="K2936" s="4">
        <v>3750</v>
      </c>
      <c r="L2936" s="5">
        <f t="shared" si="24"/>
        <v>1687.4999999999998</v>
      </c>
      <c r="M2936" s="5">
        <f t="shared" si="25"/>
        <v>506.24999999999989</v>
      </c>
      <c r="N2936" s="6">
        <v>0.3</v>
      </c>
    </row>
    <row r="2937" spans="1:14" ht="15.75" customHeight="1" x14ac:dyDescent="0.45">
      <c r="A2937" s="1" t="s">
        <v>119</v>
      </c>
      <c r="B2937" s="1">
        <v>1185732</v>
      </c>
      <c r="C2937" s="2">
        <v>44837</v>
      </c>
      <c r="D2937" s="1" t="s">
        <v>26</v>
      </c>
      <c r="E2937" s="1" t="s">
        <v>96</v>
      </c>
      <c r="F2937" s="1" t="s">
        <v>97</v>
      </c>
      <c r="G2937" s="1" t="s">
        <v>14</v>
      </c>
      <c r="H2937" s="1">
        <v>35</v>
      </c>
      <c r="I2937" s="1" t="s">
        <v>125</v>
      </c>
      <c r="J2937" s="3">
        <v>0.35000000000000003</v>
      </c>
      <c r="K2937" s="4">
        <v>2250</v>
      </c>
      <c r="L2937" s="5">
        <f t="shared" si="24"/>
        <v>787.50000000000011</v>
      </c>
      <c r="M2937" s="5">
        <f t="shared" si="25"/>
        <v>275.625</v>
      </c>
      <c r="N2937" s="6">
        <v>0.35</v>
      </c>
    </row>
    <row r="2938" spans="1:14" ht="15.75" customHeight="1" x14ac:dyDescent="0.45">
      <c r="A2938" s="1" t="s">
        <v>119</v>
      </c>
      <c r="B2938" s="1">
        <v>1185732</v>
      </c>
      <c r="C2938" s="2">
        <v>44837</v>
      </c>
      <c r="D2938" s="1" t="s">
        <v>26</v>
      </c>
      <c r="E2938" s="1" t="s">
        <v>96</v>
      </c>
      <c r="F2938" s="1" t="s">
        <v>97</v>
      </c>
      <c r="G2938" s="1" t="s">
        <v>15</v>
      </c>
      <c r="H2938" s="1">
        <v>24</v>
      </c>
      <c r="I2938" s="1" t="s">
        <v>125</v>
      </c>
      <c r="J2938" s="3">
        <v>0.35000000000000003</v>
      </c>
      <c r="K2938" s="4">
        <v>1250</v>
      </c>
      <c r="L2938" s="5">
        <f t="shared" si="24"/>
        <v>437.50000000000006</v>
      </c>
      <c r="M2938" s="5">
        <f t="shared" si="25"/>
        <v>131.25</v>
      </c>
      <c r="N2938" s="6">
        <v>0.3</v>
      </c>
    </row>
    <row r="2939" spans="1:14" ht="15.75" customHeight="1" x14ac:dyDescent="0.45">
      <c r="A2939" s="1" t="s">
        <v>119</v>
      </c>
      <c r="B2939" s="1">
        <v>1185732</v>
      </c>
      <c r="C2939" s="2">
        <v>44837</v>
      </c>
      <c r="D2939" s="1" t="s">
        <v>26</v>
      </c>
      <c r="E2939" s="1" t="s">
        <v>96</v>
      </c>
      <c r="F2939" s="1" t="s">
        <v>97</v>
      </c>
      <c r="G2939" s="1" t="s">
        <v>16</v>
      </c>
      <c r="H2939" s="1">
        <v>21</v>
      </c>
      <c r="I2939" s="1" t="s">
        <v>123</v>
      </c>
      <c r="J2939" s="3">
        <v>0.35000000000000003</v>
      </c>
      <c r="K2939" s="4">
        <v>1250</v>
      </c>
      <c r="L2939" s="5">
        <f t="shared" si="24"/>
        <v>437.50000000000006</v>
      </c>
      <c r="M2939" s="5">
        <f t="shared" si="25"/>
        <v>131.25</v>
      </c>
      <c r="N2939" s="6">
        <v>0.3</v>
      </c>
    </row>
    <row r="2940" spans="1:14" ht="15.75" customHeight="1" x14ac:dyDescent="0.45">
      <c r="A2940" s="1" t="s">
        <v>119</v>
      </c>
      <c r="B2940" s="1">
        <v>1185732</v>
      </c>
      <c r="C2940" s="2">
        <v>44837</v>
      </c>
      <c r="D2940" s="1" t="s">
        <v>26</v>
      </c>
      <c r="E2940" s="1" t="s">
        <v>96</v>
      </c>
      <c r="F2940" s="1" t="s">
        <v>97</v>
      </c>
      <c r="G2940" s="1" t="s">
        <v>17</v>
      </c>
      <c r="H2940" s="1">
        <v>35</v>
      </c>
      <c r="I2940" s="1" t="s">
        <v>126</v>
      </c>
      <c r="J2940" s="3">
        <v>0.44999999999999996</v>
      </c>
      <c r="K2940" s="4">
        <v>1250</v>
      </c>
      <c r="L2940" s="5">
        <f t="shared" si="24"/>
        <v>562.5</v>
      </c>
      <c r="M2940" s="5">
        <f t="shared" si="25"/>
        <v>281.25</v>
      </c>
      <c r="N2940" s="6">
        <v>0.5</v>
      </c>
    </row>
    <row r="2941" spans="1:14" ht="15.75" customHeight="1" x14ac:dyDescent="0.45">
      <c r="A2941" s="1" t="s">
        <v>119</v>
      </c>
      <c r="B2941" s="1">
        <v>1185732</v>
      </c>
      <c r="C2941" s="2">
        <v>44837</v>
      </c>
      <c r="D2941" s="1" t="s">
        <v>26</v>
      </c>
      <c r="E2941" s="1" t="s">
        <v>96</v>
      </c>
      <c r="F2941" s="1" t="s">
        <v>97</v>
      </c>
      <c r="G2941" s="1" t="s">
        <v>18</v>
      </c>
      <c r="H2941" s="1">
        <v>37</v>
      </c>
      <c r="I2941" s="1" t="s">
        <v>125</v>
      </c>
      <c r="J2941" s="3">
        <v>0.49999999999999983</v>
      </c>
      <c r="K2941" s="4">
        <v>2500</v>
      </c>
      <c r="L2941" s="5">
        <f t="shared" si="24"/>
        <v>1249.9999999999995</v>
      </c>
      <c r="M2941" s="5">
        <f t="shared" si="25"/>
        <v>499.99999999999983</v>
      </c>
      <c r="N2941" s="6">
        <v>0.4</v>
      </c>
    </row>
    <row r="2942" spans="1:14" ht="15.75" customHeight="1" x14ac:dyDescent="0.45">
      <c r="A2942" s="1" t="s">
        <v>119</v>
      </c>
      <c r="B2942" s="1">
        <v>1185732</v>
      </c>
      <c r="C2942" s="2">
        <v>44868</v>
      </c>
      <c r="D2942" s="1" t="s">
        <v>26</v>
      </c>
      <c r="E2942" s="1" t="s">
        <v>96</v>
      </c>
      <c r="F2942" s="1" t="s">
        <v>97</v>
      </c>
      <c r="G2942" s="1" t="s">
        <v>13</v>
      </c>
      <c r="H2942" s="1">
        <v>15</v>
      </c>
      <c r="I2942" s="1" t="s">
        <v>124</v>
      </c>
      <c r="J2942" s="3">
        <v>0.44999999999999996</v>
      </c>
      <c r="K2942" s="4">
        <v>4000</v>
      </c>
      <c r="L2942" s="5">
        <f t="shared" si="24"/>
        <v>1799.9999999999998</v>
      </c>
      <c r="M2942" s="5">
        <f t="shared" si="25"/>
        <v>539.99999999999989</v>
      </c>
      <c r="N2942" s="6">
        <v>0.3</v>
      </c>
    </row>
    <row r="2943" spans="1:14" ht="15.75" customHeight="1" x14ac:dyDescent="0.45">
      <c r="A2943" s="1" t="s">
        <v>119</v>
      </c>
      <c r="B2943" s="1">
        <v>1185732</v>
      </c>
      <c r="C2943" s="2">
        <v>44868</v>
      </c>
      <c r="D2943" s="1" t="s">
        <v>26</v>
      </c>
      <c r="E2943" s="1" t="s">
        <v>96</v>
      </c>
      <c r="F2943" s="1" t="s">
        <v>97</v>
      </c>
      <c r="G2943" s="1" t="s">
        <v>14</v>
      </c>
      <c r="H2943" s="1">
        <v>36</v>
      </c>
      <c r="I2943" s="1" t="s">
        <v>125</v>
      </c>
      <c r="J2943" s="3">
        <v>0.35000000000000003</v>
      </c>
      <c r="K2943" s="4">
        <v>3000</v>
      </c>
      <c r="L2943" s="5">
        <f t="shared" si="24"/>
        <v>1050</v>
      </c>
      <c r="M2943" s="5">
        <f t="shared" si="25"/>
        <v>367.5</v>
      </c>
      <c r="N2943" s="6">
        <v>0.35</v>
      </c>
    </row>
    <row r="2944" spans="1:14" ht="15.75" customHeight="1" x14ac:dyDescent="0.45">
      <c r="A2944" s="1" t="s">
        <v>119</v>
      </c>
      <c r="B2944" s="1">
        <v>1185732</v>
      </c>
      <c r="C2944" s="2">
        <v>44868</v>
      </c>
      <c r="D2944" s="1" t="s">
        <v>26</v>
      </c>
      <c r="E2944" s="1" t="s">
        <v>96</v>
      </c>
      <c r="F2944" s="1" t="s">
        <v>97</v>
      </c>
      <c r="G2944" s="1" t="s">
        <v>15</v>
      </c>
      <c r="H2944" s="1">
        <v>50</v>
      </c>
      <c r="I2944" s="1" t="s">
        <v>124</v>
      </c>
      <c r="J2944" s="3">
        <v>0.35000000000000003</v>
      </c>
      <c r="K2944" s="4">
        <v>2450</v>
      </c>
      <c r="L2944" s="5">
        <f t="shared" si="24"/>
        <v>857.50000000000011</v>
      </c>
      <c r="M2944" s="5">
        <f t="shared" si="25"/>
        <v>257.25</v>
      </c>
      <c r="N2944" s="6">
        <v>0.3</v>
      </c>
    </row>
    <row r="2945" spans="1:14" ht="15.75" customHeight="1" x14ac:dyDescent="0.45">
      <c r="A2945" s="1" t="s">
        <v>119</v>
      </c>
      <c r="B2945" s="1">
        <v>1185732</v>
      </c>
      <c r="C2945" s="2">
        <v>44868</v>
      </c>
      <c r="D2945" s="1" t="s">
        <v>26</v>
      </c>
      <c r="E2945" s="1" t="s">
        <v>96</v>
      </c>
      <c r="F2945" s="1" t="s">
        <v>97</v>
      </c>
      <c r="G2945" s="1" t="s">
        <v>16</v>
      </c>
      <c r="H2945" s="1">
        <v>57</v>
      </c>
      <c r="I2945" s="1" t="s">
        <v>123</v>
      </c>
      <c r="J2945" s="3">
        <v>0.35000000000000003</v>
      </c>
      <c r="K2945" s="4">
        <v>2250</v>
      </c>
      <c r="L2945" s="5">
        <f t="shared" si="24"/>
        <v>787.50000000000011</v>
      </c>
      <c r="M2945" s="5">
        <f t="shared" si="25"/>
        <v>236.25000000000003</v>
      </c>
      <c r="N2945" s="6">
        <v>0.3</v>
      </c>
    </row>
    <row r="2946" spans="1:14" ht="15.75" customHeight="1" x14ac:dyDescent="0.45">
      <c r="A2946" s="1" t="s">
        <v>119</v>
      </c>
      <c r="B2946" s="1">
        <v>1185732</v>
      </c>
      <c r="C2946" s="2">
        <v>44868</v>
      </c>
      <c r="D2946" s="1" t="s">
        <v>26</v>
      </c>
      <c r="E2946" s="1" t="s">
        <v>96</v>
      </c>
      <c r="F2946" s="1" t="s">
        <v>97</v>
      </c>
      <c r="G2946" s="1" t="s">
        <v>17</v>
      </c>
      <c r="H2946" s="1">
        <v>36</v>
      </c>
      <c r="I2946" s="1" t="s">
        <v>124</v>
      </c>
      <c r="J2946" s="3">
        <v>0.6</v>
      </c>
      <c r="K2946" s="4">
        <v>2000</v>
      </c>
      <c r="L2946" s="5">
        <f t="shared" si="24"/>
        <v>1200</v>
      </c>
      <c r="M2946" s="5">
        <f t="shared" si="25"/>
        <v>600</v>
      </c>
      <c r="N2946" s="6">
        <v>0.5</v>
      </c>
    </row>
    <row r="2947" spans="1:14" ht="15.75" customHeight="1" x14ac:dyDescent="0.45">
      <c r="A2947" s="1" t="s">
        <v>119</v>
      </c>
      <c r="B2947" s="1">
        <v>1185732</v>
      </c>
      <c r="C2947" s="2">
        <v>44868</v>
      </c>
      <c r="D2947" s="1" t="s">
        <v>26</v>
      </c>
      <c r="E2947" s="1" t="s">
        <v>96</v>
      </c>
      <c r="F2947" s="1" t="s">
        <v>97</v>
      </c>
      <c r="G2947" s="1" t="s">
        <v>18</v>
      </c>
      <c r="H2947" s="1">
        <v>55</v>
      </c>
      <c r="I2947" s="1" t="s">
        <v>123</v>
      </c>
      <c r="J2947" s="3">
        <v>0.64999999999999991</v>
      </c>
      <c r="K2947" s="4">
        <v>3000</v>
      </c>
      <c r="L2947" s="5">
        <f t="shared" si="24"/>
        <v>1949.9999999999998</v>
      </c>
      <c r="M2947" s="5">
        <f t="shared" si="25"/>
        <v>780</v>
      </c>
      <c r="N2947" s="6">
        <v>0.4</v>
      </c>
    </row>
    <row r="2948" spans="1:14" ht="15.75" customHeight="1" x14ac:dyDescent="0.45">
      <c r="A2948" s="1" t="s">
        <v>119</v>
      </c>
      <c r="B2948" s="1">
        <v>1185732</v>
      </c>
      <c r="C2948" s="2">
        <v>44897</v>
      </c>
      <c r="D2948" s="1" t="s">
        <v>26</v>
      </c>
      <c r="E2948" s="1" t="s">
        <v>96</v>
      </c>
      <c r="F2948" s="1" t="s">
        <v>97</v>
      </c>
      <c r="G2948" s="1" t="s">
        <v>13</v>
      </c>
      <c r="H2948" s="1">
        <v>20</v>
      </c>
      <c r="I2948" s="1" t="s">
        <v>123</v>
      </c>
      <c r="J2948" s="3">
        <v>0.6</v>
      </c>
      <c r="K2948" s="4">
        <v>5500</v>
      </c>
      <c r="L2948" s="5">
        <f t="shared" si="24"/>
        <v>3300</v>
      </c>
      <c r="M2948" s="5">
        <f t="shared" si="25"/>
        <v>990</v>
      </c>
      <c r="N2948" s="6">
        <v>0.3</v>
      </c>
    </row>
    <row r="2949" spans="1:14" ht="15.75" customHeight="1" x14ac:dyDescent="0.45">
      <c r="A2949" s="1" t="s">
        <v>119</v>
      </c>
      <c r="B2949" s="1">
        <v>1185732</v>
      </c>
      <c r="C2949" s="2">
        <v>44897</v>
      </c>
      <c r="D2949" s="1" t="s">
        <v>26</v>
      </c>
      <c r="E2949" s="1" t="s">
        <v>96</v>
      </c>
      <c r="F2949" s="1" t="s">
        <v>97</v>
      </c>
      <c r="G2949" s="1" t="s">
        <v>14</v>
      </c>
      <c r="H2949" s="1">
        <v>33</v>
      </c>
      <c r="I2949" s="1" t="s">
        <v>125</v>
      </c>
      <c r="J2949" s="3">
        <v>0.5</v>
      </c>
      <c r="K2949" s="4">
        <v>3500</v>
      </c>
      <c r="L2949" s="5">
        <f t="shared" si="24"/>
        <v>1750</v>
      </c>
      <c r="M2949" s="5">
        <f t="shared" si="25"/>
        <v>612.5</v>
      </c>
      <c r="N2949" s="6">
        <v>0.35</v>
      </c>
    </row>
    <row r="2950" spans="1:14" ht="15.75" customHeight="1" x14ac:dyDescent="0.45">
      <c r="A2950" s="1" t="s">
        <v>119</v>
      </c>
      <c r="B2950" s="1">
        <v>1185732</v>
      </c>
      <c r="C2950" s="2">
        <v>44897</v>
      </c>
      <c r="D2950" s="1" t="s">
        <v>26</v>
      </c>
      <c r="E2950" s="1" t="s">
        <v>96</v>
      </c>
      <c r="F2950" s="1" t="s">
        <v>97</v>
      </c>
      <c r="G2950" s="1" t="s">
        <v>15</v>
      </c>
      <c r="H2950" s="1">
        <v>35</v>
      </c>
      <c r="I2950" s="1" t="s">
        <v>126</v>
      </c>
      <c r="J2950" s="3">
        <v>0.5</v>
      </c>
      <c r="K2950" s="4">
        <v>3000</v>
      </c>
      <c r="L2950" s="5">
        <f t="shared" si="24"/>
        <v>1500</v>
      </c>
      <c r="M2950" s="5">
        <f t="shared" si="25"/>
        <v>450</v>
      </c>
      <c r="N2950" s="6">
        <v>0.3</v>
      </c>
    </row>
    <row r="2951" spans="1:14" ht="15.75" customHeight="1" x14ac:dyDescent="0.45">
      <c r="A2951" s="1" t="s">
        <v>119</v>
      </c>
      <c r="B2951" s="1">
        <v>1185732</v>
      </c>
      <c r="C2951" s="2">
        <v>44897</v>
      </c>
      <c r="D2951" s="1" t="s">
        <v>26</v>
      </c>
      <c r="E2951" s="1" t="s">
        <v>96</v>
      </c>
      <c r="F2951" s="1" t="s">
        <v>97</v>
      </c>
      <c r="G2951" s="1" t="s">
        <v>16</v>
      </c>
      <c r="H2951" s="1">
        <v>22</v>
      </c>
      <c r="I2951" s="1" t="s">
        <v>123</v>
      </c>
      <c r="J2951" s="3">
        <v>0.5</v>
      </c>
      <c r="K2951" s="4">
        <v>2500</v>
      </c>
      <c r="L2951" s="5">
        <f t="shared" si="24"/>
        <v>1250</v>
      </c>
      <c r="M2951" s="5">
        <f t="shared" si="25"/>
        <v>375</v>
      </c>
      <c r="N2951" s="6">
        <v>0.3</v>
      </c>
    </row>
    <row r="2952" spans="1:14" ht="15.75" customHeight="1" x14ac:dyDescent="0.45">
      <c r="A2952" s="1" t="s">
        <v>119</v>
      </c>
      <c r="B2952" s="1">
        <v>1185732</v>
      </c>
      <c r="C2952" s="2">
        <v>44897</v>
      </c>
      <c r="D2952" s="1" t="s">
        <v>26</v>
      </c>
      <c r="E2952" s="1" t="s">
        <v>96</v>
      </c>
      <c r="F2952" s="1" t="s">
        <v>97</v>
      </c>
      <c r="G2952" s="1" t="s">
        <v>17</v>
      </c>
      <c r="H2952" s="1">
        <v>20</v>
      </c>
      <c r="I2952" s="1" t="s">
        <v>125</v>
      </c>
      <c r="J2952" s="3">
        <v>0.6</v>
      </c>
      <c r="K2952" s="4">
        <v>2500</v>
      </c>
      <c r="L2952" s="5">
        <f t="shared" si="24"/>
        <v>1500</v>
      </c>
      <c r="M2952" s="5">
        <f t="shared" si="25"/>
        <v>750</v>
      </c>
      <c r="N2952" s="6">
        <v>0.5</v>
      </c>
    </row>
    <row r="2953" spans="1:14" ht="15.75" customHeight="1" x14ac:dyDescent="0.45">
      <c r="A2953" s="1" t="s">
        <v>119</v>
      </c>
      <c r="B2953" s="1">
        <v>1185732</v>
      </c>
      <c r="C2953" s="2">
        <v>44897</v>
      </c>
      <c r="D2953" s="1" t="s">
        <v>26</v>
      </c>
      <c r="E2953" s="1" t="s">
        <v>96</v>
      </c>
      <c r="F2953" s="1" t="s">
        <v>97</v>
      </c>
      <c r="G2953" s="1" t="s">
        <v>18</v>
      </c>
      <c r="H2953" s="1">
        <v>42</v>
      </c>
      <c r="I2953" s="1" t="s">
        <v>123</v>
      </c>
      <c r="J2953" s="3">
        <v>0.64999999999999991</v>
      </c>
      <c r="K2953" s="4">
        <v>3500</v>
      </c>
      <c r="L2953" s="5">
        <f t="shared" si="24"/>
        <v>2274.9999999999995</v>
      </c>
      <c r="M2953" s="5">
        <f t="shared" si="25"/>
        <v>909.99999999999989</v>
      </c>
      <c r="N2953" s="6">
        <v>0.4</v>
      </c>
    </row>
    <row r="2954" spans="1:14" ht="15.75" customHeight="1" x14ac:dyDescent="0.45">
      <c r="A2954" s="1" t="s">
        <v>119</v>
      </c>
      <c r="B2954" s="1">
        <v>1185732</v>
      </c>
      <c r="C2954" s="2">
        <v>44571</v>
      </c>
      <c r="D2954" s="1" t="s">
        <v>26</v>
      </c>
      <c r="E2954" s="1" t="s">
        <v>98</v>
      </c>
      <c r="F2954" s="1" t="s">
        <v>99</v>
      </c>
      <c r="G2954" s="1" t="s">
        <v>13</v>
      </c>
      <c r="H2954" s="1">
        <v>54</v>
      </c>
      <c r="I2954" s="1" t="s">
        <v>123</v>
      </c>
      <c r="J2954" s="3">
        <v>0.35000000000000003</v>
      </c>
      <c r="K2954" s="4">
        <v>5000</v>
      </c>
      <c r="L2954" s="5">
        <f t="shared" si="24"/>
        <v>1750.0000000000002</v>
      </c>
      <c r="M2954" s="5">
        <f t="shared" si="25"/>
        <v>700.00000000000011</v>
      </c>
      <c r="N2954" s="6">
        <v>0.4</v>
      </c>
    </row>
    <row r="2955" spans="1:14" ht="15.75" customHeight="1" x14ac:dyDescent="0.45">
      <c r="A2955" s="1" t="s">
        <v>119</v>
      </c>
      <c r="B2955" s="1">
        <v>1185732</v>
      </c>
      <c r="C2955" s="2">
        <v>44571</v>
      </c>
      <c r="D2955" s="1" t="s">
        <v>26</v>
      </c>
      <c r="E2955" s="1" t="s">
        <v>98</v>
      </c>
      <c r="F2955" s="1" t="s">
        <v>99</v>
      </c>
      <c r="G2955" s="1" t="s">
        <v>14</v>
      </c>
      <c r="H2955" s="1">
        <v>42</v>
      </c>
      <c r="I2955" s="1" t="s">
        <v>125</v>
      </c>
      <c r="J2955" s="3">
        <v>0.35000000000000003</v>
      </c>
      <c r="K2955" s="4">
        <v>3000</v>
      </c>
      <c r="L2955" s="5">
        <f t="shared" si="24"/>
        <v>1050</v>
      </c>
      <c r="M2955" s="5">
        <f t="shared" si="25"/>
        <v>420</v>
      </c>
      <c r="N2955" s="6">
        <v>0.4</v>
      </c>
    </row>
    <row r="2956" spans="1:14" ht="15.75" customHeight="1" x14ac:dyDescent="0.45">
      <c r="A2956" s="1" t="s">
        <v>119</v>
      </c>
      <c r="B2956" s="1">
        <v>1185732</v>
      </c>
      <c r="C2956" s="2">
        <v>44571</v>
      </c>
      <c r="D2956" s="1" t="s">
        <v>26</v>
      </c>
      <c r="E2956" s="1" t="s">
        <v>98</v>
      </c>
      <c r="F2956" s="1" t="s">
        <v>99</v>
      </c>
      <c r="G2956" s="1" t="s">
        <v>15</v>
      </c>
      <c r="H2956" s="1">
        <v>48</v>
      </c>
      <c r="I2956" s="1" t="s">
        <v>124</v>
      </c>
      <c r="J2956" s="3">
        <v>0.25000000000000006</v>
      </c>
      <c r="K2956" s="4">
        <v>3000</v>
      </c>
      <c r="L2956" s="5">
        <f t="shared" si="24"/>
        <v>750.00000000000011</v>
      </c>
      <c r="M2956" s="5">
        <f t="shared" si="25"/>
        <v>262.5</v>
      </c>
      <c r="N2956" s="6">
        <v>0.35</v>
      </c>
    </row>
    <row r="2957" spans="1:14" ht="15.75" customHeight="1" x14ac:dyDescent="0.45">
      <c r="A2957" s="1" t="s">
        <v>119</v>
      </c>
      <c r="B2957" s="1">
        <v>1185732</v>
      </c>
      <c r="C2957" s="2">
        <v>44571</v>
      </c>
      <c r="D2957" s="1" t="s">
        <v>26</v>
      </c>
      <c r="E2957" s="1" t="s">
        <v>98</v>
      </c>
      <c r="F2957" s="1" t="s">
        <v>99</v>
      </c>
      <c r="G2957" s="1" t="s">
        <v>16</v>
      </c>
      <c r="H2957" s="1">
        <v>49</v>
      </c>
      <c r="I2957" s="1" t="s">
        <v>125</v>
      </c>
      <c r="J2957" s="3">
        <v>0.30000000000000004</v>
      </c>
      <c r="K2957" s="4">
        <v>1500</v>
      </c>
      <c r="L2957" s="5">
        <f t="shared" si="24"/>
        <v>450.00000000000006</v>
      </c>
      <c r="M2957" s="5">
        <f t="shared" si="25"/>
        <v>157.5</v>
      </c>
      <c r="N2957" s="6">
        <v>0.35</v>
      </c>
    </row>
    <row r="2958" spans="1:14" ht="15.75" customHeight="1" x14ac:dyDescent="0.45">
      <c r="A2958" s="1" t="s">
        <v>119</v>
      </c>
      <c r="B2958" s="1">
        <v>1185732</v>
      </c>
      <c r="C2958" s="2">
        <v>44571</v>
      </c>
      <c r="D2958" s="1" t="s">
        <v>26</v>
      </c>
      <c r="E2958" s="1" t="s">
        <v>98</v>
      </c>
      <c r="F2958" s="1" t="s">
        <v>99</v>
      </c>
      <c r="G2958" s="1" t="s">
        <v>17</v>
      </c>
      <c r="H2958" s="1">
        <v>26</v>
      </c>
      <c r="I2958" s="1" t="s">
        <v>124</v>
      </c>
      <c r="J2958" s="3">
        <v>0.44999999999999996</v>
      </c>
      <c r="K2958" s="4">
        <v>2000</v>
      </c>
      <c r="L2958" s="5">
        <f t="shared" si="24"/>
        <v>899.99999999999989</v>
      </c>
      <c r="M2958" s="5">
        <f t="shared" si="25"/>
        <v>269.99999999999994</v>
      </c>
      <c r="N2958" s="6">
        <v>0.3</v>
      </c>
    </row>
    <row r="2959" spans="1:14" ht="15.75" customHeight="1" x14ac:dyDescent="0.45">
      <c r="A2959" s="1" t="s">
        <v>119</v>
      </c>
      <c r="B2959" s="1">
        <v>1185732</v>
      </c>
      <c r="C2959" s="2">
        <v>44571</v>
      </c>
      <c r="D2959" s="1" t="s">
        <v>26</v>
      </c>
      <c r="E2959" s="1" t="s">
        <v>98</v>
      </c>
      <c r="F2959" s="1" t="s">
        <v>99</v>
      </c>
      <c r="G2959" s="1" t="s">
        <v>18</v>
      </c>
      <c r="H2959" s="1">
        <v>18</v>
      </c>
      <c r="I2959" s="1" t="s">
        <v>123</v>
      </c>
      <c r="J2959" s="3">
        <v>0.35000000000000003</v>
      </c>
      <c r="K2959" s="4">
        <v>3000</v>
      </c>
      <c r="L2959" s="5">
        <f t="shared" si="24"/>
        <v>1050</v>
      </c>
      <c r="M2959" s="5">
        <f t="shared" si="25"/>
        <v>420</v>
      </c>
      <c r="N2959" s="6">
        <v>0.4</v>
      </c>
    </row>
    <row r="2960" spans="1:14" ht="15.75" customHeight="1" x14ac:dyDescent="0.45">
      <c r="A2960" s="1" t="s">
        <v>119</v>
      </c>
      <c r="B2960" s="1">
        <v>1185732</v>
      </c>
      <c r="C2960" s="2">
        <v>44602</v>
      </c>
      <c r="D2960" s="1" t="s">
        <v>26</v>
      </c>
      <c r="E2960" s="1" t="s">
        <v>98</v>
      </c>
      <c r="F2960" s="1" t="s">
        <v>99</v>
      </c>
      <c r="G2960" s="1" t="s">
        <v>13</v>
      </c>
      <c r="H2960" s="1">
        <v>21</v>
      </c>
      <c r="I2960" s="1" t="s">
        <v>123</v>
      </c>
      <c r="J2960" s="3">
        <v>0.35000000000000003</v>
      </c>
      <c r="K2960" s="4">
        <v>5500</v>
      </c>
      <c r="L2960" s="5">
        <f t="shared" si="24"/>
        <v>1925.0000000000002</v>
      </c>
      <c r="M2960" s="5">
        <f t="shared" si="25"/>
        <v>770.00000000000011</v>
      </c>
      <c r="N2960" s="6">
        <v>0.4</v>
      </c>
    </row>
    <row r="2961" spans="1:14" ht="15.75" customHeight="1" x14ac:dyDescent="0.45">
      <c r="A2961" s="1" t="s">
        <v>119</v>
      </c>
      <c r="B2961" s="1">
        <v>1185732</v>
      </c>
      <c r="C2961" s="2">
        <v>44602</v>
      </c>
      <c r="D2961" s="1" t="s">
        <v>26</v>
      </c>
      <c r="E2961" s="1" t="s">
        <v>98</v>
      </c>
      <c r="F2961" s="1" t="s">
        <v>99</v>
      </c>
      <c r="G2961" s="1" t="s">
        <v>14</v>
      </c>
      <c r="H2961" s="1">
        <v>26</v>
      </c>
      <c r="I2961" s="1" t="s">
        <v>125</v>
      </c>
      <c r="J2961" s="3">
        <v>0.35000000000000003</v>
      </c>
      <c r="K2961" s="4">
        <v>2000</v>
      </c>
      <c r="L2961" s="5">
        <f t="shared" si="24"/>
        <v>700.00000000000011</v>
      </c>
      <c r="M2961" s="5">
        <f t="shared" si="25"/>
        <v>280.00000000000006</v>
      </c>
      <c r="N2961" s="6">
        <v>0.4</v>
      </c>
    </row>
    <row r="2962" spans="1:14" ht="15.75" customHeight="1" x14ac:dyDescent="0.45">
      <c r="A2962" s="1" t="s">
        <v>119</v>
      </c>
      <c r="B2962" s="1">
        <v>1185732</v>
      </c>
      <c r="C2962" s="2">
        <v>44602</v>
      </c>
      <c r="D2962" s="1" t="s">
        <v>26</v>
      </c>
      <c r="E2962" s="1" t="s">
        <v>98</v>
      </c>
      <c r="F2962" s="1" t="s">
        <v>99</v>
      </c>
      <c r="G2962" s="1" t="s">
        <v>15</v>
      </c>
      <c r="H2962" s="1">
        <v>57</v>
      </c>
      <c r="I2962" s="1" t="s">
        <v>126</v>
      </c>
      <c r="J2962" s="3">
        <v>0.25000000000000006</v>
      </c>
      <c r="K2962" s="4">
        <v>2500</v>
      </c>
      <c r="L2962" s="5">
        <f t="shared" si="24"/>
        <v>625.00000000000011</v>
      </c>
      <c r="M2962" s="5">
        <f t="shared" si="25"/>
        <v>218.75000000000003</v>
      </c>
      <c r="N2962" s="6">
        <v>0.35</v>
      </c>
    </row>
    <row r="2963" spans="1:14" ht="15.75" customHeight="1" x14ac:dyDescent="0.45">
      <c r="A2963" s="1" t="s">
        <v>119</v>
      </c>
      <c r="B2963" s="1">
        <v>1185732</v>
      </c>
      <c r="C2963" s="2">
        <v>44602</v>
      </c>
      <c r="D2963" s="1" t="s">
        <v>26</v>
      </c>
      <c r="E2963" s="1" t="s">
        <v>98</v>
      </c>
      <c r="F2963" s="1" t="s">
        <v>99</v>
      </c>
      <c r="G2963" s="1" t="s">
        <v>16</v>
      </c>
      <c r="H2963" s="1">
        <v>48</v>
      </c>
      <c r="I2963" s="1" t="s">
        <v>124</v>
      </c>
      <c r="J2963" s="3">
        <v>0.30000000000000004</v>
      </c>
      <c r="K2963" s="4">
        <v>1250</v>
      </c>
      <c r="L2963" s="5">
        <f t="shared" si="24"/>
        <v>375.00000000000006</v>
      </c>
      <c r="M2963" s="5">
        <f t="shared" si="25"/>
        <v>131.25</v>
      </c>
      <c r="N2963" s="6">
        <v>0.35</v>
      </c>
    </row>
    <row r="2964" spans="1:14" ht="15.75" customHeight="1" x14ac:dyDescent="0.45">
      <c r="A2964" s="1" t="s">
        <v>119</v>
      </c>
      <c r="B2964" s="1">
        <v>1185732</v>
      </c>
      <c r="C2964" s="2">
        <v>44602</v>
      </c>
      <c r="D2964" s="1" t="s">
        <v>26</v>
      </c>
      <c r="E2964" s="1" t="s">
        <v>98</v>
      </c>
      <c r="F2964" s="1" t="s">
        <v>99</v>
      </c>
      <c r="G2964" s="1" t="s">
        <v>17</v>
      </c>
      <c r="H2964" s="1">
        <v>42</v>
      </c>
      <c r="I2964" s="1" t="s">
        <v>125</v>
      </c>
      <c r="J2964" s="3">
        <v>0.44999999999999996</v>
      </c>
      <c r="K2964" s="4">
        <v>2000</v>
      </c>
      <c r="L2964" s="5">
        <f t="shared" si="24"/>
        <v>899.99999999999989</v>
      </c>
      <c r="M2964" s="5">
        <f t="shared" si="25"/>
        <v>269.99999999999994</v>
      </c>
      <c r="N2964" s="6">
        <v>0.3</v>
      </c>
    </row>
    <row r="2965" spans="1:14" ht="15.75" customHeight="1" x14ac:dyDescent="0.45">
      <c r="A2965" s="1" t="s">
        <v>119</v>
      </c>
      <c r="B2965" s="1">
        <v>1185732</v>
      </c>
      <c r="C2965" s="2">
        <v>44602</v>
      </c>
      <c r="D2965" s="1" t="s">
        <v>26</v>
      </c>
      <c r="E2965" s="1" t="s">
        <v>98</v>
      </c>
      <c r="F2965" s="1" t="s">
        <v>99</v>
      </c>
      <c r="G2965" s="1" t="s">
        <v>18</v>
      </c>
      <c r="H2965" s="1">
        <v>17</v>
      </c>
      <c r="I2965" s="1" t="s">
        <v>124</v>
      </c>
      <c r="J2965" s="3">
        <v>0.19999999999999996</v>
      </c>
      <c r="K2965" s="4">
        <v>3000</v>
      </c>
      <c r="L2965" s="5">
        <f t="shared" si="24"/>
        <v>599.99999999999989</v>
      </c>
      <c r="M2965" s="5">
        <f t="shared" si="25"/>
        <v>239.99999999999997</v>
      </c>
      <c r="N2965" s="6">
        <v>0.4</v>
      </c>
    </row>
    <row r="2966" spans="1:14" ht="15.75" customHeight="1" x14ac:dyDescent="0.45">
      <c r="A2966" s="1" t="s">
        <v>119</v>
      </c>
      <c r="B2966" s="1">
        <v>1185732</v>
      </c>
      <c r="C2966" s="2">
        <v>44629</v>
      </c>
      <c r="D2966" s="1" t="s">
        <v>26</v>
      </c>
      <c r="E2966" s="1" t="s">
        <v>98</v>
      </c>
      <c r="F2966" s="1" t="s">
        <v>99</v>
      </c>
      <c r="G2966" s="1" t="s">
        <v>13</v>
      </c>
      <c r="H2966" s="1">
        <v>22</v>
      </c>
      <c r="I2966" s="1" t="s">
        <v>126</v>
      </c>
      <c r="J2966" s="3">
        <v>0.25000000000000006</v>
      </c>
      <c r="K2966" s="4">
        <v>5200</v>
      </c>
      <c r="L2966" s="5">
        <f t="shared" si="24"/>
        <v>1300.0000000000002</v>
      </c>
      <c r="M2966" s="5">
        <f t="shared" si="25"/>
        <v>520.00000000000011</v>
      </c>
      <c r="N2966" s="6">
        <v>0.4</v>
      </c>
    </row>
    <row r="2967" spans="1:14" ht="15.75" customHeight="1" x14ac:dyDescent="0.45">
      <c r="A2967" s="1" t="s">
        <v>119</v>
      </c>
      <c r="B2967" s="1">
        <v>1185732</v>
      </c>
      <c r="C2967" s="2">
        <v>44629</v>
      </c>
      <c r="D2967" s="1" t="s">
        <v>26</v>
      </c>
      <c r="E2967" s="1" t="s">
        <v>98</v>
      </c>
      <c r="F2967" s="1" t="s">
        <v>99</v>
      </c>
      <c r="G2967" s="1" t="s">
        <v>14</v>
      </c>
      <c r="H2967" s="1">
        <v>54</v>
      </c>
      <c r="I2967" s="1" t="s">
        <v>126</v>
      </c>
      <c r="J2967" s="3">
        <v>0.25000000000000006</v>
      </c>
      <c r="K2967" s="4">
        <v>2250</v>
      </c>
      <c r="L2967" s="5">
        <f t="shared" si="24"/>
        <v>562.50000000000011</v>
      </c>
      <c r="M2967" s="5">
        <f t="shared" si="25"/>
        <v>225.00000000000006</v>
      </c>
      <c r="N2967" s="6">
        <v>0.4</v>
      </c>
    </row>
    <row r="2968" spans="1:14" ht="15.75" customHeight="1" x14ac:dyDescent="0.45">
      <c r="A2968" s="1" t="s">
        <v>119</v>
      </c>
      <c r="B2968" s="1">
        <v>1185732</v>
      </c>
      <c r="C2968" s="2">
        <v>44629</v>
      </c>
      <c r="D2968" s="1" t="s">
        <v>26</v>
      </c>
      <c r="E2968" s="1" t="s">
        <v>98</v>
      </c>
      <c r="F2968" s="1" t="s">
        <v>99</v>
      </c>
      <c r="G2968" s="1" t="s">
        <v>15</v>
      </c>
      <c r="H2968" s="1">
        <v>26</v>
      </c>
      <c r="I2968" s="1" t="s">
        <v>125</v>
      </c>
      <c r="J2968" s="3">
        <v>0.15000000000000002</v>
      </c>
      <c r="K2968" s="4">
        <v>2750</v>
      </c>
      <c r="L2968" s="5">
        <f t="shared" si="24"/>
        <v>412.50000000000006</v>
      </c>
      <c r="M2968" s="5">
        <f t="shared" si="25"/>
        <v>144.375</v>
      </c>
      <c r="N2968" s="6">
        <v>0.35</v>
      </c>
    </row>
    <row r="2969" spans="1:14" ht="15.75" customHeight="1" x14ac:dyDescent="0.45">
      <c r="A2969" s="1" t="s">
        <v>119</v>
      </c>
      <c r="B2969" s="1">
        <v>1185732</v>
      </c>
      <c r="C2969" s="2">
        <v>44629</v>
      </c>
      <c r="D2969" s="1" t="s">
        <v>26</v>
      </c>
      <c r="E2969" s="1" t="s">
        <v>98</v>
      </c>
      <c r="F2969" s="1" t="s">
        <v>99</v>
      </c>
      <c r="G2969" s="1" t="s">
        <v>16</v>
      </c>
      <c r="H2969" s="1">
        <v>46</v>
      </c>
      <c r="I2969" s="1" t="s">
        <v>124</v>
      </c>
      <c r="J2969" s="3">
        <v>0.19999999999999996</v>
      </c>
      <c r="K2969" s="4">
        <v>1250</v>
      </c>
      <c r="L2969" s="5">
        <f t="shared" si="24"/>
        <v>249.99999999999994</v>
      </c>
      <c r="M2969" s="5">
        <f t="shared" si="25"/>
        <v>87.499999999999972</v>
      </c>
      <c r="N2969" s="6">
        <v>0.35</v>
      </c>
    </row>
    <row r="2970" spans="1:14" ht="15.75" customHeight="1" x14ac:dyDescent="0.45">
      <c r="A2970" s="1" t="s">
        <v>119</v>
      </c>
      <c r="B2970" s="1">
        <v>1185732</v>
      </c>
      <c r="C2970" s="2">
        <v>44629</v>
      </c>
      <c r="D2970" s="1" t="s">
        <v>26</v>
      </c>
      <c r="E2970" s="1" t="s">
        <v>98</v>
      </c>
      <c r="F2970" s="1" t="s">
        <v>99</v>
      </c>
      <c r="G2970" s="1" t="s">
        <v>17</v>
      </c>
      <c r="H2970" s="1">
        <v>23</v>
      </c>
      <c r="I2970" s="1" t="s">
        <v>125</v>
      </c>
      <c r="J2970" s="3">
        <v>0.35000000000000003</v>
      </c>
      <c r="K2970" s="4">
        <v>1750</v>
      </c>
      <c r="L2970" s="5">
        <f t="shared" si="24"/>
        <v>612.50000000000011</v>
      </c>
      <c r="M2970" s="5">
        <f t="shared" si="25"/>
        <v>183.75000000000003</v>
      </c>
      <c r="N2970" s="6">
        <v>0.3</v>
      </c>
    </row>
    <row r="2971" spans="1:14" ht="15.75" customHeight="1" x14ac:dyDescent="0.45">
      <c r="A2971" s="1" t="s">
        <v>119</v>
      </c>
      <c r="B2971" s="1">
        <v>1185732</v>
      </c>
      <c r="C2971" s="2">
        <v>44629</v>
      </c>
      <c r="D2971" s="1" t="s">
        <v>26</v>
      </c>
      <c r="E2971" s="1" t="s">
        <v>98</v>
      </c>
      <c r="F2971" s="1" t="s">
        <v>99</v>
      </c>
      <c r="G2971" s="1" t="s">
        <v>18</v>
      </c>
      <c r="H2971" s="1">
        <v>43</v>
      </c>
      <c r="I2971" s="1" t="s">
        <v>124</v>
      </c>
      <c r="J2971" s="3">
        <v>0.25000000000000006</v>
      </c>
      <c r="K2971" s="4">
        <v>2750</v>
      </c>
      <c r="L2971" s="5">
        <f t="shared" si="24"/>
        <v>687.50000000000011</v>
      </c>
      <c r="M2971" s="5">
        <f t="shared" si="25"/>
        <v>275.00000000000006</v>
      </c>
      <c r="N2971" s="6">
        <v>0.4</v>
      </c>
    </row>
    <row r="2972" spans="1:14" ht="15.75" customHeight="1" x14ac:dyDescent="0.45">
      <c r="A2972" s="1" t="s">
        <v>119</v>
      </c>
      <c r="B2972" s="1">
        <v>1185732</v>
      </c>
      <c r="C2972" s="2">
        <v>44661</v>
      </c>
      <c r="D2972" s="1" t="s">
        <v>26</v>
      </c>
      <c r="E2972" s="1" t="s">
        <v>98</v>
      </c>
      <c r="F2972" s="1" t="s">
        <v>99</v>
      </c>
      <c r="G2972" s="1" t="s">
        <v>13</v>
      </c>
      <c r="H2972" s="1">
        <v>53</v>
      </c>
      <c r="I2972" s="1" t="s">
        <v>126</v>
      </c>
      <c r="J2972" s="3">
        <v>0.25000000000000006</v>
      </c>
      <c r="K2972" s="4">
        <v>5000</v>
      </c>
      <c r="L2972" s="5">
        <f t="shared" si="24"/>
        <v>1250.0000000000002</v>
      </c>
      <c r="M2972" s="5">
        <f t="shared" si="25"/>
        <v>500.00000000000011</v>
      </c>
      <c r="N2972" s="6">
        <v>0.4</v>
      </c>
    </row>
    <row r="2973" spans="1:14" ht="15.75" customHeight="1" x14ac:dyDescent="0.45">
      <c r="A2973" s="1" t="s">
        <v>119</v>
      </c>
      <c r="B2973" s="1">
        <v>1185732</v>
      </c>
      <c r="C2973" s="2">
        <v>44661</v>
      </c>
      <c r="D2973" s="1" t="s">
        <v>26</v>
      </c>
      <c r="E2973" s="1" t="s">
        <v>98</v>
      </c>
      <c r="F2973" s="1" t="s">
        <v>99</v>
      </c>
      <c r="G2973" s="1" t="s">
        <v>14</v>
      </c>
      <c r="H2973" s="1">
        <v>22</v>
      </c>
      <c r="I2973" s="1" t="s">
        <v>126</v>
      </c>
      <c r="J2973" s="3">
        <v>0.25000000000000006</v>
      </c>
      <c r="K2973" s="4">
        <v>2000</v>
      </c>
      <c r="L2973" s="5">
        <f t="shared" si="24"/>
        <v>500.00000000000011</v>
      </c>
      <c r="M2973" s="5">
        <f t="shared" si="25"/>
        <v>200.00000000000006</v>
      </c>
      <c r="N2973" s="6">
        <v>0.4</v>
      </c>
    </row>
    <row r="2974" spans="1:14" ht="15.75" customHeight="1" x14ac:dyDescent="0.45">
      <c r="A2974" s="1" t="s">
        <v>119</v>
      </c>
      <c r="B2974" s="1">
        <v>1185732</v>
      </c>
      <c r="C2974" s="2">
        <v>44661</v>
      </c>
      <c r="D2974" s="1" t="s">
        <v>26</v>
      </c>
      <c r="E2974" s="1" t="s">
        <v>98</v>
      </c>
      <c r="F2974" s="1" t="s">
        <v>99</v>
      </c>
      <c r="G2974" s="1" t="s">
        <v>15</v>
      </c>
      <c r="H2974" s="1">
        <v>42</v>
      </c>
      <c r="I2974" s="1" t="s">
        <v>124</v>
      </c>
      <c r="J2974" s="3">
        <v>0.15000000000000002</v>
      </c>
      <c r="K2974" s="4">
        <v>2000</v>
      </c>
      <c r="L2974" s="5">
        <f t="shared" si="24"/>
        <v>300.00000000000006</v>
      </c>
      <c r="M2974" s="5">
        <f t="shared" si="25"/>
        <v>105.00000000000001</v>
      </c>
      <c r="N2974" s="6">
        <v>0.35</v>
      </c>
    </row>
    <row r="2975" spans="1:14" ht="15.75" customHeight="1" x14ac:dyDescent="0.45">
      <c r="A2975" s="1" t="s">
        <v>119</v>
      </c>
      <c r="B2975" s="1">
        <v>1185732</v>
      </c>
      <c r="C2975" s="2">
        <v>44661</v>
      </c>
      <c r="D2975" s="1" t="s">
        <v>26</v>
      </c>
      <c r="E2975" s="1" t="s">
        <v>98</v>
      </c>
      <c r="F2975" s="1" t="s">
        <v>99</v>
      </c>
      <c r="G2975" s="1" t="s">
        <v>16</v>
      </c>
      <c r="H2975" s="1">
        <v>39</v>
      </c>
      <c r="I2975" s="1" t="s">
        <v>126</v>
      </c>
      <c r="J2975" s="3">
        <v>0.19999999999999996</v>
      </c>
      <c r="K2975" s="4">
        <v>1250</v>
      </c>
      <c r="L2975" s="5">
        <f t="shared" si="24"/>
        <v>249.99999999999994</v>
      </c>
      <c r="M2975" s="5">
        <f t="shared" si="25"/>
        <v>87.499999999999972</v>
      </c>
      <c r="N2975" s="6">
        <v>0.35</v>
      </c>
    </row>
    <row r="2976" spans="1:14" ht="15.75" customHeight="1" x14ac:dyDescent="0.45">
      <c r="A2976" s="1" t="s">
        <v>119</v>
      </c>
      <c r="B2976" s="1">
        <v>1185732</v>
      </c>
      <c r="C2976" s="2">
        <v>44661</v>
      </c>
      <c r="D2976" s="1" t="s">
        <v>26</v>
      </c>
      <c r="E2976" s="1" t="s">
        <v>98</v>
      </c>
      <c r="F2976" s="1" t="s">
        <v>99</v>
      </c>
      <c r="G2976" s="1" t="s">
        <v>17</v>
      </c>
      <c r="H2976" s="1">
        <v>15</v>
      </c>
      <c r="I2976" s="1" t="s">
        <v>126</v>
      </c>
      <c r="J2976" s="3">
        <v>0.65</v>
      </c>
      <c r="K2976" s="4">
        <v>1500</v>
      </c>
      <c r="L2976" s="5">
        <f t="shared" si="24"/>
        <v>975</v>
      </c>
      <c r="M2976" s="5">
        <f t="shared" si="25"/>
        <v>292.5</v>
      </c>
      <c r="N2976" s="6">
        <v>0.3</v>
      </c>
    </row>
    <row r="2977" spans="1:14" ht="15.75" customHeight="1" x14ac:dyDescent="0.45">
      <c r="A2977" s="1" t="s">
        <v>119</v>
      </c>
      <c r="B2977" s="1">
        <v>1185732</v>
      </c>
      <c r="C2977" s="2">
        <v>44661</v>
      </c>
      <c r="D2977" s="1" t="s">
        <v>26</v>
      </c>
      <c r="E2977" s="1" t="s">
        <v>98</v>
      </c>
      <c r="F2977" s="1" t="s">
        <v>99</v>
      </c>
      <c r="G2977" s="1" t="s">
        <v>18</v>
      </c>
      <c r="H2977" s="1">
        <v>49</v>
      </c>
      <c r="I2977" s="1" t="s">
        <v>123</v>
      </c>
      <c r="J2977" s="3">
        <v>0.5</v>
      </c>
      <c r="K2977" s="4">
        <v>2750</v>
      </c>
      <c r="L2977" s="5">
        <f t="shared" si="24"/>
        <v>1375</v>
      </c>
      <c r="M2977" s="5">
        <f t="shared" si="25"/>
        <v>550</v>
      </c>
      <c r="N2977" s="6">
        <v>0.4</v>
      </c>
    </row>
    <row r="2978" spans="1:14" ht="15.75" customHeight="1" x14ac:dyDescent="0.45">
      <c r="A2978" s="1" t="s">
        <v>119</v>
      </c>
      <c r="B2978" s="1">
        <v>1185732</v>
      </c>
      <c r="C2978" s="2">
        <v>44692</v>
      </c>
      <c r="D2978" s="1" t="s">
        <v>26</v>
      </c>
      <c r="E2978" s="1" t="s">
        <v>98</v>
      </c>
      <c r="F2978" s="1" t="s">
        <v>99</v>
      </c>
      <c r="G2978" s="1" t="s">
        <v>13</v>
      </c>
      <c r="H2978" s="1">
        <v>19</v>
      </c>
      <c r="I2978" s="1" t="s">
        <v>126</v>
      </c>
      <c r="J2978" s="3">
        <v>0.6</v>
      </c>
      <c r="K2978" s="4">
        <v>5450</v>
      </c>
      <c r="L2978" s="5">
        <f t="shared" si="24"/>
        <v>3270</v>
      </c>
      <c r="M2978" s="5">
        <f t="shared" si="25"/>
        <v>1308</v>
      </c>
      <c r="N2978" s="6">
        <v>0.4</v>
      </c>
    </row>
    <row r="2979" spans="1:14" ht="15.75" customHeight="1" x14ac:dyDescent="0.45">
      <c r="A2979" s="1" t="s">
        <v>119</v>
      </c>
      <c r="B2979" s="1">
        <v>1185732</v>
      </c>
      <c r="C2979" s="2">
        <v>44692</v>
      </c>
      <c r="D2979" s="1" t="s">
        <v>26</v>
      </c>
      <c r="E2979" s="1" t="s">
        <v>98</v>
      </c>
      <c r="F2979" s="1" t="s">
        <v>99</v>
      </c>
      <c r="G2979" s="1" t="s">
        <v>14</v>
      </c>
      <c r="H2979" s="1">
        <v>15</v>
      </c>
      <c r="I2979" s="1" t="s">
        <v>125</v>
      </c>
      <c r="J2979" s="3">
        <v>0.4</v>
      </c>
      <c r="K2979" s="4">
        <v>2500</v>
      </c>
      <c r="L2979" s="5">
        <f t="shared" si="24"/>
        <v>1000</v>
      </c>
      <c r="M2979" s="5">
        <f t="shared" si="25"/>
        <v>400</v>
      </c>
      <c r="N2979" s="6">
        <v>0.4</v>
      </c>
    </row>
    <row r="2980" spans="1:14" ht="15.75" customHeight="1" x14ac:dyDescent="0.45">
      <c r="A2980" s="1" t="s">
        <v>119</v>
      </c>
      <c r="B2980" s="1">
        <v>1185732</v>
      </c>
      <c r="C2980" s="2">
        <v>44692</v>
      </c>
      <c r="D2980" s="1" t="s">
        <v>26</v>
      </c>
      <c r="E2980" s="1" t="s">
        <v>98</v>
      </c>
      <c r="F2980" s="1" t="s">
        <v>99</v>
      </c>
      <c r="G2980" s="1" t="s">
        <v>15</v>
      </c>
      <c r="H2980" s="1">
        <v>38</v>
      </c>
      <c r="I2980" s="1" t="s">
        <v>125</v>
      </c>
      <c r="J2980" s="3">
        <v>0.35000000000000003</v>
      </c>
      <c r="K2980" s="4">
        <v>2250</v>
      </c>
      <c r="L2980" s="5">
        <f t="shared" si="24"/>
        <v>787.50000000000011</v>
      </c>
      <c r="M2980" s="5">
        <f t="shared" si="25"/>
        <v>275.625</v>
      </c>
      <c r="N2980" s="6">
        <v>0.35</v>
      </c>
    </row>
    <row r="2981" spans="1:14" ht="15.75" customHeight="1" x14ac:dyDescent="0.45">
      <c r="A2981" s="1" t="s">
        <v>119</v>
      </c>
      <c r="B2981" s="1">
        <v>1185732</v>
      </c>
      <c r="C2981" s="2">
        <v>44692</v>
      </c>
      <c r="D2981" s="1" t="s">
        <v>26</v>
      </c>
      <c r="E2981" s="1" t="s">
        <v>98</v>
      </c>
      <c r="F2981" s="1" t="s">
        <v>99</v>
      </c>
      <c r="G2981" s="1" t="s">
        <v>16</v>
      </c>
      <c r="H2981" s="1">
        <v>32</v>
      </c>
      <c r="I2981" s="1" t="s">
        <v>124</v>
      </c>
      <c r="J2981" s="3">
        <v>0.35000000000000003</v>
      </c>
      <c r="K2981" s="4">
        <v>1750</v>
      </c>
      <c r="L2981" s="5">
        <f t="shared" si="24"/>
        <v>612.50000000000011</v>
      </c>
      <c r="M2981" s="5">
        <f t="shared" si="25"/>
        <v>214.37500000000003</v>
      </c>
      <c r="N2981" s="6">
        <v>0.35</v>
      </c>
    </row>
    <row r="2982" spans="1:14" ht="15.75" customHeight="1" x14ac:dyDescent="0.45">
      <c r="A2982" s="1" t="s">
        <v>119</v>
      </c>
      <c r="B2982" s="1">
        <v>1185732</v>
      </c>
      <c r="C2982" s="2">
        <v>44692</v>
      </c>
      <c r="D2982" s="1" t="s">
        <v>26</v>
      </c>
      <c r="E2982" s="1" t="s">
        <v>98</v>
      </c>
      <c r="F2982" s="1" t="s">
        <v>99</v>
      </c>
      <c r="G2982" s="1" t="s">
        <v>17</v>
      </c>
      <c r="H2982" s="1">
        <v>40</v>
      </c>
      <c r="I2982" s="1" t="s">
        <v>125</v>
      </c>
      <c r="J2982" s="3">
        <v>0.44999999999999996</v>
      </c>
      <c r="K2982" s="4">
        <v>2000</v>
      </c>
      <c r="L2982" s="5">
        <f t="shared" si="24"/>
        <v>899.99999999999989</v>
      </c>
      <c r="M2982" s="5">
        <f t="shared" si="25"/>
        <v>269.99999999999994</v>
      </c>
      <c r="N2982" s="6">
        <v>0.3</v>
      </c>
    </row>
    <row r="2983" spans="1:14" ht="15.75" customHeight="1" x14ac:dyDescent="0.45">
      <c r="A2983" s="1" t="s">
        <v>119</v>
      </c>
      <c r="B2983" s="1">
        <v>1185732</v>
      </c>
      <c r="C2983" s="2">
        <v>44692</v>
      </c>
      <c r="D2983" s="1" t="s">
        <v>26</v>
      </c>
      <c r="E2983" s="1" t="s">
        <v>98</v>
      </c>
      <c r="F2983" s="1" t="s">
        <v>99</v>
      </c>
      <c r="G2983" s="1" t="s">
        <v>18</v>
      </c>
      <c r="H2983" s="1">
        <v>30</v>
      </c>
      <c r="I2983" s="1" t="s">
        <v>124</v>
      </c>
      <c r="J2983" s="3">
        <v>0.54999999999999993</v>
      </c>
      <c r="K2983" s="4">
        <v>3250</v>
      </c>
      <c r="L2983" s="5">
        <f t="shared" si="24"/>
        <v>1787.4999999999998</v>
      </c>
      <c r="M2983" s="5">
        <f t="shared" si="25"/>
        <v>715</v>
      </c>
      <c r="N2983" s="6">
        <v>0.4</v>
      </c>
    </row>
    <row r="2984" spans="1:14" ht="15.75" customHeight="1" x14ac:dyDescent="0.45">
      <c r="A2984" s="1" t="s">
        <v>119</v>
      </c>
      <c r="B2984" s="1">
        <v>1185732</v>
      </c>
      <c r="C2984" s="2">
        <v>44722</v>
      </c>
      <c r="D2984" s="1" t="s">
        <v>26</v>
      </c>
      <c r="E2984" s="1" t="s">
        <v>98</v>
      </c>
      <c r="F2984" s="1" t="s">
        <v>99</v>
      </c>
      <c r="G2984" s="1" t="s">
        <v>13</v>
      </c>
      <c r="H2984" s="1">
        <v>18</v>
      </c>
      <c r="I2984" s="1" t="s">
        <v>123</v>
      </c>
      <c r="J2984" s="3">
        <v>0.4</v>
      </c>
      <c r="K2984" s="4">
        <v>5750</v>
      </c>
      <c r="L2984" s="5">
        <f t="shared" si="24"/>
        <v>2300</v>
      </c>
      <c r="M2984" s="5">
        <f t="shared" si="25"/>
        <v>920</v>
      </c>
      <c r="N2984" s="6">
        <v>0.4</v>
      </c>
    </row>
    <row r="2985" spans="1:14" ht="15.75" customHeight="1" x14ac:dyDescent="0.45">
      <c r="A2985" s="1" t="s">
        <v>119</v>
      </c>
      <c r="B2985" s="1">
        <v>1185732</v>
      </c>
      <c r="C2985" s="2">
        <v>44722</v>
      </c>
      <c r="D2985" s="1" t="s">
        <v>26</v>
      </c>
      <c r="E2985" s="1" t="s">
        <v>98</v>
      </c>
      <c r="F2985" s="1" t="s">
        <v>99</v>
      </c>
      <c r="G2985" s="1" t="s">
        <v>14</v>
      </c>
      <c r="H2985" s="1">
        <v>36</v>
      </c>
      <c r="I2985" s="1" t="s">
        <v>126</v>
      </c>
      <c r="J2985" s="3">
        <v>0.35000000000000009</v>
      </c>
      <c r="K2985" s="4">
        <v>3250</v>
      </c>
      <c r="L2985" s="5">
        <f t="shared" si="24"/>
        <v>1137.5000000000002</v>
      </c>
      <c r="M2985" s="5">
        <f t="shared" si="25"/>
        <v>455.00000000000011</v>
      </c>
      <c r="N2985" s="6">
        <v>0.4</v>
      </c>
    </row>
    <row r="2986" spans="1:14" ht="15.75" customHeight="1" x14ac:dyDescent="0.45">
      <c r="A2986" s="1" t="s">
        <v>119</v>
      </c>
      <c r="B2986" s="1">
        <v>1185732</v>
      </c>
      <c r="C2986" s="2">
        <v>44722</v>
      </c>
      <c r="D2986" s="1" t="s">
        <v>26</v>
      </c>
      <c r="E2986" s="1" t="s">
        <v>98</v>
      </c>
      <c r="F2986" s="1" t="s">
        <v>99</v>
      </c>
      <c r="G2986" s="1" t="s">
        <v>15</v>
      </c>
      <c r="H2986" s="1">
        <v>36</v>
      </c>
      <c r="I2986" s="1" t="s">
        <v>125</v>
      </c>
      <c r="J2986" s="3">
        <v>0.30000000000000004</v>
      </c>
      <c r="K2986" s="4">
        <v>2000</v>
      </c>
      <c r="L2986" s="5">
        <f t="shared" si="24"/>
        <v>600.00000000000011</v>
      </c>
      <c r="M2986" s="5">
        <f t="shared" si="25"/>
        <v>210.00000000000003</v>
      </c>
      <c r="N2986" s="6">
        <v>0.35</v>
      </c>
    </row>
    <row r="2987" spans="1:14" ht="15.75" customHeight="1" x14ac:dyDescent="0.45">
      <c r="A2987" s="1" t="s">
        <v>119</v>
      </c>
      <c r="B2987" s="1">
        <v>1185732</v>
      </c>
      <c r="C2987" s="2">
        <v>44722</v>
      </c>
      <c r="D2987" s="1" t="s">
        <v>26</v>
      </c>
      <c r="E2987" s="1" t="s">
        <v>98</v>
      </c>
      <c r="F2987" s="1" t="s">
        <v>99</v>
      </c>
      <c r="G2987" s="1" t="s">
        <v>16</v>
      </c>
      <c r="H2987" s="1">
        <v>26</v>
      </c>
      <c r="I2987" s="1" t="s">
        <v>125</v>
      </c>
      <c r="J2987" s="3">
        <v>0.30000000000000004</v>
      </c>
      <c r="K2987" s="4">
        <v>1750</v>
      </c>
      <c r="L2987" s="5">
        <f t="shared" si="24"/>
        <v>525.00000000000011</v>
      </c>
      <c r="M2987" s="5">
        <f t="shared" si="25"/>
        <v>183.75000000000003</v>
      </c>
      <c r="N2987" s="6">
        <v>0.35</v>
      </c>
    </row>
    <row r="2988" spans="1:14" ht="15.75" customHeight="1" x14ac:dyDescent="0.45">
      <c r="A2988" s="1" t="s">
        <v>119</v>
      </c>
      <c r="B2988" s="1">
        <v>1185732</v>
      </c>
      <c r="C2988" s="2">
        <v>44722</v>
      </c>
      <c r="D2988" s="1" t="s">
        <v>26</v>
      </c>
      <c r="E2988" s="1" t="s">
        <v>98</v>
      </c>
      <c r="F2988" s="1" t="s">
        <v>99</v>
      </c>
      <c r="G2988" s="1" t="s">
        <v>17</v>
      </c>
      <c r="H2988" s="1">
        <v>33</v>
      </c>
      <c r="I2988" s="1" t="s">
        <v>123</v>
      </c>
      <c r="J2988" s="3">
        <v>0.4</v>
      </c>
      <c r="K2988" s="4">
        <v>1750</v>
      </c>
      <c r="L2988" s="5">
        <f t="shared" si="24"/>
        <v>700</v>
      </c>
      <c r="M2988" s="5">
        <f t="shared" si="25"/>
        <v>210</v>
      </c>
      <c r="N2988" s="6">
        <v>0.3</v>
      </c>
    </row>
    <row r="2989" spans="1:14" ht="15.75" customHeight="1" x14ac:dyDescent="0.45">
      <c r="A2989" s="1" t="s">
        <v>119</v>
      </c>
      <c r="B2989" s="1">
        <v>1185732</v>
      </c>
      <c r="C2989" s="2">
        <v>44722</v>
      </c>
      <c r="D2989" s="1" t="s">
        <v>26</v>
      </c>
      <c r="E2989" s="1" t="s">
        <v>98</v>
      </c>
      <c r="F2989" s="1" t="s">
        <v>99</v>
      </c>
      <c r="G2989" s="1" t="s">
        <v>18</v>
      </c>
      <c r="H2989" s="1">
        <v>21</v>
      </c>
      <c r="I2989" s="1" t="s">
        <v>123</v>
      </c>
      <c r="J2989" s="3">
        <v>0.60000000000000009</v>
      </c>
      <c r="K2989" s="4">
        <v>3250</v>
      </c>
      <c r="L2989" s="5">
        <f t="shared" si="24"/>
        <v>1950.0000000000002</v>
      </c>
      <c r="M2989" s="5">
        <f t="shared" si="25"/>
        <v>780.00000000000011</v>
      </c>
      <c r="N2989" s="6">
        <v>0.4</v>
      </c>
    </row>
    <row r="2990" spans="1:14" ht="15.75" customHeight="1" x14ac:dyDescent="0.45">
      <c r="A2990" s="1" t="s">
        <v>119</v>
      </c>
      <c r="B2990" s="1">
        <v>1185732</v>
      </c>
      <c r="C2990" s="2">
        <v>44751</v>
      </c>
      <c r="D2990" s="1" t="s">
        <v>26</v>
      </c>
      <c r="E2990" s="1" t="s">
        <v>98</v>
      </c>
      <c r="F2990" s="1" t="s">
        <v>99</v>
      </c>
      <c r="G2990" s="1" t="s">
        <v>13</v>
      </c>
      <c r="H2990" s="1">
        <v>37</v>
      </c>
      <c r="I2990" s="1" t="s">
        <v>124</v>
      </c>
      <c r="J2990" s="3">
        <v>0.55000000000000004</v>
      </c>
      <c r="K2990" s="4">
        <v>5500</v>
      </c>
      <c r="L2990" s="5">
        <f t="shared" si="24"/>
        <v>3025.0000000000005</v>
      </c>
      <c r="M2990" s="5">
        <f t="shared" si="25"/>
        <v>1210.0000000000002</v>
      </c>
      <c r="N2990" s="6">
        <v>0.4</v>
      </c>
    </row>
    <row r="2991" spans="1:14" ht="15.75" customHeight="1" x14ac:dyDescent="0.45">
      <c r="A2991" s="1" t="s">
        <v>119</v>
      </c>
      <c r="B2991" s="1">
        <v>1185732</v>
      </c>
      <c r="C2991" s="2">
        <v>44751</v>
      </c>
      <c r="D2991" s="1" t="s">
        <v>26</v>
      </c>
      <c r="E2991" s="1" t="s">
        <v>98</v>
      </c>
      <c r="F2991" s="1" t="s">
        <v>99</v>
      </c>
      <c r="G2991" s="1" t="s">
        <v>14</v>
      </c>
      <c r="H2991" s="1">
        <v>42</v>
      </c>
      <c r="I2991" s="1" t="s">
        <v>123</v>
      </c>
      <c r="J2991" s="3">
        <v>0.50000000000000011</v>
      </c>
      <c r="K2991" s="4">
        <v>3000</v>
      </c>
      <c r="L2991" s="5">
        <f t="shared" si="24"/>
        <v>1500.0000000000002</v>
      </c>
      <c r="M2991" s="5">
        <f t="shared" si="25"/>
        <v>600.00000000000011</v>
      </c>
      <c r="N2991" s="6">
        <v>0.4</v>
      </c>
    </row>
    <row r="2992" spans="1:14" ht="15.75" customHeight="1" x14ac:dyDescent="0.45">
      <c r="A2992" s="1" t="s">
        <v>119</v>
      </c>
      <c r="B2992" s="1">
        <v>1185732</v>
      </c>
      <c r="C2992" s="2">
        <v>44751</v>
      </c>
      <c r="D2992" s="1" t="s">
        <v>26</v>
      </c>
      <c r="E2992" s="1" t="s">
        <v>98</v>
      </c>
      <c r="F2992" s="1" t="s">
        <v>99</v>
      </c>
      <c r="G2992" s="1" t="s">
        <v>15</v>
      </c>
      <c r="H2992" s="1">
        <v>33</v>
      </c>
      <c r="I2992" s="1" t="s">
        <v>124</v>
      </c>
      <c r="J2992" s="3">
        <v>0.45</v>
      </c>
      <c r="K2992" s="4">
        <v>2250</v>
      </c>
      <c r="L2992" s="5">
        <f t="shared" si="24"/>
        <v>1012.5</v>
      </c>
      <c r="M2992" s="5">
        <f t="shared" si="25"/>
        <v>354.375</v>
      </c>
      <c r="N2992" s="6">
        <v>0.35</v>
      </c>
    </row>
    <row r="2993" spans="1:14" ht="15.75" customHeight="1" x14ac:dyDescent="0.45">
      <c r="A2993" s="1" t="s">
        <v>119</v>
      </c>
      <c r="B2993" s="1">
        <v>1185732</v>
      </c>
      <c r="C2993" s="2">
        <v>44751</v>
      </c>
      <c r="D2993" s="1" t="s">
        <v>26</v>
      </c>
      <c r="E2993" s="1" t="s">
        <v>98</v>
      </c>
      <c r="F2993" s="1" t="s">
        <v>99</v>
      </c>
      <c r="G2993" s="1" t="s">
        <v>16</v>
      </c>
      <c r="H2993" s="1">
        <v>36</v>
      </c>
      <c r="I2993" s="1" t="s">
        <v>126</v>
      </c>
      <c r="J2993" s="3">
        <v>0.45</v>
      </c>
      <c r="K2993" s="4">
        <v>1750</v>
      </c>
      <c r="L2993" s="5">
        <f t="shared" si="24"/>
        <v>787.5</v>
      </c>
      <c r="M2993" s="5">
        <f t="shared" si="25"/>
        <v>275.625</v>
      </c>
      <c r="N2993" s="6">
        <v>0.35</v>
      </c>
    </row>
    <row r="2994" spans="1:14" ht="15.75" customHeight="1" x14ac:dyDescent="0.45">
      <c r="A2994" s="1" t="s">
        <v>119</v>
      </c>
      <c r="B2994" s="1">
        <v>1185732</v>
      </c>
      <c r="C2994" s="2">
        <v>44751</v>
      </c>
      <c r="D2994" s="1" t="s">
        <v>26</v>
      </c>
      <c r="E2994" s="1" t="s">
        <v>98</v>
      </c>
      <c r="F2994" s="1" t="s">
        <v>99</v>
      </c>
      <c r="G2994" s="1" t="s">
        <v>17</v>
      </c>
      <c r="H2994" s="1">
        <v>30</v>
      </c>
      <c r="I2994" s="1" t="s">
        <v>125</v>
      </c>
      <c r="J2994" s="3">
        <v>0.55000000000000004</v>
      </c>
      <c r="K2994" s="4">
        <v>2000</v>
      </c>
      <c r="L2994" s="5">
        <f t="shared" si="24"/>
        <v>1100</v>
      </c>
      <c r="M2994" s="5">
        <f t="shared" si="25"/>
        <v>330</v>
      </c>
      <c r="N2994" s="6">
        <v>0.3</v>
      </c>
    </row>
    <row r="2995" spans="1:14" ht="15.75" customHeight="1" x14ac:dyDescent="0.45">
      <c r="A2995" s="1" t="s">
        <v>119</v>
      </c>
      <c r="B2995" s="1">
        <v>1185732</v>
      </c>
      <c r="C2995" s="2">
        <v>44751</v>
      </c>
      <c r="D2995" s="1" t="s">
        <v>26</v>
      </c>
      <c r="E2995" s="1" t="s">
        <v>98</v>
      </c>
      <c r="F2995" s="1" t="s">
        <v>99</v>
      </c>
      <c r="G2995" s="1" t="s">
        <v>18</v>
      </c>
      <c r="H2995" s="1">
        <v>40</v>
      </c>
      <c r="I2995" s="1" t="s">
        <v>125</v>
      </c>
      <c r="J2995" s="3">
        <v>0.60000000000000009</v>
      </c>
      <c r="K2995" s="4">
        <v>3750</v>
      </c>
      <c r="L2995" s="5">
        <f t="shared" si="24"/>
        <v>2250.0000000000005</v>
      </c>
      <c r="M2995" s="5">
        <f t="shared" si="25"/>
        <v>900.00000000000023</v>
      </c>
      <c r="N2995" s="6">
        <v>0.4</v>
      </c>
    </row>
    <row r="2996" spans="1:14" ht="15.75" customHeight="1" x14ac:dyDescent="0.45">
      <c r="A2996" s="1" t="s">
        <v>119</v>
      </c>
      <c r="B2996" s="1">
        <v>1185732</v>
      </c>
      <c r="C2996" s="2">
        <v>44783</v>
      </c>
      <c r="D2996" s="1" t="s">
        <v>26</v>
      </c>
      <c r="E2996" s="1" t="s">
        <v>98</v>
      </c>
      <c r="F2996" s="1" t="s">
        <v>99</v>
      </c>
      <c r="G2996" s="1" t="s">
        <v>13</v>
      </c>
      <c r="H2996" s="1">
        <v>43</v>
      </c>
      <c r="I2996" s="1" t="s">
        <v>125</v>
      </c>
      <c r="J2996" s="3">
        <v>0.5</v>
      </c>
      <c r="K2996" s="4">
        <v>5250</v>
      </c>
      <c r="L2996" s="5">
        <f t="shared" si="24"/>
        <v>2625</v>
      </c>
      <c r="M2996" s="5">
        <f t="shared" si="25"/>
        <v>1050</v>
      </c>
      <c r="N2996" s="6">
        <v>0.4</v>
      </c>
    </row>
    <row r="2997" spans="1:14" ht="15.75" customHeight="1" x14ac:dyDescent="0.45">
      <c r="A2997" s="1" t="s">
        <v>119</v>
      </c>
      <c r="B2997" s="1">
        <v>1185732</v>
      </c>
      <c r="C2997" s="2">
        <v>44783</v>
      </c>
      <c r="D2997" s="1" t="s">
        <v>26</v>
      </c>
      <c r="E2997" s="1" t="s">
        <v>98</v>
      </c>
      <c r="F2997" s="1" t="s">
        <v>99</v>
      </c>
      <c r="G2997" s="1" t="s">
        <v>14</v>
      </c>
      <c r="H2997" s="1">
        <v>29</v>
      </c>
      <c r="I2997" s="1" t="s">
        <v>124</v>
      </c>
      <c r="J2997" s="3">
        <v>0.45000000000000007</v>
      </c>
      <c r="K2997" s="4">
        <v>3000</v>
      </c>
      <c r="L2997" s="5">
        <f t="shared" si="24"/>
        <v>1350.0000000000002</v>
      </c>
      <c r="M2997" s="5">
        <f t="shared" si="25"/>
        <v>540.00000000000011</v>
      </c>
      <c r="N2997" s="6">
        <v>0.4</v>
      </c>
    </row>
    <row r="2998" spans="1:14" ht="15.75" customHeight="1" x14ac:dyDescent="0.45">
      <c r="A2998" s="1" t="s">
        <v>119</v>
      </c>
      <c r="B2998" s="1">
        <v>1185732</v>
      </c>
      <c r="C2998" s="2">
        <v>44783</v>
      </c>
      <c r="D2998" s="1" t="s">
        <v>26</v>
      </c>
      <c r="E2998" s="1" t="s">
        <v>98</v>
      </c>
      <c r="F2998" s="1" t="s">
        <v>99</v>
      </c>
      <c r="G2998" s="1" t="s">
        <v>15</v>
      </c>
      <c r="H2998" s="1">
        <v>45</v>
      </c>
      <c r="I2998" s="1" t="s">
        <v>126</v>
      </c>
      <c r="J2998" s="3">
        <v>0.4</v>
      </c>
      <c r="K2998" s="4">
        <v>2250</v>
      </c>
      <c r="L2998" s="5">
        <f t="shared" si="24"/>
        <v>900</v>
      </c>
      <c r="M2998" s="5">
        <f t="shared" si="25"/>
        <v>315</v>
      </c>
      <c r="N2998" s="6">
        <v>0.35</v>
      </c>
    </row>
    <row r="2999" spans="1:14" ht="15.75" customHeight="1" x14ac:dyDescent="0.45">
      <c r="A2999" s="1" t="s">
        <v>119</v>
      </c>
      <c r="B2999" s="1">
        <v>1185732</v>
      </c>
      <c r="C2999" s="2">
        <v>44783</v>
      </c>
      <c r="D2999" s="1" t="s">
        <v>26</v>
      </c>
      <c r="E2999" s="1" t="s">
        <v>98</v>
      </c>
      <c r="F2999" s="1" t="s">
        <v>99</v>
      </c>
      <c r="G2999" s="1" t="s">
        <v>16</v>
      </c>
      <c r="H2999" s="1">
        <v>58</v>
      </c>
      <c r="I2999" s="1" t="s">
        <v>125</v>
      </c>
      <c r="J2999" s="3">
        <v>0.4</v>
      </c>
      <c r="K2999" s="4">
        <v>2000</v>
      </c>
      <c r="L2999" s="5">
        <f t="shared" si="24"/>
        <v>800</v>
      </c>
      <c r="M2999" s="5">
        <f t="shared" si="25"/>
        <v>280</v>
      </c>
      <c r="N2999" s="6">
        <v>0.35</v>
      </c>
    </row>
    <row r="3000" spans="1:14" ht="15.75" customHeight="1" x14ac:dyDescent="0.45">
      <c r="A3000" s="1" t="s">
        <v>119</v>
      </c>
      <c r="B3000" s="1">
        <v>1185732</v>
      </c>
      <c r="C3000" s="2">
        <v>44783</v>
      </c>
      <c r="D3000" s="1" t="s">
        <v>26</v>
      </c>
      <c r="E3000" s="1" t="s">
        <v>98</v>
      </c>
      <c r="F3000" s="1" t="s">
        <v>99</v>
      </c>
      <c r="G3000" s="1" t="s">
        <v>17</v>
      </c>
      <c r="H3000" s="1">
        <v>59</v>
      </c>
      <c r="I3000" s="1" t="s">
        <v>125</v>
      </c>
      <c r="J3000" s="3">
        <v>0.5</v>
      </c>
      <c r="K3000" s="4">
        <v>1750</v>
      </c>
      <c r="L3000" s="5">
        <f t="shared" si="24"/>
        <v>875</v>
      </c>
      <c r="M3000" s="5">
        <f t="shared" si="25"/>
        <v>262.5</v>
      </c>
      <c r="N3000" s="6">
        <v>0.3</v>
      </c>
    </row>
    <row r="3001" spans="1:14" ht="15.75" customHeight="1" x14ac:dyDescent="0.45">
      <c r="A3001" s="1" t="s">
        <v>119</v>
      </c>
      <c r="B3001" s="1">
        <v>1185732</v>
      </c>
      <c r="C3001" s="2">
        <v>44783</v>
      </c>
      <c r="D3001" s="1" t="s">
        <v>26</v>
      </c>
      <c r="E3001" s="1" t="s">
        <v>98</v>
      </c>
      <c r="F3001" s="1" t="s">
        <v>99</v>
      </c>
      <c r="G3001" s="1" t="s">
        <v>18</v>
      </c>
      <c r="H3001" s="1">
        <v>53</v>
      </c>
      <c r="I3001" s="1" t="s">
        <v>123</v>
      </c>
      <c r="J3001" s="3">
        <v>0.55000000000000004</v>
      </c>
      <c r="K3001" s="4">
        <v>3500</v>
      </c>
      <c r="L3001" s="5">
        <f t="shared" si="24"/>
        <v>1925.0000000000002</v>
      </c>
      <c r="M3001" s="5">
        <f t="shared" si="25"/>
        <v>770.00000000000011</v>
      </c>
      <c r="N3001" s="6">
        <v>0.4</v>
      </c>
    </row>
    <row r="3002" spans="1:14" ht="15.75" customHeight="1" x14ac:dyDescent="0.45">
      <c r="A3002" s="1" t="s">
        <v>119</v>
      </c>
      <c r="B3002" s="1">
        <v>1185732</v>
      </c>
      <c r="C3002" s="2">
        <v>44815</v>
      </c>
      <c r="D3002" s="1" t="s">
        <v>26</v>
      </c>
      <c r="E3002" s="1" t="s">
        <v>98</v>
      </c>
      <c r="F3002" s="1" t="s">
        <v>99</v>
      </c>
      <c r="G3002" s="1" t="s">
        <v>13</v>
      </c>
      <c r="H3002" s="1">
        <v>33</v>
      </c>
      <c r="I3002" s="1" t="s">
        <v>124</v>
      </c>
      <c r="J3002" s="3">
        <v>0.35000000000000003</v>
      </c>
      <c r="K3002" s="4">
        <v>4750</v>
      </c>
      <c r="L3002" s="5">
        <f t="shared" si="24"/>
        <v>1662.5000000000002</v>
      </c>
      <c r="M3002" s="5">
        <f t="shared" si="25"/>
        <v>665.00000000000011</v>
      </c>
      <c r="N3002" s="6">
        <v>0.4</v>
      </c>
    </row>
    <row r="3003" spans="1:14" ht="15.75" customHeight="1" x14ac:dyDescent="0.45">
      <c r="A3003" s="1" t="s">
        <v>119</v>
      </c>
      <c r="B3003" s="1">
        <v>1185732</v>
      </c>
      <c r="C3003" s="2">
        <v>44815</v>
      </c>
      <c r="D3003" s="1" t="s">
        <v>26</v>
      </c>
      <c r="E3003" s="1" t="s">
        <v>98</v>
      </c>
      <c r="F3003" s="1" t="s">
        <v>99</v>
      </c>
      <c r="G3003" s="1" t="s">
        <v>14</v>
      </c>
      <c r="H3003" s="1">
        <v>51</v>
      </c>
      <c r="I3003" s="1" t="s">
        <v>124</v>
      </c>
      <c r="J3003" s="3">
        <v>0.3000000000000001</v>
      </c>
      <c r="K3003" s="4">
        <v>2750</v>
      </c>
      <c r="L3003" s="5">
        <f t="shared" si="24"/>
        <v>825.00000000000023</v>
      </c>
      <c r="M3003" s="5">
        <f t="shared" si="25"/>
        <v>330.00000000000011</v>
      </c>
      <c r="N3003" s="6">
        <v>0.4</v>
      </c>
    </row>
    <row r="3004" spans="1:14" ht="15.75" customHeight="1" x14ac:dyDescent="0.45">
      <c r="A3004" s="1" t="s">
        <v>119</v>
      </c>
      <c r="B3004" s="1">
        <v>1185732</v>
      </c>
      <c r="C3004" s="2">
        <v>44815</v>
      </c>
      <c r="D3004" s="1" t="s">
        <v>26</v>
      </c>
      <c r="E3004" s="1" t="s">
        <v>98</v>
      </c>
      <c r="F3004" s="1" t="s">
        <v>99</v>
      </c>
      <c r="G3004" s="1" t="s">
        <v>15</v>
      </c>
      <c r="H3004" s="1">
        <v>17</v>
      </c>
      <c r="I3004" s="1" t="s">
        <v>123</v>
      </c>
      <c r="J3004" s="3">
        <v>0.25000000000000006</v>
      </c>
      <c r="K3004" s="4">
        <v>1750</v>
      </c>
      <c r="L3004" s="5">
        <f t="shared" si="24"/>
        <v>437.50000000000011</v>
      </c>
      <c r="M3004" s="5">
        <f t="shared" si="25"/>
        <v>153.12500000000003</v>
      </c>
      <c r="N3004" s="6">
        <v>0.35</v>
      </c>
    </row>
    <row r="3005" spans="1:14" ht="15.75" customHeight="1" x14ac:dyDescent="0.45">
      <c r="A3005" s="1" t="s">
        <v>119</v>
      </c>
      <c r="B3005" s="1">
        <v>1185732</v>
      </c>
      <c r="C3005" s="2">
        <v>44815</v>
      </c>
      <c r="D3005" s="1" t="s">
        <v>26</v>
      </c>
      <c r="E3005" s="1" t="s">
        <v>98</v>
      </c>
      <c r="F3005" s="1" t="s">
        <v>99</v>
      </c>
      <c r="G3005" s="1" t="s">
        <v>16</v>
      </c>
      <c r="H3005" s="1">
        <v>54</v>
      </c>
      <c r="I3005" s="1" t="s">
        <v>126</v>
      </c>
      <c r="J3005" s="3">
        <v>0.25000000000000006</v>
      </c>
      <c r="K3005" s="4">
        <v>1500</v>
      </c>
      <c r="L3005" s="5">
        <f t="shared" si="24"/>
        <v>375.00000000000006</v>
      </c>
      <c r="M3005" s="5">
        <f t="shared" si="25"/>
        <v>131.25</v>
      </c>
      <c r="N3005" s="6">
        <v>0.35</v>
      </c>
    </row>
    <row r="3006" spans="1:14" ht="15.75" customHeight="1" x14ac:dyDescent="0.45">
      <c r="A3006" s="1" t="s">
        <v>119</v>
      </c>
      <c r="B3006" s="1">
        <v>1185732</v>
      </c>
      <c r="C3006" s="2">
        <v>44815</v>
      </c>
      <c r="D3006" s="1" t="s">
        <v>26</v>
      </c>
      <c r="E3006" s="1" t="s">
        <v>98</v>
      </c>
      <c r="F3006" s="1" t="s">
        <v>99</v>
      </c>
      <c r="G3006" s="1" t="s">
        <v>17</v>
      </c>
      <c r="H3006" s="1">
        <v>28</v>
      </c>
      <c r="I3006" s="1" t="s">
        <v>123</v>
      </c>
      <c r="J3006" s="3">
        <v>0.35000000000000003</v>
      </c>
      <c r="K3006" s="4">
        <v>1500</v>
      </c>
      <c r="L3006" s="5">
        <f t="shared" si="24"/>
        <v>525</v>
      </c>
      <c r="M3006" s="5">
        <f t="shared" si="25"/>
        <v>157.5</v>
      </c>
      <c r="N3006" s="6">
        <v>0.3</v>
      </c>
    </row>
    <row r="3007" spans="1:14" ht="15.75" customHeight="1" x14ac:dyDescent="0.45">
      <c r="A3007" s="1" t="s">
        <v>119</v>
      </c>
      <c r="B3007" s="1">
        <v>1185732</v>
      </c>
      <c r="C3007" s="2">
        <v>44815</v>
      </c>
      <c r="D3007" s="1" t="s">
        <v>26</v>
      </c>
      <c r="E3007" s="1" t="s">
        <v>98</v>
      </c>
      <c r="F3007" s="1" t="s">
        <v>99</v>
      </c>
      <c r="G3007" s="1" t="s">
        <v>18</v>
      </c>
      <c r="H3007" s="1">
        <v>54</v>
      </c>
      <c r="I3007" s="1" t="s">
        <v>124</v>
      </c>
      <c r="J3007" s="3">
        <v>0.4</v>
      </c>
      <c r="K3007" s="4">
        <v>2250</v>
      </c>
      <c r="L3007" s="5">
        <f t="shared" si="24"/>
        <v>900</v>
      </c>
      <c r="M3007" s="5">
        <f t="shared" si="25"/>
        <v>360</v>
      </c>
      <c r="N3007" s="6">
        <v>0.4</v>
      </c>
    </row>
    <row r="3008" spans="1:14" ht="15.75" customHeight="1" x14ac:dyDescent="0.45">
      <c r="A3008" s="1" t="s">
        <v>119</v>
      </c>
      <c r="B3008" s="1">
        <v>1185732</v>
      </c>
      <c r="C3008" s="2">
        <v>44844</v>
      </c>
      <c r="D3008" s="1" t="s">
        <v>26</v>
      </c>
      <c r="E3008" s="1" t="s">
        <v>98</v>
      </c>
      <c r="F3008" s="1" t="s">
        <v>99</v>
      </c>
      <c r="G3008" s="1" t="s">
        <v>13</v>
      </c>
      <c r="H3008" s="1">
        <v>49</v>
      </c>
      <c r="I3008" s="1" t="s">
        <v>126</v>
      </c>
      <c r="J3008" s="3">
        <v>0.44999999999999996</v>
      </c>
      <c r="K3008" s="4">
        <v>4000</v>
      </c>
      <c r="L3008" s="5">
        <f t="shared" si="24"/>
        <v>1799.9999999999998</v>
      </c>
      <c r="M3008" s="5">
        <f t="shared" si="25"/>
        <v>720</v>
      </c>
      <c r="N3008" s="6">
        <v>0.4</v>
      </c>
    </row>
    <row r="3009" spans="1:14" ht="15.75" customHeight="1" x14ac:dyDescent="0.45">
      <c r="A3009" s="1" t="s">
        <v>119</v>
      </c>
      <c r="B3009" s="1">
        <v>1185732</v>
      </c>
      <c r="C3009" s="2">
        <v>44844</v>
      </c>
      <c r="D3009" s="1" t="s">
        <v>26</v>
      </c>
      <c r="E3009" s="1" t="s">
        <v>98</v>
      </c>
      <c r="F3009" s="1" t="s">
        <v>99</v>
      </c>
      <c r="G3009" s="1" t="s">
        <v>14</v>
      </c>
      <c r="H3009" s="1">
        <v>43</v>
      </c>
      <c r="I3009" s="1" t="s">
        <v>126</v>
      </c>
      <c r="J3009" s="3">
        <v>0.35000000000000003</v>
      </c>
      <c r="K3009" s="4">
        <v>2500</v>
      </c>
      <c r="L3009" s="5">
        <f t="shared" si="24"/>
        <v>875.00000000000011</v>
      </c>
      <c r="M3009" s="5">
        <f t="shared" si="25"/>
        <v>350.00000000000006</v>
      </c>
      <c r="N3009" s="6">
        <v>0.4</v>
      </c>
    </row>
    <row r="3010" spans="1:14" ht="15.75" customHeight="1" x14ac:dyDescent="0.45">
      <c r="A3010" s="1" t="s">
        <v>119</v>
      </c>
      <c r="B3010" s="1">
        <v>1185732</v>
      </c>
      <c r="C3010" s="2">
        <v>44844</v>
      </c>
      <c r="D3010" s="1" t="s">
        <v>26</v>
      </c>
      <c r="E3010" s="1" t="s">
        <v>98</v>
      </c>
      <c r="F3010" s="1" t="s">
        <v>99</v>
      </c>
      <c r="G3010" s="1" t="s">
        <v>15</v>
      </c>
      <c r="H3010" s="1">
        <v>50</v>
      </c>
      <c r="I3010" s="1" t="s">
        <v>123</v>
      </c>
      <c r="J3010" s="3">
        <v>0.35000000000000003</v>
      </c>
      <c r="K3010" s="4">
        <v>1500</v>
      </c>
      <c r="L3010" s="5">
        <f t="shared" si="24"/>
        <v>525</v>
      </c>
      <c r="M3010" s="5">
        <f t="shared" si="25"/>
        <v>183.75</v>
      </c>
      <c r="N3010" s="6">
        <v>0.35</v>
      </c>
    </row>
    <row r="3011" spans="1:14" ht="15.75" customHeight="1" x14ac:dyDescent="0.45">
      <c r="A3011" s="1" t="s">
        <v>119</v>
      </c>
      <c r="B3011" s="1">
        <v>1185732</v>
      </c>
      <c r="C3011" s="2">
        <v>44844</v>
      </c>
      <c r="D3011" s="1" t="s">
        <v>26</v>
      </c>
      <c r="E3011" s="1" t="s">
        <v>98</v>
      </c>
      <c r="F3011" s="1" t="s">
        <v>99</v>
      </c>
      <c r="G3011" s="1" t="s">
        <v>16</v>
      </c>
      <c r="H3011" s="1">
        <v>32</v>
      </c>
      <c r="I3011" s="1" t="s">
        <v>124</v>
      </c>
      <c r="J3011" s="3">
        <v>0.35000000000000003</v>
      </c>
      <c r="K3011" s="4">
        <v>1500</v>
      </c>
      <c r="L3011" s="5">
        <f t="shared" si="24"/>
        <v>525</v>
      </c>
      <c r="M3011" s="5">
        <f t="shared" si="25"/>
        <v>183.75</v>
      </c>
      <c r="N3011" s="6">
        <v>0.35</v>
      </c>
    </row>
    <row r="3012" spans="1:14" ht="15.75" customHeight="1" x14ac:dyDescent="0.45">
      <c r="A3012" s="1" t="s">
        <v>119</v>
      </c>
      <c r="B3012" s="1">
        <v>1185732</v>
      </c>
      <c r="C3012" s="2">
        <v>44844</v>
      </c>
      <c r="D3012" s="1" t="s">
        <v>26</v>
      </c>
      <c r="E3012" s="1" t="s">
        <v>98</v>
      </c>
      <c r="F3012" s="1" t="s">
        <v>99</v>
      </c>
      <c r="G3012" s="1" t="s">
        <v>17</v>
      </c>
      <c r="H3012" s="1">
        <v>33</v>
      </c>
      <c r="I3012" s="1" t="s">
        <v>126</v>
      </c>
      <c r="J3012" s="3">
        <v>0.44999999999999996</v>
      </c>
      <c r="K3012" s="4">
        <v>1500</v>
      </c>
      <c r="L3012" s="5">
        <f t="shared" si="24"/>
        <v>674.99999999999989</v>
      </c>
      <c r="M3012" s="5">
        <f t="shared" si="25"/>
        <v>202.49999999999997</v>
      </c>
      <c r="N3012" s="6">
        <v>0.3</v>
      </c>
    </row>
    <row r="3013" spans="1:14" ht="15.75" customHeight="1" x14ac:dyDescent="0.45">
      <c r="A3013" s="1" t="s">
        <v>119</v>
      </c>
      <c r="B3013" s="1">
        <v>1185732</v>
      </c>
      <c r="C3013" s="2">
        <v>44844</v>
      </c>
      <c r="D3013" s="1" t="s">
        <v>26</v>
      </c>
      <c r="E3013" s="1" t="s">
        <v>98</v>
      </c>
      <c r="F3013" s="1" t="s">
        <v>99</v>
      </c>
      <c r="G3013" s="1" t="s">
        <v>18</v>
      </c>
      <c r="H3013" s="1">
        <v>60</v>
      </c>
      <c r="I3013" s="1" t="s">
        <v>123</v>
      </c>
      <c r="J3013" s="3">
        <v>0.49999999999999983</v>
      </c>
      <c r="K3013" s="4">
        <v>2750</v>
      </c>
      <c r="L3013" s="5">
        <f t="shared" si="24"/>
        <v>1374.9999999999995</v>
      </c>
      <c r="M3013" s="5">
        <f t="shared" si="25"/>
        <v>549.99999999999989</v>
      </c>
      <c r="N3013" s="6">
        <v>0.4</v>
      </c>
    </row>
    <row r="3014" spans="1:14" ht="15.75" customHeight="1" x14ac:dyDescent="0.45">
      <c r="A3014" s="1" t="s">
        <v>119</v>
      </c>
      <c r="B3014" s="1">
        <v>1185732</v>
      </c>
      <c r="C3014" s="2">
        <v>44875</v>
      </c>
      <c r="D3014" s="1" t="s">
        <v>26</v>
      </c>
      <c r="E3014" s="1" t="s">
        <v>98</v>
      </c>
      <c r="F3014" s="1" t="s">
        <v>99</v>
      </c>
      <c r="G3014" s="1" t="s">
        <v>13</v>
      </c>
      <c r="H3014" s="1">
        <v>28</v>
      </c>
      <c r="I3014" s="1" t="s">
        <v>126</v>
      </c>
      <c r="J3014" s="3">
        <v>0.44999999999999996</v>
      </c>
      <c r="K3014" s="4">
        <v>4250</v>
      </c>
      <c r="L3014" s="5">
        <f t="shared" si="24"/>
        <v>1912.4999999999998</v>
      </c>
      <c r="M3014" s="5">
        <f t="shared" si="25"/>
        <v>765</v>
      </c>
      <c r="N3014" s="6">
        <v>0.4</v>
      </c>
    </row>
    <row r="3015" spans="1:14" ht="15.75" customHeight="1" x14ac:dyDescent="0.45">
      <c r="A3015" s="1" t="s">
        <v>119</v>
      </c>
      <c r="B3015" s="1">
        <v>1185732</v>
      </c>
      <c r="C3015" s="2">
        <v>44875</v>
      </c>
      <c r="D3015" s="1" t="s">
        <v>26</v>
      </c>
      <c r="E3015" s="1" t="s">
        <v>98</v>
      </c>
      <c r="F3015" s="1" t="s">
        <v>99</v>
      </c>
      <c r="G3015" s="1" t="s">
        <v>14</v>
      </c>
      <c r="H3015" s="1">
        <v>26</v>
      </c>
      <c r="I3015" s="1" t="s">
        <v>124</v>
      </c>
      <c r="J3015" s="3">
        <v>0.35000000000000003</v>
      </c>
      <c r="K3015" s="4">
        <v>3250</v>
      </c>
      <c r="L3015" s="5">
        <f t="shared" si="24"/>
        <v>1137.5</v>
      </c>
      <c r="M3015" s="5">
        <f t="shared" si="25"/>
        <v>455</v>
      </c>
      <c r="N3015" s="6">
        <v>0.4</v>
      </c>
    </row>
    <row r="3016" spans="1:14" ht="15.75" customHeight="1" x14ac:dyDescent="0.45">
      <c r="A3016" s="1" t="s">
        <v>119</v>
      </c>
      <c r="B3016" s="1">
        <v>1185732</v>
      </c>
      <c r="C3016" s="2">
        <v>44875</v>
      </c>
      <c r="D3016" s="1" t="s">
        <v>26</v>
      </c>
      <c r="E3016" s="1" t="s">
        <v>98</v>
      </c>
      <c r="F3016" s="1" t="s">
        <v>99</v>
      </c>
      <c r="G3016" s="1" t="s">
        <v>15</v>
      </c>
      <c r="H3016" s="1">
        <v>45</v>
      </c>
      <c r="I3016" s="1" t="s">
        <v>123</v>
      </c>
      <c r="J3016" s="3">
        <v>0.35000000000000003</v>
      </c>
      <c r="K3016" s="4">
        <v>2700</v>
      </c>
      <c r="L3016" s="5">
        <f t="shared" si="24"/>
        <v>945.00000000000011</v>
      </c>
      <c r="M3016" s="5">
        <f t="shared" si="25"/>
        <v>330.75</v>
      </c>
      <c r="N3016" s="6">
        <v>0.35</v>
      </c>
    </row>
    <row r="3017" spans="1:14" ht="15.75" customHeight="1" x14ac:dyDescent="0.45">
      <c r="A3017" s="1" t="s">
        <v>119</v>
      </c>
      <c r="B3017" s="1">
        <v>1185732</v>
      </c>
      <c r="C3017" s="2">
        <v>44875</v>
      </c>
      <c r="D3017" s="1" t="s">
        <v>26</v>
      </c>
      <c r="E3017" s="1" t="s">
        <v>98</v>
      </c>
      <c r="F3017" s="1" t="s">
        <v>99</v>
      </c>
      <c r="G3017" s="1" t="s">
        <v>16</v>
      </c>
      <c r="H3017" s="1">
        <v>25</v>
      </c>
      <c r="I3017" s="1" t="s">
        <v>123</v>
      </c>
      <c r="J3017" s="3">
        <v>0.35000000000000003</v>
      </c>
      <c r="K3017" s="4">
        <v>2750</v>
      </c>
      <c r="L3017" s="5">
        <f t="shared" si="24"/>
        <v>962.50000000000011</v>
      </c>
      <c r="M3017" s="5">
        <f t="shared" si="25"/>
        <v>336.875</v>
      </c>
      <c r="N3017" s="6">
        <v>0.35</v>
      </c>
    </row>
    <row r="3018" spans="1:14" ht="15.75" customHeight="1" x14ac:dyDescent="0.45">
      <c r="A3018" s="1" t="s">
        <v>119</v>
      </c>
      <c r="B3018" s="1">
        <v>1185732</v>
      </c>
      <c r="C3018" s="2">
        <v>44875</v>
      </c>
      <c r="D3018" s="1" t="s">
        <v>26</v>
      </c>
      <c r="E3018" s="1" t="s">
        <v>98</v>
      </c>
      <c r="F3018" s="1" t="s">
        <v>99</v>
      </c>
      <c r="G3018" s="1" t="s">
        <v>17</v>
      </c>
      <c r="H3018" s="1">
        <v>25</v>
      </c>
      <c r="I3018" s="1" t="s">
        <v>125</v>
      </c>
      <c r="J3018" s="3">
        <v>0.6</v>
      </c>
      <c r="K3018" s="4">
        <v>2500</v>
      </c>
      <c r="L3018" s="5">
        <f t="shared" si="24"/>
        <v>1500</v>
      </c>
      <c r="M3018" s="5">
        <f t="shared" si="25"/>
        <v>450</v>
      </c>
      <c r="N3018" s="6">
        <v>0.3</v>
      </c>
    </row>
    <row r="3019" spans="1:14" ht="15.75" customHeight="1" x14ac:dyDescent="0.45">
      <c r="A3019" s="1" t="s">
        <v>119</v>
      </c>
      <c r="B3019" s="1">
        <v>1185732</v>
      </c>
      <c r="C3019" s="2">
        <v>44875</v>
      </c>
      <c r="D3019" s="1" t="s">
        <v>26</v>
      </c>
      <c r="E3019" s="1" t="s">
        <v>98</v>
      </c>
      <c r="F3019" s="1" t="s">
        <v>99</v>
      </c>
      <c r="G3019" s="1" t="s">
        <v>18</v>
      </c>
      <c r="H3019" s="1">
        <v>38</v>
      </c>
      <c r="I3019" s="1" t="s">
        <v>124</v>
      </c>
      <c r="J3019" s="3">
        <v>0.64999999999999991</v>
      </c>
      <c r="K3019" s="4">
        <v>3500</v>
      </c>
      <c r="L3019" s="5">
        <f t="shared" si="24"/>
        <v>2274.9999999999995</v>
      </c>
      <c r="M3019" s="5">
        <f t="shared" si="25"/>
        <v>909.99999999999989</v>
      </c>
      <c r="N3019" s="6">
        <v>0.4</v>
      </c>
    </row>
    <row r="3020" spans="1:14" ht="15.75" customHeight="1" x14ac:dyDescent="0.45">
      <c r="A3020" s="1" t="s">
        <v>119</v>
      </c>
      <c r="B3020" s="1">
        <v>1185732</v>
      </c>
      <c r="C3020" s="2">
        <v>44904</v>
      </c>
      <c r="D3020" s="1" t="s">
        <v>26</v>
      </c>
      <c r="E3020" s="1" t="s">
        <v>98</v>
      </c>
      <c r="F3020" s="1" t="s">
        <v>99</v>
      </c>
      <c r="G3020" s="1" t="s">
        <v>13</v>
      </c>
      <c r="H3020" s="1">
        <v>37</v>
      </c>
      <c r="I3020" s="1" t="s">
        <v>124</v>
      </c>
      <c r="J3020" s="3">
        <v>0.6</v>
      </c>
      <c r="K3020" s="4">
        <v>6000</v>
      </c>
      <c r="L3020" s="5">
        <f t="shared" si="24"/>
        <v>3600</v>
      </c>
      <c r="M3020" s="5">
        <f t="shared" si="25"/>
        <v>1440</v>
      </c>
      <c r="N3020" s="6">
        <v>0.4</v>
      </c>
    </row>
    <row r="3021" spans="1:14" ht="15.75" customHeight="1" x14ac:dyDescent="0.45">
      <c r="A3021" s="1" t="s">
        <v>119</v>
      </c>
      <c r="B3021" s="1">
        <v>1185732</v>
      </c>
      <c r="C3021" s="2">
        <v>44904</v>
      </c>
      <c r="D3021" s="1" t="s">
        <v>26</v>
      </c>
      <c r="E3021" s="1" t="s">
        <v>98</v>
      </c>
      <c r="F3021" s="1" t="s">
        <v>99</v>
      </c>
      <c r="G3021" s="1" t="s">
        <v>14</v>
      </c>
      <c r="H3021" s="1">
        <v>60</v>
      </c>
      <c r="I3021" s="1" t="s">
        <v>126</v>
      </c>
      <c r="J3021" s="3">
        <v>0.5</v>
      </c>
      <c r="K3021" s="4">
        <v>4000</v>
      </c>
      <c r="L3021" s="5">
        <f t="shared" si="24"/>
        <v>2000</v>
      </c>
      <c r="M3021" s="5">
        <f t="shared" si="25"/>
        <v>800</v>
      </c>
      <c r="N3021" s="6">
        <v>0.4</v>
      </c>
    </row>
    <row r="3022" spans="1:14" ht="15.75" customHeight="1" x14ac:dyDescent="0.45">
      <c r="A3022" s="1" t="s">
        <v>119</v>
      </c>
      <c r="B3022" s="1">
        <v>1185732</v>
      </c>
      <c r="C3022" s="2">
        <v>44904</v>
      </c>
      <c r="D3022" s="1" t="s">
        <v>26</v>
      </c>
      <c r="E3022" s="1" t="s">
        <v>98</v>
      </c>
      <c r="F3022" s="1" t="s">
        <v>99</v>
      </c>
      <c r="G3022" s="1" t="s">
        <v>15</v>
      </c>
      <c r="H3022" s="1">
        <v>18</v>
      </c>
      <c r="I3022" s="1" t="s">
        <v>126</v>
      </c>
      <c r="J3022" s="3">
        <v>0.5</v>
      </c>
      <c r="K3022" s="4">
        <v>3500</v>
      </c>
      <c r="L3022" s="5">
        <f t="shared" si="24"/>
        <v>1750</v>
      </c>
      <c r="M3022" s="5">
        <f t="shared" si="25"/>
        <v>612.5</v>
      </c>
      <c r="N3022" s="6">
        <v>0.35</v>
      </c>
    </row>
    <row r="3023" spans="1:14" ht="15.75" customHeight="1" x14ac:dyDescent="0.45">
      <c r="A3023" s="1" t="s">
        <v>119</v>
      </c>
      <c r="B3023" s="1">
        <v>1185732</v>
      </c>
      <c r="C3023" s="2">
        <v>44904</v>
      </c>
      <c r="D3023" s="1" t="s">
        <v>26</v>
      </c>
      <c r="E3023" s="1" t="s">
        <v>98</v>
      </c>
      <c r="F3023" s="1" t="s">
        <v>99</v>
      </c>
      <c r="G3023" s="1" t="s">
        <v>16</v>
      </c>
      <c r="H3023" s="1">
        <v>55</v>
      </c>
      <c r="I3023" s="1" t="s">
        <v>125</v>
      </c>
      <c r="J3023" s="3">
        <v>0.5</v>
      </c>
      <c r="K3023" s="4">
        <v>3000</v>
      </c>
      <c r="L3023" s="5">
        <f t="shared" si="24"/>
        <v>1500</v>
      </c>
      <c r="M3023" s="5">
        <f t="shared" si="25"/>
        <v>525</v>
      </c>
      <c r="N3023" s="6">
        <v>0.35</v>
      </c>
    </row>
    <row r="3024" spans="1:14" ht="15.75" customHeight="1" x14ac:dyDescent="0.45">
      <c r="A3024" s="1" t="s">
        <v>119</v>
      </c>
      <c r="B3024" s="1">
        <v>1185732</v>
      </c>
      <c r="C3024" s="2">
        <v>44904</v>
      </c>
      <c r="D3024" s="1" t="s">
        <v>26</v>
      </c>
      <c r="E3024" s="1" t="s">
        <v>98</v>
      </c>
      <c r="F3024" s="1" t="s">
        <v>99</v>
      </c>
      <c r="G3024" s="1" t="s">
        <v>17</v>
      </c>
      <c r="H3024" s="1">
        <v>27</v>
      </c>
      <c r="I3024" s="1" t="s">
        <v>126</v>
      </c>
      <c r="J3024" s="3">
        <v>0.6</v>
      </c>
      <c r="K3024" s="4">
        <v>3000</v>
      </c>
      <c r="L3024" s="5">
        <f t="shared" si="24"/>
        <v>1800</v>
      </c>
      <c r="M3024" s="5">
        <f t="shared" si="25"/>
        <v>540</v>
      </c>
      <c r="N3024" s="6">
        <v>0.3</v>
      </c>
    </row>
    <row r="3025" spans="1:14" ht="15.75" customHeight="1" x14ac:dyDescent="0.45">
      <c r="A3025" s="1" t="s">
        <v>119</v>
      </c>
      <c r="B3025" s="1">
        <v>1185732</v>
      </c>
      <c r="C3025" s="2">
        <v>44904</v>
      </c>
      <c r="D3025" s="1" t="s">
        <v>26</v>
      </c>
      <c r="E3025" s="1" t="s">
        <v>98</v>
      </c>
      <c r="F3025" s="1" t="s">
        <v>99</v>
      </c>
      <c r="G3025" s="1" t="s">
        <v>18</v>
      </c>
      <c r="H3025" s="1">
        <v>52</v>
      </c>
      <c r="I3025" s="1" t="s">
        <v>124</v>
      </c>
      <c r="J3025" s="3">
        <v>0.64999999999999991</v>
      </c>
      <c r="K3025" s="4">
        <v>4000</v>
      </c>
      <c r="L3025" s="5">
        <f t="shared" si="24"/>
        <v>2599.9999999999995</v>
      </c>
      <c r="M3025" s="5">
        <f t="shared" si="25"/>
        <v>1039.9999999999998</v>
      </c>
      <c r="N3025" s="6">
        <v>0.4</v>
      </c>
    </row>
    <row r="3026" spans="1:14" ht="15.75" customHeight="1" x14ac:dyDescent="0.45">
      <c r="A3026" s="1" t="s">
        <v>119</v>
      </c>
      <c r="B3026" s="1">
        <v>1185732</v>
      </c>
      <c r="C3026" s="2">
        <v>44578</v>
      </c>
      <c r="D3026" s="1" t="s">
        <v>26</v>
      </c>
      <c r="E3026" s="1" t="s">
        <v>100</v>
      </c>
      <c r="F3026" s="1" t="s">
        <v>101</v>
      </c>
      <c r="G3026" s="1" t="s">
        <v>13</v>
      </c>
      <c r="H3026" s="1">
        <v>33</v>
      </c>
      <c r="I3026" s="1" t="s">
        <v>124</v>
      </c>
      <c r="J3026" s="3">
        <v>0.35000000000000003</v>
      </c>
      <c r="K3026" s="4">
        <v>5000</v>
      </c>
      <c r="L3026" s="5">
        <f t="shared" si="24"/>
        <v>1750.0000000000002</v>
      </c>
      <c r="M3026" s="5">
        <f t="shared" si="25"/>
        <v>700.00000000000011</v>
      </c>
      <c r="N3026" s="6">
        <v>0.4</v>
      </c>
    </row>
    <row r="3027" spans="1:14" ht="15.75" customHeight="1" x14ac:dyDescent="0.45">
      <c r="A3027" s="1" t="s">
        <v>119</v>
      </c>
      <c r="B3027" s="1">
        <v>1185732</v>
      </c>
      <c r="C3027" s="2">
        <v>44578</v>
      </c>
      <c r="D3027" s="1" t="s">
        <v>26</v>
      </c>
      <c r="E3027" s="1" t="s">
        <v>100</v>
      </c>
      <c r="F3027" s="1" t="s">
        <v>101</v>
      </c>
      <c r="G3027" s="1" t="s">
        <v>14</v>
      </c>
      <c r="H3027" s="1">
        <v>59</v>
      </c>
      <c r="I3027" s="1" t="s">
        <v>124</v>
      </c>
      <c r="J3027" s="3">
        <v>0.35000000000000003</v>
      </c>
      <c r="K3027" s="4">
        <v>3000</v>
      </c>
      <c r="L3027" s="5">
        <f t="shared" si="24"/>
        <v>1050</v>
      </c>
      <c r="M3027" s="5">
        <f t="shared" si="25"/>
        <v>420</v>
      </c>
      <c r="N3027" s="6">
        <v>0.4</v>
      </c>
    </row>
    <row r="3028" spans="1:14" ht="15.75" customHeight="1" x14ac:dyDescent="0.45">
      <c r="A3028" s="1" t="s">
        <v>119</v>
      </c>
      <c r="B3028" s="1">
        <v>1185732</v>
      </c>
      <c r="C3028" s="2">
        <v>44578</v>
      </c>
      <c r="D3028" s="1" t="s">
        <v>26</v>
      </c>
      <c r="E3028" s="1" t="s">
        <v>100</v>
      </c>
      <c r="F3028" s="1" t="s">
        <v>101</v>
      </c>
      <c r="G3028" s="1" t="s">
        <v>15</v>
      </c>
      <c r="H3028" s="1">
        <v>45</v>
      </c>
      <c r="I3028" s="1" t="s">
        <v>124</v>
      </c>
      <c r="J3028" s="3">
        <v>0.25000000000000006</v>
      </c>
      <c r="K3028" s="4">
        <v>3000</v>
      </c>
      <c r="L3028" s="5">
        <f t="shared" si="24"/>
        <v>750.00000000000011</v>
      </c>
      <c r="M3028" s="5">
        <f t="shared" si="25"/>
        <v>300.00000000000006</v>
      </c>
      <c r="N3028" s="6">
        <v>0.4</v>
      </c>
    </row>
    <row r="3029" spans="1:14" ht="15.75" customHeight="1" x14ac:dyDescent="0.45">
      <c r="A3029" s="1" t="s">
        <v>119</v>
      </c>
      <c r="B3029" s="1">
        <v>1185732</v>
      </c>
      <c r="C3029" s="2">
        <v>44578</v>
      </c>
      <c r="D3029" s="1" t="s">
        <v>26</v>
      </c>
      <c r="E3029" s="1" t="s">
        <v>100</v>
      </c>
      <c r="F3029" s="1" t="s">
        <v>101</v>
      </c>
      <c r="G3029" s="1" t="s">
        <v>16</v>
      </c>
      <c r="H3029" s="1">
        <v>15</v>
      </c>
      <c r="I3029" s="1" t="s">
        <v>123</v>
      </c>
      <c r="J3029" s="3">
        <v>0.30000000000000004</v>
      </c>
      <c r="K3029" s="4">
        <v>1500</v>
      </c>
      <c r="L3029" s="5">
        <f t="shared" si="24"/>
        <v>450.00000000000006</v>
      </c>
      <c r="M3029" s="5">
        <f t="shared" si="25"/>
        <v>180.00000000000003</v>
      </c>
      <c r="N3029" s="6">
        <v>0.4</v>
      </c>
    </row>
    <row r="3030" spans="1:14" ht="15.75" customHeight="1" x14ac:dyDescent="0.45">
      <c r="A3030" s="1" t="s">
        <v>119</v>
      </c>
      <c r="B3030" s="1">
        <v>1185732</v>
      </c>
      <c r="C3030" s="2">
        <v>44578</v>
      </c>
      <c r="D3030" s="1" t="s">
        <v>26</v>
      </c>
      <c r="E3030" s="1" t="s">
        <v>100</v>
      </c>
      <c r="F3030" s="1" t="s">
        <v>101</v>
      </c>
      <c r="G3030" s="1" t="s">
        <v>17</v>
      </c>
      <c r="H3030" s="1">
        <v>56</v>
      </c>
      <c r="I3030" s="1" t="s">
        <v>126</v>
      </c>
      <c r="J3030" s="3">
        <v>0.44999999999999996</v>
      </c>
      <c r="K3030" s="4">
        <v>2000</v>
      </c>
      <c r="L3030" s="5">
        <f t="shared" si="24"/>
        <v>899.99999999999989</v>
      </c>
      <c r="M3030" s="5">
        <f t="shared" si="25"/>
        <v>360</v>
      </c>
      <c r="N3030" s="6">
        <v>0.4</v>
      </c>
    </row>
    <row r="3031" spans="1:14" ht="15.75" customHeight="1" x14ac:dyDescent="0.45">
      <c r="A3031" s="1" t="s">
        <v>119</v>
      </c>
      <c r="B3031" s="1">
        <v>1185732</v>
      </c>
      <c r="C3031" s="2">
        <v>44578</v>
      </c>
      <c r="D3031" s="1" t="s">
        <v>26</v>
      </c>
      <c r="E3031" s="1" t="s">
        <v>100</v>
      </c>
      <c r="F3031" s="1" t="s">
        <v>101</v>
      </c>
      <c r="G3031" s="1" t="s">
        <v>18</v>
      </c>
      <c r="H3031" s="1">
        <v>50</v>
      </c>
      <c r="I3031" s="1" t="s">
        <v>126</v>
      </c>
      <c r="J3031" s="3">
        <v>0.35000000000000003</v>
      </c>
      <c r="K3031" s="4">
        <v>3000</v>
      </c>
      <c r="L3031" s="5">
        <f t="shared" si="24"/>
        <v>1050</v>
      </c>
      <c r="M3031" s="5">
        <f t="shared" si="25"/>
        <v>420</v>
      </c>
      <c r="N3031" s="6">
        <v>0.4</v>
      </c>
    </row>
    <row r="3032" spans="1:14" ht="15.75" customHeight="1" x14ac:dyDescent="0.45">
      <c r="A3032" s="1" t="s">
        <v>119</v>
      </c>
      <c r="B3032" s="1">
        <v>1185732</v>
      </c>
      <c r="C3032" s="2">
        <v>44609</v>
      </c>
      <c r="D3032" s="1" t="s">
        <v>26</v>
      </c>
      <c r="E3032" s="1" t="s">
        <v>100</v>
      </c>
      <c r="F3032" s="1" t="s">
        <v>101</v>
      </c>
      <c r="G3032" s="1" t="s">
        <v>13</v>
      </c>
      <c r="H3032" s="1">
        <v>54</v>
      </c>
      <c r="I3032" s="1" t="s">
        <v>126</v>
      </c>
      <c r="J3032" s="3">
        <v>0.35000000000000003</v>
      </c>
      <c r="K3032" s="4">
        <v>5500</v>
      </c>
      <c r="L3032" s="5">
        <f t="shared" si="24"/>
        <v>1925.0000000000002</v>
      </c>
      <c r="M3032" s="5">
        <f t="shared" si="25"/>
        <v>770.00000000000011</v>
      </c>
      <c r="N3032" s="6">
        <v>0.4</v>
      </c>
    </row>
    <row r="3033" spans="1:14" ht="15.75" customHeight="1" x14ac:dyDescent="0.45">
      <c r="A3033" s="1" t="s">
        <v>119</v>
      </c>
      <c r="B3033" s="1">
        <v>1185732</v>
      </c>
      <c r="C3033" s="2">
        <v>44609</v>
      </c>
      <c r="D3033" s="1" t="s">
        <v>26</v>
      </c>
      <c r="E3033" s="1" t="s">
        <v>100</v>
      </c>
      <c r="F3033" s="1" t="s">
        <v>101</v>
      </c>
      <c r="G3033" s="1" t="s">
        <v>14</v>
      </c>
      <c r="H3033" s="1">
        <v>53</v>
      </c>
      <c r="I3033" s="1" t="s">
        <v>124</v>
      </c>
      <c r="J3033" s="3">
        <v>0.4</v>
      </c>
      <c r="K3033" s="4">
        <v>2000</v>
      </c>
      <c r="L3033" s="5">
        <f t="shared" si="24"/>
        <v>800</v>
      </c>
      <c r="M3033" s="5">
        <f t="shared" si="25"/>
        <v>320</v>
      </c>
      <c r="N3033" s="6">
        <v>0.4</v>
      </c>
    </row>
    <row r="3034" spans="1:14" ht="15.75" customHeight="1" x14ac:dyDescent="0.45">
      <c r="A3034" s="1" t="s">
        <v>119</v>
      </c>
      <c r="B3034" s="1">
        <v>1185732</v>
      </c>
      <c r="C3034" s="2">
        <v>44609</v>
      </c>
      <c r="D3034" s="1" t="s">
        <v>26</v>
      </c>
      <c r="E3034" s="1" t="s">
        <v>100</v>
      </c>
      <c r="F3034" s="1" t="s">
        <v>101</v>
      </c>
      <c r="G3034" s="1" t="s">
        <v>15</v>
      </c>
      <c r="H3034" s="1">
        <v>30</v>
      </c>
      <c r="I3034" s="1" t="s">
        <v>123</v>
      </c>
      <c r="J3034" s="3">
        <v>0.30000000000000004</v>
      </c>
      <c r="K3034" s="4">
        <v>3000</v>
      </c>
      <c r="L3034" s="5">
        <f t="shared" si="24"/>
        <v>900.00000000000011</v>
      </c>
      <c r="M3034" s="5">
        <f t="shared" si="25"/>
        <v>360.00000000000006</v>
      </c>
      <c r="N3034" s="6">
        <v>0.4</v>
      </c>
    </row>
    <row r="3035" spans="1:14" ht="15.75" customHeight="1" x14ac:dyDescent="0.45">
      <c r="A3035" s="1" t="s">
        <v>119</v>
      </c>
      <c r="B3035" s="1">
        <v>1185732</v>
      </c>
      <c r="C3035" s="2">
        <v>44609</v>
      </c>
      <c r="D3035" s="1" t="s">
        <v>26</v>
      </c>
      <c r="E3035" s="1" t="s">
        <v>100</v>
      </c>
      <c r="F3035" s="1" t="s">
        <v>101</v>
      </c>
      <c r="G3035" s="1" t="s">
        <v>16</v>
      </c>
      <c r="H3035" s="1">
        <v>29</v>
      </c>
      <c r="I3035" s="1" t="s">
        <v>123</v>
      </c>
      <c r="J3035" s="3">
        <v>0.35000000000000003</v>
      </c>
      <c r="K3035" s="4">
        <v>1750</v>
      </c>
      <c r="L3035" s="5">
        <f t="shared" si="24"/>
        <v>612.50000000000011</v>
      </c>
      <c r="M3035" s="5">
        <f t="shared" si="25"/>
        <v>245.00000000000006</v>
      </c>
      <c r="N3035" s="6">
        <v>0.4</v>
      </c>
    </row>
    <row r="3036" spans="1:14" ht="15.75" customHeight="1" x14ac:dyDescent="0.45">
      <c r="A3036" s="1" t="s">
        <v>119</v>
      </c>
      <c r="B3036" s="1">
        <v>1185732</v>
      </c>
      <c r="C3036" s="2">
        <v>44609</v>
      </c>
      <c r="D3036" s="1" t="s">
        <v>26</v>
      </c>
      <c r="E3036" s="1" t="s">
        <v>100</v>
      </c>
      <c r="F3036" s="1" t="s">
        <v>101</v>
      </c>
      <c r="G3036" s="1" t="s">
        <v>17</v>
      </c>
      <c r="H3036" s="1">
        <v>36</v>
      </c>
      <c r="I3036" s="1" t="s">
        <v>125</v>
      </c>
      <c r="J3036" s="3">
        <v>0.49999999999999994</v>
      </c>
      <c r="K3036" s="4">
        <v>2500</v>
      </c>
      <c r="L3036" s="5">
        <f t="shared" si="24"/>
        <v>1249.9999999999998</v>
      </c>
      <c r="M3036" s="5">
        <f t="shared" si="25"/>
        <v>499.99999999999994</v>
      </c>
      <c r="N3036" s="6">
        <v>0.4</v>
      </c>
    </row>
    <row r="3037" spans="1:14" ht="15.75" customHeight="1" x14ac:dyDescent="0.45">
      <c r="A3037" s="1" t="s">
        <v>119</v>
      </c>
      <c r="B3037" s="1">
        <v>1185732</v>
      </c>
      <c r="C3037" s="2">
        <v>44609</v>
      </c>
      <c r="D3037" s="1" t="s">
        <v>26</v>
      </c>
      <c r="E3037" s="1" t="s">
        <v>100</v>
      </c>
      <c r="F3037" s="1" t="s">
        <v>101</v>
      </c>
      <c r="G3037" s="1" t="s">
        <v>18</v>
      </c>
      <c r="H3037" s="1">
        <v>45</v>
      </c>
      <c r="I3037" s="1" t="s">
        <v>124</v>
      </c>
      <c r="J3037" s="3">
        <v>0.24999999999999994</v>
      </c>
      <c r="K3037" s="4">
        <v>3500</v>
      </c>
      <c r="L3037" s="5">
        <f t="shared" si="24"/>
        <v>874.99999999999977</v>
      </c>
      <c r="M3037" s="5">
        <f t="shared" si="25"/>
        <v>349.99999999999994</v>
      </c>
      <c r="N3037" s="6">
        <v>0.4</v>
      </c>
    </row>
    <row r="3038" spans="1:14" ht="15.75" customHeight="1" x14ac:dyDescent="0.45">
      <c r="A3038" s="1" t="s">
        <v>119</v>
      </c>
      <c r="B3038" s="1">
        <v>1185732</v>
      </c>
      <c r="C3038" s="2">
        <v>44636</v>
      </c>
      <c r="D3038" s="1" t="s">
        <v>26</v>
      </c>
      <c r="E3038" s="1" t="s">
        <v>100</v>
      </c>
      <c r="F3038" s="1" t="s">
        <v>101</v>
      </c>
      <c r="G3038" s="1" t="s">
        <v>13</v>
      </c>
      <c r="H3038" s="1">
        <v>50</v>
      </c>
      <c r="I3038" s="1" t="s">
        <v>123</v>
      </c>
      <c r="J3038" s="3">
        <v>0.30000000000000004</v>
      </c>
      <c r="K3038" s="4">
        <v>5700</v>
      </c>
      <c r="L3038" s="5">
        <f t="shared" si="24"/>
        <v>1710.0000000000002</v>
      </c>
      <c r="M3038" s="5">
        <f t="shared" si="25"/>
        <v>684.00000000000011</v>
      </c>
      <c r="N3038" s="6">
        <v>0.4</v>
      </c>
    </row>
    <row r="3039" spans="1:14" ht="15.75" customHeight="1" x14ac:dyDescent="0.45">
      <c r="A3039" s="1" t="s">
        <v>119</v>
      </c>
      <c r="B3039" s="1">
        <v>1185732</v>
      </c>
      <c r="C3039" s="2">
        <v>44636</v>
      </c>
      <c r="D3039" s="1" t="s">
        <v>26</v>
      </c>
      <c r="E3039" s="1" t="s">
        <v>100</v>
      </c>
      <c r="F3039" s="1" t="s">
        <v>101</v>
      </c>
      <c r="G3039" s="1" t="s">
        <v>14</v>
      </c>
      <c r="H3039" s="1">
        <v>60</v>
      </c>
      <c r="I3039" s="1" t="s">
        <v>123</v>
      </c>
      <c r="J3039" s="3">
        <v>0.30000000000000004</v>
      </c>
      <c r="K3039" s="4">
        <v>2750</v>
      </c>
      <c r="L3039" s="5">
        <f t="shared" si="24"/>
        <v>825.00000000000011</v>
      </c>
      <c r="M3039" s="5">
        <f t="shared" si="25"/>
        <v>330.00000000000006</v>
      </c>
      <c r="N3039" s="6">
        <v>0.4</v>
      </c>
    </row>
    <row r="3040" spans="1:14" ht="15.75" customHeight="1" x14ac:dyDescent="0.45">
      <c r="A3040" s="1" t="s">
        <v>119</v>
      </c>
      <c r="B3040" s="1">
        <v>1185732</v>
      </c>
      <c r="C3040" s="2">
        <v>44636</v>
      </c>
      <c r="D3040" s="1" t="s">
        <v>26</v>
      </c>
      <c r="E3040" s="1" t="s">
        <v>100</v>
      </c>
      <c r="F3040" s="1" t="s">
        <v>101</v>
      </c>
      <c r="G3040" s="1" t="s">
        <v>15</v>
      </c>
      <c r="H3040" s="1">
        <v>54</v>
      </c>
      <c r="I3040" s="1" t="s">
        <v>124</v>
      </c>
      <c r="J3040" s="3">
        <v>0.2</v>
      </c>
      <c r="K3040" s="4">
        <v>3250</v>
      </c>
      <c r="L3040" s="5">
        <f t="shared" si="24"/>
        <v>650</v>
      </c>
      <c r="M3040" s="5">
        <f t="shared" si="25"/>
        <v>260</v>
      </c>
      <c r="N3040" s="6">
        <v>0.4</v>
      </c>
    </row>
    <row r="3041" spans="1:14" ht="15.75" customHeight="1" x14ac:dyDescent="0.45">
      <c r="A3041" s="1" t="s">
        <v>119</v>
      </c>
      <c r="B3041" s="1">
        <v>1185732</v>
      </c>
      <c r="C3041" s="2">
        <v>44636</v>
      </c>
      <c r="D3041" s="1" t="s">
        <v>26</v>
      </c>
      <c r="E3041" s="1" t="s">
        <v>100</v>
      </c>
      <c r="F3041" s="1" t="s">
        <v>101</v>
      </c>
      <c r="G3041" s="1" t="s">
        <v>16</v>
      </c>
      <c r="H3041" s="1">
        <v>17</v>
      </c>
      <c r="I3041" s="1" t="s">
        <v>124</v>
      </c>
      <c r="J3041" s="3">
        <v>0.24999999999999994</v>
      </c>
      <c r="K3041" s="4">
        <v>1750</v>
      </c>
      <c r="L3041" s="5">
        <f t="shared" si="24"/>
        <v>437.49999999999989</v>
      </c>
      <c r="M3041" s="5">
        <f t="shared" si="25"/>
        <v>174.99999999999997</v>
      </c>
      <c r="N3041" s="6">
        <v>0.4</v>
      </c>
    </row>
    <row r="3042" spans="1:14" ht="15.75" customHeight="1" x14ac:dyDescent="0.45">
      <c r="A3042" s="1" t="s">
        <v>119</v>
      </c>
      <c r="B3042" s="1">
        <v>1185732</v>
      </c>
      <c r="C3042" s="2">
        <v>44636</v>
      </c>
      <c r="D3042" s="1" t="s">
        <v>26</v>
      </c>
      <c r="E3042" s="1" t="s">
        <v>100</v>
      </c>
      <c r="F3042" s="1" t="s">
        <v>101</v>
      </c>
      <c r="G3042" s="1" t="s">
        <v>17</v>
      </c>
      <c r="H3042" s="1">
        <v>59</v>
      </c>
      <c r="I3042" s="1" t="s">
        <v>125</v>
      </c>
      <c r="J3042" s="3">
        <v>0.4</v>
      </c>
      <c r="K3042" s="4">
        <v>2250</v>
      </c>
      <c r="L3042" s="5">
        <f t="shared" si="24"/>
        <v>900</v>
      </c>
      <c r="M3042" s="5">
        <f t="shared" si="25"/>
        <v>360</v>
      </c>
      <c r="N3042" s="6">
        <v>0.4</v>
      </c>
    </row>
    <row r="3043" spans="1:14" ht="15.75" customHeight="1" x14ac:dyDescent="0.45">
      <c r="A3043" s="1" t="s">
        <v>119</v>
      </c>
      <c r="B3043" s="1">
        <v>1185732</v>
      </c>
      <c r="C3043" s="2">
        <v>44636</v>
      </c>
      <c r="D3043" s="1" t="s">
        <v>26</v>
      </c>
      <c r="E3043" s="1" t="s">
        <v>100</v>
      </c>
      <c r="F3043" s="1" t="s">
        <v>101</v>
      </c>
      <c r="G3043" s="1" t="s">
        <v>18</v>
      </c>
      <c r="H3043" s="1">
        <v>55</v>
      </c>
      <c r="I3043" s="1" t="s">
        <v>124</v>
      </c>
      <c r="J3043" s="3">
        <v>0.30000000000000004</v>
      </c>
      <c r="K3043" s="4">
        <v>3250</v>
      </c>
      <c r="L3043" s="5">
        <f t="shared" si="24"/>
        <v>975.00000000000011</v>
      </c>
      <c r="M3043" s="5">
        <f t="shared" si="25"/>
        <v>390.00000000000006</v>
      </c>
      <c r="N3043" s="6">
        <v>0.4</v>
      </c>
    </row>
    <row r="3044" spans="1:14" ht="15.75" customHeight="1" x14ac:dyDescent="0.45">
      <c r="A3044" s="1" t="s">
        <v>119</v>
      </c>
      <c r="B3044" s="1">
        <v>1185732</v>
      </c>
      <c r="C3044" s="2">
        <v>44668</v>
      </c>
      <c r="D3044" s="1" t="s">
        <v>26</v>
      </c>
      <c r="E3044" s="1" t="s">
        <v>100</v>
      </c>
      <c r="F3044" s="1" t="s">
        <v>101</v>
      </c>
      <c r="G3044" s="1" t="s">
        <v>13</v>
      </c>
      <c r="H3044" s="1">
        <v>37</v>
      </c>
      <c r="I3044" s="1" t="s">
        <v>126</v>
      </c>
      <c r="J3044" s="3">
        <v>0.30000000000000004</v>
      </c>
      <c r="K3044" s="4">
        <v>5500</v>
      </c>
      <c r="L3044" s="5">
        <f t="shared" si="24"/>
        <v>1650.0000000000002</v>
      </c>
      <c r="M3044" s="5">
        <f t="shared" si="25"/>
        <v>660.00000000000011</v>
      </c>
      <c r="N3044" s="6">
        <v>0.4</v>
      </c>
    </row>
    <row r="3045" spans="1:14" ht="15.75" customHeight="1" x14ac:dyDescent="0.45">
      <c r="A3045" s="1" t="s">
        <v>119</v>
      </c>
      <c r="B3045" s="1">
        <v>1185732</v>
      </c>
      <c r="C3045" s="2">
        <v>44668</v>
      </c>
      <c r="D3045" s="1" t="s">
        <v>26</v>
      </c>
      <c r="E3045" s="1" t="s">
        <v>100</v>
      </c>
      <c r="F3045" s="1" t="s">
        <v>101</v>
      </c>
      <c r="G3045" s="1" t="s">
        <v>14</v>
      </c>
      <c r="H3045" s="1">
        <v>40</v>
      </c>
      <c r="I3045" s="1" t="s">
        <v>124</v>
      </c>
      <c r="J3045" s="3">
        <v>0.30000000000000004</v>
      </c>
      <c r="K3045" s="4">
        <v>2500</v>
      </c>
      <c r="L3045" s="5">
        <f t="shared" si="24"/>
        <v>750.00000000000011</v>
      </c>
      <c r="M3045" s="5">
        <f t="shared" si="25"/>
        <v>300.00000000000006</v>
      </c>
      <c r="N3045" s="6">
        <v>0.4</v>
      </c>
    </row>
    <row r="3046" spans="1:14" ht="15.75" customHeight="1" x14ac:dyDescent="0.45">
      <c r="A3046" s="1" t="s">
        <v>119</v>
      </c>
      <c r="B3046" s="1">
        <v>1185732</v>
      </c>
      <c r="C3046" s="2">
        <v>44668</v>
      </c>
      <c r="D3046" s="1" t="s">
        <v>26</v>
      </c>
      <c r="E3046" s="1" t="s">
        <v>100</v>
      </c>
      <c r="F3046" s="1" t="s">
        <v>101</v>
      </c>
      <c r="G3046" s="1" t="s">
        <v>15</v>
      </c>
      <c r="H3046" s="1">
        <v>56</v>
      </c>
      <c r="I3046" s="1" t="s">
        <v>125</v>
      </c>
      <c r="J3046" s="3">
        <v>0.2</v>
      </c>
      <c r="K3046" s="4">
        <v>2500</v>
      </c>
      <c r="L3046" s="5">
        <f t="shared" si="24"/>
        <v>500</v>
      </c>
      <c r="M3046" s="5">
        <f t="shared" si="25"/>
        <v>200</v>
      </c>
      <c r="N3046" s="6">
        <v>0.4</v>
      </c>
    </row>
    <row r="3047" spans="1:14" ht="15.75" customHeight="1" x14ac:dyDescent="0.45">
      <c r="A3047" s="1" t="s">
        <v>119</v>
      </c>
      <c r="B3047" s="1">
        <v>1185732</v>
      </c>
      <c r="C3047" s="2">
        <v>44668</v>
      </c>
      <c r="D3047" s="1" t="s">
        <v>26</v>
      </c>
      <c r="E3047" s="1" t="s">
        <v>100</v>
      </c>
      <c r="F3047" s="1" t="s">
        <v>101</v>
      </c>
      <c r="G3047" s="1" t="s">
        <v>16</v>
      </c>
      <c r="H3047" s="1">
        <v>25</v>
      </c>
      <c r="I3047" s="1" t="s">
        <v>124</v>
      </c>
      <c r="J3047" s="3">
        <v>0.24999999999999994</v>
      </c>
      <c r="K3047" s="4">
        <v>1750</v>
      </c>
      <c r="L3047" s="5">
        <f t="shared" si="24"/>
        <v>437.49999999999989</v>
      </c>
      <c r="M3047" s="5">
        <f t="shared" si="25"/>
        <v>174.99999999999997</v>
      </c>
      <c r="N3047" s="6">
        <v>0.4</v>
      </c>
    </row>
    <row r="3048" spans="1:14" ht="15.75" customHeight="1" x14ac:dyDescent="0.45">
      <c r="A3048" s="1" t="s">
        <v>119</v>
      </c>
      <c r="B3048" s="1">
        <v>1185732</v>
      </c>
      <c r="C3048" s="2">
        <v>44668</v>
      </c>
      <c r="D3048" s="1" t="s">
        <v>26</v>
      </c>
      <c r="E3048" s="1" t="s">
        <v>100</v>
      </c>
      <c r="F3048" s="1" t="s">
        <v>101</v>
      </c>
      <c r="G3048" s="1" t="s">
        <v>17</v>
      </c>
      <c r="H3048" s="1">
        <v>52</v>
      </c>
      <c r="I3048" s="1" t="s">
        <v>124</v>
      </c>
      <c r="J3048" s="3">
        <v>0.65</v>
      </c>
      <c r="K3048" s="4">
        <v>2000</v>
      </c>
      <c r="L3048" s="5">
        <f t="shared" si="24"/>
        <v>1300</v>
      </c>
      <c r="M3048" s="5">
        <f t="shared" si="25"/>
        <v>520</v>
      </c>
      <c r="N3048" s="6">
        <v>0.4</v>
      </c>
    </row>
    <row r="3049" spans="1:14" ht="15.75" customHeight="1" x14ac:dyDescent="0.45">
      <c r="A3049" s="1" t="s">
        <v>119</v>
      </c>
      <c r="B3049" s="1">
        <v>1185732</v>
      </c>
      <c r="C3049" s="2">
        <v>44668</v>
      </c>
      <c r="D3049" s="1" t="s">
        <v>26</v>
      </c>
      <c r="E3049" s="1" t="s">
        <v>100</v>
      </c>
      <c r="F3049" s="1" t="s">
        <v>101</v>
      </c>
      <c r="G3049" s="1" t="s">
        <v>18</v>
      </c>
      <c r="H3049" s="1">
        <v>44</v>
      </c>
      <c r="I3049" s="1" t="s">
        <v>123</v>
      </c>
      <c r="J3049" s="3">
        <v>0.5</v>
      </c>
      <c r="K3049" s="4">
        <v>3250</v>
      </c>
      <c r="L3049" s="5">
        <f t="shared" si="24"/>
        <v>1625</v>
      </c>
      <c r="M3049" s="5">
        <f t="shared" si="25"/>
        <v>650</v>
      </c>
      <c r="N3049" s="6">
        <v>0.4</v>
      </c>
    </row>
    <row r="3050" spans="1:14" ht="15.75" customHeight="1" x14ac:dyDescent="0.45">
      <c r="A3050" s="1" t="s">
        <v>119</v>
      </c>
      <c r="B3050" s="1">
        <v>1185732</v>
      </c>
      <c r="C3050" s="2">
        <v>44699</v>
      </c>
      <c r="D3050" s="1" t="s">
        <v>26</v>
      </c>
      <c r="E3050" s="1" t="s">
        <v>100</v>
      </c>
      <c r="F3050" s="1" t="s">
        <v>101</v>
      </c>
      <c r="G3050" s="1" t="s">
        <v>13</v>
      </c>
      <c r="H3050" s="1">
        <v>19</v>
      </c>
      <c r="I3050" s="1" t="s">
        <v>126</v>
      </c>
      <c r="J3050" s="3">
        <v>0.6</v>
      </c>
      <c r="K3050" s="4">
        <v>5950</v>
      </c>
      <c r="L3050" s="5">
        <f t="shared" si="24"/>
        <v>3570</v>
      </c>
      <c r="M3050" s="5">
        <f t="shared" si="25"/>
        <v>1428</v>
      </c>
      <c r="N3050" s="6">
        <v>0.4</v>
      </c>
    </row>
    <row r="3051" spans="1:14" ht="15.75" customHeight="1" x14ac:dyDescent="0.45">
      <c r="A3051" s="1" t="s">
        <v>119</v>
      </c>
      <c r="B3051" s="1">
        <v>1185732</v>
      </c>
      <c r="C3051" s="2">
        <v>44699</v>
      </c>
      <c r="D3051" s="1" t="s">
        <v>26</v>
      </c>
      <c r="E3051" s="1" t="s">
        <v>100</v>
      </c>
      <c r="F3051" s="1" t="s">
        <v>101</v>
      </c>
      <c r="G3051" s="1" t="s">
        <v>14</v>
      </c>
      <c r="H3051" s="1">
        <v>20</v>
      </c>
      <c r="I3051" s="1" t="s">
        <v>124</v>
      </c>
      <c r="J3051" s="3">
        <v>0.4</v>
      </c>
      <c r="K3051" s="4">
        <v>3000</v>
      </c>
      <c r="L3051" s="5">
        <f t="shared" si="24"/>
        <v>1200</v>
      </c>
      <c r="M3051" s="5">
        <f t="shared" si="25"/>
        <v>480</v>
      </c>
      <c r="N3051" s="6">
        <v>0.4</v>
      </c>
    </row>
    <row r="3052" spans="1:14" ht="15.75" customHeight="1" x14ac:dyDescent="0.45">
      <c r="A3052" s="1" t="s">
        <v>119</v>
      </c>
      <c r="B3052" s="1">
        <v>1185732</v>
      </c>
      <c r="C3052" s="2">
        <v>44699</v>
      </c>
      <c r="D3052" s="1" t="s">
        <v>26</v>
      </c>
      <c r="E3052" s="1" t="s">
        <v>100</v>
      </c>
      <c r="F3052" s="1" t="s">
        <v>101</v>
      </c>
      <c r="G3052" s="1" t="s">
        <v>15</v>
      </c>
      <c r="H3052" s="1">
        <v>33</v>
      </c>
      <c r="I3052" s="1" t="s">
        <v>126</v>
      </c>
      <c r="J3052" s="3">
        <v>0.35000000000000003</v>
      </c>
      <c r="K3052" s="4">
        <v>2750</v>
      </c>
      <c r="L3052" s="5">
        <f t="shared" si="24"/>
        <v>962.50000000000011</v>
      </c>
      <c r="M3052" s="5">
        <f t="shared" si="25"/>
        <v>385.00000000000006</v>
      </c>
      <c r="N3052" s="6">
        <v>0.4</v>
      </c>
    </row>
    <row r="3053" spans="1:14" ht="15.75" customHeight="1" x14ac:dyDescent="0.45">
      <c r="A3053" s="1" t="s">
        <v>119</v>
      </c>
      <c r="B3053" s="1">
        <v>1185732</v>
      </c>
      <c r="C3053" s="2">
        <v>44699</v>
      </c>
      <c r="D3053" s="1" t="s">
        <v>26</v>
      </c>
      <c r="E3053" s="1" t="s">
        <v>100</v>
      </c>
      <c r="F3053" s="1" t="s">
        <v>101</v>
      </c>
      <c r="G3053" s="1" t="s">
        <v>16</v>
      </c>
      <c r="H3053" s="1">
        <v>38</v>
      </c>
      <c r="I3053" s="1" t="s">
        <v>124</v>
      </c>
      <c r="J3053" s="3">
        <v>0.35000000000000003</v>
      </c>
      <c r="K3053" s="4">
        <v>2000</v>
      </c>
      <c r="L3053" s="5">
        <f t="shared" si="24"/>
        <v>700.00000000000011</v>
      </c>
      <c r="M3053" s="5">
        <f t="shared" si="25"/>
        <v>280.00000000000006</v>
      </c>
      <c r="N3053" s="6">
        <v>0.4</v>
      </c>
    </row>
    <row r="3054" spans="1:14" ht="15.75" customHeight="1" x14ac:dyDescent="0.45">
      <c r="A3054" s="1" t="s">
        <v>119</v>
      </c>
      <c r="B3054" s="1">
        <v>1185732</v>
      </c>
      <c r="C3054" s="2">
        <v>44699</v>
      </c>
      <c r="D3054" s="1" t="s">
        <v>26</v>
      </c>
      <c r="E3054" s="1" t="s">
        <v>100</v>
      </c>
      <c r="F3054" s="1" t="s">
        <v>101</v>
      </c>
      <c r="G3054" s="1" t="s">
        <v>17</v>
      </c>
      <c r="H3054" s="1">
        <v>42</v>
      </c>
      <c r="I3054" s="1" t="s">
        <v>123</v>
      </c>
      <c r="J3054" s="3">
        <v>0.44999999999999996</v>
      </c>
      <c r="K3054" s="4">
        <v>2250</v>
      </c>
      <c r="L3054" s="5">
        <f t="shared" si="24"/>
        <v>1012.4999999999999</v>
      </c>
      <c r="M3054" s="5">
        <f t="shared" si="25"/>
        <v>405</v>
      </c>
      <c r="N3054" s="6">
        <v>0.4</v>
      </c>
    </row>
    <row r="3055" spans="1:14" ht="15.75" customHeight="1" x14ac:dyDescent="0.45">
      <c r="A3055" s="1" t="s">
        <v>119</v>
      </c>
      <c r="B3055" s="1">
        <v>1185732</v>
      </c>
      <c r="C3055" s="2">
        <v>44699</v>
      </c>
      <c r="D3055" s="1" t="s">
        <v>26</v>
      </c>
      <c r="E3055" s="1" t="s">
        <v>100</v>
      </c>
      <c r="F3055" s="1" t="s">
        <v>101</v>
      </c>
      <c r="G3055" s="1" t="s">
        <v>18</v>
      </c>
      <c r="H3055" s="1">
        <v>55</v>
      </c>
      <c r="I3055" s="1" t="s">
        <v>124</v>
      </c>
      <c r="J3055" s="3">
        <v>0.54999999999999993</v>
      </c>
      <c r="K3055" s="4">
        <v>3500</v>
      </c>
      <c r="L3055" s="5">
        <f t="shared" si="24"/>
        <v>1924.9999999999998</v>
      </c>
      <c r="M3055" s="5">
        <f t="shared" si="25"/>
        <v>770</v>
      </c>
      <c r="N3055" s="6">
        <v>0.4</v>
      </c>
    </row>
    <row r="3056" spans="1:14" ht="15.75" customHeight="1" x14ac:dyDescent="0.45">
      <c r="A3056" s="1" t="s">
        <v>119</v>
      </c>
      <c r="B3056" s="1">
        <v>1185732</v>
      </c>
      <c r="C3056" s="2">
        <v>44729</v>
      </c>
      <c r="D3056" s="1" t="s">
        <v>26</v>
      </c>
      <c r="E3056" s="1" t="s">
        <v>100</v>
      </c>
      <c r="F3056" s="1" t="s">
        <v>101</v>
      </c>
      <c r="G3056" s="1" t="s">
        <v>13</v>
      </c>
      <c r="H3056" s="1">
        <v>30</v>
      </c>
      <c r="I3056" s="1" t="s">
        <v>124</v>
      </c>
      <c r="J3056" s="3">
        <v>0.45</v>
      </c>
      <c r="K3056" s="4">
        <v>6000</v>
      </c>
      <c r="L3056" s="5">
        <f t="shared" si="24"/>
        <v>2700</v>
      </c>
      <c r="M3056" s="5">
        <f t="shared" si="25"/>
        <v>1080</v>
      </c>
      <c r="N3056" s="6">
        <v>0.4</v>
      </c>
    </row>
    <row r="3057" spans="1:14" ht="15.75" customHeight="1" x14ac:dyDescent="0.45">
      <c r="A3057" s="1" t="s">
        <v>119</v>
      </c>
      <c r="B3057" s="1">
        <v>1185732</v>
      </c>
      <c r="C3057" s="2">
        <v>44729</v>
      </c>
      <c r="D3057" s="1" t="s">
        <v>26</v>
      </c>
      <c r="E3057" s="1" t="s">
        <v>100</v>
      </c>
      <c r="F3057" s="1" t="s">
        <v>101</v>
      </c>
      <c r="G3057" s="1" t="s">
        <v>14</v>
      </c>
      <c r="H3057" s="1">
        <v>56</v>
      </c>
      <c r="I3057" s="1" t="s">
        <v>125</v>
      </c>
      <c r="J3057" s="3">
        <v>0.40000000000000008</v>
      </c>
      <c r="K3057" s="4">
        <v>4250</v>
      </c>
      <c r="L3057" s="5">
        <f t="shared" si="24"/>
        <v>1700.0000000000002</v>
      </c>
      <c r="M3057" s="5">
        <f t="shared" si="25"/>
        <v>680.00000000000011</v>
      </c>
      <c r="N3057" s="6">
        <v>0.4</v>
      </c>
    </row>
    <row r="3058" spans="1:14" ht="15.75" customHeight="1" x14ac:dyDescent="0.45">
      <c r="A3058" s="1" t="s">
        <v>119</v>
      </c>
      <c r="B3058" s="1">
        <v>1185732</v>
      </c>
      <c r="C3058" s="2">
        <v>44729</v>
      </c>
      <c r="D3058" s="1" t="s">
        <v>26</v>
      </c>
      <c r="E3058" s="1" t="s">
        <v>100</v>
      </c>
      <c r="F3058" s="1" t="s">
        <v>101</v>
      </c>
      <c r="G3058" s="1" t="s">
        <v>15</v>
      </c>
      <c r="H3058" s="1">
        <v>21</v>
      </c>
      <c r="I3058" s="1" t="s">
        <v>126</v>
      </c>
      <c r="J3058" s="3">
        <v>0.35000000000000003</v>
      </c>
      <c r="K3058" s="4">
        <v>3000</v>
      </c>
      <c r="L3058" s="5">
        <f t="shared" si="24"/>
        <v>1050</v>
      </c>
      <c r="M3058" s="5">
        <f t="shared" si="25"/>
        <v>420</v>
      </c>
      <c r="N3058" s="6">
        <v>0.4</v>
      </c>
    </row>
    <row r="3059" spans="1:14" ht="15.75" customHeight="1" x14ac:dyDescent="0.45">
      <c r="A3059" s="1" t="s">
        <v>119</v>
      </c>
      <c r="B3059" s="1">
        <v>1185732</v>
      </c>
      <c r="C3059" s="2">
        <v>44729</v>
      </c>
      <c r="D3059" s="1" t="s">
        <v>26</v>
      </c>
      <c r="E3059" s="1" t="s">
        <v>100</v>
      </c>
      <c r="F3059" s="1" t="s">
        <v>101</v>
      </c>
      <c r="G3059" s="1" t="s">
        <v>16</v>
      </c>
      <c r="H3059" s="1">
        <v>26</v>
      </c>
      <c r="I3059" s="1" t="s">
        <v>125</v>
      </c>
      <c r="J3059" s="3">
        <v>0.35000000000000003</v>
      </c>
      <c r="K3059" s="4">
        <v>2750</v>
      </c>
      <c r="L3059" s="5">
        <f t="shared" si="24"/>
        <v>962.50000000000011</v>
      </c>
      <c r="M3059" s="5">
        <f t="shared" si="25"/>
        <v>385.00000000000006</v>
      </c>
      <c r="N3059" s="6">
        <v>0.4</v>
      </c>
    </row>
    <row r="3060" spans="1:14" ht="15.75" customHeight="1" x14ac:dyDescent="0.45">
      <c r="A3060" s="1" t="s">
        <v>119</v>
      </c>
      <c r="B3060" s="1">
        <v>1185732</v>
      </c>
      <c r="C3060" s="2">
        <v>44729</v>
      </c>
      <c r="D3060" s="1" t="s">
        <v>26</v>
      </c>
      <c r="E3060" s="1" t="s">
        <v>100</v>
      </c>
      <c r="F3060" s="1" t="s">
        <v>101</v>
      </c>
      <c r="G3060" s="1" t="s">
        <v>17</v>
      </c>
      <c r="H3060" s="1">
        <v>40</v>
      </c>
      <c r="I3060" s="1" t="s">
        <v>123</v>
      </c>
      <c r="J3060" s="3">
        <v>0.45</v>
      </c>
      <c r="K3060" s="4">
        <v>2750</v>
      </c>
      <c r="L3060" s="5">
        <f t="shared" si="24"/>
        <v>1237.5</v>
      </c>
      <c r="M3060" s="5">
        <f t="shared" si="25"/>
        <v>495</v>
      </c>
      <c r="N3060" s="6">
        <v>0.4</v>
      </c>
    </row>
    <row r="3061" spans="1:14" ht="15.75" customHeight="1" x14ac:dyDescent="0.45">
      <c r="A3061" s="1" t="s">
        <v>119</v>
      </c>
      <c r="B3061" s="1">
        <v>1185732</v>
      </c>
      <c r="C3061" s="2">
        <v>44729</v>
      </c>
      <c r="D3061" s="1" t="s">
        <v>26</v>
      </c>
      <c r="E3061" s="1" t="s">
        <v>100</v>
      </c>
      <c r="F3061" s="1" t="s">
        <v>101</v>
      </c>
      <c r="G3061" s="1" t="s">
        <v>18</v>
      </c>
      <c r="H3061" s="1">
        <v>30</v>
      </c>
      <c r="I3061" s="1" t="s">
        <v>126</v>
      </c>
      <c r="J3061" s="3">
        <v>0.65000000000000013</v>
      </c>
      <c r="K3061" s="4">
        <v>4250</v>
      </c>
      <c r="L3061" s="5">
        <f t="shared" si="24"/>
        <v>2762.5000000000005</v>
      </c>
      <c r="M3061" s="5">
        <f t="shared" si="25"/>
        <v>1105.0000000000002</v>
      </c>
      <c r="N3061" s="6">
        <v>0.4</v>
      </c>
    </row>
    <row r="3062" spans="1:14" ht="15.75" customHeight="1" x14ac:dyDescent="0.45">
      <c r="A3062" s="1" t="s">
        <v>119</v>
      </c>
      <c r="B3062" s="1">
        <v>1185732</v>
      </c>
      <c r="C3062" s="2">
        <v>44758</v>
      </c>
      <c r="D3062" s="1" t="s">
        <v>26</v>
      </c>
      <c r="E3062" s="1" t="s">
        <v>100</v>
      </c>
      <c r="F3062" s="1" t="s">
        <v>101</v>
      </c>
      <c r="G3062" s="1" t="s">
        <v>13</v>
      </c>
      <c r="H3062" s="1">
        <v>44</v>
      </c>
      <c r="I3062" s="1" t="s">
        <v>124</v>
      </c>
      <c r="J3062" s="3">
        <v>0.60000000000000009</v>
      </c>
      <c r="K3062" s="4">
        <v>6500</v>
      </c>
      <c r="L3062" s="5">
        <f t="shared" si="24"/>
        <v>3900.0000000000005</v>
      </c>
      <c r="M3062" s="5">
        <f t="shared" si="25"/>
        <v>1560.0000000000002</v>
      </c>
      <c r="N3062" s="6">
        <v>0.4</v>
      </c>
    </row>
    <row r="3063" spans="1:14" ht="15.75" customHeight="1" x14ac:dyDescent="0.45">
      <c r="A3063" s="1" t="s">
        <v>119</v>
      </c>
      <c r="B3063" s="1">
        <v>1185732</v>
      </c>
      <c r="C3063" s="2">
        <v>44758</v>
      </c>
      <c r="D3063" s="1" t="s">
        <v>26</v>
      </c>
      <c r="E3063" s="1" t="s">
        <v>100</v>
      </c>
      <c r="F3063" s="1" t="s">
        <v>101</v>
      </c>
      <c r="G3063" s="1" t="s">
        <v>14</v>
      </c>
      <c r="H3063" s="1">
        <v>51</v>
      </c>
      <c r="I3063" s="1" t="s">
        <v>125</v>
      </c>
      <c r="J3063" s="3">
        <v>0.55000000000000016</v>
      </c>
      <c r="K3063" s="4">
        <v>4000</v>
      </c>
      <c r="L3063" s="5">
        <f t="shared" si="24"/>
        <v>2200.0000000000005</v>
      </c>
      <c r="M3063" s="5">
        <f t="shared" si="25"/>
        <v>880.00000000000023</v>
      </c>
      <c r="N3063" s="6">
        <v>0.4</v>
      </c>
    </row>
    <row r="3064" spans="1:14" ht="15.75" customHeight="1" x14ac:dyDescent="0.45">
      <c r="A3064" s="1" t="s">
        <v>119</v>
      </c>
      <c r="B3064" s="1">
        <v>1185732</v>
      </c>
      <c r="C3064" s="2">
        <v>44758</v>
      </c>
      <c r="D3064" s="1" t="s">
        <v>26</v>
      </c>
      <c r="E3064" s="1" t="s">
        <v>100</v>
      </c>
      <c r="F3064" s="1" t="s">
        <v>101</v>
      </c>
      <c r="G3064" s="1" t="s">
        <v>15</v>
      </c>
      <c r="H3064" s="1">
        <v>35</v>
      </c>
      <c r="I3064" s="1" t="s">
        <v>124</v>
      </c>
      <c r="J3064" s="3">
        <v>0.5</v>
      </c>
      <c r="K3064" s="4">
        <v>3250</v>
      </c>
      <c r="L3064" s="5">
        <f t="shared" si="24"/>
        <v>1625</v>
      </c>
      <c r="M3064" s="5">
        <f t="shared" si="25"/>
        <v>650</v>
      </c>
      <c r="N3064" s="6">
        <v>0.4</v>
      </c>
    </row>
    <row r="3065" spans="1:14" ht="15.75" customHeight="1" x14ac:dyDescent="0.45">
      <c r="A3065" s="1" t="s">
        <v>119</v>
      </c>
      <c r="B3065" s="1">
        <v>1185732</v>
      </c>
      <c r="C3065" s="2">
        <v>44758</v>
      </c>
      <c r="D3065" s="1" t="s">
        <v>26</v>
      </c>
      <c r="E3065" s="1" t="s">
        <v>100</v>
      </c>
      <c r="F3065" s="1" t="s">
        <v>101</v>
      </c>
      <c r="G3065" s="1" t="s">
        <v>16</v>
      </c>
      <c r="H3065" s="1">
        <v>55</v>
      </c>
      <c r="I3065" s="1" t="s">
        <v>123</v>
      </c>
      <c r="J3065" s="3">
        <v>0.5</v>
      </c>
      <c r="K3065" s="4">
        <v>2750</v>
      </c>
      <c r="L3065" s="5">
        <f t="shared" si="24"/>
        <v>1375</v>
      </c>
      <c r="M3065" s="5">
        <f t="shared" si="25"/>
        <v>550</v>
      </c>
      <c r="N3065" s="6">
        <v>0.4</v>
      </c>
    </row>
    <row r="3066" spans="1:14" ht="15.75" customHeight="1" x14ac:dyDescent="0.45">
      <c r="A3066" s="1" t="s">
        <v>119</v>
      </c>
      <c r="B3066" s="1">
        <v>1185732</v>
      </c>
      <c r="C3066" s="2">
        <v>44758</v>
      </c>
      <c r="D3066" s="1" t="s">
        <v>26</v>
      </c>
      <c r="E3066" s="1" t="s">
        <v>100</v>
      </c>
      <c r="F3066" s="1" t="s">
        <v>101</v>
      </c>
      <c r="G3066" s="1" t="s">
        <v>17</v>
      </c>
      <c r="H3066" s="1">
        <v>22</v>
      </c>
      <c r="I3066" s="1" t="s">
        <v>124</v>
      </c>
      <c r="J3066" s="3">
        <v>0.60000000000000009</v>
      </c>
      <c r="K3066" s="4">
        <v>3000</v>
      </c>
      <c r="L3066" s="5">
        <f t="shared" si="24"/>
        <v>1800.0000000000002</v>
      </c>
      <c r="M3066" s="5">
        <f t="shared" si="25"/>
        <v>720.00000000000011</v>
      </c>
      <c r="N3066" s="6">
        <v>0.4</v>
      </c>
    </row>
    <row r="3067" spans="1:14" ht="15.75" customHeight="1" x14ac:dyDescent="0.45">
      <c r="A3067" s="1" t="s">
        <v>119</v>
      </c>
      <c r="B3067" s="1">
        <v>1185732</v>
      </c>
      <c r="C3067" s="2">
        <v>44758</v>
      </c>
      <c r="D3067" s="1" t="s">
        <v>26</v>
      </c>
      <c r="E3067" s="1" t="s">
        <v>100</v>
      </c>
      <c r="F3067" s="1" t="s">
        <v>101</v>
      </c>
      <c r="G3067" s="1" t="s">
        <v>18</v>
      </c>
      <c r="H3067" s="1">
        <v>22</v>
      </c>
      <c r="I3067" s="1" t="s">
        <v>123</v>
      </c>
      <c r="J3067" s="3">
        <v>0.65000000000000013</v>
      </c>
      <c r="K3067" s="4">
        <v>4750</v>
      </c>
      <c r="L3067" s="5">
        <f t="shared" si="24"/>
        <v>3087.5000000000005</v>
      </c>
      <c r="M3067" s="5">
        <f t="shared" si="25"/>
        <v>1235.0000000000002</v>
      </c>
      <c r="N3067" s="6">
        <v>0.4</v>
      </c>
    </row>
    <row r="3068" spans="1:14" ht="15.75" customHeight="1" x14ac:dyDescent="0.45">
      <c r="A3068" s="1" t="s">
        <v>119</v>
      </c>
      <c r="B3068" s="1">
        <v>1185732</v>
      </c>
      <c r="C3068" s="2">
        <v>44790</v>
      </c>
      <c r="D3068" s="1" t="s">
        <v>26</v>
      </c>
      <c r="E3068" s="1" t="s">
        <v>100</v>
      </c>
      <c r="F3068" s="1" t="s">
        <v>101</v>
      </c>
      <c r="G3068" s="1" t="s">
        <v>13</v>
      </c>
      <c r="H3068" s="1">
        <v>21</v>
      </c>
      <c r="I3068" s="1" t="s">
        <v>124</v>
      </c>
      <c r="J3068" s="3">
        <v>0.5</v>
      </c>
      <c r="K3068" s="4">
        <v>5250</v>
      </c>
      <c r="L3068" s="5">
        <f t="shared" si="24"/>
        <v>2625</v>
      </c>
      <c r="M3068" s="5">
        <f t="shared" si="25"/>
        <v>1050</v>
      </c>
      <c r="N3068" s="6">
        <v>0.4</v>
      </c>
    </row>
    <row r="3069" spans="1:14" ht="15.75" customHeight="1" x14ac:dyDescent="0.45">
      <c r="A3069" s="1" t="s">
        <v>119</v>
      </c>
      <c r="B3069" s="1">
        <v>1185732</v>
      </c>
      <c r="C3069" s="2">
        <v>44790</v>
      </c>
      <c r="D3069" s="1" t="s">
        <v>26</v>
      </c>
      <c r="E3069" s="1" t="s">
        <v>100</v>
      </c>
      <c r="F3069" s="1" t="s">
        <v>101</v>
      </c>
      <c r="G3069" s="1" t="s">
        <v>14</v>
      </c>
      <c r="H3069" s="1">
        <v>39</v>
      </c>
      <c r="I3069" s="1" t="s">
        <v>124</v>
      </c>
      <c r="J3069" s="3">
        <v>0.45000000000000007</v>
      </c>
      <c r="K3069" s="4">
        <v>3000</v>
      </c>
      <c r="L3069" s="5">
        <f t="shared" si="24"/>
        <v>1350.0000000000002</v>
      </c>
      <c r="M3069" s="5">
        <f t="shared" si="25"/>
        <v>540.00000000000011</v>
      </c>
      <c r="N3069" s="6">
        <v>0.4</v>
      </c>
    </row>
    <row r="3070" spans="1:14" ht="15.75" customHeight="1" x14ac:dyDescent="0.45">
      <c r="A3070" s="1" t="s">
        <v>119</v>
      </c>
      <c r="B3070" s="1">
        <v>1185732</v>
      </c>
      <c r="C3070" s="2">
        <v>44790</v>
      </c>
      <c r="D3070" s="1" t="s">
        <v>26</v>
      </c>
      <c r="E3070" s="1" t="s">
        <v>100</v>
      </c>
      <c r="F3070" s="1" t="s">
        <v>101</v>
      </c>
      <c r="G3070" s="1" t="s">
        <v>15</v>
      </c>
      <c r="H3070" s="1">
        <v>41</v>
      </c>
      <c r="I3070" s="1" t="s">
        <v>124</v>
      </c>
      <c r="J3070" s="3">
        <v>0.4</v>
      </c>
      <c r="K3070" s="4">
        <v>3000</v>
      </c>
      <c r="L3070" s="5">
        <f t="shared" si="24"/>
        <v>1200</v>
      </c>
      <c r="M3070" s="5">
        <f t="shared" si="25"/>
        <v>480</v>
      </c>
      <c r="N3070" s="6">
        <v>0.4</v>
      </c>
    </row>
    <row r="3071" spans="1:14" ht="15.75" customHeight="1" x14ac:dyDescent="0.45">
      <c r="A3071" s="1" t="s">
        <v>119</v>
      </c>
      <c r="B3071" s="1">
        <v>1185732</v>
      </c>
      <c r="C3071" s="2">
        <v>44790</v>
      </c>
      <c r="D3071" s="1" t="s">
        <v>26</v>
      </c>
      <c r="E3071" s="1" t="s">
        <v>100</v>
      </c>
      <c r="F3071" s="1" t="s">
        <v>101</v>
      </c>
      <c r="G3071" s="1" t="s">
        <v>16</v>
      </c>
      <c r="H3071" s="1">
        <v>27</v>
      </c>
      <c r="I3071" s="1" t="s">
        <v>125</v>
      </c>
      <c r="J3071" s="3">
        <v>0.4</v>
      </c>
      <c r="K3071" s="4">
        <v>2750</v>
      </c>
      <c r="L3071" s="5">
        <f t="shared" si="24"/>
        <v>1100</v>
      </c>
      <c r="M3071" s="5">
        <f t="shared" si="25"/>
        <v>440</v>
      </c>
      <c r="N3071" s="6">
        <v>0.4</v>
      </c>
    </row>
    <row r="3072" spans="1:14" ht="15.75" customHeight="1" x14ac:dyDescent="0.45">
      <c r="A3072" s="1" t="s">
        <v>119</v>
      </c>
      <c r="B3072" s="1">
        <v>1185732</v>
      </c>
      <c r="C3072" s="2">
        <v>44790</v>
      </c>
      <c r="D3072" s="1" t="s">
        <v>26</v>
      </c>
      <c r="E3072" s="1" t="s">
        <v>100</v>
      </c>
      <c r="F3072" s="1" t="s">
        <v>101</v>
      </c>
      <c r="G3072" s="1" t="s">
        <v>17</v>
      </c>
      <c r="H3072" s="1">
        <v>32</v>
      </c>
      <c r="I3072" s="1" t="s">
        <v>125</v>
      </c>
      <c r="J3072" s="3">
        <v>0.5</v>
      </c>
      <c r="K3072" s="4">
        <v>2500</v>
      </c>
      <c r="L3072" s="5">
        <f t="shared" si="24"/>
        <v>1250</v>
      </c>
      <c r="M3072" s="5">
        <f t="shared" si="25"/>
        <v>500</v>
      </c>
      <c r="N3072" s="6">
        <v>0.4</v>
      </c>
    </row>
    <row r="3073" spans="1:14" ht="15.75" customHeight="1" x14ac:dyDescent="0.45">
      <c r="A3073" s="1" t="s">
        <v>119</v>
      </c>
      <c r="B3073" s="1">
        <v>1185732</v>
      </c>
      <c r="C3073" s="2">
        <v>44790</v>
      </c>
      <c r="D3073" s="1" t="s">
        <v>26</v>
      </c>
      <c r="E3073" s="1" t="s">
        <v>100</v>
      </c>
      <c r="F3073" s="1" t="s">
        <v>101</v>
      </c>
      <c r="G3073" s="1" t="s">
        <v>18</v>
      </c>
      <c r="H3073" s="1">
        <v>50</v>
      </c>
      <c r="I3073" s="1" t="s">
        <v>123</v>
      </c>
      <c r="J3073" s="3">
        <v>0.55000000000000004</v>
      </c>
      <c r="K3073" s="4">
        <v>4250</v>
      </c>
      <c r="L3073" s="5">
        <f t="shared" si="24"/>
        <v>2337.5</v>
      </c>
      <c r="M3073" s="5">
        <f t="shared" si="25"/>
        <v>935</v>
      </c>
      <c r="N3073" s="6">
        <v>0.4</v>
      </c>
    </row>
    <row r="3074" spans="1:14" ht="15.75" customHeight="1" x14ac:dyDescent="0.45">
      <c r="A3074" s="1" t="s">
        <v>119</v>
      </c>
      <c r="B3074" s="1">
        <v>1185732</v>
      </c>
      <c r="C3074" s="2">
        <v>44822</v>
      </c>
      <c r="D3074" s="1" t="s">
        <v>26</v>
      </c>
      <c r="E3074" s="1" t="s">
        <v>100</v>
      </c>
      <c r="F3074" s="1" t="s">
        <v>101</v>
      </c>
      <c r="G3074" s="1" t="s">
        <v>13</v>
      </c>
      <c r="H3074" s="1">
        <v>21</v>
      </c>
      <c r="I3074" s="1" t="s">
        <v>126</v>
      </c>
      <c r="J3074" s="3">
        <v>0.35000000000000003</v>
      </c>
      <c r="K3074" s="4">
        <v>5500</v>
      </c>
      <c r="L3074" s="5">
        <f t="shared" si="24"/>
        <v>1925.0000000000002</v>
      </c>
      <c r="M3074" s="5">
        <f t="shared" si="25"/>
        <v>770.00000000000011</v>
      </c>
      <c r="N3074" s="6">
        <v>0.4</v>
      </c>
    </row>
    <row r="3075" spans="1:14" ht="15.75" customHeight="1" x14ac:dyDescent="0.45">
      <c r="A3075" s="1" t="s">
        <v>119</v>
      </c>
      <c r="B3075" s="1">
        <v>1185732</v>
      </c>
      <c r="C3075" s="2">
        <v>44822</v>
      </c>
      <c r="D3075" s="1" t="s">
        <v>26</v>
      </c>
      <c r="E3075" s="1" t="s">
        <v>100</v>
      </c>
      <c r="F3075" s="1" t="s">
        <v>101</v>
      </c>
      <c r="G3075" s="1" t="s">
        <v>14</v>
      </c>
      <c r="H3075" s="1">
        <v>50</v>
      </c>
      <c r="I3075" s="1" t="s">
        <v>123</v>
      </c>
      <c r="J3075" s="3">
        <v>0.3000000000000001</v>
      </c>
      <c r="K3075" s="4">
        <v>3500</v>
      </c>
      <c r="L3075" s="5">
        <f t="shared" si="24"/>
        <v>1050.0000000000005</v>
      </c>
      <c r="M3075" s="5">
        <f t="shared" si="25"/>
        <v>420.00000000000023</v>
      </c>
      <c r="N3075" s="6">
        <v>0.4</v>
      </c>
    </row>
    <row r="3076" spans="1:14" ht="15.75" customHeight="1" x14ac:dyDescent="0.45">
      <c r="A3076" s="1" t="s">
        <v>119</v>
      </c>
      <c r="B3076" s="1">
        <v>1185732</v>
      </c>
      <c r="C3076" s="2">
        <v>44822</v>
      </c>
      <c r="D3076" s="1" t="s">
        <v>26</v>
      </c>
      <c r="E3076" s="1" t="s">
        <v>100</v>
      </c>
      <c r="F3076" s="1" t="s">
        <v>101</v>
      </c>
      <c r="G3076" s="1" t="s">
        <v>15</v>
      </c>
      <c r="H3076" s="1">
        <v>27</v>
      </c>
      <c r="I3076" s="1" t="s">
        <v>123</v>
      </c>
      <c r="J3076" s="3">
        <v>0.25000000000000006</v>
      </c>
      <c r="K3076" s="4">
        <v>2500</v>
      </c>
      <c r="L3076" s="5">
        <f t="shared" si="24"/>
        <v>625.00000000000011</v>
      </c>
      <c r="M3076" s="5">
        <f t="shared" si="25"/>
        <v>250.00000000000006</v>
      </c>
      <c r="N3076" s="6">
        <v>0.4</v>
      </c>
    </row>
    <row r="3077" spans="1:14" ht="15.75" customHeight="1" x14ac:dyDescent="0.45">
      <c r="A3077" s="1" t="s">
        <v>119</v>
      </c>
      <c r="B3077" s="1">
        <v>1185732</v>
      </c>
      <c r="C3077" s="2">
        <v>44822</v>
      </c>
      <c r="D3077" s="1" t="s">
        <v>26</v>
      </c>
      <c r="E3077" s="1" t="s">
        <v>100</v>
      </c>
      <c r="F3077" s="1" t="s">
        <v>101</v>
      </c>
      <c r="G3077" s="1" t="s">
        <v>16</v>
      </c>
      <c r="H3077" s="1">
        <v>44</v>
      </c>
      <c r="I3077" s="1" t="s">
        <v>124</v>
      </c>
      <c r="J3077" s="3">
        <v>0.25000000000000006</v>
      </c>
      <c r="K3077" s="4">
        <v>2250</v>
      </c>
      <c r="L3077" s="5">
        <f t="shared" si="24"/>
        <v>562.50000000000011</v>
      </c>
      <c r="M3077" s="5">
        <f t="shared" si="25"/>
        <v>225.00000000000006</v>
      </c>
      <c r="N3077" s="6">
        <v>0.4</v>
      </c>
    </row>
    <row r="3078" spans="1:14" ht="15.75" customHeight="1" x14ac:dyDescent="0.45">
      <c r="A3078" s="1" t="s">
        <v>119</v>
      </c>
      <c r="B3078" s="1">
        <v>1185732</v>
      </c>
      <c r="C3078" s="2">
        <v>44822</v>
      </c>
      <c r="D3078" s="1" t="s">
        <v>26</v>
      </c>
      <c r="E3078" s="1" t="s">
        <v>100</v>
      </c>
      <c r="F3078" s="1" t="s">
        <v>101</v>
      </c>
      <c r="G3078" s="1" t="s">
        <v>17</v>
      </c>
      <c r="H3078" s="1">
        <v>36</v>
      </c>
      <c r="I3078" s="1" t="s">
        <v>123</v>
      </c>
      <c r="J3078" s="3">
        <v>0.35000000000000003</v>
      </c>
      <c r="K3078" s="4">
        <v>2250</v>
      </c>
      <c r="L3078" s="5">
        <f t="shared" si="24"/>
        <v>787.50000000000011</v>
      </c>
      <c r="M3078" s="5">
        <f t="shared" si="25"/>
        <v>315.00000000000006</v>
      </c>
      <c r="N3078" s="6">
        <v>0.4</v>
      </c>
    </row>
    <row r="3079" spans="1:14" ht="15.75" customHeight="1" x14ac:dyDescent="0.45">
      <c r="A3079" s="1" t="s">
        <v>119</v>
      </c>
      <c r="B3079" s="1">
        <v>1185732</v>
      </c>
      <c r="C3079" s="2">
        <v>44822</v>
      </c>
      <c r="D3079" s="1" t="s">
        <v>26</v>
      </c>
      <c r="E3079" s="1" t="s">
        <v>100</v>
      </c>
      <c r="F3079" s="1" t="s">
        <v>101</v>
      </c>
      <c r="G3079" s="1" t="s">
        <v>18</v>
      </c>
      <c r="H3079" s="1">
        <v>41</v>
      </c>
      <c r="I3079" s="1" t="s">
        <v>124</v>
      </c>
      <c r="J3079" s="3">
        <v>0.4</v>
      </c>
      <c r="K3079" s="4">
        <v>3000</v>
      </c>
      <c r="L3079" s="5">
        <f t="shared" si="24"/>
        <v>1200</v>
      </c>
      <c r="M3079" s="5">
        <f t="shared" si="25"/>
        <v>480</v>
      </c>
      <c r="N3079" s="6">
        <v>0.4</v>
      </c>
    </row>
    <row r="3080" spans="1:14" ht="15.75" customHeight="1" x14ac:dyDescent="0.45">
      <c r="A3080" s="1" t="s">
        <v>119</v>
      </c>
      <c r="B3080" s="1">
        <v>1185732</v>
      </c>
      <c r="C3080" s="2">
        <v>44851</v>
      </c>
      <c r="D3080" s="1" t="s">
        <v>26</v>
      </c>
      <c r="E3080" s="1" t="s">
        <v>100</v>
      </c>
      <c r="F3080" s="1" t="s">
        <v>101</v>
      </c>
      <c r="G3080" s="1" t="s">
        <v>13</v>
      </c>
      <c r="H3080" s="1">
        <v>51</v>
      </c>
      <c r="I3080" s="1" t="s">
        <v>124</v>
      </c>
      <c r="J3080" s="3">
        <v>0.44999999999999996</v>
      </c>
      <c r="K3080" s="4">
        <v>4250</v>
      </c>
      <c r="L3080" s="5">
        <f t="shared" si="24"/>
        <v>1912.4999999999998</v>
      </c>
      <c r="M3080" s="5">
        <f t="shared" si="25"/>
        <v>765</v>
      </c>
      <c r="N3080" s="6">
        <v>0.4</v>
      </c>
    </row>
    <row r="3081" spans="1:14" ht="15.75" customHeight="1" x14ac:dyDescent="0.45">
      <c r="A3081" s="1" t="s">
        <v>119</v>
      </c>
      <c r="B3081" s="1">
        <v>1185732</v>
      </c>
      <c r="C3081" s="2">
        <v>44851</v>
      </c>
      <c r="D3081" s="1" t="s">
        <v>26</v>
      </c>
      <c r="E3081" s="1" t="s">
        <v>100</v>
      </c>
      <c r="F3081" s="1" t="s">
        <v>101</v>
      </c>
      <c r="G3081" s="1" t="s">
        <v>14</v>
      </c>
      <c r="H3081" s="1">
        <v>20</v>
      </c>
      <c r="I3081" s="1" t="s">
        <v>124</v>
      </c>
      <c r="J3081" s="3">
        <v>0.35000000000000003</v>
      </c>
      <c r="K3081" s="4">
        <v>2750</v>
      </c>
      <c r="L3081" s="5">
        <f t="shared" si="24"/>
        <v>962.50000000000011</v>
      </c>
      <c r="M3081" s="5">
        <f t="shared" si="25"/>
        <v>385.00000000000006</v>
      </c>
      <c r="N3081" s="6">
        <v>0.4</v>
      </c>
    </row>
    <row r="3082" spans="1:14" ht="15.75" customHeight="1" x14ac:dyDescent="0.45">
      <c r="A3082" s="1" t="s">
        <v>119</v>
      </c>
      <c r="B3082" s="1">
        <v>1185732</v>
      </c>
      <c r="C3082" s="2">
        <v>44851</v>
      </c>
      <c r="D3082" s="1" t="s">
        <v>26</v>
      </c>
      <c r="E3082" s="1" t="s">
        <v>100</v>
      </c>
      <c r="F3082" s="1" t="s">
        <v>101</v>
      </c>
      <c r="G3082" s="1" t="s">
        <v>15</v>
      </c>
      <c r="H3082" s="1">
        <v>58</v>
      </c>
      <c r="I3082" s="1" t="s">
        <v>126</v>
      </c>
      <c r="J3082" s="3">
        <v>0.35000000000000003</v>
      </c>
      <c r="K3082" s="4">
        <v>1750</v>
      </c>
      <c r="L3082" s="5">
        <f t="shared" si="24"/>
        <v>612.50000000000011</v>
      </c>
      <c r="M3082" s="5">
        <f t="shared" si="25"/>
        <v>245.00000000000006</v>
      </c>
      <c r="N3082" s="6">
        <v>0.4</v>
      </c>
    </row>
    <row r="3083" spans="1:14" ht="15.75" customHeight="1" x14ac:dyDescent="0.45">
      <c r="A3083" s="1" t="s">
        <v>119</v>
      </c>
      <c r="B3083" s="1">
        <v>1185732</v>
      </c>
      <c r="C3083" s="2">
        <v>44851</v>
      </c>
      <c r="D3083" s="1" t="s">
        <v>26</v>
      </c>
      <c r="E3083" s="1" t="s">
        <v>100</v>
      </c>
      <c r="F3083" s="1" t="s">
        <v>101</v>
      </c>
      <c r="G3083" s="1" t="s">
        <v>16</v>
      </c>
      <c r="H3083" s="1">
        <v>41</v>
      </c>
      <c r="I3083" s="1" t="s">
        <v>125</v>
      </c>
      <c r="J3083" s="3">
        <v>0.35000000000000003</v>
      </c>
      <c r="K3083" s="4">
        <v>1750</v>
      </c>
      <c r="L3083" s="5">
        <f t="shared" si="24"/>
        <v>612.50000000000011</v>
      </c>
      <c r="M3083" s="5">
        <f t="shared" si="25"/>
        <v>245.00000000000006</v>
      </c>
      <c r="N3083" s="6">
        <v>0.4</v>
      </c>
    </row>
    <row r="3084" spans="1:14" ht="15.75" customHeight="1" x14ac:dyDescent="0.45">
      <c r="A3084" s="1" t="s">
        <v>119</v>
      </c>
      <c r="B3084" s="1">
        <v>1185732</v>
      </c>
      <c r="C3084" s="2">
        <v>44851</v>
      </c>
      <c r="D3084" s="1" t="s">
        <v>26</v>
      </c>
      <c r="E3084" s="1" t="s">
        <v>100</v>
      </c>
      <c r="F3084" s="1" t="s">
        <v>101</v>
      </c>
      <c r="G3084" s="1" t="s">
        <v>17</v>
      </c>
      <c r="H3084" s="1">
        <v>40</v>
      </c>
      <c r="I3084" s="1" t="s">
        <v>123</v>
      </c>
      <c r="J3084" s="3">
        <v>0.44999999999999996</v>
      </c>
      <c r="K3084" s="4">
        <v>1750</v>
      </c>
      <c r="L3084" s="5">
        <f t="shared" si="24"/>
        <v>787.49999999999989</v>
      </c>
      <c r="M3084" s="5">
        <f t="shared" si="25"/>
        <v>315</v>
      </c>
      <c r="N3084" s="6">
        <v>0.4</v>
      </c>
    </row>
    <row r="3085" spans="1:14" ht="15.75" customHeight="1" x14ac:dyDescent="0.45">
      <c r="A3085" s="1" t="s">
        <v>119</v>
      </c>
      <c r="B3085" s="1">
        <v>1185732</v>
      </c>
      <c r="C3085" s="2">
        <v>44851</v>
      </c>
      <c r="D3085" s="1" t="s">
        <v>26</v>
      </c>
      <c r="E3085" s="1" t="s">
        <v>100</v>
      </c>
      <c r="F3085" s="1" t="s">
        <v>101</v>
      </c>
      <c r="G3085" s="1" t="s">
        <v>18</v>
      </c>
      <c r="H3085" s="1">
        <v>44</v>
      </c>
      <c r="I3085" s="1" t="s">
        <v>126</v>
      </c>
      <c r="J3085" s="3">
        <v>0.49999999999999983</v>
      </c>
      <c r="K3085" s="4">
        <v>3000</v>
      </c>
      <c r="L3085" s="5">
        <f t="shared" si="24"/>
        <v>1499.9999999999995</v>
      </c>
      <c r="M3085" s="5">
        <f t="shared" si="25"/>
        <v>599.99999999999989</v>
      </c>
      <c r="N3085" s="6">
        <v>0.4</v>
      </c>
    </row>
    <row r="3086" spans="1:14" ht="15.75" customHeight="1" x14ac:dyDescent="0.45">
      <c r="A3086" s="1" t="s">
        <v>119</v>
      </c>
      <c r="B3086" s="1">
        <v>1185732</v>
      </c>
      <c r="C3086" s="2">
        <v>44882</v>
      </c>
      <c r="D3086" s="1" t="s">
        <v>26</v>
      </c>
      <c r="E3086" s="1" t="s">
        <v>100</v>
      </c>
      <c r="F3086" s="1" t="s">
        <v>101</v>
      </c>
      <c r="G3086" s="1" t="s">
        <v>13</v>
      </c>
      <c r="H3086" s="1">
        <v>15</v>
      </c>
      <c r="I3086" s="1" t="s">
        <v>123</v>
      </c>
      <c r="J3086" s="3">
        <v>0.44999999999999996</v>
      </c>
      <c r="K3086" s="4">
        <v>4500</v>
      </c>
      <c r="L3086" s="5">
        <f t="shared" si="24"/>
        <v>2024.9999999999998</v>
      </c>
      <c r="M3086" s="5">
        <f t="shared" si="25"/>
        <v>810</v>
      </c>
      <c r="N3086" s="6">
        <v>0.4</v>
      </c>
    </row>
    <row r="3087" spans="1:14" ht="15.75" customHeight="1" x14ac:dyDescent="0.45">
      <c r="A3087" s="1" t="s">
        <v>119</v>
      </c>
      <c r="B3087" s="1">
        <v>1185732</v>
      </c>
      <c r="C3087" s="2">
        <v>44882</v>
      </c>
      <c r="D3087" s="1" t="s">
        <v>26</v>
      </c>
      <c r="E3087" s="1" t="s">
        <v>100</v>
      </c>
      <c r="F3087" s="1" t="s">
        <v>101</v>
      </c>
      <c r="G3087" s="1" t="s">
        <v>14</v>
      </c>
      <c r="H3087" s="1">
        <v>35</v>
      </c>
      <c r="I3087" s="1" t="s">
        <v>126</v>
      </c>
      <c r="J3087" s="3">
        <v>0.35000000000000003</v>
      </c>
      <c r="K3087" s="4">
        <v>3500</v>
      </c>
      <c r="L3087" s="5">
        <f t="shared" si="24"/>
        <v>1225.0000000000002</v>
      </c>
      <c r="M3087" s="5">
        <f t="shared" si="25"/>
        <v>490.00000000000011</v>
      </c>
      <c r="N3087" s="6">
        <v>0.4</v>
      </c>
    </row>
    <row r="3088" spans="1:14" ht="15.75" customHeight="1" x14ac:dyDescent="0.45">
      <c r="A3088" s="1" t="s">
        <v>119</v>
      </c>
      <c r="B3088" s="1">
        <v>1185732</v>
      </c>
      <c r="C3088" s="2">
        <v>44882</v>
      </c>
      <c r="D3088" s="1" t="s">
        <v>26</v>
      </c>
      <c r="E3088" s="1" t="s">
        <v>100</v>
      </c>
      <c r="F3088" s="1" t="s">
        <v>101</v>
      </c>
      <c r="G3088" s="1" t="s">
        <v>15</v>
      </c>
      <c r="H3088" s="1">
        <v>30</v>
      </c>
      <c r="I3088" s="1" t="s">
        <v>124</v>
      </c>
      <c r="J3088" s="3">
        <v>0.35000000000000003</v>
      </c>
      <c r="K3088" s="4">
        <v>2950</v>
      </c>
      <c r="L3088" s="5">
        <f t="shared" si="24"/>
        <v>1032.5</v>
      </c>
      <c r="M3088" s="5">
        <f t="shared" si="25"/>
        <v>413</v>
      </c>
      <c r="N3088" s="6">
        <v>0.4</v>
      </c>
    </row>
    <row r="3089" spans="1:14" ht="15.75" customHeight="1" x14ac:dyDescent="0.45">
      <c r="A3089" s="1" t="s">
        <v>119</v>
      </c>
      <c r="B3089" s="1">
        <v>1185732</v>
      </c>
      <c r="C3089" s="2">
        <v>44882</v>
      </c>
      <c r="D3089" s="1" t="s">
        <v>26</v>
      </c>
      <c r="E3089" s="1" t="s">
        <v>100</v>
      </c>
      <c r="F3089" s="1" t="s">
        <v>101</v>
      </c>
      <c r="G3089" s="1" t="s">
        <v>16</v>
      </c>
      <c r="H3089" s="1">
        <v>22</v>
      </c>
      <c r="I3089" s="1" t="s">
        <v>125</v>
      </c>
      <c r="J3089" s="3">
        <v>0.4</v>
      </c>
      <c r="K3089" s="4">
        <v>3250</v>
      </c>
      <c r="L3089" s="5">
        <f t="shared" si="24"/>
        <v>1300</v>
      </c>
      <c r="M3089" s="5">
        <f t="shared" si="25"/>
        <v>520</v>
      </c>
      <c r="N3089" s="6">
        <v>0.4</v>
      </c>
    </row>
    <row r="3090" spans="1:14" ht="15.75" customHeight="1" x14ac:dyDescent="0.45">
      <c r="A3090" s="1" t="s">
        <v>119</v>
      </c>
      <c r="B3090" s="1">
        <v>1185732</v>
      </c>
      <c r="C3090" s="2">
        <v>44882</v>
      </c>
      <c r="D3090" s="1" t="s">
        <v>26</v>
      </c>
      <c r="E3090" s="1" t="s">
        <v>100</v>
      </c>
      <c r="F3090" s="1" t="s">
        <v>101</v>
      </c>
      <c r="G3090" s="1" t="s">
        <v>17</v>
      </c>
      <c r="H3090" s="1">
        <v>32</v>
      </c>
      <c r="I3090" s="1" t="s">
        <v>125</v>
      </c>
      <c r="J3090" s="3">
        <v>0.65</v>
      </c>
      <c r="K3090" s="4">
        <v>3000</v>
      </c>
      <c r="L3090" s="5">
        <f t="shared" si="24"/>
        <v>1950</v>
      </c>
      <c r="M3090" s="5">
        <f t="shared" si="25"/>
        <v>780</v>
      </c>
      <c r="N3090" s="6">
        <v>0.4</v>
      </c>
    </row>
    <row r="3091" spans="1:14" ht="15.75" customHeight="1" x14ac:dyDescent="0.45">
      <c r="A3091" s="1" t="s">
        <v>119</v>
      </c>
      <c r="B3091" s="1">
        <v>1185732</v>
      </c>
      <c r="C3091" s="2">
        <v>44882</v>
      </c>
      <c r="D3091" s="1" t="s">
        <v>26</v>
      </c>
      <c r="E3091" s="1" t="s">
        <v>100</v>
      </c>
      <c r="F3091" s="1" t="s">
        <v>101</v>
      </c>
      <c r="G3091" s="1" t="s">
        <v>18</v>
      </c>
      <c r="H3091" s="1">
        <v>42</v>
      </c>
      <c r="I3091" s="1" t="s">
        <v>124</v>
      </c>
      <c r="J3091" s="3">
        <v>0.7</v>
      </c>
      <c r="K3091" s="4">
        <v>4000</v>
      </c>
      <c r="L3091" s="5">
        <f t="shared" si="24"/>
        <v>2800</v>
      </c>
      <c r="M3091" s="5">
        <f t="shared" si="25"/>
        <v>1120</v>
      </c>
      <c r="N3091" s="6">
        <v>0.4</v>
      </c>
    </row>
    <row r="3092" spans="1:14" ht="15.75" customHeight="1" x14ac:dyDescent="0.45">
      <c r="A3092" s="1" t="s">
        <v>119</v>
      </c>
      <c r="B3092" s="1">
        <v>1185732</v>
      </c>
      <c r="C3092" s="2">
        <v>44911</v>
      </c>
      <c r="D3092" s="1" t="s">
        <v>26</v>
      </c>
      <c r="E3092" s="1" t="s">
        <v>100</v>
      </c>
      <c r="F3092" s="1" t="s">
        <v>101</v>
      </c>
      <c r="G3092" s="1" t="s">
        <v>13</v>
      </c>
      <c r="H3092" s="1">
        <v>15</v>
      </c>
      <c r="I3092" s="1" t="s">
        <v>126</v>
      </c>
      <c r="J3092" s="3">
        <v>0.65</v>
      </c>
      <c r="K3092" s="4">
        <v>6500</v>
      </c>
      <c r="L3092" s="5">
        <f t="shared" si="24"/>
        <v>4225</v>
      </c>
      <c r="M3092" s="5">
        <f t="shared" si="25"/>
        <v>1690</v>
      </c>
      <c r="N3092" s="6">
        <v>0.4</v>
      </c>
    </row>
    <row r="3093" spans="1:14" ht="15.75" customHeight="1" x14ac:dyDescent="0.45">
      <c r="A3093" s="1" t="s">
        <v>119</v>
      </c>
      <c r="B3093" s="1">
        <v>1185732</v>
      </c>
      <c r="C3093" s="2">
        <v>44911</v>
      </c>
      <c r="D3093" s="1" t="s">
        <v>26</v>
      </c>
      <c r="E3093" s="1" t="s">
        <v>100</v>
      </c>
      <c r="F3093" s="1" t="s">
        <v>101</v>
      </c>
      <c r="G3093" s="1" t="s">
        <v>14</v>
      </c>
      <c r="H3093" s="1">
        <v>60</v>
      </c>
      <c r="I3093" s="1" t="s">
        <v>126</v>
      </c>
      <c r="J3093" s="3">
        <v>0.55000000000000004</v>
      </c>
      <c r="K3093" s="4">
        <v>4500</v>
      </c>
      <c r="L3093" s="5">
        <f t="shared" si="24"/>
        <v>2475</v>
      </c>
      <c r="M3093" s="5">
        <f t="shared" si="25"/>
        <v>990</v>
      </c>
      <c r="N3093" s="6">
        <v>0.4</v>
      </c>
    </row>
    <row r="3094" spans="1:14" ht="15.75" customHeight="1" x14ac:dyDescent="0.45">
      <c r="A3094" s="1" t="s">
        <v>119</v>
      </c>
      <c r="B3094" s="1">
        <v>1185732</v>
      </c>
      <c r="C3094" s="2">
        <v>44911</v>
      </c>
      <c r="D3094" s="1" t="s">
        <v>26</v>
      </c>
      <c r="E3094" s="1" t="s">
        <v>100</v>
      </c>
      <c r="F3094" s="1" t="s">
        <v>101</v>
      </c>
      <c r="G3094" s="1" t="s">
        <v>15</v>
      </c>
      <c r="H3094" s="1">
        <v>42</v>
      </c>
      <c r="I3094" s="1" t="s">
        <v>126</v>
      </c>
      <c r="J3094" s="3">
        <v>0.55000000000000004</v>
      </c>
      <c r="K3094" s="4">
        <v>4000</v>
      </c>
      <c r="L3094" s="5">
        <f t="shared" si="24"/>
        <v>2200</v>
      </c>
      <c r="M3094" s="5">
        <f t="shared" si="25"/>
        <v>880</v>
      </c>
      <c r="N3094" s="6">
        <v>0.4</v>
      </c>
    </row>
    <row r="3095" spans="1:14" ht="15.75" customHeight="1" x14ac:dyDescent="0.45">
      <c r="A3095" s="1" t="s">
        <v>119</v>
      </c>
      <c r="B3095" s="1">
        <v>1185732</v>
      </c>
      <c r="C3095" s="2">
        <v>44911</v>
      </c>
      <c r="D3095" s="1" t="s">
        <v>26</v>
      </c>
      <c r="E3095" s="1" t="s">
        <v>100</v>
      </c>
      <c r="F3095" s="1" t="s">
        <v>101</v>
      </c>
      <c r="G3095" s="1" t="s">
        <v>16</v>
      </c>
      <c r="H3095" s="1">
        <v>52</v>
      </c>
      <c r="I3095" s="1" t="s">
        <v>124</v>
      </c>
      <c r="J3095" s="3">
        <v>0.55000000000000004</v>
      </c>
      <c r="K3095" s="4">
        <v>3500</v>
      </c>
      <c r="L3095" s="5">
        <f t="shared" si="24"/>
        <v>1925.0000000000002</v>
      </c>
      <c r="M3095" s="5">
        <f t="shared" si="25"/>
        <v>770.00000000000011</v>
      </c>
      <c r="N3095" s="6">
        <v>0.4</v>
      </c>
    </row>
    <row r="3096" spans="1:14" ht="15.75" customHeight="1" x14ac:dyDescent="0.45">
      <c r="A3096" s="1" t="s">
        <v>119</v>
      </c>
      <c r="B3096" s="1">
        <v>1185732</v>
      </c>
      <c r="C3096" s="2">
        <v>44911</v>
      </c>
      <c r="D3096" s="1" t="s">
        <v>26</v>
      </c>
      <c r="E3096" s="1" t="s">
        <v>100</v>
      </c>
      <c r="F3096" s="1" t="s">
        <v>101</v>
      </c>
      <c r="G3096" s="1" t="s">
        <v>17</v>
      </c>
      <c r="H3096" s="1">
        <v>20</v>
      </c>
      <c r="I3096" s="1" t="s">
        <v>123</v>
      </c>
      <c r="J3096" s="3">
        <v>0.65</v>
      </c>
      <c r="K3096" s="4">
        <v>3500</v>
      </c>
      <c r="L3096" s="5">
        <f t="shared" si="24"/>
        <v>2275</v>
      </c>
      <c r="M3096" s="5">
        <f t="shared" si="25"/>
        <v>910</v>
      </c>
      <c r="N3096" s="6">
        <v>0.4</v>
      </c>
    </row>
    <row r="3097" spans="1:14" ht="15.75" customHeight="1" x14ac:dyDescent="0.45">
      <c r="A3097" s="1" t="s">
        <v>119</v>
      </c>
      <c r="B3097" s="1">
        <v>1185732</v>
      </c>
      <c r="C3097" s="2">
        <v>44911</v>
      </c>
      <c r="D3097" s="1" t="s">
        <v>26</v>
      </c>
      <c r="E3097" s="1" t="s">
        <v>100</v>
      </c>
      <c r="F3097" s="1" t="s">
        <v>101</v>
      </c>
      <c r="G3097" s="1" t="s">
        <v>18</v>
      </c>
      <c r="H3097" s="1">
        <v>53</v>
      </c>
      <c r="I3097" s="1" t="s">
        <v>126</v>
      </c>
      <c r="J3097" s="3">
        <v>0.7</v>
      </c>
      <c r="K3097" s="4">
        <v>4500</v>
      </c>
      <c r="L3097" s="5">
        <f t="shared" si="24"/>
        <v>3150</v>
      </c>
      <c r="M3097" s="5">
        <f t="shared" si="25"/>
        <v>1260</v>
      </c>
      <c r="N3097" s="6">
        <v>0.4</v>
      </c>
    </row>
    <row r="3098" spans="1:14" ht="15.75" customHeight="1" x14ac:dyDescent="0.45">
      <c r="A3098" s="1" t="s">
        <v>119</v>
      </c>
      <c r="B3098" s="1">
        <v>1185732</v>
      </c>
      <c r="C3098" s="2">
        <v>44585</v>
      </c>
      <c r="D3098" s="1" t="s">
        <v>11</v>
      </c>
      <c r="E3098" s="1" t="s">
        <v>102</v>
      </c>
      <c r="F3098" s="1" t="s">
        <v>77</v>
      </c>
      <c r="G3098" s="1" t="s">
        <v>13</v>
      </c>
      <c r="H3098" s="1">
        <v>20</v>
      </c>
      <c r="I3098" s="1" t="s">
        <v>123</v>
      </c>
      <c r="J3098" s="3">
        <v>0.35000000000000003</v>
      </c>
      <c r="K3098" s="4">
        <v>4250</v>
      </c>
      <c r="L3098" s="5">
        <f t="shared" si="24"/>
        <v>1487.5000000000002</v>
      </c>
      <c r="M3098" s="5">
        <f t="shared" si="25"/>
        <v>595.00000000000011</v>
      </c>
      <c r="N3098" s="6">
        <v>0.4</v>
      </c>
    </row>
    <row r="3099" spans="1:14" ht="15.75" customHeight="1" x14ac:dyDescent="0.45">
      <c r="A3099" s="1" t="s">
        <v>119</v>
      </c>
      <c r="B3099" s="1">
        <v>1185732</v>
      </c>
      <c r="C3099" s="2">
        <v>44585</v>
      </c>
      <c r="D3099" s="1" t="s">
        <v>11</v>
      </c>
      <c r="E3099" s="1" t="s">
        <v>102</v>
      </c>
      <c r="F3099" s="1" t="s">
        <v>77</v>
      </c>
      <c r="G3099" s="1" t="s">
        <v>14</v>
      </c>
      <c r="H3099" s="1">
        <v>15</v>
      </c>
      <c r="I3099" s="1" t="s">
        <v>124</v>
      </c>
      <c r="J3099" s="3">
        <v>0.35000000000000003</v>
      </c>
      <c r="K3099" s="4">
        <v>2250</v>
      </c>
      <c r="L3099" s="5">
        <f t="shared" si="24"/>
        <v>787.50000000000011</v>
      </c>
      <c r="M3099" s="5">
        <f t="shared" si="25"/>
        <v>275.625</v>
      </c>
      <c r="N3099" s="6">
        <v>0.35</v>
      </c>
    </row>
    <row r="3100" spans="1:14" ht="15.75" customHeight="1" x14ac:dyDescent="0.45">
      <c r="A3100" s="1" t="s">
        <v>119</v>
      </c>
      <c r="B3100" s="1">
        <v>1185732</v>
      </c>
      <c r="C3100" s="2">
        <v>44585</v>
      </c>
      <c r="D3100" s="1" t="s">
        <v>11</v>
      </c>
      <c r="E3100" s="1" t="s">
        <v>102</v>
      </c>
      <c r="F3100" s="1" t="s">
        <v>77</v>
      </c>
      <c r="G3100" s="1" t="s">
        <v>15</v>
      </c>
      <c r="H3100" s="1">
        <v>39</v>
      </c>
      <c r="I3100" s="1" t="s">
        <v>126</v>
      </c>
      <c r="J3100" s="3">
        <v>0.25000000000000006</v>
      </c>
      <c r="K3100" s="4">
        <v>2250</v>
      </c>
      <c r="L3100" s="5">
        <f t="shared" si="24"/>
        <v>562.50000000000011</v>
      </c>
      <c r="M3100" s="5">
        <f t="shared" si="25"/>
        <v>196.87500000000003</v>
      </c>
      <c r="N3100" s="6">
        <v>0.35</v>
      </c>
    </row>
    <row r="3101" spans="1:14" ht="15.75" customHeight="1" x14ac:dyDescent="0.45">
      <c r="A3101" s="1" t="s">
        <v>119</v>
      </c>
      <c r="B3101" s="1">
        <v>1185732</v>
      </c>
      <c r="C3101" s="2">
        <v>44585</v>
      </c>
      <c r="D3101" s="1" t="s">
        <v>11</v>
      </c>
      <c r="E3101" s="1" t="s">
        <v>102</v>
      </c>
      <c r="F3101" s="1" t="s">
        <v>77</v>
      </c>
      <c r="G3101" s="1" t="s">
        <v>16</v>
      </c>
      <c r="H3101" s="1">
        <v>37</v>
      </c>
      <c r="I3101" s="1" t="s">
        <v>123</v>
      </c>
      <c r="J3101" s="3">
        <v>0.3</v>
      </c>
      <c r="K3101" s="4">
        <v>750</v>
      </c>
      <c r="L3101" s="5">
        <f t="shared" si="24"/>
        <v>225</v>
      </c>
      <c r="M3101" s="5">
        <f t="shared" si="25"/>
        <v>78.75</v>
      </c>
      <c r="N3101" s="6">
        <v>0.35</v>
      </c>
    </row>
    <row r="3102" spans="1:14" ht="15.75" customHeight="1" x14ac:dyDescent="0.45">
      <c r="A3102" s="1" t="s">
        <v>119</v>
      </c>
      <c r="B3102" s="1">
        <v>1185732</v>
      </c>
      <c r="C3102" s="2">
        <v>44585</v>
      </c>
      <c r="D3102" s="1" t="s">
        <v>11</v>
      </c>
      <c r="E3102" s="1" t="s">
        <v>102</v>
      </c>
      <c r="F3102" s="1" t="s">
        <v>77</v>
      </c>
      <c r="G3102" s="1" t="s">
        <v>17</v>
      </c>
      <c r="H3102" s="1">
        <v>40</v>
      </c>
      <c r="I3102" s="1" t="s">
        <v>125</v>
      </c>
      <c r="J3102" s="3">
        <v>0.45</v>
      </c>
      <c r="K3102" s="4">
        <v>1250</v>
      </c>
      <c r="L3102" s="5">
        <f t="shared" si="24"/>
        <v>562.5</v>
      </c>
      <c r="M3102" s="5">
        <f t="shared" si="25"/>
        <v>168.75</v>
      </c>
      <c r="N3102" s="6">
        <v>0.3</v>
      </c>
    </row>
    <row r="3103" spans="1:14" ht="15.75" customHeight="1" x14ac:dyDescent="0.45">
      <c r="A3103" s="1" t="s">
        <v>119</v>
      </c>
      <c r="B3103" s="1">
        <v>1185732</v>
      </c>
      <c r="C3103" s="2">
        <v>44585</v>
      </c>
      <c r="D3103" s="1" t="s">
        <v>11</v>
      </c>
      <c r="E3103" s="1" t="s">
        <v>102</v>
      </c>
      <c r="F3103" s="1" t="s">
        <v>77</v>
      </c>
      <c r="G3103" s="1" t="s">
        <v>18</v>
      </c>
      <c r="H3103" s="1">
        <v>49</v>
      </c>
      <c r="I3103" s="1" t="s">
        <v>124</v>
      </c>
      <c r="J3103" s="3">
        <v>0.35000000000000003</v>
      </c>
      <c r="K3103" s="4">
        <v>2250</v>
      </c>
      <c r="L3103" s="5">
        <f t="shared" si="24"/>
        <v>787.50000000000011</v>
      </c>
      <c r="M3103" s="5">
        <f t="shared" si="25"/>
        <v>236.25000000000003</v>
      </c>
      <c r="N3103" s="6">
        <v>0.3</v>
      </c>
    </row>
    <row r="3104" spans="1:14" ht="15.75" customHeight="1" x14ac:dyDescent="0.45">
      <c r="A3104" s="1" t="s">
        <v>119</v>
      </c>
      <c r="B3104" s="1">
        <v>1185732</v>
      </c>
      <c r="C3104" s="2">
        <v>44614</v>
      </c>
      <c r="D3104" s="1" t="s">
        <v>11</v>
      </c>
      <c r="E3104" s="1" t="s">
        <v>102</v>
      </c>
      <c r="F3104" s="1" t="s">
        <v>77</v>
      </c>
      <c r="G3104" s="1" t="s">
        <v>13</v>
      </c>
      <c r="H3104" s="1">
        <v>36</v>
      </c>
      <c r="I3104" s="1" t="s">
        <v>125</v>
      </c>
      <c r="J3104" s="3">
        <v>0.35000000000000003</v>
      </c>
      <c r="K3104" s="4">
        <v>4750</v>
      </c>
      <c r="L3104" s="5">
        <f t="shared" si="24"/>
        <v>1662.5000000000002</v>
      </c>
      <c r="M3104" s="5">
        <f t="shared" si="25"/>
        <v>665.00000000000011</v>
      </c>
      <c r="N3104" s="6">
        <v>0.4</v>
      </c>
    </row>
    <row r="3105" spans="1:14" ht="15.75" customHeight="1" x14ac:dyDescent="0.45">
      <c r="A3105" s="1" t="s">
        <v>119</v>
      </c>
      <c r="B3105" s="1">
        <v>1185732</v>
      </c>
      <c r="C3105" s="2">
        <v>44614</v>
      </c>
      <c r="D3105" s="1" t="s">
        <v>11</v>
      </c>
      <c r="E3105" s="1" t="s">
        <v>102</v>
      </c>
      <c r="F3105" s="1" t="s">
        <v>77</v>
      </c>
      <c r="G3105" s="1" t="s">
        <v>14</v>
      </c>
      <c r="H3105" s="1">
        <v>28</v>
      </c>
      <c r="I3105" s="1" t="s">
        <v>123</v>
      </c>
      <c r="J3105" s="3">
        <v>0.35000000000000003</v>
      </c>
      <c r="K3105" s="4">
        <v>1250</v>
      </c>
      <c r="L3105" s="5">
        <f t="shared" si="24"/>
        <v>437.50000000000006</v>
      </c>
      <c r="M3105" s="5">
        <f t="shared" si="25"/>
        <v>153.125</v>
      </c>
      <c r="N3105" s="6">
        <v>0.35</v>
      </c>
    </row>
    <row r="3106" spans="1:14" ht="15.75" customHeight="1" x14ac:dyDescent="0.45">
      <c r="A3106" s="1" t="s">
        <v>119</v>
      </c>
      <c r="B3106" s="1">
        <v>1185732</v>
      </c>
      <c r="C3106" s="2">
        <v>44614</v>
      </c>
      <c r="D3106" s="1" t="s">
        <v>11</v>
      </c>
      <c r="E3106" s="1" t="s">
        <v>102</v>
      </c>
      <c r="F3106" s="1" t="s">
        <v>77</v>
      </c>
      <c r="G3106" s="1" t="s">
        <v>15</v>
      </c>
      <c r="H3106" s="1">
        <v>23</v>
      </c>
      <c r="I3106" s="1" t="s">
        <v>125</v>
      </c>
      <c r="J3106" s="3">
        <v>0.25000000000000006</v>
      </c>
      <c r="K3106" s="4">
        <v>1750</v>
      </c>
      <c r="L3106" s="5">
        <f t="shared" si="24"/>
        <v>437.50000000000011</v>
      </c>
      <c r="M3106" s="5">
        <f t="shared" si="25"/>
        <v>153.12500000000003</v>
      </c>
      <c r="N3106" s="6">
        <v>0.35</v>
      </c>
    </row>
    <row r="3107" spans="1:14" ht="15.75" customHeight="1" x14ac:dyDescent="0.45">
      <c r="A3107" s="1" t="s">
        <v>119</v>
      </c>
      <c r="B3107" s="1">
        <v>1185732</v>
      </c>
      <c r="C3107" s="2">
        <v>44614</v>
      </c>
      <c r="D3107" s="1" t="s">
        <v>11</v>
      </c>
      <c r="E3107" s="1" t="s">
        <v>102</v>
      </c>
      <c r="F3107" s="1" t="s">
        <v>77</v>
      </c>
      <c r="G3107" s="1" t="s">
        <v>16</v>
      </c>
      <c r="H3107" s="1">
        <v>22</v>
      </c>
      <c r="I3107" s="1" t="s">
        <v>126</v>
      </c>
      <c r="J3107" s="3">
        <v>0.3</v>
      </c>
      <c r="K3107" s="4">
        <v>500</v>
      </c>
      <c r="L3107" s="5">
        <f t="shared" si="24"/>
        <v>150</v>
      </c>
      <c r="M3107" s="5">
        <f t="shared" si="25"/>
        <v>52.5</v>
      </c>
      <c r="N3107" s="6">
        <v>0.35</v>
      </c>
    </row>
    <row r="3108" spans="1:14" ht="15.75" customHeight="1" x14ac:dyDescent="0.45">
      <c r="A3108" s="1" t="s">
        <v>119</v>
      </c>
      <c r="B3108" s="1">
        <v>1185732</v>
      </c>
      <c r="C3108" s="2">
        <v>44614</v>
      </c>
      <c r="D3108" s="1" t="s">
        <v>11</v>
      </c>
      <c r="E3108" s="1" t="s">
        <v>102</v>
      </c>
      <c r="F3108" s="1" t="s">
        <v>77</v>
      </c>
      <c r="G3108" s="1" t="s">
        <v>17</v>
      </c>
      <c r="H3108" s="1">
        <v>47</v>
      </c>
      <c r="I3108" s="1" t="s">
        <v>123</v>
      </c>
      <c r="J3108" s="3">
        <v>0.45</v>
      </c>
      <c r="K3108" s="4">
        <v>1250</v>
      </c>
      <c r="L3108" s="5">
        <f t="shared" si="24"/>
        <v>562.5</v>
      </c>
      <c r="M3108" s="5">
        <f t="shared" si="25"/>
        <v>168.75</v>
      </c>
      <c r="N3108" s="6">
        <v>0.3</v>
      </c>
    </row>
    <row r="3109" spans="1:14" ht="15.75" customHeight="1" x14ac:dyDescent="0.45">
      <c r="A3109" s="1" t="s">
        <v>119</v>
      </c>
      <c r="B3109" s="1">
        <v>1185732</v>
      </c>
      <c r="C3109" s="2">
        <v>44614</v>
      </c>
      <c r="D3109" s="1" t="s">
        <v>11</v>
      </c>
      <c r="E3109" s="1" t="s">
        <v>102</v>
      </c>
      <c r="F3109" s="1" t="s">
        <v>77</v>
      </c>
      <c r="G3109" s="1" t="s">
        <v>18</v>
      </c>
      <c r="H3109" s="1">
        <v>32</v>
      </c>
      <c r="I3109" s="1" t="s">
        <v>125</v>
      </c>
      <c r="J3109" s="3">
        <v>0.35000000000000003</v>
      </c>
      <c r="K3109" s="4">
        <v>2250</v>
      </c>
      <c r="L3109" s="5">
        <f t="shared" si="24"/>
        <v>787.50000000000011</v>
      </c>
      <c r="M3109" s="5">
        <f t="shared" si="25"/>
        <v>236.25000000000003</v>
      </c>
      <c r="N3109" s="6">
        <v>0.3</v>
      </c>
    </row>
    <row r="3110" spans="1:14" ht="15.75" customHeight="1" x14ac:dyDescent="0.45">
      <c r="A3110" s="1" t="s">
        <v>119</v>
      </c>
      <c r="B3110" s="1">
        <v>1185732</v>
      </c>
      <c r="C3110" s="2">
        <v>44640</v>
      </c>
      <c r="D3110" s="1" t="s">
        <v>11</v>
      </c>
      <c r="E3110" s="1" t="s">
        <v>102</v>
      </c>
      <c r="F3110" s="1" t="s">
        <v>77</v>
      </c>
      <c r="G3110" s="1" t="s">
        <v>13</v>
      </c>
      <c r="H3110" s="1">
        <v>43</v>
      </c>
      <c r="I3110" s="1" t="s">
        <v>126</v>
      </c>
      <c r="J3110" s="3">
        <v>0.35000000000000003</v>
      </c>
      <c r="K3110" s="4">
        <v>4450</v>
      </c>
      <c r="L3110" s="5">
        <f t="shared" si="24"/>
        <v>1557.5000000000002</v>
      </c>
      <c r="M3110" s="5">
        <f t="shared" si="25"/>
        <v>623.00000000000011</v>
      </c>
      <c r="N3110" s="6">
        <v>0.4</v>
      </c>
    </row>
    <row r="3111" spans="1:14" ht="15.75" customHeight="1" x14ac:dyDescent="0.45">
      <c r="A3111" s="1" t="s">
        <v>119</v>
      </c>
      <c r="B3111" s="1">
        <v>1185732</v>
      </c>
      <c r="C3111" s="2">
        <v>44640</v>
      </c>
      <c r="D3111" s="1" t="s">
        <v>11</v>
      </c>
      <c r="E3111" s="1" t="s">
        <v>102</v>
      </c>
      <c r="F3111" s="1" t="s">
        <v>77</v>
      </c>
      <c r="G3111" s="1" t="s">
        <v>14</v>
      </c>
      <c r="H3111" s="1">
        <v>30</v>
      </c>
      <c r="I3111" s="1" t="s">
        <v>123</v>
      </c>
      <c r="J3111" s="3">
        <v>0.35000000000000003</v>
      </c>
      <c r="K3111" s="4">
        <v>1500</v>
      </c>
      <c r="L3111" s="5">
        <f t="shared" si="24"/>
        <v>525</v>
      </c>
      <c r="M3111" s="5">
        <f t="shared" si="25"/>
        <v>183.75</v>
      </c>
      <c r="N3111" s="6">
        <v>0.35</v>
      </c>
    </row>
    <row r="3112" spans="1:14" ht="15.75" customHeight="1" x14ac:dyDescent="0.45">
      <c r="A3112" s="1" t="s">
        <v>119</v>
      </c>
      <c r="B3112" s="1">
        <v>1185732</v>
      </c>
      <c r="C3112" s="2">
        <v>44640</v>
      </c>
      <c r="D3112" s="1" t="s">
        <v>11</v>
      </c>
      <c r="E3112" s="1" t="s">
        <v>102</v>
      </c>
      <c r="F3112" s="1" t="s">
        <v>77</v>
      </c>
      <c r="G3112" s="1" t="s">
        <v>15</v>
      </c>
      <c r="H3112" s="1">
        <v>26</v>
      </c>
      <c r="I3112" s="1" t="s">
        <v>124</v>
      </c>
      <c r="J3112" s="3">
        <v>0.25000000000000006</v>
      </c>
      <c r="K3112" s="4">
        <v>1750</v>
      </c>
      <c r="L3112" s="5">
        <f t="shared" si="24"/>
        <v>437.50000000000011</v>
      </c>
      <c r="M3112" s="5">
        <f t="shared" si="25"/>
        <v>153.12500000000003</v>
      </c>
      <c r="N3112" s="6">
        <v>0.35</v>
      </c>
    </row>
    <row r="3113" spans="1:14" ht="15.75" customHeight="1" x14ac:dyDescent="0.45">
      <c r="A3113" s="1" t="s">
        <v>119</v>
      </c>
      <c r="B3113" s="1">
        <v>1185732</v>
      </c>
      <c r="C3113" s="2">
        <v>44640</v>
      </c>
      <c r="D3113" s="1" t="s">
        <v>11</v>
      </c>
      <c r="E3113" s="1" t="s">
        <v>102</v>
      </c>
      <c r="F3113" s="1" t="s">
        <v>77</v>
      </c>
      <c r="G3113" s="1" t="s">
        <v>16</v>
      </c>
      <c r="H3113" s="1">
        <v>27</v>
      </c>
      <c r="I3113" s="1" t="s">
        <v>123</v>
      </c>
      <c r="J3113" s="3">
        <v>0.3</v>
      </c>
      <c r="K3113" s="4">
        <v>250</v>
      </c>
      <c r="L3113" s="5">
        <f t="shared" si="24"/>
        <v>75</v>
      </c>
      <c r="M3113" s="5">
        <f t="shared" si="25"/>
        <v>26.25</v>
      </c>
      <c r="N3113" s="6">
        <v>0.35</v>
      </c>
    </row>
    <row r="3114" spans="1:14" ht="15.75" customHeight="1" x14ac:dyDescent="0.45">
      <c r="A3114" s="1" t="s">
        <v>119</v>
      </c>
      <c r="B3114" s="1">
        <v>1185732</v>
      </c>
      <c r="C3114" s="2">
        <v>44640</v>
      </c>
      <c r="D3114" s="1" t="s">
        <v>11</v>
      </c>
      <c r="E3114" s="1" t="s">
        <v>102</v>
      </c>
      <c r="F3114" s="1" t="s">
        <v>77</v>
      </c>
      <c r="G3114" s="1" t="s">
        <v>17</v>
      </c>
      <c r="H3114" s="1">
        <v>46</v>
      </c>
      <c r="I3114" s="1" t="s">
        <v>126</v>
      </c>
      <c r="J3114" s="3">
        <v>0.45</v>
      </c>
      <c r="K3114" s="4">
        <v>750</v>
      </c>
      <c r="L3114" s="5">
        <f t="shared" si="24"/>
        <v>337.5</v>
      </c>
      <c r="M3114" s="5">
        <f t="shared" si="25"/>
        <v>101.25</v>
      </c>
      <c r="N3114" s="6">
        <v>0.3</v>
      </c>
    </row>
    <row r="3115" spans="1:14" ht="15.75" customHeight="1" x14ac:dyDescent="0.45">
      <c r="A3115" s="1" t="s">
        <v>119</v>
      </c>
      <c r="B3115" s="1">
        <v>1185732</v>
      </c>
      <c r="C3115" s="2">
        <v>44640</v>
      </c>
      <c r="D3115" s="1" t="s">
        <v>11</v>
      </c>
      <c r="E3115" s="1" t="s">
        <v>102</v>
      </c>
      <c r="F3115" s="1" t="s">
        <v>77</v>
      </c>
      <c r="G3115" s="1" t="s">
        <v>18</v>
      </c>
      <c r="H3115" s="1">
        <v>51</v>
      </c>
      <c r="I3115" s="1" t="s">
        <v>125</v>
      </c>
      <c r="J3115" s="3">
        <v>0.35000000000000003</v>
      </c>
      <c r="K3115" s="4">
        <v>1750</v>
      </c>
      <c r="L3115" s="5">
        <f t="shared" si="24"/>
        <v>612.50000000000011</v>
      </c>
      <c r="M3115" s="5">
        <f t="shared" si="25"/>
        <v>183.75000000000003</v>
      </c>
      <c r="N3115" s="6">
        <v>0.3</v>
      </c>
    </row>
    <row r="3116" spans="1:14" ht="15.75" customHeight="1" x14ac:dyDescent="0.45">
      <c r="A3116" s="1" t="s">
        <v>119</v>
      </c>
      <c r="B3116" s="1">
        <v>1185732</v>
      </c>
      <c r="C3116" s="2">
        <v>44672</v>
      </c>
      <c r="D3116" s="1" t="s">
        <v>11</v>
      </c>
      <c r="E3116" s="1" t="s">
        <v>102</v>
      </c>
      <c r="F3116" s="1" t="s">
        <v>77</v>
      </c>
      <c r="G3116" s="1" t="s">
        <v>13</v>
      </c>
      <c r="H3116" s="1">
        <v>23</v>
      </c>
      <c r="I3116" s="1" t="s">
        <v>125</v>
      </c>
      <c r="J3116" s="3">
        <v>0.35000000000000003</v>
      </c>
      <c r="K3116" s="4">
        <v>4250</v>
      </c>
      <c r="L3116" s="5">
        <f t="shared" si="24"/>
        <v>1487.5000000000002</v>
      </c>
      <c r="M3116" s="5">
        <f t="shared" si="25"/>
        <v>595.00000000000011</v>
      </c>
      <c r="N3116" s="6">
        <v>0.4</v>
      </c>
    </row>
    <row r="3117" spans="1:14" ht="15.75" customHeight="1" x14ac:dyDescent="0.45">
      <c r="A3117" s="1" t="s">
        <v>119</v>
      </c>
      <c r="B3117" s="1">
        <v>1185732</v>
      </c>
      <c r="C3117" s="2">
        <v>44672</v>
      </c>
      <c r="D3117" s="1" t="s">
        <v>11</v>
      </c>
      <c r="E3117" s="1" t="s">
        <v>102</v>
      </c>
      <c r="F3117" s="1" t="s">
        <v>77</v>
      </c>
      <c r="G3117" s="1" t="s">
        <v>14</v>
      </c>
      <c r="H3117" s="1">
        <v>39</v>
      </c>
      <c r="I3117" s="1" t="s">
        <v>123</v>
      </c>
      <c r="J3117" s="3">
        <v>0.35000000000000003</v>
      </c>
      <c r="K3117" s="4">
        <v>1250</v>
      </c>
      <c r="L3117" s="5">
        <f t="shared" si="24"/>
        <v>437.50000000000006</v>
      </c>
      <c r="M3117" s="5">
        <f t="shared" si="25"/>
        <v>153.125</v>
      </c>
      <c r="N3117" s="6">
        <v>0.35</v>
      </c>
    </row>
    <row r="3118" spans="1:14" ht="15.75" customHeight="1" x14ac:dyDescent="0.45">
      <c r="A3118" s="1" t="s">
        <v>119</v>
      </c>
      <c r="B3118" s="1">
        <v>1185732</v>
      </c>
      <c r="C3118" s="2">
        <v>44672</v>
      </c>
      <c r="D3118" s="1" t="s">
        <v>11</v>
      </c>
      <c r="E3118" s="1" t="s">
        <v>102</v>
      </c>
      <c r="F3118" s="1" t="s">
        <v>77</v>
      </c>
      <c r="G3118" s="1" t="s">
        <v>15</v>
      </c>
      <c r="H3118" s="1">
        <v>45</v>
      </c>
      <c r="I3118" s="1" t="s">
        <v>124</v>
      </c>
      <c r="J3118" s="3">
        <v>0.25000000000000006</v>
      </c>
      <c r="K3118" s="4">
        <v>1250</v>
      </c>
      <c r="L3118" s="5">
        <f t="shared" si="24"/>
        <v>312.50000000000006</v>
      </c>
      <c r="M3118" s="5">
        <f t="shared" si="25"/>
        <v>109.37500000000001</v>
      </c>
      <c r="N3118" s="6">
        <v>0.35</v>
      </c>
    </row>
    <row r="3119" spans="1:14" ht="15.75" customHeight="1" x14ac:dyDescent="0.45">
      <c r="A3119" s="1" t="s">
        <v>119</v>
      </c>
      <c r="B3119" s="1">
        <v>1185732</v>
      </c>
      <c r="C3119" s="2">
        <v>44672</v>
      </c>
      <c r="D3119" s="1" t="s">
        <v>11</v>
      </c>
      <c r="E3119" s="1" t="s">
        <v>102</v>
      </c>
      <c r="F3119" s="1" t="s">
        <v>77</v>
      </c>
      <c r="G3119" s="1" t="s">
        <v>16</v>
      </c>
      <c r="H3119" s="1">
        <v>20</v>
      </c>
      <c r="I3119" s="1" t="s">
        <v>125</v>
      </c>
      <c r="J3119" s="3">
        <v>0.3</v>
      </c>
      <c r="K3119" s="4">
        <v>500</v>
      </c>
      <c r="L3119" s="5">
        <f t="shared" si="24"/>
        <v>150</v>
      </c>
      <c r="M3119" s="5">
        <f t="shared" si="25"/>
        <v>52.5</v>
      </c>
      <c r="N3119" s="6">
        <v>0.35</v>
      </c>
    </row>
    <row r="3120" spans="1:14" ht="15.75" customHeight="1" x14ac:dyDescent="0.45">
      <c r="A3120" s="1" t="s">
        <v>119</v>
      </c>
      <c r="B3120" s="1">
        <v>1185732</v>
      </c>
      <c r="C3120" s="2">
        <v>44672</v>
      </c>
      <c r="D3120" s="1" t="s">
        <v>11</v>
      </c>
      <c r="E3120" s="1" t="s">
        <v>102</v>
      </c>
      <c r="F3120" s="1" t="s">
        <v>77</v>
      </c>
      <c r="G3120" s="1" t="s">
        <v>17</v>
      </c>
      <c r="H3120" s="1">
        <v>40</v>
      </c>
      <c r="I3120" s="1" t="s">
        <v>123</v>
      </c>
      <c r="J3120" s="3">
        <v>0.45</v>
      </c>
      <c r="K3120" s="4">
        <v>500</v>
      </c>
      <c r="L3120" s="5">
        <f t="shared" si="24"/>
        <v>225</v>
      </c>
      <c r="M3120" s="5">
        <f t="shared" si="25"/>
        <v>67.5</v>
      </c>
      <c r="N3120" s="6">
        <v>0.3</v>
      </c>
    </row>
    <row r="3121" spans="1:14" ht="15.75" customHeight="1" x14ac:dyDescent="0.45">
      <c r="A3121" s="1" t="s">
        <v>119</v>
      </c>
      <c r="B3121" s="1">
        <v>1185732</v>
      </c>
      <c r="C3121" s="2">
        <v>44672</v>
      </c>
      <c r="D3121" s="1" t="s">
        <v>11</v>
      </c>
      <c r="E3121" s="1" t="s">
        <v>102</v>
      </c>
      <c r="F3121" s="1" t="s">
        <v>77</v>
      </c>
      <c r="G3121" s="1" t="s">
        <v>18</v>
      </c>
      <c r="H3121" s="1">
        <v>45</v>
      </c>
      <c r="I3121" s="1" t="s">
        <v>126</v>
      </c>
      <c r="J3121" s="3">
        <v>0.35000000000000003</v>
      </c>
      <c r="K3121" s="4">
        <v>2000</v>
      </c>
      <c r="L3121" s="5">
        <f t="shared" si="24"/>
        <v>700.00000000000011</v>
      </c>
      <c r="M3121" s="5">
        <f t="shared" si="25"/>
        <v>210.00000000000003</v>
      </c>
      <c r="N3121" s="6">
        <v>0.3</v>
      </c>
    </row>
    <row r="3122" spans="1:14" ht="15.75" customHeight="1" x14ac:dyDescent="0.45">
      <c r="A3122" s="1" t="s">
        <v>119</v>
      </c>
      <c r="B3122" s="1">
        <v>1185732</v>
      </c>
      <c r="C3122" s="2">
        <v>44701</v>
      </c>
      <c r="D3122" s="1" t="s">
        <v>11</v>
      </c>
      <c r="E3122" s="1" t="s">
        <v>102</v>
      </c>
      <c r="F3122" s="1" t="s">
        <v>77</v>
      </c>
      <c r="G3122" s="1" t="s">
        <v>13</v>
      </c>
      <c r="H3122" s="1">
        <v>57</v>
      </c>
      <c r="I3122" s="1" t="s">
        <v>124</v>
      </c>
      <c r="J3122" s="3">
        <v>0.49999999999999994</v>
      </c>
      <c r="K3122" s="4">
        <v>4700</v>
      </c>
      <c r="L3122" s="5">
        <f t="shared" si="24"/>
        <v>2349.9999999999995</v>
      </c>
      <c r="M3122" s="5">
        <f t="shared" si="25"/>
        <v>939.99999999999989</v>
      </c>
      <c r="N3122" s="6">
        <v>0.4</v>
      </c>
    </row>
    <row r="3123" spans="1:14" ht="15.75" customHeight="1" x14ac:dyDescent="0.45">
      <c r="A3123" s="1" t="s">
        <v>119</v>
      </c>
      <c r="B3123" s="1">
        <v>1185732</v>
      </c>
      <c r="C3123" s="2">
        <v>44701</v>
      </c>
      <c r="D3123" s="1" t="s">
        <v>11</v>
      </c>
      <c r="E3123" s="1" t="s">
        <v>102</v>
      </c>
      <c r="F3123" s="1" t="s">
        <v>77</v>
      </c>
      <c r="G3123" s="1" t="s">
        <v>14</v>
      </c>
      <c r="H3123" s="1">
        <v>25</v>
      </c>
      <c r="I3123" s="1" t="s">
        <v>123</v>
      </c>
      <c r="J3123" s="3">
        <v>0.45</v>
      </c>
      <c r="K3123" s="4">
        <v>1750</v>
      </c>
      <c r="L3123" s="5">
        <f t="shared" si="24"/>
        <v>787.5</v>
      </c>
      <c r="M3123" s="5">
        <f t="shared" si="25"/>
        <v>275.625</v>
      </c>
      <c r="N3123" s="6">
        <v>0.35</v>
      </c>
    </row>
    <row r="3124" spans="1:14" ht="15.75" customHeight="1" x14ac:dyDescent="0.45">
      <c r="A3124" s="1" t="s">
        <v>119</v>
      </c>
      <c r="B3124" s="1">
        <v>1185732</v>
      </c>
      <c r="C3124" s="2">
        <v>44701</v>
      </c>
      <c r="D3124" s="1" t="s">
        <v>11</v>
      </c>
      <c r="E3124" s="1" t="s">
        <v>102</v>
      </c>
      <c r="F3124" s="1" t="s">
        <v>77</v>
      </c>
      <c r="G3124" s="1" t="s">
        <v>15</v>
      </c>
      <c r="H3124" s="1">
        <v>41</v>
      </c>
      <c r="I3124" s="1" t="s">
        <v>124</v>
      </c>
      <c r="J3124" s="3">
        <v>0.4</v>
      </c>
      <c r="K3124" s="4">
        <v>1500</v>
      </c>
      <c r="L3124" s="5">
        <f t="shared" si="24"/>
        <v>600</v>
      </c>
      <c r="M3124" s="5">
        <f t="shared" si="25"/>
        <v>210</v>
      </c>
      <c r="N3124" s="6">
        <v>0.35</v>
      </c>
    </row>
    <row r="3125" spans="1:14" ht="15.75" customHeight="1" x14ac:dyDescent="0.45">
      <c r="A3125" s="1" t="s">
        <v>119</v>
      </c>
      <c r="B3125" s="1">
        <v>1185732</v>
      </c>
      <c r="C3125" s="2">
        <v>44701</v>
      </c>
      <c r="D3125" s="1" t="s">
        <v>11</v>
      </c>
      <c r="E3125" s="1" t="s">
        <v>102</v>
      </c>
      <c r="F3125" s="1" t="s">
        <v>77</v>
      </c>
      <c r="G3125" s="1" t="s">
        <v>16</v>
      </c>
      <c r="H3125" s="1">
        <v>31</v>
      </c>
      <c r="I3125" s="1" t="s">
        <v>124</v>
      </c>
      <c r="J3125" s="3">
        <v>0.4</v>
      </c>
      <c r="K3125" s="4">
        <v>1000</v>
      </c>
      <c r="L3125" s="5">
        <f t="shared" si="24"/>
        <v>400</v>
      </c>
      <c r="M3125" s="5">
        <f t="shared" si="25"/>
        <v>140</v>
      </c>
      <c r="N3125" s="6">
        <v>0.35</v>
      </c>
    </row>
    <row r="3126" spans="1:14" ht="15.75" customHeight="1" x14ac:dyDescent="0.45">
      <c r="A3126" s="1" t="s">
        <v>119</v>
      </c>
      <c r="B3126" s="1">
        <v>1185732</v>
      </c>
      <c r="C3126" s="2">
        <v>44701</v>
      </c>
      <c r="D3126" s="1" t="s">
        <v>11</v>
      </c>
      <c r="E3126" s="1" t="s">
        <v>102</v>
      </c>
      <c r="F3126" s="1" t="s">
        <v>77</v>
      </c>
      <c r="G3126" s="1" t="s">
        <v>17</v>
      </c>
      <c r="H3126" s="1">
        <v>58</v>
      </c>
      <c r="I3126" s="1" t="s">
        <v>126</v>
      </c>
      <c r="J3126" s="3">
        <v>0.49999999999999994</v>
      </c>
      <c r="K3126" s="4">
        <v>1250</v>
      </c>
      <c r="L3126" s="5">
        <f t="shared" si="24"/>
        <v>624.99999999999989</v>
      </c>
      <c r="M3126" s="5">
        <f t="shared" si="25"/>
        <v>187.49999999999997</v>
      </c>
      <c r="N3126" s="6">
        <v>0.3</v>
      </c>
    </row>
    <row r="3127" spans="1:14" ht="15.75" customHeight="1" x14ac:dyDescent="0.45">
      <c r="A3127" s="1" t="s">
        <v>119</v>
      </c>
      <c r="B3127" s="1">
        <v>1185732</v>
      </c>
      <c r="C3127" s="2">
        <v>44701</v>
      </c>
      <c r="D3127" s="1" t="s">
        <v>11</v>
      </c>
      <c r="E3127" s="1" t="s">
        <v>102</v>
      </c>
      <c r="F3127" s="1" t="s">
        <v>77</v>
      </c>
      <c r="G3127" s="1" t="s">
        <v>18</v>
      </c>
      <c r="H3127" s="1">
        <v>24</v>
      </c>
      <c r="I3127" s="1" t="s">
        <v>126</v>
      </c>
      <c r="J3127" s="3">
        <v>0.54999999999999993</v>
      </c>
      <c r="K3127" s="4">
        <v>2500</v>
      </c>
      <c r="L3127" s="5">
        <f t="shared" si="24"/>
        <v>1374.9999999999998</v>
      </c>
      <c r="M3127" s="5">
        <f t="shared" si="25"/>
        <v>412.49999999999994</v>
      </c>
      <c r="N3127" s="6">
        <v>0.3</v>
      </c>
    </row>
    <row r="3128" spans="1:14" ht="15.75" customHeight="1" x14ac:dyDescent="0.45">
      <c r="A3128" s="1" t="s">
        <v>119</v>
      </c>
      <c r="B3128" s="1">
        <v>1185732</v>
      </c>
      <c r="C3128" s="2">
        <v>44734</v>
      </c>
      <c r="D3128" s="1" t="s">
        <v>11</v>
      </c>
      <c r="E3128" s="1" t="s">
        <v>102</v>
      </c>
      <c r="F3128" s="1" t="s">
        <v>77</v>
      </c>
      <c r="G3128" s="1" t="s">
        <v>13</v>
      </c>
      <c r="H3128" s="1">
        <v>22</v>
      </c>
      <c r="I3128" s="1" t="s">
        <v>126</v>
      </c>
      <c r="J3128" s="3">
        <v>0.49999999999999994</v>
      </c>
      <c r="K3128" s="4">
        <v>5000</v>
      </c>
      <c r="L3128" s="5">
        <f t="shared" si="24"/>
        <v>2499.9999999999995</v>
      </c>
      <c r="M3128" s="5">
        <f t="shared" si="25"/>
        <v>999.99999999999989</v>
      </c>
      <c r="N3128" s="6">
        <v>0.4</v>
      </c>
    </row>
    <row r="3129" spans="1:14" ht="15.75" customHeight="1" x14ac:dyDescent="0.45">
      <c r="A3129" s="1" t="s">
        <v>119</v>
      </c>
      <c r="B3129" s="1">
        <v>1185732</v>
      </c>
      <c r="C3129" s="2">
        <v>44734</v>
      </c>
      <c r="D3129" s="1" t="s">
        <v>11</v>
      </c>
      <c r="E3129" s="1" t="s">
        <v>102</v>
      </c>
      <c r="F3129" s="1" t="s">
        <v>77</v>
      </c>
      <c r="G3129" s="1" t="s">
        <v>14</v>
      </c>
      <c r="H3129" s="1">
        <v>20</v>
      </c>
      <c r="I3129" s="1" t="s">
        <v>124</v>
      </c>
      <c r="J3129" s="3">
        <v>0.45</v>
      </c>
      <c r="K3129" s="4">
        <v>2500</v>
      </c>
      <c r="L3129" s="5">
        <f t="shared" si="24"/>
        <v>1125</v>
      </c>
      <c r="M3129" s="5">
        <f t="shared" si="25"/>
        <v>393.75</v>
      </c>
      <c r="N3129" s="6">
        <v>0.35</v>
      </c>
    </row>
    <row r="3130" spans="1:14" ht="15.75" customHeight="1" x14ac:dyDescent="0.45">
      <c r="A3130" s="1" t="s">
        <v>119</v>
      </c>
      <c r="B3130" s="1">
        <v>1185732</v>
      </c>
      <c r="C3130" s="2">
        <v>44734</v>
      </c>
      <c r="D3130" s="1" t="s">
        <v>11</v>
      </c>
      <c r="E3130" s="1" t="s">
        <v>102</v>
      </c>
      <c r="F3130" s="1" t="s">
        <v>77</v>
      </c>
      <c r="G3130" s="1" t="s">
        <v>15</v>
      </c>
      <c r="H3130" s="1">
        <v>36</v>
      </c>
      <c r="I3130" s="1" t="s">
        <v>123</v>
      </c>
      <c r="J3130" s="3">
        <v>0.4</v>
      </c>
      <c r="K3130" s="4">
        <v>1750</v>
      </c>
      <c r="L3130" s="5">
        <f t="shared" si="24"/>
        <v>700</v>
      </c>
      <c r="M3130" s="5">
        <f t="shared" si="25"/>
        <v>244.99999999999997</v>
      </c>
      <c r="N3130" s="6">
        <v>0.35</v>
      </c>
    </row>
    <row r="3131" spans="1:14" ht="15.75" customHeight="1" x14ac:dyDescent="0.45">
      <c r="A3131" s="1" t="s">
        <v>119</v>
      </c>
      <c r="B3131" s="1">
        <v>1185732</v>
      </c>
      <c r="C3131" s="2">
        <v>44734</v>
      </c>
      <c r="D3131" s="1" t="s">
        <v>11</v>
      </c>
      <c r="E3131" s="1" t="s">
        <v>102</v>
      </c>
      <c r="F3131" s="1" t="s">
        <v>77</v>
      </c>
      <c r="G3131" s="1" t="s">
        <v>16</v>
      </c>
      <c r="H3131" s="1">
        <v>23</v>
      </c>
      <c r="I3131" s="1" t="s">
        <v>124</v>
      </c>
      <c r="J3131" s="3">
        <v>0.4</v>
      </c>
      <c r="K3131" s="4">
        <v>1500</v>
      </c>
      <c r="L3131" s="5">
        <f t="shared" si="24"/>
        <v>600</v>
      </c>
      <c r="M3131" s="5">
        <f t="shared" si="25"/>
        <v>210</v>
      </c>
      <c r="N3131" s="6">
        <v>0.35</v>
      </c>
    </row>
    <row r="3132" spans="1:14" ht="15.75" customHeight="1" x14ac:dyDescent="0.45">
      <c r="A3132" s="1" t="s">
        <v>119</v>
      </c>
      <c r="B3132" s="1">
        <v>1185732</v>
      </c>
      <c r="C3132" s="2">
        <v>44734</v>
      </c>
      <c r="D3132" s="1" t="s">
        <v>11</v>
      </c>
      <c r="E3132" s="1" t="s">
        <v>102</v>
      </c>
      <c r="F3132" s="1" t="s">
        <v>77</v>
      </c>
      <c r="G3132" s="1" t="s">
        <v>17</v>
      </c>
      <c r="H3132" s="1">
        <v>16</v>
      </c>
      <c r="I3132" s="1" t="s">
        <v>124</v>
      </c>
      <c r="J3132" s="3">
        <v>0.49999999999999994</v>
      </c>
      <c r="K3132" s="4">
        <v>1500</v>
      </c>
      <c r="L3132" s="5">
        <f t="shared" si="24"/>
        <v>749.99999999999989</v>
      </c>
      <c r="M3132" s="5">
        <f t="shared" si="25"/>
        <v>224.99999999999997</v>
      </c>
      <c r="N3132" s="6">
        <v>0.3</v>
      </c>
    </row>
    <row r="3133" spans="1:14" ht="15.75" customHeight="1" x14ac:dyDescent="0.45">
      <c r="A3133" s="1" t="s">
        <v>119</v>
      </c>
      <c r="B3133" s="1">
        <v>1185732</v>
      </c>
      <c r="C3133" s="2">
        <v>44734</v>
      </c>
      <c r="D3133" s="1" t="s">
        <v>11</v>
      </c>
      <c r="E3133" s="1" t="s">
        <v>102</v>
      </c>
      <c r="F3133" s="1" t="s">
        <v>77</v>
      </c>
      <c r="G3133" s="1" t="s">
        <v>18</v>
      </c>
      <c r="H3133" s="1">
        <v>19</v>
      </c>
      <c r="I3133" s="1" t="s">
        <v>123</v>
      </c>
      <c r="J3133" s="3">
        <v>0.54999999999999993</v>
      </c>
      <c r="K3133" s="4">
        <v>3000</v>
      </c>
      <c r="L3133" s="5">
        <f t="shared" si="24"/>
        <v>1649.9999999999998</v>
      </c>
      <c r="M3133" s="5">
        <f t="shared" si="25"/>
        <v>494.99999999999989</v>
      </c>
      <c r="N3133" s="6">
        <v>0.3</v>
      </c>
    </row>
    <row r="3134" spans="1:14" ht="15.75" customHeight="1" x14ac:dyDescent="0.45">
      <c r="A3134" s="1" t="s">
        <v>119</v>
      </c>
      <c r="B3134" s="1">
        <v>1185732</v>
      </c>
      <c r="C3134" s="2">
        <v>44762</v>
      </c>
      <c r="D3134" s="1" t="s">
        <v>11</v>
      </c>
      <c r="E3134" s="1" t="s">
        <v>102</v>
      </c>
      <c r="F3134" s="1" t="s">
        <v>77</v>
      </c>
      <c r="G3134" s="1" t="s">
        <v>13</v>
      </c>
      <c r="H3134" s="1">
        <v>19</v>
      </c>
      <c r="I3134" s="1" t="s">
        <v>125</v>
      </c>
      <c r="J3134" s="3">
        <v>0.49999999999999994</v>
      </c>
      <c r="K3134" s="4">
        <v>5250</v>
      </c>
      <c r="L3134" s="5">
        <f t="shared" si="24"/>
        <v>2624.9999999999995</v>
      </c>
      <c r="M3134" s="5">
        <f t="shared" si="25"/>
        <v>1049.9999999999998</v>
      </c>
      <c r="N3134" s="6">
        <v>0.4</v>
      </c>
    </row>
    <row r="3135" spans="1:14" ht="15.75" customHeight="1" x14ac:dyDescent="0.45">
      <c r="A3135" s="1" t="s">
        <v>119</v>
      </c>
      <c r="B3135" s="1">
        <v>1185732</v>
      </c>
      <c r="C3135" s="2">
        <v>44762</v>
      </c>
      <c r="D3135" s="1" t="s">
        <v>11</v>
      </c>
      <c r="E3135" s="1" t="s">
        <v>102</v>
      </c>
      <c r="F3135" s="1" t="s">
        <v>77</v>
      </c>
      <c r="G3135" s="1" t="s">
        <v>14</v>
      </c>
      <c r="H3135" s="1">
        <v>41</v>
      </c>
      <c r="I3135" s="1" t="s">
        <v>126</v>
      </c>
      <c r="J3135" s="3">
        <v>0.45</v>
      </c>
      <c r="K3135" s="4">
        <v>2750</v>
      </c>
      <c r="L3135" s="5">
        <f t="shared" si="24"/>
        <v>1237.5</v>
      </c>
      <c r="M3135" s="5">
        <f t="shared" si="25"/>
        <v>433.125</v>
      </c>
      <c r="N3135" s="6">
        <v>0.35</v>
      </c>
    </row>
    <row r="3136" spans="1:14" ht="15.75" customHeight="1" x14ac:dyDescent="0.45">
      <c r="A3136" s="1" t="s">
        <v>119</v>
      </c>
      <c r="B3136" s="1">
        <v>1185732</v>
      </c>
      <c r="C3136" s="2">
        <v>44762</v>
      </c>
      <c r="D3136" s="1" t="s">
        <v>11</v>
      </c>
      <c r="E3136" s="1" t="s">
        <v>102</v>
      </c>
      <c r="F3136" s="1" t="s">
        <v>77</v>
      </c>
      <c r="G3136" s="1" t="s">
        <v>15</v>
      </c>
      <c r="H3136" s="1">
        <v>18</v>
      </c>
      <c r="I3136" s="1" t="s">
        <v>124</v>
      </c>
      <c r="J3136" s="3">
        <v>0.4</v>
      </c>
      <c r="K3136" s="4">
        <v>2000</v>
      </c>
      <c r="L3136" s="5">
        <f t="shared" si="24"/>
        <v>800</v>
      </c>
      <c r="M3136" s="5">
        <f t="shared" si="25"/>
        <v>280</v>
      </c>
      <c r="N3136" s="6">
        <v>0.35</v>
      </c>
    </row>
    <row r="3137" spans="1:14" ht="15.75" customHeight="1" x14ac:dyDescent="0.45">
      <c r="A3137" s="1" t="s">
        <v>119</v>
      </c>
      <c r="B3137" s="1">
        <v>1185732</v>
      </c>
      <c r="C3137" s="2">
        <v>44762</v>
      </c>
      <c r="D3137" s="1" t="s">
        <v>11</v>
      </c>
      <c r="E3137" s="1" t="s">
        <v>102</v>
      </c>
      <c r="F3137" s="1" t="s">
        <v>77</v>
      </c>
      <c r="G3137" s="1" t="s">
        <v>16</v>
      </c>
      <c r="H3137" s="1">
        <v>23</v>
      </c>
      <c r="I3137" s="1" t="s">
        <v>126</v>
      </c>
      <c r="J3137" s="3">
        <v>0.4</v>
      </c>
      <c r="K3137" s="4">
        <v>1500</v>
      </c>
      <c r="L3137" s="5">
        <f t="shared" si="24"/>
        <v>600</v>
      </c>
      <c r="M3137" s="5">
        <f t="shared" si="25"/>
        <v>210</v>
      </c>
      <c r="N3137" s="6">
        <v>0.35</v>
      </c>
    </row>
    <row r="3138" spans="1:14" ht="15.75" customHeight="1" x14ac:dyDescent="0.45">
      <c r="A3138" s="1" t="s">
        <v>119</v>
      </c>
      <c r="B3138" s="1">
        <v>1185732</v>
      </c>
      <c r="C3138" s="2">
        <v>44762</v>
      </c>
      <c r="D3138" s="1" t="s">
        <v>11</v>
      </c>
      <c r="E3138" s="1" t="s">
        <v>102</v>
      </c>
      <c r="F3138" s="1" t="s">
        <v>77</v>
      </c>
      <c r="G3138" s="1" t="s">
        <v>17</v>
      </c>
      <c r="H3138" s="1">
        <v>55</v>
      </c>
      <c r="I3138" s="1" t="s">
        <v>126</v>
      </c>
      <c r="J3138" s="3">
        <v>0.49999999999999994</v>
      </c>
      <c r="K3138" s="4">
        <v>1750</v>
      </c>
      <c r="L3138" s="5">
        <f t="shared" si="24"/>
        <v>874.99999999999989</v>
      </c>
      <c r="M3138" s="5">
        <f t="shared" si="25"/>
        <v>262.49999999999994</v>
      </c>
      <c r="N3138" s="6">
        <v>0.3</v>
      </c>
    </row>
    <row r="3139" spans="1:14" ht="15.75" customHeight="1" x14ac:dyDescent="0.45">
      <c r="A3139" s="1" t="s">
        <v>119</v>
      </c>
      <c r="B3139" s="1">
        <v>1185732</v>
      </c>
      <c r="C3139" s="2">
        <v>44762</v>
      </c>
      <c r="D3139" s="1" t="s">
        <v>11</v>
      </c>
      <c r="E3139" s="1" t="s">
        <v>102</v>
      </c>
      <c r="F3139" s="1" t="s">
        <v>77</v>
      </c>
      <c r="G3139" s="1" t="s">
        <v>18</v>
      </c>
      <c r="H3139" s="1">
        <v>59</v>
      </c>
      <c r="I3139" s="1" t="s">
        <v>124</v>
      </c>
      <c r="J3139" s="3">
        <v>0.54999999999999993</v>
      </c>
      <c r="K3139" s="4">
        <v>3500</v>
      </c>
      <c r="L3139" s="5">
        <f t="shared" si="24"/>
        <v>1924.9999999999998</v>
      </c>
      <c r="M3139" s="5">
        <f t="shared" si="25"/>
        <v>577.49999999999989</v>
      </c>
      <c r="N3139" s="6">
        <v>0.3</v>
      </c>
    </row>
    <row r="3140" spans="1:14" ht="15.75" customHeight="1" x14ac:dyDescent="0.45">
      <c r="A3140" s="1" t="s">
        <v>119</v>
      </c>
      <c r="B3140" s="1">
        <v>1185732</v>
      </c>
      <c r="C3140" s="2">
        <v>44794</v>
      </c>
      <c r="D3140" s="1" t="s">
        <v>11</v>
      </c>
      <c r="E3140" s="1" t="s">
        <v>102</v>
      </c>
      <c r="F3140" s="1" t="s">
        <v>77</v>
      </c>
      <c r="G3140" s="1" t="s">
        <v>13</v>
      </c>
      <c r="H3140" s="1">
        <v>30</v>
      </c>
      <c r="I3140" s="1" t="s">
        <v>123</v>
      </c>
      <c r="J3140" s="3">
        <v>0.49999999999999994</v>
      </c>
      <c r="K3140" s="4">
        <v>5000</v>
      </c>
      <c r="L3140" s="5">
        <f t="shared" si="24"/>
        <v>2499.9999999999995</v>
      </c>
      <c r="M3140" s="5">
        <f t="shared" si="25"/>
        <v>999.99999999999989</v>
      </c>
      <c r="N3140" s="6">
        <v>0.4</v>
      </c>
    </row>
    <row r="3141" spans="1:14" ht="15.75" customHeight="1" x14ac:dyDescent="0.45">
      <c r="A3141" s="1" t="s">
        <v>119</v>
      </c>
      <c r="B3141" s="1">
        <v>1185732</v>
      </c>
      <c r="C3141" s="2">
        <v>44794</v>
      </c>
      <c r="D3141" s="1" t="s">
        <v>11</v>
      </c>
      <c r="E3141" s="1" t="s">
        <v>102</v>
      </c>
      <c r="F3141" s="1" t="s">
        <v>77</v>
      </c>
      <c r="G3141" s="1" t="s">
        <v>14</v>
      </c>
      <c r="H3141" s="1">
        <v>28</v>
      </c>
      <c r="I3141" s="1" t="s">
        <v>126</v>
      </c>
      <c r="J3141" s="3">
        <v>0.45</v>
      </c>
      <c r="K3141" s="4">
        <v>2750</v>
      </c>
      <c r="L3141" s="5">
        <f t="shared" si="24"/>
        <v>1237.5</v>
      </c>
      <c r="M3141" s="5">
        <f t="shared" si="25"/>
        <v>433.125</v>
      </c>
      <c r="N3141" s="6">
        <v>0.35</v>
      </c>
    </row>
    <row r="3142" spans="1:14" ht="15.75" customHeight="1" x14ac:dyDescent="0.45">
      <c r="A3142" s="1" t="s">
        <v>119</v>
      </c>
      <c r="B3142" s="1">
        <v>1185732</v>
      </c>
      <c r="C3142" s="2">
        <v>44794</v>
      </c>
      <c r="D3142" s="1" t="s">
        <v>11</v>
      </c>
      <c r="E3142" s="1" t="s">
        <v>102</v>
      </c>
      <c r="F3142" s="1" t="s">
        <v>77</v>
      </c>
      <c r="G3142" s="1" t="s">
        <v>15</v>
      </c>
      <c r="H3142" s="1">
        <v>59</v>
      </c>
      <c r="I3142" s="1" t="s">
        <v>126</v>
      </c>
      <c r="J3142" s="3">
        <v>0.4</v>
      </c>
      <c r="K3142" s="4">
        <v>2000</v>
      </c>
      <c r="L3142" s="5">
        <f t="shared" si="24"/>
        <v>800</v>
      </c>
      <c r="M3142" s="5">
        <f t="shared" si="25"/>
        <v>280</v>
      </c>
      <c r="N3142" s="6">
        <v>0.35</v>
      </c>
    </row>
    <row r="3143" spans="1:14" ht="15.75" customHeight="1" x14ac:dyDescent="0.45">
      <c r="A3143" s="1" t="s">
        <v>119</v>
      </c>
      <c r="B3143" s="1">
        <v>1185732</v>
      </c>
      <c r="C3143" s="2">
        <v>44794</v>
      </c>
      <c r="D3143" s="1" t="s">
        <v>11</v>
      </c>
      <c r="E3143" s="1" t="s">
        <v>102</v>
      </c>
      <c r="F3143" s="1" t="s">
        <v>77</v>
      </c>
      <c r="G3143" s="1" t="s">
        <v>16</v>
      </c>
      <c r="H3143" s="1">
        <v>55</v>
      </c>
      <c r="I3143" s="1" t="s">
        <v>125</v>
      </c>
      <c r="J3143" s="3">
        <v>0.4</v>
      </c>
      <c r="K3143" s="4">
        <v>1500</v>
      </c>
      <c r="L3143" s="5">
        <f t="shared" si="24"/>
        <v>600</v>
      </c>
      <c r="M3143" s="5">
        <f t="shared" si="25"/>
        <v>210</v>
      </c>
      <c r="N3143" s="6">
        <v>0.35</v>
      </c>
    </row>
    <row r="3144" spans="1:14" ht="15.75" customHeight="1" x14ac:dyDescent="0.45">
      <c r="A3144" s="1" t="s">
        <v>119</v>
      </c>
      <c r="B3144" s="1">
        <v>1185732</v>
      </c>
      <c r="C3144" s="2">
        <v>44794</v>
      </c>
      <c r="D3144" s="1" t="s">
        <v>11</v>
      </c>
      <c r="E3144" s="1" t="s">
        <v>102</v>
      </c>
      <c r="F3144" s="1" t="s">
        <v>77</v>
      </c>
      <c r="G3144" s="1" t="s">
        <v>17</v>
      </c>
      <c r="H3144" s="1">
        <v>17</v>
      </c>
      <c r="I3144" s="1" t="s">
        <v>124</v>
      </c>
      <c r="J3144" s="3">
        <v>0.49999999999999994</v>
      </c>
      <c r="K3144" s="4">
        <v>1250</v>
      </c>
      <c r="L3144" s="5">
        <f t="shared" si="24"/>
        <v>624.99999999999989</v>
      </c>
      <c r="M3144" s="5">
        <f t="shared" si="25"/>
        <v>187.49999999999997</v>
      </c>
      <c r="N3144" s="6">
        <v>0.3</v>
      </c>
    </row>
    <row r="3145" spans="1:14" ht="15.75" customHeight="1" x14ac:dyDescent="0.45">
      <c r="A3145" s="1" t="s">
        <v>119</v>
      </c>
      <c r="B3145" s="1">
        <v>1185732</v>
      </c>
      <c r="C3145" s="2">
        <v>44794</v>
      </c>
      <c r="D3145" s="1" t="s">
        <v>11</v>
      </c>
      <c r="E3145" s="1" t="s">
        <v>102</v>
      </c>
      <c r="F3145" s="1" t="s">
        <v>77</v>
      </c>
      <c r="G3145" s="1" t="s">
        <v>18</v>
      </c>
      <c r="H3145" s="1">
        <v>25</v>
      </c>
      <c r="I3145" s="1" t="s">
        <v>123</v>
      </c>
      <c r="J3145" s="3">
        <v>0.54999999999999993</v>
      </c>
      <c r="K3145" s="4">
        <v>3000</v>
      </c>
      <c r="L3145" s="5">
        <f t="shared" si="24"/>
        <v>1649.9999999999998</v>
      </c>
      <c r="M3145" s="5">
        <f t="shared" si="25"/>
        <v>494.99999999999989</v>
      </c>
      <c r="N3145" s="6">
        <v>0.3</v>
      </c>
    </row>
    <row r="3146" spans="1:14" ht="15.75" customHeight="1" x14ac:dyDescent="0.45">
      <c r="A3146" s="1" t="s">
        <v>119</v>
      </c>
      <c r="B3146" s="1">
        <v>1185732</v>
      </c>
      <c r="C3146" s="2">
        <v>44824</v>
      </c>
      <c r="D3146" s="1" t="s">
        <v>11</v>
      </c>
      <c r="E3146" s="1" t="s">
        <v>102</v>
      </c>
      <c r="F3146" s="1" t="s">
        <v>77</v>
      </c>
      <c r="G3146" s="1" t="s">
        <v>13</v>
      </c>
      <c r="H3146" s="1">
        <v>17</v>
      </c>
      <c r="I3146" s="1" t="s">
        <v>124</v>
      </c>
      <c r="J3146" s="3">
        <v>0.49999999999999994</v>
      </c>
      <c r="K3146" s="4">
        <v>4250</v>
      </c>
      <c r="L3146" s="5">
        <f t="shared" si="24"/>
        <v>2124.9999999999995</v>
      </c>
      <c r="M3146" s="5">
        <f t="shared" si="25"/>
        <v>849.99999999999989</v>
      </c>
      <c r="N3146" s="6">
        <v>0.4</v>
      </c>
    </row>
    <row r="3147" spans="1:14" ht="15.75" customHeight="1" x14ac:dyDescent="0.45">
      <c r="A3147" s="1" t="s">
        <v>119</v>
      </c>
      <c r="B3147" s="1">
        <v>1185732</v>
      </c>
      <c r="C3147" s="2">
        <v>44824</v>
      </c>
      <c r="D3147" s="1" t="s">
        <v>11</v>
      </c>
      <c r="E3147" s="1" t="s">
        <v>102</v>
      </c>
      <c r="F3147" s="1" t="s">
        <v>77</v>
      </c>
      <c r="G3147" s="1" t="s">
        <v>14</v>
      </c>
      <c r="H3147" s="1">
        <v>16</v>
      </c>
      <c r="I3147" s="1" t="s">
        <v>124</v>
      </c>
      <c r="J3147" s="3">
        <v>0.45</v>
      </c>
      <c r="K3147" s="4">
        <v>2250</v>
      </c>
      <c r="L3147" s="5">
        <f t="shared" si="24"/>
        <v>1012.5</v>
      </c>
      <c r="M3147" s="5">
        <f t="shared" si="25"/>
        <v>354.375</v>
      </c>
      <c r="N3147" s="6">
        <v>0.35</v>
      </c>
    </row>
    <row r="3148" spans="1:14" ht="15.75" customHeight="1" x14ac:dyDescent="0.45">
      <c r="A3148" s="1" t="s">
        <v>119</v>
      </c>
      <c r="B3148" s="1">
        <v>1185732</v>
      </c>
      <c r="C3148" s="2">
        <v>44824</v>
      </c>
      <c r="D3148" s="1" t="s">
        <v>11</v>
      </c>
      <c r="E3148" s="1" t="s">
        <v>102</v>
      </c>
      <c r="F3148" s="1" t="s">
        <v>77</v>
      </c>
      <c r="G3148" s="1" t="s">
        <v>15</v>
      </c>
      <c r="H3148" s="1">
        <v>53</v>
      </c>
      <c r="I3148" s="1" t="s">
        <v>125</v>
      </c>
      <c r="J3148" s="3">
        <v>0.4</v>
      </c>
      <c r="K3148" s="4">
        <v>1250</v>
      </c>
      <c r="L3148" s="5">
        <f t="shared" si="24"/>
        <v>500</v>
      </c>
      <c r="M3148" s="5">
        <f t="shared" si="25"/>
        <v>175</v>
      </c>
      <c r="N3148" s="6">
        <v>0.35</v>
      </c>
    </row>
    <row r="3149" spans="1:14" ht="15.75" customHeight="1" x14ac:dyDescent="0.45">
      <c r="A3149" s="1" t="s">
        <v>119</v>
      </c>
      <c r="B3149" s="1">
        <v>1185732</v>
      </c>
      <c r="C3149" s="2">
        <v>44824</v>
      </c>
      <c r="D3149" s="1" t="s">
        <v>11</v>
      </c>
      <c r="E3149" s="1" t="s">
        <v>102</v>
      </c>
      <c r="F3149" s="1" t="s">
        <v>77</v>
      </c>
      <c r="G3149" s="1" t="s">
        <v>16</v>
      </c>
      <c r="H3149" s="1">
        <v>38</v>
      </c>
      <c r="I3149" s="1" t="s">
        <v>123</v>
      </c>
      <c r="J3149" s="3">
        <v>0.4</v>
      </c>
      <c r="K3149" s="4">
        <v>1000</v>
      </c>
      <c r="L3149" s="5">
        <f t="shared" si="24"/>
        <v>400</v>
      </c>
      <c r="M3149" s="5">
        <f t="shared" si="25"/>
        <v>140</v>
      </c>
      <c r="N3149" s="6">
        <v>0.35</v>
      </c>
    </row>
    <row r="3150" spans="1:14" ht="15.75" customHeight="1" x14ac:dyDescent="0.45">
      <c r="A3150" s="1" t="s">
        <v>119</v>
      </c>
      <c r="B3150" s="1">
        <v>1185732</v>
      </c>
      <c r="C3150" s="2">
        <v>44824</v>
      </c>
      <c r="D3150" s="1" t="s">
        <v>11</v>
      </c>
      <c r="E3150" s="1" t="s">
        <v>102</v>
      </c>
      <c r="F3150" s="1" t="s">
        <v>77</v>
      </c>
      <c r="G3150" s="1" t="s">
        <v>17</v>
      </c>
      <c r="H3150" s="1">
        <v>37</v>
      </c>
      <c r="I3150" s="1" t="s">
        <v>123</v>
      </c>
      <c r="J3150" s="3">
        <v>0.49999999999999994</v>
      </c>
      <c r="K3150" s="4">
        <v>1000</v>
      </c>
      <c r="L3150" s="5">
        <f t="shared" si="24"/>
        <v>499.99999999999994</v>
      </c>
      <c r="M3150" s="5">
        <f t="shared" si="25"/>
        <v>149.99999999999997</v>
      </c>
      <c r="N3150" s="6">
        <v>0.3</v>
      </c>
    </row>
    <row r="3151" spans="1:14" ht="15.75" customHeight="1" x14ac:dyDescent="0.45">
      <c r="A3151" s="1" t="s">
        <v>119</v>
      </c>
      <c r="B3151" s="1">
        <v>1185732</v>
      </c>
      <c r="C3151" s="2">
        <v>44824</v>
      </c>
      <c r="D3151" s="1" t="s">
        <v>11</v>
      </c>
      <c r="E3151" s="1" t="s">
        <v>102</v>
      </c>
      <c r="F3151" s="1" t="s">
        <v>77</v>
      </c>
      <c r="G3151" s="1" t="s">
        <v>18</v>
      </c>
      <c r="H3151" s="1">
        <v>57</v>
      </c>
      <c r="I3151" s="1" t="s">
        <v>126</v>
      </c>
      <c r="J3151" s="3">
        <v>0.54999999999999993</v>
      </c>
      <c r="K3151" s="4">
        <v>2000</v>
      </c>
      <c r="L3151" s="5">
        <f t="shared" si="24"/>
        <v>1099.9999999999998</v>
      </c>
      <c r="M3151" s="5">
        <f t="shared" si="25"/>
        <v>329.99999999999994</v>
      </c>
      <c r="N3151" s="6">
        <v>0.3</v>
      </c>
    </row>
    <row r="3152" spans="1:14" ht="15.75" customHeight="1" x14ac:dyDescent="0.45">
      <c r="A3152" s="1" t="s">
        <v>119</v>
      </c>
      <c r="B3152" s="1">
        <v>1185732</v>
      </c>
      <c r="C3152" s="2">
        <v>44856</v>
      </c>
      <c r="D3152" s="1" t="s">
        <v>11</v>
      </c>
      <c r="E3152" s="1" t="s">
        <v>102</v>
      </c>
      <c r="F3152" s="1" t="s">
        <v>77</v>
      </c>
      <c r="G3152" s="1" t="s">
        <v>13</v>
      </c>
      <c r="H3152" s="1">
        <v>56</v>
      </c>
      <c r="I3152" s="1" t="s">
        <v>126</v>
      </c>
      <c r="J3152" s="3">
        <v>0.54999999999999993</v>
      </c>
      <c r="K3152" s="4">
        <v>3750</v>
      </c>
      <c r="L3152" s="5">
        <f t="shared" si="24"/>
        <v>2062.4999999999995</v>
      </c>
      <c r="M3152" s="5">
        <f t="shared" si="25"/>
        <v>824.99999999999989</v>
      </c>
      <c r="N3152" s="6">
        <v>0.4</v>
      </c>
    </row>
    <row r="3153" spans="1:14" ht="15.75" customHeight="1" x14ac:dyDescent="0.45">
      <c r="A3153" s="1" t="s">
        <v>119</v>
      </c>
      <c r="B3153" s="1">
        <v>1185732</v>
      </c>
      <c r="C3153" s="2">
        <v>44856</v>
      </c>
      <c r="D3153" s="1" t="s">
        <v>11</v>
      </c>
      <c r="E3153" s="1" t="s">
        <v>102</v>
      </c>
      <c r="F3153" s="1" t="s">
        <v>77</v>
      </c>
      <c r="G3153" s="1" t="s">
        <v>14</v>
      </c>
      <c r="H3153" s="1">
        <v>50</v>
      </c>
      <c r="I3153" s="1" t="s">
        <v>125</v>
      </c>
      <c r="J3153" s="3">
        <v>0.5</v>
      </c>
      <c r="K3153" s="4">
        <v>2000</v>
      </c>
      <c r="L3153" s="5">
        <f t="shared" si="24"/>
        <v>1000</v>
      </c>
      <c r="M3153" s="5">
        <f t="shared" si="25"/>
        <v>350</v>
      </c>
      <c r="N3153" s="6">
        <v>0.35</v>
      </c>
    </row>
    <row r="3154" spans="1:14" ht="15.75" customHeight="1" x14ac:dyDescent="0.45">
      <c r="A3154" s="1" t="s">
        <v>119</v>
      </c>
      <c r="B3154" s="1">
        <v>1185732</v>
      </c>
      <c r="C3154" s="2">
        <v>44856</v>
      </c>
      <c r="D3154" s="1" t="s">
        <v>11</v>
      </c>
      <c r="E3154" s="1" t="s">
        <v>102</v>
      </c>
      <c r="F3154" s="1" t="s">
        <v>77</v>
      </c>
      <c r="G3154" s="1" t="s">
        <v>15</v>
      </c>
      <c r="H3154" s="1">
        <v>42</v>
      </c>
      <c r="I3154" s="1" t="s">
        <v>125</v>
      </c>
      <c r="J3154" s="3">
        <v>0.5</v>
      </c>
      <c r="K3154" s="4">
        <v>1000</v>
      </c>
      <c r="L3154" s="5">
        <f t="shared" si="24"/>
        <v>500</v>
      </c>
      <c r="M3154" s="5">
        <f t="shared" si="25"/>
        <v>175</v>
      </c>
      <c r="N3154" s="6">
        <v>0.35</v>
      </c>
    </row>
    <row r="3155" spans="1:14" ht="15.75" customHeight="1" x14ac:dyDescent="0.45">
      <c r="A3155" s="1" t="s">
        <v>119</v>
      </c>
      <c r="B3155" s="1">
        <v>1185732</v>
      </c>
      <c r="C3155" s="2">
        <v>44856</v>
      </c>
      <c r="D3155" s="1" t="s">
        <v>11</v>
      </c>
      <c r="E3155" s="1" t="s">
        <v>102</v>
      </c>
      <c r="F3155" s="1" t="s">
        <v>77</v>
      </c>
      <c r="G3155" s="1" t="s">
        <v>16</v>
      </c>
      <c r="H3155" s="1">
        <v>22</v>
      </c>
      <c r="I3155" s="1" t="s">
        <v>126</v>
      </c>
      <c r="J3155" s="3">
        <v>0.5</v>
      </c>
      <c r="K3155" s="4">
        <v>750</v>
      </c>
      <c r="L3155" s="5">
        <f t="shared" si="24"/>
        <v>375</v>
      </c>
      <c r="M3155" s="5">
        <f t="shared" si="25"/>
        <v>131.25</v>
      </c>
      <c r="N3155" s="6">
        <v>0.35</v>
      </c>
    </row>
    <row r="3156" spans="1:14" ht="15.75" customHeight="1" x14ac:dyDescent="0.45">
      <c r="A3156" s="1" t="s">
        <v>119</v>
      </c>
      <c r="B3156" s="1">
        <v>1185732</v>
      </c>
      <c r="C3156" s="2">
        <v>44856</v>
      </c>
      <c r="D3156" s="1" t="s">
        <v>11</v>
      </c>
      <c r="E3156" s="1" t="s">
        <v>102</v>
      </c>
      <c r="F3156" s="1" t="s">
        <v>77</v>
      </c>
      <c r="G3156" s="1" t="s">
        <v>17</v>
      </c>
      <c r="H3156" s="1">
        <v>43</v>
      </c>
      <c r="I3156" s="1" t="s">
        <v>124</v>
      </c>
      <c r="J3156" s="3">
        <v>0.6</v>
      </c>
      <c r="K3156" s="4">
        <v>750</v>
      </c>
      <c r="L3156" s="5">
        <f t="shared" si="24"/>
        <v>450</v>
      </c>
      <c r="M3156" s="5">
        <f t="shared" si="25"/>
        <v>135</v>
      </c>
      <c r="N3156" s="6">
        <v>0.3</v>
      </c>
    </row>
    <row r="3157" spans="1:14" ht="15.75" customHeight="1" x14ac:dyDescent="0.45">
      <c r="A3157" s="1" t="s">
        <v>119</v>
      </c>
      <c r="B3157" s="1">
        <v>1185732</v>
      </c>
      <c r="C3157" s="2">
        <v>44856</v>
      </c>
      <c r="D3157" s="1" t="s">
        <v>11</v>
      </c>
      <c r="E3157" s="1" t="s">
        <v>102</v>
      </c>
      <c r="F3157" s="1" t="s">
        <v>77</v>
      </c>
      <c r="G3157" s="1" t="s">
        <v>18</v>
      </c>
      <c r="H3157" s="1">
        <v>52</v>
      </c>
      <c r="I3157" s="1" t="s">
        <v>124</v>
      </c>
      <c r="J3157" s="3">
        <v>0.64999999999999991</v>
      </c>
      <c r="K3157" s="4">
        <v>2000</v>
      </c>
      <c r="L3157" s="5">
        <f t="shared" si="24"/>
        <v>1299.9999999999998</v>
      </c>
      <c r="M3157" s="5">
        <f t="shared" si="25"/>
        <v>389.99999999999994</v>
      </c>
      <c r="N3157" s="6">
        <v>0.3</v>
      </c>
    </row>
    <row r="3158" spans="1:14" ht="15.75" customHeight="1" x14ac:dyDescent="0.45">
      <c r="A3158" s="1" t="s">
        <v>119</v>
      </c>
      <c r="B3158" s="1">
        <v>1185732</v>
      </c>
      <c r="C3158" s="2">
        <v>44886</v>
      </c>
      <c r="D3158" s="1" t="s">
        <v>11</v>
      </c>
      <c r="E3158" s="1" t="s">
        <v>102</v>
      </c>
      <c r="F3158" s="1" t="s">
        <v>77</v>
      </c>
      <c r="G3158" s="1" t="s">
        <v>13</v>
      </c>
      <c r="H3158" s="1">
        <v>19</v>
      </c>
      <c r="I3158" s="1" t="s">
        <v>125</v>
      </c>
      <c r="J3158" s="3">
        <v>0.6</v>
      </c>
      <c r="K3158" s="4">
        <v>3500</v>
      </c>
      <c r="L3158" s="5">
        <f t="shared" si="24"/>
        <v>2100</v>
      </c>
      <c r="M3158" s="5">
        <f t="shared" si="25"/>
        <v>840</v>
      </c>
      <c r="N3158" s="6">
        <v>0.4</v>
      </c>
    </row>
    <row r="3159" spans="1:14" ht="15.75" customHeight="1" x14ac:dyDescent="0.45">
      <c r="A3159" s="1" t="s">
        <v>119</v>
      </c>
      <c r="B3159" s="1">
        <v>1185732</v>
      </c>
      <c r="C3159" s="2">
        <v>44886</v>
      </c>
      <c r="D3159" s="1" t="s">
        <v>11</v>
      </c>
      <c r="E3159" s="1" t="s">
        <v>102</v>
      </c>
      <c r="F3159" s="1" t="s">
        <v>77</v>
      </c>
      <c r="G3159" s="1" t="s">
        <v>14</v>
      </c>
      <c r="H3159" s="1">
        <v>38</v>
      </c>
      <c r="I3159" s="1" t="s">
        <v>123</v>
      </c>
      <c r="J3159" s="3">
        <v>0.5</v>
      </c>
      <c r="K3159" s="4">
        <v>1750</v>
      </c>
      <c r="L3159" s="5">
        <f t="shared" si="24"/>
        <v>875</v>
      </c>
      <c r="M3159" s="5">
        <f t="shared" si="25"/>
        <v>306.25</v>
      </c>
      <c r="N3159" s="6">
        <v>0.35</v>
      </c>
    </row>
    <row r="3160" spans="1:14" ht="15.75" customHeight="1" x14ac:dyDescent="0.45">
      <c r="A3160" s="1" t="s">
        <v>119</v>
      </c>
      <c r="B3160" s="1">
        <v>1185732</v>
      </c>
      <c r="C3160" s="2">
        <v>44886</v>
      </c>
      <c r="D3160" s="1" t="s">
        <v>11</v>
      </c>
      <c r="E3160" s="1" t="s">
        <v>102</v>
      </c>
      <c r="F3160" s="1" t="s">
        <v>77</v>
      </c>
      <c r="G3160" s="1" t="s">
        <v>15</v>
      </c>
      <c r="H3160" s="1">
        <v>40</v>
      </c>
      <c r="I3160" s="1" t="s">
        <v>124</v>
      </c>
      <c r="J3160" s="3">
        <v>0.5</v>
      </c>
      <c r="K3160" s="4">
        <v>1700</v>
      </c>
      <c r="L3160" s="5">
        <f t="shared" si="24"/>
        <v>850</v>
      </c>
      <c r="M3160" s="5">
        <f t="shared" si="25"/>
        <v>297.5</v>
      </c>
      <c r="N3160" s="6">
        <v>0.35</v>
      </c>
    </row>
    <row r="3161" spans="1:14" ht="15.75" customHeight="1" x14ac:dyDescent="0.45">
      <c r="A3161" s="1" t="s">
        <v>119</v>
      </c>
      <c r="B3161" s="1">
        <v>1185732</v>
      </c>
      <c r="C3161" s="2">
        <v>44886</v>
      </c>
      <c r="D3161" s="1" t="s">
        <v>11</v>
      </c>
      <c r="E3161" s="1" t="s">
        <v>102</v>
      </c>
      <c r="F3161" s="1" t="s">
        <v>77</v>
      </c>
      <c r="G3161" s="1" t="s">
        <v>16</v>
      </c>
      <c r="H3161" s="1">
        <v>27</v>
      </c>
      <c r="I3161" s="1" t="s">
        <v>126</v>
      </c>
      <c r="J3161" s="3">
        <v>0.5</v>
      </c>
      <c r="K3161" s="4">
        <v>1500</v>
      </c>
      <c r="L3161" s="5">
        <f t="shared" si="24"/>
        <v>750</v>
      </c>
      <c r="M3161" s="5">
        <f t="shared" si="25"/>
        <v>262.5</v>
      </c>
      <c r="N3161" s="6">
        <v>0.35</v>
      </c>
    </row>
    <row r="3162" spans="1:14" ht="15.75" customHeight="1" x14ac:dyDescent="0.45">
      <c r="A3162" s="1" t="s">
        <v>119</v>
      </c>
      <c r="B3162" s="1">
        <v>1185732</v>
      </c>
      <c r="C3162" s="2">
        <v>44886</v>
      </c>
      <c r="D3162" s="1" t="s">
        <v>11</v>
      </c>
      <c r="E3162" s="1" t="s">
        <v>102</v>
      </c>
      <c r="F3162" s="1" t="s">
        <v>77</v>
      </c>
      <c r="G3162" s="1" t="s">
        <v>17</v>
      </c>
      <c r="H3162" s="1">
        <v>45</v>
      </c>
      <c r="I3162" s="1" t="s">
        <v>126</v>
      </c>
      <c r="J3162" s="3">
        <v>0.6</v>
      </c>
      <c r="K3162" s="4">
        <v>1250</v>
      </c>
      <c r="L3162" s="5">
        <f t="shared" si="24"/>
        <v>750</v>
      </c>
      <c r="M3162" s="5">
        <f t="shared" si="25"/>
        <v>225</v>
      </c>
      <c r="N3162" s="6">
        <v>0.3</v>
      </c>
    </row>
    <row r="3163" spans="1:14" ht="15.75" customHeight="1" x14ac:dyDescent="0.45">
      <c r="A3163" s="1" t="s">
        <v>119</v>
      </c>
      <c r="B3163" s="1">
        <v>1185732</v>
      </c>
      <c r="C3163" s="2">
        <v>44886</v>
      </c>
      <c r="D3163" s="1" t="s">
        <v>11</v>
      </c>
      <c r="E3163" s="1" t="s">
        <v>102</v>
      </c>
      <c r="F3163" s="1" t="s">
        <v>77</v>
      </c>
      <c r="G3163" s="1" t="s">
        <v>18</v>
      </c>
      <c r="H3163" s="1">
        <v>15</v>
      </c>
      <c r="I3163" s="1" t="s">
        <v>124</v>
      </c>
      <c r="J3163" s="3">
        <v>0.64999999999999991</v>
      </c>
      <c r="K3163" s="4">
        <v>2250</v>
      </c>
      <c r="L3163" s="5">
        <f t="shared" si="24"/>
        <v>1462.4999999999998</v>
      </c>
      <c r="M3163" s="5">
        <f t="shared" si="25"/>
        <v>438.74999999999994</v>
      </c>
      <c r="N3163" s="6">
        <v>0.3</v>
      </c>
    </row>
    <row r="3164" spans="1:14" ht="15.75" customHeight="1" x14ac:dyDescent="0.45">
      <c r="A3164" s="1" t="s">
        <v>119</v>
      </c>
      <c r="B3164" s="1">
        <v>1185732</v>
      </c>
      <c r="C3164" s="2">
        <v>44915</v>
      </c>
      <c r="D3164" s="1" t="s">
        <v>11</v>
      </c>
      <c r="E3164" s="1" t="s">
        <v>102</v>
      </c>
      <c r="F3164" s="1" t="s">
        <v>77</v>
      </c>
      <c r="G3164" s="1" t="s">
        <v>13</v>
      </c>
      <c r="H3164" s="1">
        <v>55</v>
      </c>
      <c r="I3164" s="1" t="s">
        <v>126</v>
      </c>
      <c r="J3164" s="3">
        <v>0.6</v>
      </c>
      <c r="K3164" s="4">
        <v>4500</v>
      </c>
      <c r="L3164" s="5">
        <f t="shared" si="24"/>
        <v>2700</v>
      </c>
      <c r="M3164" s="5">
        <f t="shared" si="25"/>
        <v>1080</v>
      </c>
      <c r="N3164" s="6">
        <v>0.4</v>
      </c>
    </row>
    <row r="3165" spans="1:14" ht="15.75" customHeight="1" x14ac:dyDescent="0.45">
      <c r="A3165" s="1" t="s">
        <v>119</v>
      </c>
      <c r="B3165" s="1">
        <v>1185732</v>
      </c>
      <c r="C3165" s="2">
        <v>44915</v>
      </c>
      <c r="D3165" s="1" t="s">
        <v>11</v>
      </c>
      <c r="E3165" s="1" t="s">
        <v>102</v>
      </c>
      <c r="F3165" s="1" t="s">
        <v>77</v>
      </c>
      <c r="G3165" s="1" t="s">
        <v>14</v>
      </c>
      <c r="H3165" s="1">
        <v>49</v>
      </c>
      <c r="I3165" s="1" t="s">
        <v>123</v>
      </c>
      <c r="J3165" s="3">
        <v>0.5</v>
      </c>
      <c r="K3165" s="4">
        <v>2500</v>
      </c>
      <c r="L3165" s="5">
        <f t="shared" si="24"/>
        <v>1250</v>
      </c>
      <c r="M3165" s="5">
        <f t="shared" si="25"/>
        <v>437.5</v>
      </c>
      <c r="N3165" s="6">
        <v>0.35</v>
      </c>
    </row>
    <row r="3166" spans="1:14" ht="15.75" customHeight="1" x14ac:dyDescent="0.45">
      <c r="A3166" s="1" t="s">
        <v>119</v>
      </c>
      <c r="B3166" s="1">
        <v>1185732</v>
      </c>
      <c r="C3166" s="2">
        <v>44915</v>
      </c>
      <c r="D3166" s="1" t="s">
        <v>11</v>
      </c>
      <c r="E3166" s="1" t="s">
        <v>102</v>
      </c>
      <c r="F3166" s="1" t="s">
        <v>77</v>
      </c>
      <c r="G3166" s="1" t="s">
        <v>15</v>
      </c>
      <c r="H3166" s="1">
        <v>42</v>
      </c>
      <c r="I3166" s="1" t="s">
        <v>123</v>
      </c>
      <c r="J3166" s="3">
        <v>0.5</v>
      </c>
      <c r="K3166" s="4">
        <v>2250</v>
      </c>
      <c r="L3166" s="5">
        <f t="shared" si="24"/>
        <v>1125</v>
      </c>
      <c r="M3166" s="5">
        <f t="shared" si="25"/>
        <v>393.75</v>
      </c>
      <c r="N3166" s="6">
        <v>0.35</v>
      </c>
    </row>
    <row r="3167" spans="1:14" ht="15.75" customHeight="1" x14ac:dyDescent="0.45">
      <c r="A3167" s="1" t="s">
        <v>119</v>
      </c>
      <c r="B3167" s="1">
        <v>1185732</v>
      </c>
      <c r="C3167" s="2">
        <v>44915</v>
      </c>
      <c r="D3167" s="1" t="s">
        <v>11</v>
      </c>
      <c r="E3167" s="1" t="s">
        <v>102</v>
      </c>
      <c r="F3167" s="1" t="s">
        <v>77</v>
      </c>
      <c r="G3167" s="1" t="s">
        <v>16</v>
      </c>
      <c r="H3167" s="1">
        <v>35</v>
      </c>
      <c r="I3167" s="1" t="s">
        <v>125</v>
      </c>
      <c r="J3167" s="3">
        <v>0.5</v>
      </c>
      <c r="K3167" s="4">
        <v>1750</v>
      </c>
      <c r="L3167" s="5">
        <f t="shared" si="24"/>
        <v>875</v>
      </c>
      <c r="M3167" s="5">
        <f t="shared" si="25"/>
        <v>306.25</v>
      </c>
      <c r="N3167" s="6">
        <v>0.35</v>
      </c>
    </row>
    <row r="3168" spans="1:14" ht="15.75" customHeight="1" x14ac:dyDescent="0.45">
      <c r="A3168" s="1" t="s">
        <v>119</v>
      </c>
      <c r="B3168" s="1">
        <v>1185732</v>
      </c>
      <c r="C3168" s="2">
        <v>44915</v>
      </c>
      <c r="D3168" s="1" t="s">
        <v>11</v>
      </c>
      <c r="E3168" s="1" t="s">
        <v>102</v>
      </c>
      <c r="F3168" s="1" t="s">
        <v>77</v>
      </c>
      <c r="G3168" s="1" t="s">
        <v>17</v>
      </c>
      <c r="H3168" s="1">
        <v>58</v>
      </c>
      <c r="I3168" s="1" t="s">
        <v>126</v>
      </c>
      <c r="J3168" s="3">
        <v>0.6</v>
      </c>
      <c r="K3168" s="4">
        <v>1750</v>
      </c>
      <c r="L3168" s="5">
        <f t="shared" si="24"/>
        <v>1050</v>
      </c>
      <c r="M3168" s="5">
        <f t="shared" si="25"/>
        <v>315</v>
      </c>
      <c r="N3168" s="6">
        <v>0.3</v>
      </c>
    </row>
    <row r="3169" spans="1:14" ht="15.75" customHeight="1" x14ac:dyDescent="0.45">
      <c r="A3169" s="1" t="s">
        <v>119</v>
      </c>
      <c r="B3169" s="1">
        <v>1185732</v>
      </c>
      <c r="C3169" s="2">
        <v>44915</v>
      </c>
      <c r="D3169" s="1" t="s">
        <v>11</v>
      </c>
      <c r="E3169" s="1" t="s">
        <v>102</v>
      </c>
      <c r="F3169" s="1" t="s">
        <v>77</v>
      </c>
      <c r="G3169" s="1" t="s">
        <v>18</v>
      </c>
      <c r="H3169" s="1">
        <v>41</v>
      </c>
      <c r="I3169" s="1" t="s">
        <v>125</v>
      </c>
      <c r="J3169" s="3">
        <v>0.64999999999999991</v>
      </c>
      <c r="K3169" s="4">
        <v>2750</v>
      </c>
      <c r="L3169" s="5">
        <f t="shared" si="24"/>
        <v>1787.4999999999998</v>
      </c>
      <c r="M3169" s="5">
        <f t="shared" si="25"/>
        <v>536.24999999999989</v>
      </c>
      <c r="N3169" s="6">
        <v>0.3</v>
      </c>
    </row>
    <row r="3170" spans="1:14" ht="15.75" customHeight="1" x14ac:dyDescent="0.45">
      <c r="A3170" s="1" t="s">
        <v>119</v>
      </c>
      <c r="B3170" s="1">
        <v>1185732</v>
      </c>
      <c r="C3170" s="2">
        <v>44578</v>
      </c>
      <c r="D3170" s="1" t="s">
        <v>11</v>
      </c>
      <c r="E3170" s="1" t="s">
        <v>103</v>
      </c>
      <c r="F3170" s="1" t="s">
        <v>104</v>
      </c>
      <c r="G3170" s="1" t="s">
        <v>13</v>
      </c>
      <c r="H3170" s="1">
        <v>32</v>
      </c>
      <c r="I3170" s="1" t="s">
        <v>124</v>
      </c>
      <c r="J3170" s="3">
        <v>0.4</v>
      </c>
      <c r="K3170" s="4">
        <v>5250</v>
      </c>
      <c r="L3170" s="5">
        <f t="shared" si="24"/>
        <v>2100</v>
      </c>
      <c r="M3170" s="5">
        <f t="shared" si="25"/>
        <v>735</v>
      </c>
      <c r="N3170" s="6">
        <v>0.35</v>
      </c>
    </row>
    <row r="3171" spans="1:14" ht="15.75" customHeight="1" x14ac:dyDescent="0.45">
      <c r="A3171" s="1" t="s">
        <v>119</v>
      </c>
      <c r="B3171" s="1">
        <v>1185732</v>
      </c>
      <c r="C3171" s="2">
        <v>44578</v>
      </c>
      <c r="D3171" s="1" t="s">
        <v>11</v>
      </c>
      <c r="E3171" s="1" t="s">
        <v>103</v>
      </c>
      <c r="F3171" s="1" t="s">
        <v>104</v>
      </c>
      <c r="G3171" s="1" t="s">
        <v>14</v>
      </c>
      <c r="H3171" s="1">
        <v>23</v>
      </c>
      <c r="I3171" s="1" t="s">
        <v>124</v>
      </c>
      <c r="J3171" s="3">
        <v>0.4</v>
      </c>
      <c r="K3171" s="4">
        <v>3250</v>
      </c>
      <c r="L3171" s="5">
        <f t="shared" si="24"/>
        <v>1300</v>
      </c>
      <c r="M3171" s="5">
        <f t="shared" si="25"/>
        <v>454.99999999999994</v>
      </c>
      <c r="N3171" s="6">
        <v>0.35</v>
      </c>
    </row>
    <row r="3172" spans="1:14" ht="15.75" customHeight="1" x14ac:dyDescent="0.45">
      <c r="A3172" s="1" t="s">
        <v>119</v>
      </c>
      <c r="B3172" s="1">
        <v>1185732</v>
      </c>
      <c r="C3172" s="2">
        <v>44578</v>
      </c>
      <c r="D3172" s="1" t="s">
        <v>11</v>
      </c>
      <c r="E3172" s="1" t="s">
        <v>103</v>
      </c>
      <c r="F3172" s="1" t="s">
        <v>104</v>
      </c>
      <c r="G3172" s="1" t="s">
        <v>15</v>
      </c>
      <c r="H3172" s="1">
        <v>50</v>
      </c>
      <c r="I3172" s="1" t="s">
        <v>125</v>
      </c>
      <c r="J3172" s="3">
        <v>0.30000000000000004</v>
      </c>
      <c r="K3172" s="4">
        <v>3250</v>
      </c>
      <c r="L3172" s="5">
        <f t="shared" si="24"/>
        <v>975.00000000000011</v>
      </c>
      <c r="M3172" s="5">
        <f t="shared" si="25"/>
        <v>390.00000000000006</v>
      </c>
      <c r="N3172" s="6">
        <v>0.4</v>
      </c>
    </row>
    <row r="3173" spans="1:14" ht="15.75" customHeight="1" x14ac:dyDescent="0.45">
      <c r="A3173" s="1" t="s">
        <v>119</v>
      </c>
      <c r="B3173" s="1">
        <v>1185732</v>
      </c>
      <c r="C3173" s="2">
        <v>44578</v>
      </c>
      <c r="D3173" s="1" t="s">
        <v>11</v>
      </c>
      <c r="E3173" s="1" t="s">
        <v>103</v>
      </c>
      <c r="F3173" s="1" t="s">
        <v>104</v>
      </c>
      <c r="G3173" s="1" t="s">
        <v>16</v>
      </c>
      <c r="H3173" s="1">
        <v>26</v>
      </c>
      <c r="I3173" s="1" t="s">
        <v>124</v>
      </c>
      <c r="J3173" s="3">
        <v>0.35</v>
      </c>
      <c r="K3173" s="4">
        <v>1750</v>
      </c>
      <c r="L3173" s="5">
        <f t="shared" ref="L3173:L3427" si="26">J3173*K3173</f>
        <v>612.5</v>
      </c>
      <c r="M3173" s="5">
        <f t="shared" ref="M3173:M3427" si="27">L3173*N3173</f>
        <v>245</v>
      </c>
      <c r="N3173" s="6">
        <v>0.4</v>
      </c>
    </row>
    <row r="3174" spans="1:14" ht="15.75" customHeight="1" x14ac:dyDescent="0.45">
      <c r="A3174" s="1" t="s">
        <v>119</v>
      </c>
      <c r="B3174" s="1">
        <v>1185732</v>
      </c>
      <c r="C3174" s="2">
        <v>44578</v>
      </c>
      <c r="D3174" s="1" t="s">
        <v>11</v>
      </c>
      <c r="E3174" s="1" t="s">
        <v>103</v>
      </c>
      <c r="F3174" s="1" t="s">
        <v>104</v>
      </c>
      <c r="G3174" s="1" t="s">
        <v>17</v>
      </c>
      <c r="H3174" s="1">
        <v>39</v>
      </c>
      <c r="I3174" s="1" t="s">
        <v>126</v>
      </c>
      <c r="J3174" s="3">
        <v>0.5</v>
      </c>
      <c r="K3174" s="4">
        <v>2250</v>
      </c>
      <c r="L3174" s="5">
        <f t="shared" si="26"/>
        <v>1125</v>
      </c>
      <c r="M3174" s="5">
        <f t="shared" si="27"/>
        <v>337.5</v>
      </c>
      <c r="N3174" s="6">
        <v>0.3</v>
      </c>
    </row>
    <row r="3175" spans="1:14" ht="15.75" customHeight="1" x14ac:dyDescent="0.45">
      <c r="A3175" s="1" t="s">
        <v>119</v>
      </c>
      <c r="B3175" s="1">
        <v>1185732</v>
      </c>
      <c r="C3175" s="2">
        <v>44578</v>
      </c>
      <c r="D3175" s="1" t="s">
        <v>11</v>
      </c>
      <c r="E3175" s="1" t="s">
        <v>103</v>
      </c>
      <c r="F3175" s="1" t="s">
        <v>104</v>
      </c>
      <c r="G3175" s="1" t="s">
        <v>18</v>
      </c>
      <c r="H3175" s="1">
        <v>23</v>
      </c>
      <c r="I3175" s="1" t="s">
        <v>124</v>
      </c>
      <c r="J3175" s="3">
        <v>0.4</v>
      </c>
      <c r="K3175" s="4">
        <v>3250</v>
      </c>
      <c r="L3175" s="5">
        <f t="shared" si="26"/>
        <v>1300</v>
      </c>
      <c r="M3175" s="5">
        <f t="shared" si="27"/>
        <v>520</v>
      </c>
      <c r="N3175" s="6">
        <v>0.4</v>
      </c>
    </row>
    <row r="3176" spans="1:14" ht="15.75" customHeight="1" x14ac:dyDescent="0.45">
      <c r="A3176" s="1" t="s">
        <v>119</v>
      </c>
      <c r="B3176" s="1">
        <v>1185732</v>
      </c>
      <c r="C3176" s="2">
        <v>44607</v>
      </c>
      <c r="D3176" s="1" t="s">
        <v>11</v>
      </c>
      <c r="E3176" s="1" t="s">
        <v>103</v>
      </c>
      <c r="F3176" s="1" t="s">
        <v>104</v>
      </c>
      <c r="G3176" s="1" t="s">
        <v>13</v>
      </c>
      <c r="H3176" s="1">
        <v>48</v>
      </c>
      <c r="I3176" s="1" t="s">
        <v>123</v>
      </c>
      <c r="J3176" s="3">
        <v>0.4</v>
      </c>
      <c r="K3176" s="4">
        <v>5750</v>
      </c>
      <c r="L3176" s="5">
        <f t="shared" si="26"/>
        <v>2300</v>
      </c>
      <c r="M3176" s="5">
        <f t="shared" si="27"/>
        <v>805</v>
      </c>
      <c r="N3176" s="6">
        <v>0.35</v>
      </c>
    </row>
    <row r="3177" spans="1:14" ht="15.75" customHeight="1" x14ac:dyDescent="0.45">
      <c r="A3177" s="1" t="s">
        <v>119</v>
      </c>
      <c r="B3177" s="1">
        <v>1185732</v>
      </c>
      <c r="C3177" s="2">
        <v>44607</v>
      </c>
      <c r="D3177" s="1" t="s">
        <v>11</v>
      </c>
      <c r="E3177" s="1" t="s">
        <v>103</v>
      </c>
      <c r="F3177" s="1" t="s">
        <v>104</v>
      </c>
      <c r="G3177" s="1" t="s">
        <v>14</v>
      </c>
      <c r="H3177" s="1">
        <v>40</v>
      </c>
      <c r="I3177" s="1" t="s">
        <v>123</v>
      </c>
      <c r="J3177" s="3">
        <v>0.4</v>
      </c>
      <c r="K3177" s="4">
        <v>2250</v>
      </c>
      <c r="L3177" s="5">
        <f t="shared" si="26"/>
        <v>900</v>
      </c>
      <c r="M3177" s="5">
        <f t="shared" si="27"/>
        <v>315</v>
      </c>
      <c r="N3177" s="6">
        <v>0.35</v>
      </c>
    </row>
    <row r="3178" spans="1:14" ht="15.75" customHeight="1" x14ac:dyDescent="0.45">
      <c r="A3178" s="1" t="s">
        <v>119</v>
      </c>
      <c r="B3178" s="1">
        <v>1185732</v>
      </c>
      <c r="C3178" s="2">
        <v>44607</v>
      </c>
      <c r="D3178" s="1" t="s">
        <v>11</v>
      </c>
      <c r="E3178" s="1" t="s">
        <v>103</v>
      </c>
      <c r="F3178" s="1" t="s">
        <v>104</v>
      </c>
      <c r="G3178" s="1" t="s">
        <v>15</v>
      </c>
      <c r="H3178" s="1">
        <v>50</v>
      </c>
      <c r="I3178" s="1" t="s">
        <v>124</v>
      </c>
      <c r="J3178" s="3">
        <v>0.30000000000000004</v>
      </c>
      <c r="K3178" s="4">
        <v>2750</v>
      </c>
      <c r="L3178" s="5">
        <f t="shared" si="26"/>
        <v>825.00000000000011</v>
      </c>
      <c r="M3178" s="5">
        <f t="shared" si="27"/>
        <v>330.00000000000006</v>
      </c>
      <c r="N3178" s="6">
        <v>0.4</v>
      </c>
    </row>
    <row r="3179" spans="1:14" ht="15.75" customHeight="1" x14ac:dyDescent="0.45">
      <c r="A3179" s="1" t="s">
        <v>119</v>
      </c>
      <c r="B3179" s="1">
        <v>1185732</v>
      </c>
      <c r="C3179" s="2">
        <v>44607</v>
      </c>
      <c r="D3179" s="1" t="s">
        <v>11</v>
      </c>
      <c r="E3179" s="1" t="s">
        <v>103</v>
      </c>
      <c r="F3179" s="1" t="s">
        <v>104</v>
      </c>
      <c r="G3179" s="1" t="s">
        <v>16</v>
      </c>
      <c r="H3179" s="1">
        <v>30</v>
      </c>
      <c r="I3179" s="1" t="s">
        <v>126</v>
      </c>
      <c r="J3179" s="3">
        <v>0.35</v>
      </c>
      <c r="K3179" s="4">
        <v>1500</v>
      </c>
      <c r="L3179" s="5">
        <f t="shared" si="26"/>
        <v>525</v>
      </c>
      <c r="M3179" s="5">
        <f t="shared" si="27"/>
        <v>210</v>
      </c>
      <c r="N3179" s="6">
        <v>0.4</v>
      </c>
    </row>
    <row r="3180" spans="1:14" ht="15.75" customHeight="1" x14ac:dyDescent="0.45">
      <c r="A3180" s="1" t="s">
        <v>119</v>
      </c>
      <c r="B3180" s="1">
        <v>1185732</v>
      </c>
      <c r="C3180" s="2">
        <v>44607</v>
      </c>
      <c r="D3180" s="1" t="s">
        <v>11</v>
      </c>
      <c r="E3180" s="1" t="s">
        <v>103</v>
      </c>
      <c r="F3180" s="1" t="s">
        <v>104</v>
      </c>
      <c r="G3180" s="1" t="s">
        <v>17</v>
      </c>
      <c r="H3180" s="1">
        <v>33</v>
      </c>
      <c r="I3180" s="1" t="s">
        <v>126</v>
      </c>
      <c r="J3180" s="3">
        <v>0.5</v>
      </c>
      <c r="K3180" s="4">
        <v>2250</v>
      </c>
      <c r="L3180" s="5">
        <f t="shared" si="26"/>
        <v>1125</v>
      </c>
      <c r="M3180" s="5">
        <f t="shared" si="27"/>
        <v>337.5</v>
      </c>
      <c r="N3180" s="6">
        <v>0.3</v>
      </c>
    </row>
    <row r="3181" spans="1:14" ht="15.75" customHeight="1" x14ac:dyDescent="0.45">
      <c r="A3181" s="1" t="s">
        <v>119</v>
      </c>
      <c r="B3181" s="1">
        <v>1185732</v>
      </c>
      <c r="C3181" s="2">
        <v>44607</v>
      </c>
      <c r="D3181" s="1" t="s">
        <v>11</v>
      </c>
      <c r="E3181" s="1" t="s">
        <v>103</v>
      </c>
      <c r="F3181" s="1" t="s">
        <v>104</v>
      </c>
      <c r="G3181" s="1" t="s">
        <v>18</v>
      </c>
      <c r="H3181" s="1">
        <v>57</v>
      </c>
      <c r="I3181" s="1" t="s">
        <v>124</v>
      </c>
      <c r="J3181" s="3">
        <v>0.4</v>
      </c>
      <c r="K3181" s="4">
        <v>3250</v>
      </c>
      <c r="L3181" s="5">
        <f t="shared" si="26"/>
        <v>1300</v>
      </c>
      <c r="M3181" s="5">
        <f t="shared" si="27"/>
        <v>520</v>
      </c>
      <c r="N3181" s="6">
        <v>0.4</v>
      </c>
    </row>
    <row r="3182" spans="1:14" ht="15.75" customHeight="1" x14ac:dyDescent="0.45">
      <c r="A3182" s="1" t="s">
        <v>119</v>
      </c>
      <c r="B3182" s="1">
        <v>1185732</v>
      </c>
      <c r="C3182" s="2">
        <v>44633</v>
      </c>
      <c r="D3182" s="1" t="s">
        <v>11</v>
      </c>
      <c r="E3182" s="1" t="s">
        <v>103</v>
      </c>
      <c r="F3182" s="1" t="s">
        <v>104</v>
      </c>
      <c r="G3182" s="1" t="s">
        <v>13</v>
      </c>
      <c r="H3182" s="1">
        <v>56</v>
      </c>
      <c r="I3182" s="1" t="s">
        <v>124</v>
      </c>
      <c r="J3182" s="3">
        <v>0.4</v>
      </c>
      <c r="K3182" s="4">
        <v>5450</v>
      </c>
      <c r="L3182" s="5">
        <f t="shared" si="26"/>
        <v>2180</v>
      </c>
      <c r="M3182" s="5">
        <f t="shared" si="27"/>
        <v>763</v>
      </c>
      <c r="N3182" s="6">
        <v>0.35</v>
      </c>
    </row>
    <row r="3183" spans="1:14" ht="15.75" customHeight="1" x14ac:dyDescent="0.45">
      <c r="A3183" s="1" t="s">
        <v>119</v>
      </c>
      <c r="B3183" s="1">
        <v>1185732</v>
      </c>
      <c r="C3183" s="2">
        <v>44633</v>
      </c>
      <c r="D3183" s="1" t="s">
        <v>11</v>
      </c>
      <c r="E3183" s="1" t="s">
        <v>103</v>
      </c>
      <c r="F3183" s="1" t="s">
        <v>104</v>
      </c>
      <c r="G3183" s="1" t="s">
        <v>14</v>
      </c>
      <c r="H3183" s="1">
        <v>53</v>
      </c>
      <c r="I3183" s="1" t="s">
        <v>125</v>
      </c>
      <c r="J3183" s="3">
        <v>0.4</v>
      </c>
      <c r="K3183" s="4">
        <v>2500</v>
      </c>
      <c r="L3183" s="5">
        <f t="shared" si="26"/>
        <v>1000</v>
      </c>
      <c r="M3183" s="5">
        <f t="shared" si="27"/>
        <v>350</v>
      </c>
      <c r="N3183" s="6">
        <v>0.35</v>
      </c>
    </row>
    <row r="3184" spans="1:14" ht="15.75" customHeight="1" x14ac:dyDescent="0.45">
      <c r="A3184" s="1" t="s">
        <v>119</v>
      </c>
      <c r="B3184" s="1">
        <v>1185732</v>
      </c>
      <c r="C3184" s="2">
        <v>44633</v>
      </c>
      <c r="D3184" s="1" t="s">
        <v>11</v>
      </c>
      <c r="E3184" s="1" t="s">
        <v>103</v>
      </c>
      <c r="F3184" s="1" t="s">
        <v>104</v>
      </c>
      <c r="G3184" s="1" t="s">
        <v>15</v>
      </c>
      <c r="H3184" s="1">
        <v>17</v>
      </c>
      <c r="I3184" s="1" t="s">
        <v>124</v>
      </c>
      <c r="J3184" s="3">
        <v>0.30000000000000004</v>
      </c>
      <c r="K3184" s="4">
        <v>2750</v>
      </c>
      <c r="L3184" s="5">
        <f t="shared" si="26"/>
        <v>825.00000000000011</v>
      </c>
      <c r="M3184" s="5">
        <f t="shared" si="27"/>
        <v>330.00000000000006</v>
      </c>
      <c r="N3184" s="6">
        <v>0.4</v>
      </c>
    </row>
    <row r="3185" spans="1:14" ht="15.75" customHeight="1" x14ac:dyDescent="0.45">
      <c r="A3185" s="1" t="s">
        <v>119</v>
      </c>
      <c r="B3185" s="1">
        <v>1185732</v>
      </c>
      <c r="C3185" s="2">
        <v>44633</v>
      </c>
      <c r="D3185" s="1" t="s">
        <v>11</v>
      </c>
      <c r="E3185" s="1" t="s">
        <v>103</v>
      </c>
      <c r="F3185" s="1" t="s">
        <v>104</v>
      </c>
      <c r="G3185" s="1" t="s">
        <v>16</v>
      </c>
      <c r="H3185" s="1">
        <v>55</v>
      </c>
      <c r="I3185" s="1" t="s">
        <v>124</v>
      </c>
      <c r="J3185" s="3">
        <v>0.35</v>
      </c>
      <c r="K3185" s="4">
        <v>1250</v>
      </c>
      <c r="L3185" s="5">
        <f t="shared" si="26"/>
        <v>437.5</v>
      </c>
      <c r="M3185" s="5">
        <f t="shared" si="27"/>
        <v>175</v>
      </c>
      <c r="N3185" s="6">
        <v>0.4</v>
      </c>
    </row>
    <row r="3186" spans="1:14" ht="15.75" customHeight="1" x14ac:dyDescent="0.45">
      <c r="A3186" s="1" t="s">
        <v>119</v>
      </c>
      <c r="B3186" s="1">
        <v>1185732</v>
      </c>
      <c r="C3186" s="2">
        <v>44633</v>
      </c>
      <c r="D3186" s="1" t="s">
        <v>11</v>
      </c>
      <c r="E3186" s="1" t="s">
        <v>103</v>
      </c>
      <c r="F3186" s="1" t="s">
        <v>104</v>
      </c>
      <c r="G3186" s="1" t="s">
        <v>17</v>
      </c>
      <c r="H3186" s="1">
        <v>54</v>
      </c>
      <c r="I3186" s="1" t="s">
        <v>126</v>
      </c>
      <c r="J3186" s="3">
        <v>0.5</v>
      </c>
      <c r="K3186" s="4">
        <v>1750</v>
      </c>
      <c r="L3186" s="5">
        <f t="shared" si="26"/>
        <v>875</v>
      </c>
      <c r="M3186" s="5">
        <f t="shared" si="27"/>
        <v>262.5</v>
      </c>
      <c r="N3186" s="6">
        <v>0.3</v>
      </c>
    </row>
    <row r="3187" spans="1:14" ht="15.75" customHeight="1" x14ac:dyDescent="0.45">
      <c r="A3187" s="1" t="s">
        <v>119</v>
      </c>
      <c r="B3187" s="1">
        <v>1185732</v>
      </c>
      <c r="C3187" s="2">
        <v>44633</v>
      </c>
      <c r="D3187" s="1" t="s">
        <v>11</v>
      </c>
      <c r="E3187" s="1" t="s">
        <v>103</v>
      </c>
      <c r="F3187" s="1" t="s">
        <v>104</v>
      </c>
      <c r="G3187" s="1" t="s">
        <v>18</v>
      </c>
      <c r="H3187" s="1">
        <v>49</v>
      </c>
      <c r="I3187" s="1" t="s">
        <v>123</v>
      </c>
      <c r="J3187" s="3">
        <v>0.4</v>
      </c>
      <c r="K3187" s="4">
        <v>2750</v>
      </c>
      <c r="L3187" s="5">
        <f t="shared" si="26"/>
        <v>1100</v>
      </c>
      <c r="M3187" s="5">
        <f t="shared" si="27"/>
        <v>440</v>
      </c>
      <c r="N3187" s="6">
        <v>0.4</v>
      </c>
    </row>
    <row r="3188" spans="1:14" ht="15.75" customHeight="1" x14ac:dyDescent="0.45">
      <c r="A3188" s="1" t="s">
        <v>119</v>
      </c>
      <c r="B3188" s="1">
        <v>1185732</v>
      </c>
      <c r="C3188" s="2">
        <v>44665</v>
      </c>
      <c r="D3188" s="1" t="s">
        <v>11</v>
      </c>
      <c r="E3188" s="1" t="s">
        <v>103</v>
      </c>
      <c r="F3188" s="1" t="s">
        <v>104</v>
      </c>
      <c r="G3188" s="1" t="s">
        <v>13</v>
      </c>
      <c r="H3188" s="1">
        <v>24</v>
      </c>
      <c r="I3188" s="1" t="s">
        <v>126</v>
      </c>
      <c r="J3188" s="3">
        <v>0.4</v>
      </c>
      <c r="K3188" s="4">
        <v>5250</v>
      </c>
      <c r="L3188" s="5">
        <f t="shared" si="26"/>
        <v>2100</v>
      </c>
      <c r="M3188" s="5">
        <f t="shared" si="27"/>
        <v>735</v>
      </c>
      <c r="N3188" s="6">
        <v>0.35</v>
      </c>
    </row>
    <row r="3189" spans="1:14" ht="15.75" customHeight="1" x14ac:dyDescent="0.45">
      <c r="A3189" s="1" t="s">
        <v>119</v>
      </c>
      <c r="B3189" s="1">
        <v>1185732</v>
      </c>
      <c r="C3189" s="2">
        <v>44665</v>
      </c>
      <c r="D3189" s="1" t="s">
        <v>11</v>
      </c>
      <c r="E3189" s="1" t="s">
        <v>103</v>
      </c>
      <c r="F3189" s="1" t="s">
        <v>104</v>
      </c>
      <c r="G3189" s="1" t="s">
        <v>14</v>
      </c>
      <c r="H3189" s="1">
        <v>35</v>
      </c>
      <c r="I3189" s="1" t="s">
        <v>125</v>
      </c>
      <c r="J3189" s="3">
        <v>0.4</v>
      </c>
      <c r="K3189" s="4">
        <v>2250</v>
      </c>
      <c r="L3189" s="5">
        <f t="shared" si="26"/>
        <v>900</v>
      </c>
      <c r="M3189" s="5">
        <f t="shared" si="27"/>
        <v>315</v>
      </c>
      <c r="N3189" s="6">
        <v>0.35</v>
      </c>
    </row>
    <row r="3190" spans="1:14" ht="15.75" customHeight="1" x14ac:dyDescent="0.45">
      <c r="A3190" s="1" t="s">
        <v>119</v>
      </c>
      <c r="B3190" s="1">
        <v>1185732</v>
      </c>
      <c r="C3190" s="2">
        <v>44665</v>
      </c>
      <c r="D3190" s="1" t="s">
        <v>11</v>
      </c>
      <c r="E3190" s="1" t="s">
        <v>103</v>
      </c>
      <c r="F3190" s="1" t="s">
        <v>104</v>
      </c>
      <c r="G3190" s="1" t="s">
        <v>15</v>
      </c>
      <c r="H3190" s="1">
        <v>47</v>
      </c>
      <c r="I3190" s="1" t="s">
        <v>126</v>
      </c>
      <c r="J3190" s="3">
        <v>0.30000000000000004</v>
      </c>
      <c r="K3190" s="4">
        <v>2250</v>
      </c>
      <c r="L3190" s="5">
        <f t="shared" si="26"/>
        <v>675.00000000000011</v>
      </c>
      <c r="M3190" s="5">
        <f t="shared" si="27"/>
        <v>270.00000000000006</v>
      </c>
      <c r="N3190" s="6">
        <v>0.4</v>
      </c>
    </row>
    <row r="3191" spans="1:14" ht="15.75" customHeight="1" x14ac:dyDescent="0.45">
      <c r="A3191" s="1" t="s">
        <v>119</v>
      </c>
      <c r="B3191" s="1">
        <v>1185732</v>
      </c>
      <c r="C3191" s="2">
        <v>44665</v>
      </c>
      <c r="D3191" s="1" t="s">
        <v>11</v>
      </c>
      <c r="E3191" s="1" t="s">
        <v>103</v>
      </c>
      <c r="F3191" s="1" t="s">
        <v>104</v>
      </c>
      <c r="G3191" s="1" t="s">
        <v>16</v>
      </c>
      <c r="H3191" s="1">
        <v>26</v>
      </c>
      <c r="I3191" s="1" t="s">
        <v>123</v>
      </c>
      <c r="J3191" s="3">
        <v>0.35</v>
      </c>
      <c r="K3191" s="4">
        <v>1500</v>
      </c>
      <c r="L3191" s="5">
        <f t="shared" si="26"/>
        <v>525</v>
      </c>
      <c r="M3191" s="5">
        <f t="shared" si="27"/>
        <v>210</v>
      </c>
      <c r="N3191" s="6">
        <v>0.4</v>
      </c>
    </row>
    <row r="3192" spans="1:14" ht="15.75" customHeight="1" x14ac:dyDescent="0.45">
      <c r="A3192" s="1" t="s">
        <v>119</v>
      </c>
      <c r="B3192" s="1">
        <v>1185732</v>
      </c>
      <c r="C3192" s="2">
        <v>44665</v>
      </c>
      <c r="D3192" s="1" t="s">
        <v>11</v>
      </c>
      <c r="E3192" s="1" t="s">
        <v>103</v>
      </c>
      <c r="F3192" s="1" t="s">
        <v>104</v>
      </c>
      <c r="G3192" s="1" t="s">
        <v>17</v>
      </c>
      <c r="H3192" s="1">
        <v>56</v>
      </c>
      <c r="I3192" s="1" t="s">
        <v>123</v>
      </c>
      <c r="J3192" s="3">
        <v>0.5</v>
      </c>
      <c r="K3192" s="4">
        <v>1500</v>
      </c>
      <c r="L3192" s="5">
        <f t="shared" si="26"/>
        <v>750</v>
      </c>
      <c r="M3192" s="5">
        <f t="shared" si="27"/>
        <v>225</v>
      </c>
      <c r="N3192" s="6">
        <v>0.3</v>
      </c>
    </row>
    <row r="3193" spans="1:14" ht="15.75" customHeight="1" x14ac:dyDescent="0.45">
      <c r="A3193" s="1" t="s">
        <v>119</v>
      </c>
      <c r="B3193" s="1">
        <v>1185732</v>
      </c>
      <c r="C3193" s="2">
        <v>44665</v>
      </c>
      <c r="D3193" s="1" t="s">
        <v>11</v>
      </c>
      <c r="E3193" s="1" t="s">
        <v>103</v>
      </c>
      <c r="F3193" s="1" t="s">
        <v>104</v>
      </c>
      <c r="G3193" s="1" t="s">
        <v>18</v>
      </c>
      <c r="H3193" s="1">
        <v>23</v>
      </c>
      <c r="I3193" s="1" t="s">
        <v>125</v>
      </c>
      <c r="J3193" s="3">
        <v>0.4</v>
      </c>
      <c r="K3193" s="4">
        <v>3000</v>
      </c>
      <c r="L3193" s="5">
        <f t="shared" si="26"/>
        <v>1200</v>
      </c>
      <c r="M3193" s="5">
        <f t="shared" si="27"/>
        <v>480</v>
      </c>
      <c r="N3193" s="6">
        <v>0.4</v>
      </c>
    </row>
    <row r="3194" spans="1:14" ht="15.75" customHeight="1" x14ac:dyDescent="0.45">
      <c r="A3194" s="1" t="s">
        <v>119</v>
      </c>
      <c r="B3194" s="1">
        <v>1185732</v>
      </c>
      <c r="C3194" s="2">
        <v>44694</v>
      </c>
      <c r="D3194" s="1" t="s">
        <v>11</v>
      </c>
      <c r="E3194" s="1" t="s">
        <v>103</v>
      </c>
      <c r="F3194" s="1" t="s">
        <v>104</v>
      </c>
      <c r="G3194" s="1" t="s">
        <v>13</v>
      </c>
      <c r="H3194" s="1">
        <v>26</v>
      </c>
      <c r="I3194" s="1" t="s">
        <v>123</v>
      </c>
      <c r="J3194" s="3">
        <v>0.54999999999999993</v>
      </c>
      <c r="K3194" s="4">
        <v>5700</v>
      </c>
      <c r="L3194" s="5">
        <f t="shared" si="26"/>
        <v>3134.9999999999995</v>
      </c>
      <c r="M3194" s="5">
        <f t="shared" si="27"/>
        <v>1097.2499999999998</v>
      </c>
      <c r="N3194" s="6">
        <v>0.35</v>
      </c>
    </row>
    <row r="3195" spans="1:14" ht="15.75" customHeight="1" x14ac:dyDescent="0.45">
      <c r="A3195" s="1" t="s">
        <v>119</v>
      </c>
      <c r="B3195" s="1">
        <v>1185732</v>
      </c>
      <c r="C3195" s="2">
        <v>44694</v>
      </c>
      <c r="D3195" s="1" t="s">
        <v>11</v>
      </c>
      <c r="E3195" s="1" t="s">
        <v>103</v>
      </c>
      <c r="F3195" s="1" t="s">
        <v>104</v>
      </c>
      <c r="G3195" s="1" t="s">
        <v>14</v>
      </c>
      <c r="H3195" s="1">
        <v>15</v>
      </c>
      <c r="I3195" s="1" t="s">
        <v>123</v>
      </c>
      <c r="J3195" s="3">
        <v>0.5</v>
      </c>
      <c r="K3195" s="4">
        <v>2750</v>
      </c>
      <c r="L3195" s="5">
        <f t="shared" si="26"/>
        <v>1375</v>
      </c>
      <c r="M3195" s="5">
        <f t="shared" si="27"/>
        <v>481.24999999999994</v>
      </c>
      <c r="N3195" s="6">
        <v>0.35</v>
      </c>
    </row>
    <row r="3196" spans="1:14" ht="15.75" customHeight="1" x14ac:dyDescent="0.45">
      <c r="A3196" s="1" t="s">
        <v>119</v>
      </c>
      <c r="B3196" s="1">
        <v>1185732</v>
      </c>
      <c r="C3196" s="2">
        <v>44694</v>
      </c>
      <c r="D3196" s="1" t="s">
        <v>11</v>
      </c>
      <c r="E3196" s="1" t="s">
        <v>103</v>
      </c>
      <c r="F3196" s="1" t="s">
        <v>104</v>
      </c>
      <c r="G3196" s="1" t="s">
        <v>15</v>
      </c>
      <c r="H3196" s="1">
        <v>40</v>
      </c>
      <c r="I3196" s="1" t="s">
        <v>124</v>
      </c>
      <c r="J3196" s="3">
        <v>0.45</v>
      </c>
      <c r="K3196" s="4">
        <v>3000</v>
      </c>
      <c r="L3196" s="5">
        <f t="shared" si="26"/>
        <v>1350</v>
      </c>
      <c r="M3196" s="5">
        <f t="shared" si="27"/>
        <v>540</v>
      </c>
      <c r="N3196" s="6">
        <v>0.4</v>
      </c>
    </row>
    <row r="3197" spans="1:14" ht="15.75" customHeight="1" x14ac:dyDescent="0.45">
      <c r="A3197" s="1" t="s">
        <v>119</v>
      </c>
      <c r="B3197" s="1">
        <v>1185732</v>
      </c>
      <c r="C3197" s="2">
        <v>44694</v>
      </c>
      <c r="D3197" s="1" t="s">
        <v>11</v>
      </c>
      <c r="E3197" s="1" t="s">
        <v>103</v>
      </c>
      <c r="F3197" s="1" t="s">
        <v>104</v>
      </c>
      <c r="G3197" s="1" t="s">
        <v>16</v>
      </c>
      <c r="H3197" s="1">
        <v>20</v>
      </c>
      <c r="I3197" s="1" t="s">
        <v>125</v>
      </c>
      <c r="J3197" s="3">
        <v>0.45</v>
      </c>
      <c r="K3197" s="4">
        <v>2500</v>
      </c>
      <c r="L3197" s="5">
        <f t="shared" si="26"/>
        <v>1125</v>
      </c>
      <c r="M3197" s="5">
        <f t="shared" si="27"/>
        <v>450</v>
      </c>
      <c r="N3197" s="6">
        <v>0.4</v>
      </c>
    </row>
    <row r="3198" spans="1:14" ht="15.75" customHeight="1" x14ac:dyDescent="0.45">
      <c r="A3198" s="1" t="s">
        <v>119</v>
      </c>
      <c r="B3198" s="1">
        <v>1185732</v>
      </c>
      <c r="C3198" s="2">
        <v>44694</v>
      </c>
      <c r="D3198" s="1" t="s">
        <v>11</v>
      </c>
      <c r="E3198" s="1" t="s">
        <v>103</v>
      </c>
      <c r="F3198" s="1" t="s">
        <v>104</v>
      </c>
      <c r="G3198" s="1" t="s">
        <v>17</v>
      </c>
      <c r="H3198" s="1">
        <v>34</v>
      </c>
      <c r="I3198" s="1" t="s">
        <v>126</v>
      </c>
      <c r="J3198" s="3">
        <v>0.54999999999999993</v>
      </c>
      <c r="K3198" s="4">
        <v>2750</v>
      </c>
      <c r="L3198" s="5">
        <f t="shared" si="26"/>
        <v>1512.4999999999998</v>
      </c>
      <c r="M3198" s="5">
        <f t="shared" si="27"/>
        <v>453.74999999999994</v>
      </c>
      <c r="N3198" s="6">
        <v>0.3</v>
      </c>
    </row>
    <row r="3199" spans="1:14" ht="15.75" customHeight="1" x14ac:dyDescent="0.45">
      <c r="A3199" s="1" t="s">
        <v>119</v>
      </c>
      <c r="B3199" s="1">
        <v>1185732</v>
      </c>
      <c r="C3199" s="2">
        <v>44694</v>
      </c>
      <c r="D3199" s="1" t="s">
        <v>11</v>
      </c>
      <c r="E3199" s="1" t="s">
        <v>103</v>
      </c>
      <c r="F3199" s="1" t="s">
        <v>104</v>
      </c>
      <c r="G3199" s="1" t="s">
        <v>18</v>
      </c>
      <c r="H3199" s="1">
        <v>29</v>
      </c>
      <c r="I3199" s="1" t="s">
        <v>123</v>
      </c>
      <c r="J3199" s="3">
        <v>0.6</v>
      </c>
      <c r="K3199" s="4">
        <v>4000</v>
      </c>
      <c r="L3199" s="5">
        <f t="shared" si="26"/>
        <v>2400</v>
      </c>
      <c r="M3199" s="5">
        <f t="shared" si="27"/>
        <v>960</v>
      </c>
      <c r="N3199" s="6">
        <v>0.4</v>
      </c>
    </row>
    <row r="3200" spans="1:14" ht="15.75" customHeight="1" x14ac:dyDescent="0.45">
      <c r="A3200" s="1" t="s">
        <v>119</v>
      </c>
      <c r="B3200" s="1">
        <v>1185732</v>
      </c>
      <c r="C3200" s="2">
        <v>44727</v>
      </c>
      <c r="D3200" s="1" t="s">
        <v>11</v>
      </c>
      <c r="E3200" s="1" t="s">
        <v>103</v>
      </c>
      <c r="F3200" s="1" t="s">
        <v>104</v>
      </c>
      <c r="G3200" s="1" t="s">
        <v>13</v>
      </c>
      <c r="H3200" s="1">
        <v>42</v>
      </c>
      <c r="I3200" s="1" t="s">
        <v>123</v>
      </c>
      <c r="J3200" s="3">
        <v>0.54999999999999993</v>
      </c>
      <c r="K3200" s="4">
        <v>6500</v>
      </c>
      <c r="L3200" s="5">
        <f t="shared" si="26"/>
        <v>3574.9999999999995</v>
      </c>
      <c r="M3200" s="5">
        <f t="shared" si="27"/>
        <v>1251.2499999999998</v>
      </c>
      <c r="N3200" s="6">
        <v>0.35</v>
      </c>
    </row>
    <row r="3201" spans="1:14" ht="15.75" customHeight="1" x14ac:dyDescent="0.45">
      <c r="A3201" s="1" t="s">
        <v>119</v>
      </c>
      <c r="B3201" s="1">
        <v>1185732</v>
      </c>
      <c r="C3201" s="2">
        <v>44727</v>
      </c>
      <c r="D3201" s="1" t="s">
        <v>11</v>
      </c>
      <c r="E3201" s="1" t="s">
        <v>103</v>
      </c>
      <c r="F3201" s="1" t="s">
        <v>104</v>
      </c>
      <c r="G3201" s="1" t="s">
        <v>14</v>
      </c>
      <c r="H3201" s="1">
        <v>19</v>
      </c>
      <c r="I3201" s="1" t="s">
        <v>124</v>
      </c>
      <c r="J3201" s="3">
        <v>0.5</v>
      </c>
      <c r="K3201" s="4">
        <v>4000</v>
      </c>
      <c r="L3201" s="5">
        <f t="shared" si="26"/>
        <v>2000</v>
      </c>
      <c r="M3201" s="5">
        <f t="shared" si="27"/>
        <v>700</v>
      </c>
      <c r="N3201" s="6">
        <v>0.35</v>
      </c>
    </row>
    <row r="3202" spans="1:14" ht="15.75" customHeight="1" x14ac:dyDescent="0.45">
      <c r="A3202" s="1" t="s">
        <v>119</v>
      </c>
      <c r="B3202" s="1">
        <v>1185732</v>
      </c>
      <c r="C3202" s="2">
        <v>44727</v>
      </c>
      <c r="D3202" s="1" t="s">
        <v>11</v>
      </c>
      <c r="E3202" s="1" t="s">
        <v>103</v>
      </c>
      <c r="F3202" s="1" t="s">
        <v>104</v>
      </c>
      <c r="G3202" s="1" t="s">
        <v>15</v>
      </c>
      <c r="H3202" s="1">
        <v>33</v>
      </c>
      <c r="I3202" s="1" t="s">
        <v>126</v>
      </c>
      <c r="J3202" s="3">
        <v>0.45</v>
      </c>
      <c r="K3202" s="4">
        <v>3250</v>
      </c>
      <c r="L3202" s="5">
        <f t="shared" si="26"/>
        <v>1462.5</v>
      </c>
      <c r="M3202" s="5">
        <f t="shared" si="27"/>
        <v>585</v>
      </c>
      <c r="N3202" s="6">
        <v>0.4</v>
      </c>
    </row>
    <row r="3203" spans="1:14" ht="15.75" customHeight="1" x14ac:dyDescent="0.45">
      <c r="A3203" s="1" t="s">
        <v>119</v>
      </c>
      <c r="B3203" s="1">
        <v>1185732</v>
      </c>
      <c r="C3203" s="2">
        <v>44727</v>
      </c>
      <c r="D3203" s="1" t="s">
        <v>11</v>
      </c>
      <c r="E3203" s="1" t="s">
        <v>103</v>
      </c>
      <c r="F3203" s="1" t="s">
        <v>104</v>
      </c>
      <c r="G3203" s="1" t="s">
        <v>16</v>
      </c>
      <c r="H3203" s="1">
        <v>29</v>
      </c>
      <c r="I3203" s="1" t="s">
        <v>126</v>
      </c>
      <c r="J3203" s="3">
        <v>0.45</v>
      </c>
      <c r="K3203" s="4">
        <v>3000</v>
      </c>
      <c r="L3203" s="5">
        <f t="shared" si="26"/>
        <v>1350</v>
      </c>
      <c r="M3203" s="5">
        <f t="shared" si="27"/>
        <v>540</v>
      </c>
      <c r="N3203" s="6">
        <v>0.4</v>
      </c>
    </row>
    <row r="3204" spans="1:14" ht="15.75" customHeight="1" x14ac:dyDescent="0.45">
      <c r="A3204" s="1" t="s">
        <v>119</v>
      </c>
      <c r="B3204" s="1">
        <v>1185732</v>
      </c>
      <c r="C3204" s="2">
        <v>44727</v>
      </c>
      <c r="D3204" s="1" t="s">
        <v>11</v>
      </c>
      <c r="E3204" s="1" t="s">
        <v>103</v>
      </c>
      <c r="F3204" s="1" t="s">
        <v>104</v>
      </c>
      <c r="G3204" s="1" t="s">
        <v>17</v>
      </c>
      <c r="H3204" s="1">
        <v>44</v>
      </c>
      <c r="I3204" s="1" t="s">
        <v>124</v>
      </c>
      <c r="J3204" s="3">
        <v>0.54999999999999993</v>
      </c>
      <c r="K3204" s="4">
        <v>3000</v>
      </c>
      <c r="L3204" s="5">
        <f t="shared" si="26"/>
        <v>1649.9999999999998</v>
      </c>
      <c r="M3204" s="5">
        <f t="shared" si="27"/>
        <v>494.99999999999989</v>
      </c>
      <c r="N3204" s="6">
        <v>0.3</v>
      </c>
    </row>
    <row r="3205" spans="1:14" ht="15.75" customHeight="1" x14ac:dyDescent="0.45">
      <c r="A3205" s="1" t="s">
        <v>119</v>
      </c>
      <c r="B3205" s="1">
        <v>1185732</v>
      </c>
      <c r="C3205" s="2">
        <v>44727</v>
      </c>
      <c r="D3205" s="1" t="s">
        <v>11</v>
      </c>
      <c r="E3205" s="1" t="s">
        <v>103</v>
      </c>
      <c r="F3205" s="1" t="s">
        <v>104</v>
      </c>
      <c r="G3205" s="1" t="s">
        <v>18</v>
      </c>
      <c r="H3205" s="1">
        <v>19</v>
      </c>
      <c r="I3205" s="1" t="s">
        <v>126</v>
      </c>
      <c r="J3205" s="3">
        <v>0.6</v>
      </c>
      <c r="K3205" s="4">
        <v>4500</v>
      </c>
      <c r="L3205" s="5">
        <f t="shared" si="26"/>
        <v>2700</v>
      </c>
      <c r="M3205" s="5">
        <f t="shared" si="27"/>
        <v>1080</v>
      </c>
      <c r="N3205" s="6">
        <v>0.4</v>
      </c>
    </row>
    <row r="3206" spans="1:14" ht="15.75" customHeight="1" x14ac:dyDescent="0.45">
      <c r="A3206" s="1" t="s">
        <v>119</v>
      </c>
      <c r="B3206" s="1">
        <v>1185732</v>
      </c>
      <c r="C3206" s="2">
        <v>44755</v>
      </c>
      <c r="D3206" s="1" t="s">
        <v>11</v>
      </c>
      <c r="E3206" s="1" t="s">
        <v>103</v>
      </c>
      <c r="F3206" s="1" t="s">
        <v>104</v>
      </c>
      <c r="G3206" s="1" t="s">
        <v>13</v>
      </c>
      <c r="H3206" s="1">
        <v>33</v>
      </c>
      <c r="I3206" s="1" t="s">
        <v>125</v>
      </c>
      <c r="J3206" s="3">
        <v>0.54999999999999993</v>
      </c>
      <c r="K3206" s="4">
        <v>6750</v>
      </c>
      <c r="L3206" s="5">
        <f t="shared" si="26"/>
        <v>3712.4999999999995</v>
      </c>
      <c r="M3206" s="5">
        <f t="shared" si="27"/>
        <v>1299.3749999999998</v>
      </c>
      <c r="N3206" s="6">
        <v>0.35</v>
      </c>
    </row>
    <row r="3207" spans="1:14" ht="15.75" customHeight="1" x14ac:dyDescent="0.45">
      <c r="A3207" s="1" t="s">
        <v>119</v>
      </c>
      <c r="B3207" s="1">
        <v>1185732</v>
      </c>
      <c r="C3207" s="2">
        <v>44755</v>
      </c>
      <c r="D3207" s="1" t="s">
        <v>11</v>
      </c>
      <c r="E3207" s="1" t="s">
        <v>103</v>
      </c>
      <c r="F3207" s="1" t="s">
        <v>104</v>
      </c>
      <c r="G3207" s="1" t="s">
        <v>14</v>
      </c>
      <c r="H3207" s="1">
        <v>56</v>
      </c>
      <c r="I3207" s="1" t="s">
        <v>125</v>
      </c>
      <c r="J3207" s="3">
        <v>0.5</v>
      </c>
      <c r="K3207" s="4">
        <v>4250</v>
      </c>
      <c r="L3207" s="5">
        <f t="shared" si="26"/>
        <v>2125</v>
      </c>
      <c r="M3207" s="5">
        <f t="shared" si="27"/>
        <v>743.75</v>
      </c>
      <c r="N3207" s="6">
        <v>0.35</v>
      </c>
    </row>
    <row r="3208" spans="1:14" ht="15.75" customHeight="1" x14ac:dyDescent="0.45">
      <c r="A3208" s="1" t="s">
        <v>119</v>
      </c>
      <c r="B3208" s="1">
        <v>1185732</v>
      </c>
      <c r="C3208" s="2">
        <v>44755</v>
      </c>
      <c r="D3208" s="1" t="s">
        <v>11</v>
      </c>
      <c r="E3208" s="1" t="s">
        <v>103</v>
      </c>
      <c r="F3208" s="1" t="s">
        <v>104</v>
      </c>
      <c r="G3208" s="1" t="s">
        <v>15</v>
      </c>
      <c r="H3208" s="1">
        <v>51</v>
      </c>
      <c r="I3208" s="1" t="s">
        <v>125</v>
      </c>
      <c r="J3208" s="3">
        <v>0.45</v>
      </c>
      <c r="K3208" s="4">
        <v>3500</v>
      </c>
      <c r="L3208" s="5">
        <f t="shared" si="26"/>
        <v>1575</v>
      </c>
      <c r="M3208" s="5">
        <f t="shared" si="27"/>
        <v>630</v>
      </c>
      <c r="N3208" s="6">
        <v>0.4</v>
      </c>
    </row>
    <row r="3209" spans="1:14" ht="15.75" customHeight="1" x14ac:dyDescent="0.45">
      <c r="A3209" s="1" t="s">
        <v>119</v>
      </c>
      <c r="B3209" s="1">
        <v>1185732</v>
      </c>
      <c r="C3209" s="2">
        <v>44755</v>
      </c>
      <c r="D3209" s="1" t="s">
        <v>11</v>
      </c>
      <c r="E3209" s="1" t="s">
        <v>103</v>
      </c>
      <c r="F3209" s="1" t="s">
        <v>104</v>
      </c>
      <c r="G3209" s="1" t="s">
        <v>16</v>
      </c>
      <c r="H3209" s="1">
        <v>50</v>
      </c>
      <c r="I3209" s="1" t="s">
        <v>125</v>
      </c>
      <c r="J3209" s="3">
        <v>0.45</v>
      </c>
      <c r="K3209" s="4">
        <v>3000</v>
      </c>
      <c r="L3209" s="5">
        <f t="shared" si="26"/>
        <v>1350</v>
      </c>
      <c r="M3209" s="5">
        <f t="shared" si="27"/>
        <v>540</v>
      </c>
      <c r="N3209" s="6">
        <v>0.4</v>
      </c>
    </row>
    <row r="3210" spans="1:14" ht="15.75" customHeight="1" x14ac:dyDescent="0.45">
      <c r="A3210" s="1" t="s">
        <v>119</v>
      </c>
      <c r="B3210" s="1">
        <v>1185732</v>
      </c>
      <c r="C3210" s="2">
        <v>44755</v>
      </c>
      <c r="D3210" s="1" t="s">
        <v>11</v>
      </c>
      <c r="E3210" s="1" t="s">
        <v>103</v>
      </c>
      <c r="F3210" s="1" t="s">
        <v>104</v>
      </c>
      <c r="G3210" s="1" t="s">
        <v>17</v>
      </c>
      <c r="H3210" s="1">
        <v>24</v>
      </c>
      <c r="I3210" s="1" t="s">
        <v>126</v>
      </c>
      <c r="J3210" s="3">
        <v>0.54999999999999993</v>
      </c>
      <c r="K3210" s="4">
        <v>3250</v>
      </c>
      <c r="L3210" s="5">
        <f t="shared" si="26"/>
        <v>1787.4999999999998</v>
      </c>
      <c r="M3210" s="5">
        <f t="shared" si="27"/>
        <v>536.24999999999989</v>
      </c>
      <c r="N3210" s="6">
        <v>0.3</v>
      </c>
    </row>
    <row r="3211" spans="1:14" ht="15.75" customHeight="1" x14ac:dyDescent="0.45">
      <c r="A3211" s="1" t="s">
        <v>119</v>
      </c>
      <c r="B3211" s="1">
        <v>1185732</v>
      </c>
      <c r="C3211" s="2">
        <v>44755</v>
      </c>
      <c r="D3211" s="1" t="s">
        <v>11</v>
      </c>
      <c r="E3211" s="1" t="s">
        <v>103</v>
      </c>
      <c r="F3211" s="1" t="s">
        <v>104</v>
      </c>
      <c r="G3211" s="1" t="s">
        <v>18</v>
      </c>
      <c r="H3211" s="1">
        <v>25</v>
      </c>
      <c r="I3211" s="1" t="s">
        <v>123</v>
      </c>
      <c r="J3211" s="3">
        <v>0.6</v>
      </c>
      <c r="K3211" s="4">
        <v>5000</v>
      </c>
      <c r="L3211" s="5">
        <f t="shared" si="26"/>
        <v>3000</v>
      </c>
      <c r="M3211" s="5">
        <f t="shared" si="27"/>
        <v>1200</v>
      </c>
      <c r="N3211" s="6">
        <v>0.4</v>
      </c>
    </row>
    <row r="3212" spans="1:14" ht="15.75" customHeight="1" x14ac:dyDescent="0.45">
      <c r="A3212" s="1" t="s">
        <v>119</v>
      </c>
      <c r="B3212" s="1">
        <v>1185732</v>
      </c>
      <c r="C3212" s="2">
        <v>44787</v>
      </c>
      <c r="D3212" s="1" t="s">
        <v>11</v>
      </c>
      <c r="E3212" s="1" t="s">
        <v>103</v>
      </c>
      <c r="F3212" s="1" t="s">
        <v>104</v>
      </c>
      <c r="G3212" s="1" t="s">
        <v>13</v>
      </c>
      <c r="H3212" s="1">
        <v>55</v>
      </c>
      <c r="I3212" s="1" t="s">
        <v>126</v>
      </c>
      <c r="J3212" s="3">
        <v>0.54999999999999993</v>
      </c>
      <c r="K3212" s="4">
        <v>6500</v>
      </c>
      <c r="L3212" s="5">
        <f t="shared" si="26"/>
        <v>3574.9999999999995</v>
      </c>
      <c r="M3212" s="5">
        <f t="shared" si="27"/>
        <v>1251.2499999999998</v>
      </c>
      <c r="N3212" s="6">
        <v>0.35</v>
      </c>
    </row>
    <row r="3213" spans="1:14" ht="15.75" customHeight="1" x14ac:dyDescent="0.45">
      <c r="A3213" s="1" t="s">
        <v>119</v>
      </c>
      <c r="B3213" s="1">
        <v>1185732</v>
      </c>
      <c r="C3213" s="2">
        <v>44787</v>
      </c>
      <c r="D3213" s="1" t="s">
        <v>11</v>
      </c>
      <c r="E3213" s="1" t="s">
        <v>103</v>
      </c>
      <c r="F3213" s="1" t="s">
        <v>104</v>
      </c>
      <c r="G3213" s="1" t="s">
        <v>14</v>
      </c>
      <c r="H3213" s="1">
        <v>19</v>
      </c>
      <c r="I3213" s="1" t="s">
        <v>123</v>
      </c>
      <c r="J3213" s="3">
        <v>0.5</v>
      </c>
      <c r="K3213" s="4">
        <v>4250</v>
      </c>
      <c r="L3213" s="5">
        <f t="shared" si="26"/>
        <v>2125</v>
      </c>
      <c r="M3213" s="5">
        <f t="shared" si="27"/>
        <v>743.75</v>
      </c>
      <c r="N3213" s="6">
        <v>0.35</v>
      </c>
    </row>
    <row r="3214" spans="1:14" ht="15.75" customHeight="1" x14ac:dyDescent="0.45">
      <c r="A3214" s="1" t="s">
        <v>119</v>
      </c>
      <c r="B3214" s="1">
        <v>1185732</v>
      </c>
      <c r="C3214" s="2">
        <v>44787</v>
      </c>
      <c r="D3214" s="1" t="s">
        <v>11</v>
      </c>
      <c r="E3214" s="1" t="s">
        <v>103</v>
      </c>
      <c r="F3214" s="1" t="s">
        <v>104</v>
      </c>
      <c r="G3214" s="1" t="s">
        <v>15</v>
      </c>
      <c r="H3214" s="1">
        <v>58</v>
      </c>
      <c r="I3214" s="1" t="s">
        <v>125</v>
      </c>
      <c r="J3214" s="3">
        <v>0.45</v>
      </c>
      <c r="K3214" s="4">
        <v>3500</v>
      </c>
      <c r="L3214" s="5">
        <f t="shared" si="26"/>
        <v>1575</v>
      </c>
      <c r="M3214" s="5">
        <f t="shared" si="27"/>
        <v>630</v>
      </c>
      <c r="N3214" s="6">
        <v>0.4</v>
      </c>
    </row>
    <row r="3215" spans="1:14" ht="15.75" customHeight="1" x14ac:dyDescent="0.45">
      <c r="A3215" s="1" t="s">
        <v>119</v>
      </c>
      <c r="B3215" s="1">
        <v>1185732</v>
      </c>
      <c r="C3215" s="2">
        <v>44787</v>
      </c>
      <c r="D3215" s="1" t="s">
        <v>11</v>
      </c>
      <c r="E3215" s="1" t="s">
        <v>103</v>
      </c>
      <c r="F3215" s="1" t="s">
        <v>104</v>
      </c>
      <c r="G3215" s="1" t="s">
        <v>16</v>
      </c>
      <c r="H3215" s="1">
        <v>18</v>
      </c>
      <c r="I3215" s="1" t="s">
        <v>125</v>
      </c>
      <c r="J3215" s="3">
        <v>0.45</v>
      </c>
      <c r="K3215" s="4">
        <v>2500</v>
      </c>
      <c r="L3215" s="5">
        <f t="shared" si="26"/>
        <v>1125</v>
      </c>
      <c r="M3215" s="5">
        <f t="shared" si="27"/>
        <v>450</v>
      </c>
      <c r="N3215" s="6">
        <v>0.4</v>
      </c>
    </row>
    <row r="3216" spans="1:14" ht="15.75" customHeight="1" x14ac:dyDescent="0.45">
      <c r="A3216" s="1" t="s">
        <v>119</v>
      </c>
      <c r="B3216" s="1">
        <v>1185732</v>
      </c>
      <c r="C3216" s="2">
        <v>44787</v>
      </c>
      <c r="D3216" s="1" t="s">
        <v>11</v>
      </c>
      <c r="E3216" s="1" t="s">
        <v>103</v>
      </c>
      <c r="F3216" s="1" t="s">
        <v>104</v>
      </c>
      <c r="G3216" s="1" t="s">
        <v>17</v>
      </c>
      <c r="H3216" s="1">
        <v>21</v>
      </c>
      <c r="I3216" s="1" t="s">
        <v>123</v>
      </c>
      <c r="J3216" s="3">
        <v>0.54999999999999993</v>
      </c>
      <c r="K3216" s="4">
        <v>2250</v>
      </c>
      <c r="L3216" s="5">
        <f t="shared" si="26"/>
        <v>1237.4999999999998</v>
      </c>
      <c r="M3216" s="5">
        <f t="shared" si="27"/>
        <v>371.24999999999994</v>
      </c>
      <c r="N3216" s="6">
        <v>0.3</v>
      </c>
    </row>
    <row r="3217" spans="1:14" ht="15.75" customHeight="1" x14ac:dyDescent="0.45">
      <c r="A3217" s="1" t="s">
        <v>119</v>
      </c>
      <c r="B3217" s="1">
        <v>1185732</v>
      </c>
      <c r="C3217" s="2">
        <v>44787</v>
      </c>
      <c r="D3217" s="1" t="s">
        <v>11</v>
      </c>
      <c r="E3217" s="1" t="s">
        <v>103</v>
      </c>
      <c r="F3217" s="1" t="s">
        <v>104</v>
      </c>
      <c r="G3217" s="1" t="s">
        <v>18</v>
      </c>
      <c r="H3217" s="1">
        <v>30</v>
      </c>
      <c r="I3217" s="1" t="s">
        <v>125</v>
      </c>
      <c r="J3217" s="3">
        <v>0.6</v>
      </c>
      <c r="K3217" s="4">
        <v>4000</v>
      </c>
      <c r="L3217" s="5">
        <f t="shared" si="26"/>
        <v>2400</v>
      </c>
      <c r="M3217" s="5">
        <f t="shared" si="27"/>
        <v>960</v>
      </c>
      <c r="N3217" s="6">
        <v>0.4</v>
      </c>
    </row>
    <row r="3218" spans="1:14" ht="15.75" customHeight="1" x14ac:dyDescent="0.45">
      <c r="A3218" s="1" t="s">
        <v>119</v>
      </c>
      <c r="B3218" s="1">
        <v>1185732</v>
      </c>
      <c r="C3218" s="2">
        <v>44817</v>
      </c>
      <c r="D3218" s="1" t="s">
        <v>11</v>
      </c>
      <c r="E3218" s="1" t="s">
        <v>103</v>
      </c>
      <c r="F3218" s="1" t="s">
        <v>104</v>
      </c>
      <c r="G3218" s="1" t="s">
        <v>13</v>
      </c>
      <c r="H3218" s="1">
        <v>31</v>
      </c>
      <c r="I3218" s="1" t="s">
        <v>125</v>
      </c>
      <c r="J3218" s="3">
        <v>0.54999999999999993</v>
      </c>
      <c r="K3218" s="4">
        <v>5250</v>
      </c>
      <c r="L3218" s="5">
        <f t="shared" si="26"/>
        <v>2887.4999999999995</v>
      </c>
      <c r="M3218" s="5">
        <f t="shared" si="27"/>
        <v>1010.6249999999998</v>
      </c>
      <c r="N3218" s="6">
        <v>0.35</v>
      </c>
    </row>
    <row r="3219" spans="1:14" ht="15.75" customHeight="1" x14ac:dyDescent="0.45">
      <c r="A3219" s="1" t="s">
        <v>119</v>
      </c>
      <c r="B3219" s="1">
        <v>1185732</v>
      </c>
      <c r="C3219" s="2">
        <v>44817</v>
      </c>
      <c r="D3219" s="1" t="s">
        <v>11</v>
      </c>
      <c r="E3219" s="1" t="s">
        <v>103</v>
      </c>
      <c r="F3219" s="1" t="s">
        <v>104</v>
      </c>
      <c r="G3219" s="1" t="s">
        <v>14</v>
      </c>
      <c r="H3219" s="1">
        <v>16</v>
      </c>
      <c r="I3219" s="1" t="s">
        <v>126</v>
      </c>
      <c r="J3219" s="3">
        <v>0.5</v>
      </c>
      <c r="K3219" s="4">
        <v>3250</v>
      </c>
      <c r="L3219" s="5">
        <f t="shared" si="26"/>
        <v>1625</v>
      </c>
      <c r="M3219" s="5">
        <f t="shared" si="27"/>
        <v>568.75</v>
      </c>
      <c r="N3219" s="6">
        <v>0.35</v>
      </c>
    </row>
    <row r="3220" spans="1:14" ht="15.75" customHeight="1" x14ac:dyDescent="0.45">
      <c r="A3220" s="1" t="s">
        <v>119</v>
      </c>
      <c r="B3220" s="1">
        <v>1185732</v>
      </c>
      <c r="C3220" s="2">
        <v>44817</v>
      </c>
      <c r="D3220" s="1" t="s">
        <v>11</v>
      </c>
      <c r="E3220" s="1" t="s">
        <v>103</v>
      </c>
      <c r="F3220" s="1" t="s">
        <v>104</v>
      </c>
      <c r="G3220" s="1" t="s">
        <v>15</v>
      </c>
      <c r="H3220" s="1">
        <v>52</v>
      </c>
      <c r="I3220" s="1" t="s">
        <v>126</v>
      </c>
      <c r="J3220" s="3">
        <v>0.45</v>
      </c>
      <c r="K3220" s="4">
        <v>2250</v>
      </c>
      <c r="L3220" s="5">
        <f t="shared" si="26"/>
        <v>1012.5</v>
      </c>
      <c r="M3220" s="5">
        <f t="shared" si="27"/>
        <v>405</v>
      </c>
      <c r="N3220" s="6">
        <v>0.4</v>
      </c>
    </row>
    <row r="3221" spans="1:14" ht="15.75" customHeight="1" x14ac:dyDescent="0.45">
      <c r="A3221" s="1" t="s">
        <v>119</v>
      </c>
      <c r="B3221" s="1">
        <v>1185732</v>
      </c>
      <c r="C3221" s="2">
        <v>44817</v>
      </c>
      <c r="D3221" s="1" t="s">
        <v>11</v>
      </c>
      <c r="E3221" s="1" t="s">
        <v>103</v>
      </c>
      <c r="F3221" s="1" t="s">
        <v>104</v>
      </c>
      <c r="G3221" s="1" t="s">
        <v>16</v>
      </c>
      <c r="H3221" s="1">
        <v>24</v>
      </c>
      <c r="I3221" s="1" t="s">
        <v>123</v>
      </c>
      <c r="J3221" s="3">
        <v>0.45</v>
      </c>
      <c r="K3221" s="4">
        <v>2000</v>
      </c>
      <c r="L3221" s="5">
        <f t="shared" si="26"/>
        <v>900</v>
      </c>
      <c r="M3221" s="5">
        <f t="shared" si="27"/>
        <v>360</v>
      </c>
      <c r="N3221" s="6">
        <v>0.4</v>
      </c>
    </row>
    <row r="3222" spans="1:14" ht="15.75" customHeight="1" x14ac:dyDescent="0.45">
      <c r="A3222" s="1" t="s">
        <v>119</v>
      </c>
      <c r="B3222" s="1">
        <v>1185732</v>
      </c>
      <c r="C3222" s="2">
        <v>44817</v>
      </c>
      <c r="D3222" s="1" t="s">
        <v>11</v>
      </c>
      <c r="E3222" s="1" t="s">
        <v>103</v>
      </c>
      <c r="F3222" s="1" t="s">
        <v>104</v>
      </c>
      <c r="G3222" s="1" t="s">
        <v>17</v>
      </c>
      <c r="H3222" s="1">
        <v>17</v>
      </c>
      <c r="I3222" s="1" t="s">
        <v>123</v>
      </c>
      <c r="J3222" s="3">
        <v>0.54999999999999993</v>
      </c>
      <c r="K3222" s="4">
        <v>2000</v>
      </c>
      <c r="L3222" s="5">
        <f t="shared" si="26"/>
        <v>1099.9999999999998</v>
      </c>
      <c r="M3222" s="5">
        <f t="shared" si="27"/>
        <v>329.99999999999994</v>
      </c>
      <c r="N3222" s="6">
        <v>0.3</v>
      </c>
    </row>
    <row r="3223" spans="1:14" ht="15.75" customHeight="1" x14ac:dyDescent="0.45">
      <c r="A3223" s="1" t="s">
        <v>119</v>
      </c>
      <c r="B3223" s="1">
        <v>1185732</v>
      </c>
      <c r="C3223" s="2">
        <v>44817</v>
      </c>
      <c r="D3223" s="1" t="s">
        <v>11</v>
      </c>
      <c r="E3223" s="1" t="s">
        <v>103</v>
      </c>
      <c r="F3223" s="1" t="s">
        <v>104</v>
      </c>
      <c r="G3223" s="1" t="s">
        <v>18</v>
      </c>
      <c r="H3223" s="1">
        <v>41</v>
      </c>
      <c r="I3223" s="1" t="s">
        <v>123</v>
      </c>
      <c r="J3223" s="3">
        <v>0.6</v>
      </c>
      <c r="K3223" s="4">
        <v>3000</v>
      </c>
      <c r="L3223" s="5">
        <f t="shared" si="26"/>
        <v>1800</v>
      </c>
      <c r="M3223" s="5">
        <f t="shared" si="27"/>
        <v>720</v>
      </c>
      <c r="N3223" s="6">
        <v>0.4</v>
      </c>
    </row>
    <row r="3224" spans="1:14" ht="15.75" customHeight="1" x14ac:dyDescent="0.45">
      <c r="A3224" s="1" t="s">
        <v>119</v>
      </c>
      <c r="B3224" s="1">
        <v>1185732</v>
      </c>
      <c r="C3224" s="2">
        <v>44849</v>
      </c>
      <c r="D3224" s="1" t="s">
        <v>11</v>
      </c>
      <c r="E3224" s="1" t="s">
        <v>103</v>
      </c>
      <c r="F3224" s="1" t="s">
        <v>104</v>
      </c>
      <c r="G3224" s="1" t="s">
        <v>13</v>
      </c>
      <c r="H3224" s="1">
        <v>39</v>
      </c>
      <c r="I3224" s="1" t="s">
        <v>123</v>
      </c>
      <c r="J3224" s="3">
        <v>0.6</v>
      </c>
      <c r="K3224" s="4">
        <v>4750</v>
      </c>
      <c r="L3224" s="5">
        <f t="shared" si="26"/>
        <v>2850</v>
      </c>
      <c r="M3224" s="5">
        <f t="shared" si="27"/>
        <v>997.49999999999989</v>
      </c>
      <c r="N3224" s="6">
        <v>0.35</v>
      </c>
    </row>
    <row r="3225" spans="1:14" ht="15.75" customHeight="1" x14ac:dyDescent="0.45">
      <c r="A3225" s="1" t="s">
        <v>119</v>
      </c>
      <c r="B3225" s="1">
        <v>1185732</v>
      </c>
      <c r="C3225" s="2">
        <v>44849</v>
      </c>
      <c r="D3225" s="1" t="s">
        <v>11</v>
      </c>
      <c r="E3225" s="1" t="s">
        <v>103</v>
      </c>
      <c r="F3225" s="1" t="s">
        <v>104</v>
      </c>
      <c r="G3225" s="1" t="s">
        <v>14</v>
      </c>
      <c r="H3225" s="1">
        <v>18</v>
      </c>
      <c r="I3225" s="1" t="s">
        <v>124</v>
      </c>
      <c r="J3225" s="3">
        <v>0.55000000000000004</v>
      </c>
      <c r="K3225" s="4">
        <v>3000</v>
      </c>
      <c r="L3225" s="5">
        <f t="shared" si="26"/>
        <v>1650.0000000000002</v>
      </c>
      <c r="M3225" s="5">
        <f t="shared" si="27"/>
        <v>577.5</v>
      </c>
      <c r="N3225" s="6">
        <v>0.35</v>
      </c>
    </row>
    <row r="3226" spans="1:14" ht="15.75" customHeight="1" x14ac:dyDescent="0.45">
      <c r="A3226" s="1" t="s">
        <v>119</v>
      </c>
      <c r="B3226" s="1">
        <v>1185732</v>
      </c>
      <c r="C3226" s="2">
        <v>44849</v>
      </c>
      <c r="D3226" s="1" t="s">
        <v>11</v>
      </c>
      <c r="E3226" s="1" t="s">
        <v>103</v>
      </c>
      <c r="F3226" s="1" t="s">
        <v>104</v>
      </c>
      <c r="G3226" s="1" t="s">
        <v>15</v>
      </c>
      <c r="H3226" s="1">
        <v>46</v>
      </c>
      <c r="I3226" s="1" t="s">
        <v>126</v>
      </c>
      <c r="J3226" s="3">
        <v>0.55000000000000004</v>
      </c>
      <c r="K3226" s="4">
        <v>2000</v>
      </c>
      <c r="L3226" s="5">
        <f t="shared" si="26"/>
        <v>1100</v>
      </c>
      <c r="M3226" s="5">
        <f t="shared" si="27"/>
        <v>440</v>
      </c>
      <c r="N3226" s="6">
        <v>0.4</v>
      </c>
    </row>
    <row r="3227" spans="1:14" ht="15.75" customHeight="1" x14ac:dyDescent="0.45">
      <c r="A3227" s="1" t="s">
        <v>119</v>
      </c>
      <c r="B3227" s="1">
        <v>1185732</v>
      </c>
      <c r="C3227" s="2">
        <v>44849</v>
      </c>
      <c r="D3227" s="1" t="s">
        <v>11</v>
      </c>
      <c r="E3227" s="1" t="s">
        <v>103</v>
      </c>
      <c r="F3227" s="1" t="s">
        <v>104</v>
      </c>
      <c r="G3227" s="1" t="s">
        <v>16</v>
      </c>
      <c r="H3227" s="1">
        <v>24</v>
      </c>
      <c r="I3227" s="1" t="s">
        <v>126</v>
      </c>
      <c r="J3227" s="3">
        <v>0.55000000000000004</v>
      </c>
      <c r="K3227" s="4">
        <v>1750</v>
      </c>
      <c r="L3227" s="5">
        <f t="shared" si="26"/>
        <v>962.50000000000011</v>
      </c>
      <c r="M3227" s="5">
        <f t="shared" si="27"/>
        <v>385.00000000000006</v>
      </c>
      <c r="N3227" s="6">
        <v>0.4</v>
      </c>
    </row>
    <row r="3228" spans="1:14" ht="15.75" customHeight="1" x14ac:dyDescent="0.45">
      <c r="A3228" s="1" t="s">
        <v>119</v>
      </c>
      <c r="B3228" s="1">
        <v>1185732</v>
      </c>
      <c r="C3228" s="2">
        <v>44849</v>
      </c>
      <c r="D3228" s="1" t="s">
        <v>11</v>
      </c>
      <c r="E3228" s="1" t="s">
        <v>103</v>
      </c>
      <c r="F3228" s="1" t="s">
        <v>104</v>
      </c>
      <c r="G3228" s="1" t="s">
        <v>17</v>
      </c>
      <c r="H3228" s="1">
        <v>26</v>
      </c>
      <c r="I3228" s="1" t="s">
        <v>123</v>
      </c>
      <c r="J3228" s="3">
        <v>0.65</v>
      </c>
      <c r="K3228" s="4">
        <v>1750</v>
      </c>
      <c r="L3228" s="5">
        <f t="shared" si="26"/>
        <v>1137.5</v>
      </c>
      <c r="M3228" s="5">
        <f t="shared" si="27"/>
        <v>341.25</v>
      </c>
      <c r="N3228" s="6">
        <v>0.3</v>
      </c>
    </row>
    <row r="3229" spans="1:14" ht="15.75" customHeight="1" x14ac:dyDescent="0.45">
      <c r="A3229" s="1" t="s">
        <v>119</v>
      </c>
      <c r="B3229" s="1">
        <v>1185732</v>
      </c>
      <c r="C3229" s="2">
        <v>44849</v>
      </c>
      <c r="D3229" s="1" t="s">
        <v>11</v>
      </c>
      <c r="E3229" s="1" t="s">
        <v>103</v>
      </c>
      <c r="F3229" s="1" t="s">
        <v>104</v>
      </c>
      <c r="G3229" s="1" t="s">
        <v>18</v>
      </c>
      <c r="H3229" s="1">
        <v>31</v>
      </c>
      <c r="I3229" s="1" t="s">
        <v>126</v>
      </c>
      <c r="J3229" s="3">
        <v>0.7</v>
      </c>
      <c r="K3229" s="4">
        <v>3000</v>
      </c>
      <c r="L3229" s="5">
        <f t="shared" si="26"/>
        <v>2100</v>
      </c>
      <c r="M3229" s="5">
        <f t="shared" si="27"/>
        <v>840</v>
      </c>
      <c r="N3229" s="6">
        <v>0.4</v>
      </c>
    </row>
    <row r="3230" spans="1:14" ht="15.75" customHeight="1" x14ac:dyDescent="0.45">
      <c r="A3230" s="1" t="s">
        <v>119</v>
      </c>
      <c r="B3230" s="1">
        <v>1185732</v>
      </c>
      <c r="C3230" s="2">
        <v>44879</v>
      </c>
      <c r="D3230" s="1" t="s">
        <v>11</v>
      </c>
      <c r="E3230" s="1" t="s">
        <v>103</v>
      </c>
      <c r="F3230" s="1" t="s">
        <v>104</v>
      </c>
      <c r="G3230" s="1" t="s">
        <v>13</v>
      </c>
      <c r="H3230" s="1">
        <v>39</v>
      </c>
      <c r="I3230" s="1" t="s">
        <v>123</v>
      </c>
      <c r="J3230" s="3">
        <v>0.65</v>
      </c>
      <c r="K3230" s="4">
        <v>4500</v>
      </c>
      <c r="L3230" s="5">
        <f t="shared" si="26"/>
        <v>2925</v>
      </c>
      <c r="M3230" s="5">
        <f t="shared" si="27"/>
        <v>1023.7499999999999</v>
      </c>
      <c r="N3230" s="6">
        <v>0.35</v>
      </c>
    </row>
    <row r="3231" spans="1:14" ht="15.75" customHeight="1" x14ac:dyDescent="0.45">
      <c r="A3231" s="1" t="s">
        <v>119</v>
      </c>
      <c r="B3231" s="1">
        <v>1185732</v>
      </c>
      <c r="C3231" s="2">
        <v>44879</v>
      </c>
      <c r="D3231" s="1" t="s">
        <v>11</v>
      </c>
      <c r="E3231" s="1" t="s">
        <v>103</v>
      </c>
      <c r="F3231" s="1" t="s">
        <v>104</v>
      </c>
      <c r="G3231" s="1" t="s">
        <v>14</v>
      </c>
      <c r="H3231" s="1">
        <v>18</v>
      </c>
      <c r="I3231" s="1" t="s">
        <v>125</v>
      </c>
      <c r="J3231" s="3">
        <v>0.55000000000000004</v>
      </c>
      <c r="K3231" s="4">
        <v>3250</v>
      </c>
      <c r="L3231" s="5">
        <f t="shared" si="26"/>
        <v>1787.5000000000002</v>
      </c>
      <c r="M3231" s="5">
        <f t="shared" si="27"/>
        <v>625.625</v>
      </c>
      <c r="N3231" s="6">
        <v>0.35</v>
      </c>
    </row>
    <row r="3232" spans="1:14" ht="15.75" customHeight="1" x14ac:dyDescent="0.45">
      <c r="A3232" s="1" t="s">
        <v>119</v>
      </c>
      <c r="B3232" s="1">
        <v>1185732</v>
      </c>
      <c r="C3232" s="2">
        <v>44879</v>
      </c>
      <c r="D3232" s="1" t="s">
        <v>11</v>
      </c>
      <c r="E3232" s="1" t="s">
        <v>103</v>
      </c>
      <c r="F3232" s="1" t="s">
        <v>104</v>
      </c>
      <c r="G3232" s="1" t="s">
        <v>15</v>
      </c>
      <c r="H3232" s="1">
        <v>20</v>
      </c>
      <c r="I3232" s="1" t="s">
        <v>125</v>
      </c>
      <c r="J3232" s="3">
        <v>0.55000000000000004</v>
      </c>
      <c r="K3232" s="4">
        <v>3200</v>
      </c>
      <c r="L3232" s="5">
        <f t="shared" si="26"/>
        <v>1760.0000000000002</v>
      </c>
      <c r="M3232" s="5">
        <f t="shared" si="27"/>
        <v>704.00000000000011</v>
      </c>
      <c r="N3232" s="6">
        <v>0.4</v>
      </c>
    </row>
    <row r="3233" spans="1:14" ht="15.75" customHeight="1" x14ac:dyDescent="0.45">
      <c r="A3233" s="1" t="s">
        <v>119</v>
      </c>
      <c r="B3233" s="1">
        <v>1185732</v>
      </c>
      <c r="C3233" s="2">
        <v>44879</v>
      </c>
      <c r="D3233" s="1" t="s">
        <v>11</v>
      </c>
      <c r="E3233" s="1" t="s">
        <v>103</v>
      </c>
      <c r="F3233" s="1" t="s">
        <v>104</v>
      </c>
      <c r="G3233" s="1" t="s">
        <v>16</v>
      </c>
      <c r="H3233" s="1">
        <v>37</v>
      </c>
      <c r="I3233" s="1" t="s">
        <v>126</v>
      </c>
      <c r="J3233" s="3">
        <v>0.55000000000000004</v>
      </c>
      <c r="K3233" s="4">
        <v>3000</v>
      </c>
      <c r="L3233" s="5">
        <f t="shared" si="26"/>
        <v>1650.0000000000002</v>
      </c>
      <c r="M3233" s="5">
        <f t="shared" si="27"/>
        <v>660.00000000000011</v>
      </c>
      <c r="N3233" s="6">
        <v>0.4</v>
      </c>
    </row>
    <row r="3234" spans="1:14" ht="15.75" customHeight="1" x14ac:dyDescent="0.45">
      <c r="A3234" s="1" t="s">
        <v>119</v>
      </c>
      <c r="B3234" s="1">
        <v>1185732</v>
      </c>
      <c r="C3234" s="2">
        <v>44879</v>
      </c>
      <c r="D3234" s="1" t="s">
        <v>11</v>
      </c>
      <c r="E3234" s="1" t="s">
        <v>103</v>
      </c>
      <c r="F3234" s="1" t="s">
        <v>104</v>
      </c>
      <c r="G3234" s="1" t="s">
        <v>17</v>
      </c>
      <c r="H3234" s="1">
        <v>37</v>
      </c>
      <c r="I3234" s="1" t="s">
        <v>125</v>
      </c>
      <c r="J3234" s="3">
        <v>0.65</v>
      </c>
      <c r="K3234" s="4">
        <v>2750</v>
      </c>
      <c r="L3234" s="5">
        <f t="shared" si="26"/>
        <v>1787.5</v>
      </c>
      <c r="M3234" s="5">
        <f t="shared" si="27"/>
        <v>536.25</v>
      </c>
      <c r="N3234" s="6">
        <v>0.3</v>
      </c>
    </row>
    <row r="3235" spans="1:14" ht="15.75" customHeight="1" x14ac:dyDescent="0.45">
      <c r="A3235" s="1" t="s">
        <v>119</v>
      </c>
      <c r="B3235" s="1">
        <v>1185732</v>
      </c>
      <c r="C3235" s="2">
        <v>44879</v>
      </c>
      <c r="D3235" s="1" t="s">
        <v>11</v>
      </c>
      <c r="E3235" s="1" t="s">
        <v>103</v>
      </c>
      <c r="F3235" s="1" t="s">
        <v>104</v>
      </c>
      <c r="G3235" s="1" t="s">
        <v>18</v>
      </c>
      <c r="H3235" s="1">
        <v>40</v>
      </c>
      <c r="I3235" s="1" t="s">
        <v>126</v>
      </c>
      <c r="J3235" s="3">
        <v>0.7</v>
      </c>
      <c r="K3235" s="4">
        <v>3750</v>
      </c>
      <c r="L3235" s="5">
        <f t="shared" si="26"/>
        <v>2625</v>
      </c>
      <c r="M3235" s="5">
        <f t="shared" si="27"/>
        <v>1050</v>
      </c>
      <c r="N3235" s="6">
        <v>0.4</v>
      </c>
    </row>
    <row r="3236" spans="1:14" ht="15.75" customHeight="1" x14ac:dyDescent="0.45">
      <c r="A3236" s="1" t="s">
        <v>119</v>
      </c>
      <c r="B3236" s="1">
        <v>1185732</v>
      </c>
      <c r="C3236" s="2">
        <v>44908</v>
      </c>
      <c r="D3236" s="1" t="s">
        <v>11</v>
      </c>
      <c r="E3236" s="1" t="s">
        <v>103</v>
      </c>
      <c r="F3236" s="1" t="s">
        <v>104</v>
      </c>
      <c r="G3236" s="1" t="s">
        <v>13</v>
      </c>
      <c r="H3236" s="1">
        <v>25</v>
      </c>
      <c r="I3236" s="1" t="s">
        <v>124</v>
      </c>
      <c r="J3236" s="3">
        <v>0.65</v>
      </c>
      <c r="K3236" s="4">
        <v>6000</v>
      </c>
      <c r="L3236" s="5">
        <f t="shared" si="26"/>
        <v>3900</v>
      </c>
      <c r="M3236" s="5">
        <f t="shared" si="27"/>
        <v>1365</v>
      </c>
      <c r="N3236" s="6">
        <v>0.35</v>
      </c>
    </row>
    <row r="3237" spans="1:14" ht="15.75" customHeight="1" x14ac:dyDescent="0.45">
      <c r="A3237" s="1" t="s">
        <v>119</v>
      </c>
      <c r="B3237" s="1">
        <v>1185732</v>
      </c>
      <c r="C3237" s="2">
        <v>44908</v>
      </c>
      <c r="D3237" s="1" t="s">
        <v>11</v>
      </c>
      <c r="E3237" s="1" t="s">
        <v>103</v>
      </c>
      <c r="F3237" s="1" t="s">
        <v>104</v>
      </c>
      <c r="G3237" s="1" t="s">
        <v>14</v>
      </c>
      <c r="H3237" s="1">
        <v>29</v>
      </c>
      <c r="I3237" s="1" t="s">
        <v>126</v>
      </c>
      <c r="J3237" s="3">
        <v>0.55000000000000004</v>
      </c>
      <c r="K3237" s="4">
        <v>4000</v>
      </c>
      <c r="L3237" s="5">
        <f t="shared" si="26"/>
        <v>2200</v>
      </c>
      <c r="M3237" s="5">
        <f t="shared" si="27"/>
        <v>770</v>
      </c>
      <c r="N3237" s="6">
        <v>0.35</v>
      </c>
    </row>
    <row r="3238" spans="1:14" ht="15.75" customHeight="1" x14ac:dyDescent="0.45">
      <c r="A3238" s="1" t="s">
        <v>119</v>
      </c>
      <c r="B3238" s="1">
        <v>1185732</v>
      </c>
      <c r="C3238" s="2">
        <v>44908</v>
      </c>
      <c r="D3238" s="1" t="s">
        <v>11</v>
      </c>
      <c r="E3238" s="1" t="s">
        <v>103</v>
      </c>
      <c r="F3238" s="1" t="s">
        <v>104</v>
      </c>
      <c r="G3238" s="1" t="s">
        <v>15</v>
      </c>
      <c r="H3238" s="1">
        <v>56</v>
      </c>
      <c r="I3238" s="1" t="s">
        <v>126</v>
      </c>
      <c r="J3238" s="3">
        <v>0.55000000000000004</v>
      </c>
      <c r="K3238" s="4">
        <v>3750</v>
      </c>
      <c r="L3238" s="5">
        <f t="shared" si="26"/>
        <v>2062.5</v>
      </c>
      <c r="M3238" s="5">
        <f t="shared" si="27"/>
        <v>825</v>
      </c>
      <c r="N3238" s="6">
        <v>0.4</v>
      </c>
    </row>
    <row r="3239" spans="1:14" ht="15.75" customHeight="1" x14ac:dyDescent="0.45">
      <c r="A3239" s="1" t="s">
        <v>119</v>
      </c>
      <c r="B3239" s="1">
        <v>1185732</v>
      </c>
      <c r="C3239" s="2">
        <v>44908</v>
      </c>
      <c r="D3239" s="1" t="s">
        <v>11</v>
      </c>
      <c r="E3239" s="1" t="s">
        <v>103</v>
      </c>
      <c r="F3239" s="1" t="s">
        <v>104</v>
      </c>
      <c r="G3239" s="1" t="s">
        <v>16</v>
      </c>
      <c r="H3239" s="1">
        <v>31</v>
      </c>
      <c r="I3239" s="1" t="s">
        <v>126</v>
      </c>
      <c r="J3239" s="3">
        <v>0.55000000000000004</v>
      </c>
      <c r="K3239" s="4">
        <v>3250</v>
      </c>
      <c r="L3239" s="5">
        <f t="shared" si="26"/>
        <v>1787.5000000000002</v>
      </c>
      <c r="M3239" s="5">
        <f t="shared" si="27"/>
        <v>715.00000000000011</v>
      </c>
      <c r="N3239" s="6">
        <v>0.4</v>
      </c>
    </row>
    <row r="3240" spans="1:14" ht="15.75" customHeight="1" x14ac:dyDescent="0.45">
      <c r="A3240" s="1" t="s">
        <v>119</v>
      </c>
      <c r="B3240" s="1">
        <v>1185732</v>
      </c>
      <c r="C3240" s="2">
        <v>44908</v>
      </c>
      <c r="D3240" s="1" t="s">
        <v>11</v>
      </c>
      <c r="E3240" s="1" t="s">
        <v>103</v>
      </c>
      <c r="F3240" s="1" t="s">
        <v>104</v>
      </c>
      <c r="G3240" s="1" t="s">
        <v>17</v>
      </c>
      <c r="H3240" s="1">
        <v>43</v>
      </c>
      <c r="I3240" s="1" t="s">
        <v>124</v>
      </c>
      <c r="J3240" s="3">
        <v>0.65</v>
      </c>
      <c r="K3240" s="4">
        <v>3250</v>
      </c>
      <c r="L3240" s="5">
        <f t="shared" si="26"/>
        <v>2112.5</v>
      </c>
      <c r="M3240" s="5">
        <f t="shared" si="27"/>
        <v>633.75</v>
      </c>
      <c r="N3240" s="6">
        <v>0.3</v>
      </c>
    </row>
    <row r="3241" spans="1:14" ht="15.75" customHeight="1" x14ac:dyDescent="0.45">
      <c r="A3241" s="1" t="s">
        <v>119</v>
      </c>
      <c r="B3241" s="1">
        <v>1185732</v>
      </c>
      <c r="C3241" s="2">
        <v>44908</v>
      </c>
      <c r="D3241" s="1" t="s">
        <v>11</v>
      </c>
      <c r="E3241" s="1" t="s">
        <v>103</v>
      </c>
      <c r="F3241" s="1" t="s">
        <v>104</v>
      </c>
      <c r="G3241" s="1" t="s">
        <v>18</v>
      </c>
      <c r="H3241" s="1">
        <v>28</v>
      </c>
      <c r="I3241" s="1" t="s">
        <v>125</v>
      </c>
      <c r="J3241" s="3">
        <v>0.7</v>
      </c>
      <c r="K3241" s="4">
        <v>4250</v>
      </c>
      <c r="L3241" s="5">
        <f t="shared" si="26"/>
        <v>2975</v>
      </c>
      <c r="M3241" s="5">
        <f t="shared" si="27"/>
        <v>1190</v>
      </c>
      <c r="N3241" s="6">
        <v>0.4</v>
      </c>
    </row>
    <row r="3242" spans="1:14" ht="15.75" customHeight="1" x14ac:dyDescent="0.45">
      <c r="A3242" s="1" t="s">
        <v>119</v>
      </c>
      <c r="B3242" s="1">
        <v>1185732</v>
      </c>
      <c r="C3242" s="2">
        <v>44571</v>
      </c>
      <c r="D3242" s="1" t="s">
        <v>11</v>
      </c>
      <c r="E3242" s="1" t="s">
        <v>105</v>
      </c>
      <c r="F3242" s="1" t="s">
        <v>106</v>
      </c>
      <c r="G3242" s="1" t="s">
        <v>13</v>
      </c>
      <c r="H3242" s="1">
        <v>56</v>
      </c>
      <c r="I3242" s="1" t="s">
        <v>126</v>
      </c>
      <c r="J3242" s="3">
        <v>0.35000000000000003</v>
      </c>
      <c r="K3242" s="4">
        <v>4750</v>
      </c>
      <c r="L3242" s="5">
        <f t="shared" si="26"/>
        <v>1662.5000000000002</v>
      </c>
      <c r="M3242" s="5">
        <f t="shared" si="27"/>
        <v>581.875</v>
      </c>
      <c r="N3242" s="6">
        <v>0.35</v>
      </c>
    </row>
    <row r="3243" spans="1:14" ht="15.75" customHeight="1" x14ac:dyDescent="0.45">
      <c r="A3243" s="1" t="s">
        <v>119</v>
      </c>
      <c r="B3243" s="1">
        <v>1185732</v>
      </c>
      <c r="C3243" s="2">
        <v>44571</v>
      </c>
      <c r="D3243" s="1" t="s">
        <v>11</v>
      </c>
      <c r="E3243" s="1" t="s">
        <v>105</v>
      </c>
      <c r="F3243" s="1" t="s">
        <v>106</v>
      </c>
      <c r="G3243" s="1" t="s">
        <v>14</v>
      </c>
      <c r="H3243" s="1">
        <v>40</v>
      </c>
      <c r="I3243" s="1" t="s">
        <v>126</v>
      </c>
      <c r="J3243" s="3">
        <v>0.35000000000000003</v>
      </c>
      <c r="K3243" s="4">
        <v>2750</v>
      </c>
      <c r="L3243" s="5">
        <f t="shared" si="26"/>
        <v>962.50000000000011</v>
      </c>
      <c r="M3243" s="5">
        <f t="shared" si="27"/>
        <v>336.875</v>
      </c>
      <c r="N3243" s="6">
        <v>0.35</v>
      </c>
    </row>
    <row r="3244" spans="1:14" ht="15.75" customHeight="1" x14ac:dyDescent="0.45">
      <c r="A3244" s="1" t="s">
        <v>119</v>
      </c>
      <c r="B3244" s="1">
        <v>1185732</v>
      </c>
      <c r="C3244" s="2">
        <v>44571</v>
      </c>
      <c r="D3244" s="1" t="s">
        <v>11</v>
      </c>
      <c r="E3244" s="1" t="s">
        <v>105</v>
      </c>
      <c r="F3244" s="1" t="s">
        <v>106</v>
      </c>
      <c r="G3244" s="1" t="s">
        <v>15</v>
      </c>
      <c r="H3244" s="1">
        <v>33</v>
      </c>
      <c r="I3244" s="1" t="s">
        <v>125</v>
      </c>
      <c r="J3244" s="3">
        <v>0.25000000000000006</v>
      </c>
      <c r="K3244" s="4">
        <v>2750</v>
      </c>
      <c r="L3244" s="5">
        <f t="shared" si="26"/>
        <v>687.50000000000011</v>
      </c>
      <c r="M3244" s="5">
        <f t="shared" si="27"/>
        <v>275.00000000000006</v>
      </c>
      <c r="N3244" s="6">
        <v>0.4</v>
      </c>
    </row>
    <row r="3245" spans="1:14" ht="15.75" customHeight="1" x14ac:dyDescent="0.45">
      <c r="A3245" s="1" t="s">
        <v>119</v>
      </c>
      <c r="B3245" s="1">
        <v>1185732</v>
      </c>
      <c r="C3245" s="2">
        <v>44571</v>
      </c>
      <c r="D3245" s="1" t="s">
        <v>11</v>
      </c>
      <c r="E3245" s="1" t="s">
        <v>105</v>
      </c>
      <c r="F3245" s="1" t="s">
        <v>106</v>
      </c>
      <c r="G3245" s="1" t="s">
        <v>16</v>
      </c>
      <c r="H3245" s="1">
        <v>56</v>
      </c>
      <c r="I3245" s="1" t="s">
        <v>125</v>
      </c>
      <c r="J3245" s="3">
        <v>0.3</v>
      </c>
      <c r="K3245" s="4">
        <v>1250</v>
      </c>
      <c r="L3245" s="5">
        <f t="shared" si="26"/>
        <v>375</v>
      </c>
      <c r="M3245" s="5">
        <f t="shared" si="27"/>
        <v>150</v>
      </c>
      <c r="N3245" s="6">
        <v>0.4</v>
      </c>
    </row>
    <row r="3246" spans="1:14" ht="15.75" customHeight="1" x14ac:dyDescent="0.45">
      <c r="A3246" s="1" t="s">
        <v>119</v>
      </c>
      <c r="B3246" s="1">
        <v>1185732</v>
      </c>
      <c r="C3246" s="2">
        <v>44571</v>
      </c>
      <c r="D3246" s="1" t="s">
        <v>11</v>
      </c>
      <c r="E3246" s="1" t="s">
        <v>105</v>
      </c>
      <c r="F3246" s="1" t="s">
        <v>106</v>
      </c>
      <c r="G3246" s="1" t="s">
        <v>17</v>
      </c>
      <c r="H3246" s="1">
        <v>57</v>
      </c>
      <c r="I3246" s="1" t="s">
        <v>126</v>
      </c>
      <c r="J3246" s="3">
        <v>0.45</v>
      </c>
      <c r="K3246" s="4">
        <v>1750</v>
      </c>
      <c r="L3246" s="5">
        <f t="shared" si="26"/>
        <v>787.5</v>
      </c>
      <c r="M3246" s="5">
        <f t="shared" si="27"/>
        <v>236.25</v>
      </c>
      <c r="N3246" s="6">
        <v>0.3</v>
      </c>
    </row>
    <row r="3247" spans="1:14" ht="15.75" customHeight="1" x14ac:dyDescent="0.45">
      <c r="A3247" s="1" t="s">
        <v>119</v>
      </c>
      <c r="B3247" s="1">
        <v>1185732</v>
      </c>
      <c r="C3247" s="2">
        <v>44571</v>
      </c>
      <c r="D3247" s="1" t="s">
        <v>11</v>
      </c>
      <c r="E3247" s="1" t="s">
        <v>105</v>
      </c>
      <c r="F3247" s="1" t="s">
        <v>106</v>
      </c>
      <c r="G3247" s="1" t="s">
        <v>18</v>
      </c>
      <c r="H3247" s="1">
        <v>35</v>
      </c>
      <c r="I3247" s="1" t="s">
        <v>126</v>
      </c>
      <c r="J3247" s="3">
        <v>0.35000000000000003</v>
      </c>
      <c r="K3247" s="4">
        <v>2750</v>
      </c>
      <c r="L3247" s="5">
        <f t="shared" si="26"/>
        <v>962.50000000000011</v>
      </c>
      <c r="M3247" s="5">
        <f t="shared" si="27"/>
        <v>385.00000000000006</v>
      </c>
      <c r="N3247" s="6">
        <v>0.4</v>
      </c>
    </row>
    <row r="3248" spans="1:14" ht="15.75" customHeight="1" x14ac:dyDescent="0.45">
      <c r="A3248" s="1" t="s">
        <v>119</v>
      </c>
      <c r="B3248" s="1">
        <v>1185732</v>
      </c>
      <c r="C3248" s="2">
        <v>44600</v>
      </c>
      <c r="D3248" s="1" t="s">
        <v>11</v>
      </c>
      <c r="E3248" s="1" t="s">
        <v>105</v>
      </c>
      <c r="F3248" s="1" t="s">
        <v>106</v>
      </c>
      <c r="G3248" s="1" t="s">
        <v>13</v>
      </c>
      <c r="H3248" s="1">
        <v>48</v>
      </c>
      <c r="I3248" s="1" t="s">
        <v>125</v>
      </c>
      <c r="J3248" s="3">
        <v>0.35000000000000003</v>
      </c>
      <c r="K3248" s="4">
        <v>5250</v>
      </c>
      <c r="L3248" s="5">
        <f t="shared" si="26"/>
        <v>1837.5000000000002</v>
      </c>
      <c r="M3248" s="5">
        <f t="shared" si="27"/>
        <v>643.125</v>
      </c>
      <c r="N3248" s="6">
        <v>0.35</v>
      </c>
    </row>
    <row r="3249" spans="1:14" ht="15.75" customHeight="1" x14ac:dyDescent="0.45">
      <c r="A3249" s="1" t="s">
        <v>119</v>
      </c>
      <c r="B3249" s="1">
        <v>1185732</v>
      </c>
      <c r="C3249" s="2">
        <v>44600</v>
      </c>
      <c r="D3249" s="1" t="s">
        <v>11</v>
      </c>
      <c r="E3249" s="1" t="s">
        <v>105</v>
      </c>
      <c r="F3249" s="1" t="s">
        <v>106</v>
      </c>
      <c r="G3249" s="1" t="s">
        <v>14</v>
      </c>
      <c r="H3249" s="1">
        <v>46</v>
      </c>
      <c r="I3249" s="1" t="s">
        <v>125</v>
      </c>
      <c r="J3249" s="3">
        <v>0.35000000000000003</v>
      </c>
      <c r="K3249" s="4">
        <v>1750</v>
      </c>
      <c r="L3249" s="5">
        <f t="shared" si="26"/>
        <v>612.50000000000011</v>
      </c>
      <c r="M3249" s="5">
        <f t="shared" si="27"/>
        <v>214.37500000000003</v>
      </c>
      <c r="N3249" s="6">
        <v>0.35</v>
      </c>
    </row>
    <row r="3250" spans="1:14" ht="15.75" customHeight="1" x14ac:dyDescent="0.45">
      <c r="A3250" s="1" t="s">
        <v>119</v>
      </c>
      <c r="B3250" s="1">
        <v>1185732</v>
      </c>
      <c r="C3250" s="2">
        <v>44600</v>
      </c>
      <c r="D3250" s="1" t="s">
        <v>11</v>
      </c>
      <c r="E3250" s="1" t="s">
        <v>105</v>
      </c>
      <c r="F3250" s="1" t="s">
        <v>106</v>
      </c>
      <c r="G3250" s="1" t="s">
        <v>15</v>
      </c>
      <c r="H3250" s="1">
        <v>43</v>
      </c>
      <c r="I3250" s="1" t="s">
        <v>125</v>
      </c>
      <c r="J3250" s="3">
        <v>0.25000000000000006</v>
      </c>
      <c r="K3250" s="4">
        <v>2250</v>
      </c>
      <c r="L3250" s="5">
        <f t="shared" si="26"/>
        <v>562.50000000000011</v>
      </c>
      <c r="M3250" s="5">
        <f t="shared" si="27"/>
        <v>225.00000000000006</v>
      </c>
      <c r="N3250" s="6">
        <v>0.4</v>
      </c>
    </row>
    <row r="3251" spans="1:14" ht="15.75" customHeight="1" x14ac:dyDescent="0.45">
      <c r="A3251" s="1" t="s">
        <v>119</v>
      </c>
      <c r="B3251" s="1">
        <v>1185732</v>
      </c>
      <c r="C3251" s="2">
        <v>44600</v>
      </c>
      <c r="D3251" s="1" t="s">
        <v>11</v>
      </c>
      <c r="E3251" s="1" t="s">
        <v>105</v>
      </c>
      <c r="F3251" s="1" t="s">
        <v>106</v>
      </c>
      <c r="G3251" s="1" t="s">
        <v>16</v>
      </c>
      <c r="H3251" s="1">
        <v>30</v>
      </c>
      <c r="I3251" s="1" t="s">
        <v>125</v>
      </c>
      <c r="J3251" s="3">
        <v>0.3</v>
      </c>
      <c r="K3251" s="4">
        <v>1000</v>
      </c>
      <c r="L3251" s="5">
        <f t="shared" si="26"/>
        <v>300</v>
      </c>
      <c r="M3251" s="5">
        <f t="shared" si="27"/>
        <v>120</v>
      </c>
      <c r="N3251" s="6">
        <v>0.4</v>
      </c>
    </row>
    <row r="3252" spans="1:14" ht="15.75" customHeight="1" x14ac:dyDescent="0.45">
      <c r="A3252" s="1" t="s">
        <v>119</v>
      </c>
      <c r="B3252" s="1">
        <v>1185732</v>
      </c>
      <c r="C3252" s="2">
        <v>44600</v>
      </c>
      <c r="D3252" s="1" t="s">
        <v>11</v>
      </c>
      <c r="E3252" s="1" t="s">
        <v>105</v>
      </c>
      <c r="F3252" s="1" t="s">
        <v>106</v>
      </c>
      <c r="G3252" s="1" t="s">
        <v>17</v>
      </c>
      <c r="H3252" s="1">
        <v>27</v>
      </c>
      <c r="I3252" s="1" t="s">
        <v>126</v>
      </c>
      <c r="J3252" s="3">
        <v>0.45</v>
      </c>
      <c r="K3252" s="4">
        <v>1750</v>
      </c>
      <c r="L3252" s="5">
        <f t="shared" si="26"/>
        <v>787.5</v>
      </c>
      <c r="M3252" s="5">
        <f t="shared" si="27"/>
        <v>236.25</v>
      </c>
      <c r="N3252" s="6">
        <v>0.3</v>
      </c>
    </row>
    <row r="3253" spans="1:14" ht="15.75" customHeight="1" x14ac:dyDescent="0.45">
      <c r="A3253" s="1" t="s">
        <v>119</v>
      </c>
      <c r="B3253" s="1">
        <v>1185732</v>
      </c>
      <c r="C3253" s="2">
        <v>44600</v>
      </c>
      <c r="D3253" s="1" t="s">
        <v>11</v>
      </c>
      <c r="E3253" s="1" t="s">
        <v>105</v>
      </c>
      <c r="F3253" s="1" t="s">
        <v>106</v>
      </c>
      <c r="G3253" s="1" t="s">
        <v>18</v>
      </c>
      <c r="H3253" s="1">
        <v>35</v>
      </c>
      <c r="I3253" s="1" t="s">
        <v>125</v>
      </c>
      <c r="J3253" s="3">
        <v>0.35000000000000003</v>
      </c>
      <c r="K3253" s="4">
        <v>2750</v>
      </c>
      <c r="L3253" s="5">
        <f t="shared" si="26"/>
        <v>962.50000000000011</v>
      </c>
      <c r="M3253" s="5">
        <f t="shared" si="27"/>
        <v>385.00000000000006</v>
      </c>
      <c r="N3253" s="6">
        <v>0.4</v>
      </c>
    </row>
    <row r="3254" spans="1:14" ht="15.75" customHeight="1" x14ac:dyDescent="0.45">
      <c r="A3254" s="1" t="s">
        <v>119</v>
      </c>
      <c r="B3254" s="1">
        <v>1185732</v>
      </c>
      <c r="C3254" s="2">
        <v>44626</v>
      </c>
      <c r="D3254" s="1" t="s">
        <v>11</v>
      </c>
      <c r="E3254" s="1" t="s">
        <v>105</v>
      </c>
      <c r="F3254" s="1" t="s">
        <v>106</v>
      </c>
      <c r="G3254" s="1" t="s">
        <v>13</v>
      </c>
      <c r="H3254" s="1">
        <v>30</v>
      </c>
      <c r="I3254" s="1" t="s">
        <v>124</v>
      </c>
      <c r="J3254" s="3">
        <v>0.35000000000000003</v>
      </c>
      <c r="K3254" s="4">
        <v>4950</v>
      </c>
      <c r="L3254" s="5">
        <f t="shared" si="26"/>
        <v>1732.5000000000002</v>
      </c>
      <c r="M3254" s="5">
        <f t="shared" si="27"/>
        <v>606.375</v>
      </c>
      <c r="N3254" s="6">
        <v>0.35</v>
      </c>
    </row>
    <row r="3255" spans="1:14" ht="15.75" customHeight="1" x14ac:dyDescent="0.45">
      <c r="A3255" s="1" t="s">
        <v>119</v>
      </c>
      <c r="B3255" s="1">
        <v>1185732</v>
      </c>
      <c r="C3255" s="2">
        <v>44626</v>
      </c>
      <c r="D3255" s="1" t="s">
        <v>11</v>
      </c>
      <c r="E3255" s="1" t="s">
        <v>105</v>
      </c>
      <c r="F3255" s="1" t="s">
        <v>106</v>
      </c>
      <c r="G3255" s="1" t="s">
        <v>14</v>
      </c>
      <c r="H3255" s="1">
        <v>24</v>
      </c>
      <c r="I3255" s="1" t="s">
        <v>126</v>
      </c>
      <c r="J3255" s="3">
        <v>0.35000000000000003</v>
      </c>
      <c r="K3255" s="4">
        <v>2000</v>
      </c>
      <c r="L3255" s="5">
        <f t="shared" si="26"/>
        <v>700.00000000000011</v>
      </c>
      <c r="M3255" s="5">
        <f t="shared" si="27"/>
        <v>245.00000000000003</v>
      </c>
      <c r="N3255" s="6">
        <v>0.35</v>
      </c>
    </row>
    <row r="3256" spans="1:14" ht="15.75" customHeight="1" x14ac:dyDescent="0.45">
      <c r="A3256" s="1" t="s">
        <v>119</v>
      </c>
      <c r="B3256" s="1">
        <v>1185732</v>
      </c>
      <c r="C3256" s="2">
        <v>44626</v>
      </c>
      <c r="D3256" s="1" t="s">
        <v>11</v>
      </c>
      <c r="E3256" s="1" t="s">
        <v>105</v>
      </c>
      <c r="F3256" s="1" t="s">
        <v>106</v>
      </c>
      <c r="G3256" s="1" t="s">
        <v>15</v>
      </c>
      <c r="H3256" s="1">
        <v>50</v>
      </c>
      <c r="I3256" s="1" t="s">
        <v>123</v>
      </c>
      <c r="J3256" s="3">
        <v>0.25000000000000006</v>
      </c>
      <c r="K3256" s="4">
        <v>2250</v>
      </c>
      <c r="L3256" s="5">
        <f t="shared" si="26"/>
        <v>562.50000000000011</v>
      </c>
      <c r="M3256" s="5">
        <f t="shared" si="27"/>
        <v>225.00000000000006</v>
      </c>
      <c r="N3256" s="6">
        <v>0.4</v>
      </c>
    </row>
    <row r="3257" spans="1:14" ht="15.75" customHeight="1" x14ac:dyDescent="0.45">
      <c r="A3257" s="1" t="s">
        <v>119</v>
      </c>
      <c r="B3257" s="1">
        <v>1185732</v>
      </c>
      <c r="C3257" s="2">
        <v>44626</v>
      </c>
      <c r="D3257" s="1" t="s">
        <v>11</v>
      </c>
      <c r="E3257" s="1" t="s">
        <v>105</v>
      </c>
      <c r="F3257" s="1" t="s">
        <v>106</v>
      </c>
      <c r="G3257" s="1" t="s">
        <v>16</v>
      </c>
      <c r="H3257" s="1">
        <v>46</v>
      </c>
      <c r="I3257" s="1" t="s">
        <v>125</v>
      </c>
      <c r="J3257" s="3">
        <v>0.3</v>
      </c>
      <c r="K3257" s="4">
        <v>750</v>
      </c>
      <c r="L3257" s="5">
        <f t="shared" si="26"/>
        <v>225</v>
      </c>
      <c r="M3257" s="5">
        <f t="shared" si="27"/>
        <v>90</v>
      </c>
      <c r="N3257" s="6">
        <v>0.4</v>
      </c>
    </row>
    <row r="3258" spans="1:14" ht="15.75" customHeight="1" x14ac:dyDescent="0.45">
      <c r="A3258" s="1" t="s">
        <v>119</v>
      </c>
      <c r="B3258" s="1">
        <v>1185732</v>
      </c>
      <c r="C3258" s="2">
        <v>44626</v>
      </c>
      <c r="D3258" s="1" t="s">
        <v>11</v>
      </c>
      <c r="E3258" s="1" t="s">
        <v>105</v>
      </c>
      <c r="F3258" s="1" t="s">
        <v>106</v>
      </c>
      <c r="G3258" s="1" t="s">
        <v>17</v>
      </c>
      <c r="H3258" s="1">
        <v>53</v>
      </c>
      <c r="I3258" s="1" t="s">
        <v>124</v>
      </c>
      <c r="J3258" s="3">
        <v>0.45</v>
      </c>
      <c r="K3258" s="4">
        <v>1250</v>
      </c>
      <c r="L3258" s="5">
        <f t="shared" si="26"/>
        <v>562.5</v>
      </c>
      <c r="M3258" s="5">
        <f t="shared" si="27"/>
        <v>168.75</v>
      </c>
      <c r="N3258" s="6">
        <v>0.3</v>
      </c>
    </row>
    <row r="3259" spans="1:14" ht="15.75" customHeight="1" x14ac:dyDescent="0.45">
      <c r="A3259" s="1" t="s">
        <v>119</v>
      </c>
      <c r="B3259" s="1">
        <v>1185732</v>
      </c>
      <c r="C3259" s="2">
        <v>44626</v>
      </c>
      <c r="D3259" s="1" t="s">
        <v>11</v>
      </c>
      <c r="E3259" s="1" t="s">
        <v>105</v>
      </c>
      <c r="F3259" s="1" t="s">
        <v>106</v>
      </c>
      <c r="G3259" s="1" t="s">
        <v>18</v>
      </c>
      <c r="H3259" s="1">
        <v>58</v>
      </c>
      <c r="I3259" s="1" t="s">
        <v>126</v>
      </c>
      <c r="J3259" s="3">
        <v>0.35000000000000003</v>
      </c>
      <c r="K3259" s="4">
        <v>2250</v>
      </c>
      <c r="L3259" s="5">
        <f t="shared" si="26"/>
        <v>787.50000000000011</v>
      </c>
      <c r="M3259" s="5">
        <f t="shared" si="27"/>
        <v>315.00000000000006</v>
      </c>
      <c r="N3259" s="6">
        <v>0.4</v>
      </c>
    </row>
    <row r="3260" spans="1:14" ht="15.75" customHeight="1" x14ac:dyDescent="0.45">
      <c r="A3260" s="1" t="s">
        <v>119</v>
      </c>
      <c r="B3260" s="1">
        <v>1185732</v>
      </c>
      <c r="C3260" s="2">
        <v>44658</v>
      </c>
      <c r="D3260" s="1" t="s">
        <v>11</v>
      </c>
      <c r="E3260" s="1" t="s">
        <v>105</v>
      </c>
      <c r="F3260" s="1" t="s">
        <v>106</v>
      </c>
      <c r="G3260" s="1" t="s">
        <v>13</v>
      </c>
      <c r="H3260" s="1">
        <v>44</v>
      </c>
      <c r="I3260" s="1" t="s">
        <v>123</v>
      </c>
      <c r="J3260" s="3">
        <v>0.35000000000000003</v>
      </c>
      <c r="K3260" s="4">
        <v>4750</v>
      </c>
      <c r="L3260" s="5">
        <f t="shared" si="26"/>
        <v>1662.5000000000002</v>
      </c>
      <c r="M3260" s="5">
        <f t="shared" si="27"/>
        <v>581.875</v>
      </c>
      <c r="N3260" s="6">
        <v>0.35</v>
      </c>
    </row>
    <row r="3261" spans="1:14" ht="15.75" customHeight="1" x14ac:dyDescent="0.45">
      <c r="A3261" s="1" t="s">
        <v>119</v>
      </c>
      <c r="B3261" s="1">
        <v>1185732</v>
      </c>
      <c r="C3261" s="2">
        <v>44658</v>
      </c>
      <c r="D3261" s="1" t="s">
        <v>11</v>
      </c>
      <c r="E3261" s="1" t="s">
        <v>105</v>
      </c>
      <c r="F3261" s="1" t="s">
        <v>106</v>
      </c>
      <c r="G3261" s="1" t="s">
        <v>14</v>
      </c>
      <c r="H3261" s="1">
        <v>22</v>
      </c>
      <c r="I3261" s="1" t="s">
        <v>124</v>
      </c>
      <c r="J3261" s="3">
        <v>0.35000000000000003</v>
      </c>
      <c r="K3261" s="4">
        <v>1750</v>
      </c>
      <c r="L3261" s="5">
        <f t="shared" si="26"/>
        <v>612.50000000000011</v>
      </c>
      <c r="M3261" s="5">
        <f t="shared" si="27"/>
        <v>214.37500000000003</v>
      </c>
      <c r="N3261" s="6">
        <v>0.35</v>
      </c>
    </row>
    <row r="3262" spans="1:14" ht="15.75" customHeight="1" x14ac:dyDescent="0.45">
      <c r="A3262" s="1" t="s">
        <v>119</v>
      </c>
      <c r="B3262" s="1">
        <v>1185732</v>
      </c>
      <c r="C3262" s="2">
        <v>44658</v>
      </c>
      <c r="D3262" s="1" t="s">
        <v>11</v>
      </c>
      <c r="E3262" s="1" t="s">
        <v>105</v>
      </c>
      <c r="F3262" s="1" t="s">
        <v>106</v>
      </c>
      <c r="G3262" s="1" t="s">
        <v>15</v>
      </c>
      <c r="H3262" s="1">
        <v>29</v>
      </c>
      <c r="I3262" s="1" t="s">
        <v>126</v>
      </c>
      <c r="J3262" s="3">
        <v>0.25000000000000006</v>
      </c>
      <c r="K3262" s="4">
        <v>1750</v>
      </c>
      <c r="L3262" s="5">
        <f t="shared" si="26"/>
        <v>437.50000000000011</v>
      </c>
      <c r="M3262" s="5">
        <f t="shared" si="27"/>
        <v>175.00000000000006</v>
      </c>
      <c r="N3262" s="6">
        <v>0.4</v>
      </c>
    </row>
    <row r="3263" spans="1:14" ht="15.75" customHeight="1" x14ac:dyDescent="0.45">
      <c r="A3263" s="1" t="s">
        <v>119</v>
      </c>
      <c r="B3263" s="1">
        <v>1185732</v>
      </c>
      <c r="C3263" s="2">
        <v>44658</v>
      </c>
      <c r="D3263" s="1" t="s">
        <v>11</v>
      </c>
      <c r="E3263" s="1" t="s">
        <v>105</v>
      </c>
      <c r="F3263" s="1" t="s">
        <v>106</v>
      </c>
      <c r="G3263" s="1" t="s">
        <v>16</v>
      </c>
      <c r="H3263" s="1">
        <v>58</v>
      </c>
      <c r="I3263" s="1" t="s">
        <v>126</v>
      </c>
      <c r="J3263" s="3">
        <v>0.3</v>
      </c>
      <c r="K3263" s="4">
        <v>1000</v>
      </c>
      <c r="L3263" s="5">
        <f t="shared" si="26"/>
        <v>300</v>
      </c>
      <c r="M3263" s="5">
        <f t="shared" si="27"/>
        <v>120</v>
      </c>
      <c r="N3263" s="6">
        <v>0.4</v>
      </c>
    </row>
    <row r="3264" spans="1:14" ht="15.75" customHeight="1" x14ac:dyDescent="0.45">
      <c r="A3264" s="1" t="s">
        <v>119</v>
      </c>
      <c r="B3264" s="1">
        <v>1185732</v>
      </c>
      <c r="C3264" s="2">
        <v>44658</v>
      </c>
      <c r="D3264" s="1" t="s">
        <v>11</v>
      </c>
      <c r="E3264" s="1" t="s">
        <v>105</v>
      </c>
      <c r="F3264" s="1" t="s">
        <v>106</v>
      </c>
      <c r="G3264" s="1" t="s">
        <v>17</v>
      </c>
      <c r="H3264" s="1">
        <v>47</v>
      </c>
      <c r="I3264" s="1" t="s">
        <v>123</v>
      </c>
      <c r="J3264" s="3">
        <v>0.45</v>
      </c>
      <c r="K3264" s="4">
        <v>1000</v>
      </c>
      <c r="L3264" s="5">
        <f t="shared" si="26"/>
        <v>450</v>
      </c>
      <c r="M3264" s="5">
        <f t="shared" si="27"/>
        <v>135</v>
      </c>
      <c r="N3264" s="6">
        <v>0.3</v>
      </c>
    </row>
    <row r="3265" spans="1:14" ht="15.75" customHeight="1" x14ac:dyDescent="0.45">
      <c r="A3265" s="1" t="s">
        <v>119</v>
      </c>
      <c r="B3265" s="1">
        <v>1185732</v>
      </c>
      <c r="C3265" s="2">
        <v>44658</v>
      </c>
      <c r="D3265" s="1" t="s">
        <v>11</v>
      </c>
      <c r="E3265" s="1" t="s">
        <v>105</v>
      </c>
      <c r="F3265" s="1" t="s">
        <v>106</v>
      </c>
      <c r="G3265" s="1" t="s">
        <v>18</v>
      </c>
      <c r="H3265" s="1">
        <v>58</v>
      </c>
      <c r="I3265" s="1" t="s">
        <v>126</v>
      </c>
      <c r="J3265" s="3">
        <v>0.35000000000000003</v>
      </c>
      <c r="K3265" s="4">
        <v>2500</v>
      </c>
      <c r="L3265" s="5">
        <f t="shared" si="26"/>
        <v>875.00000000000011</v>
      </c>
      <c r="M3265" s="5">
        <f t="shared" si="27"/>
        <v>350.00000000000006</v>
      </c>
      <c r="N3265" s="6">
        <v>0.4</v>
      </c>
    </row>
    <row r="3266" spans="1:14" ht="15.75" customHeight="1" x14ac:dyDescent="0.45">
      <c r="A3266" s="1" t="s">
        <v>119</v>
      </c>
      <c r="B3266" s="1">
        <v>1185732</v>
      </c>
      <c r="C3266" s="2">
        <v>44687</v>
      </c>
      <c r="D3266" s="1" t="s">
        <v>11</v>
      </c>
      <c r="E3266" s="1" t="s">
        <v>105</v>
      </c>
      <c r="F3266" s="1" t="s">
        <v>106</v>
      </c>
      <c r="G3266" s="1" t="s">
        <v>13</v>
      </c>
      <c r="H3266" s="1">
        <v>55</v>
      </c>
      <c r="I3266" s="1" t="s">
        <v>125</v>
      </c>
      <c r="J3266" s="3">
        <v>0.49999999999999994</v>
      </c>
      <c r="K3266" s="4">
        <v>5200</v>
      </c>
      <c r="L3266" s="5">
        <f t="shared" si="26"/>
        <v>2599.9999999999995</v>
      </c>
      <c r="M3266" s="5">
        <f t="shared" si="27"/>
        <v>909.99999999999977</v>
      </c>
      <c r="N3266" s="6">
        <v>0.35</v>
      </c>
    </row>
    <row r="3267" spans="1:14" ht="15.75" customHeight="1" x14ac:dyDescent="0.45">
      <c r="A3267" s="1" t="s">
        <v>119</v>
      </c>
      <c r="B3267" s="1">
        <v>1185732</v>
      </c>
      <c r="C3267" s="2">
        <v>44687</v>
      </c>
      <c r="D3267" s="1" t="s">
        <v>11</v>
      </c>
      <c r="E3267" s="1" t="s">
        <v>105</v>
      </c>
      <c r="F3267" s="1" t="s">
        <v>106</v>
      </c>
      <c r="G3267" s="1" t="s">
        <v>14</v>
      </c>
      <c r="H3267" s="1">
        <v>41</v>
      </c>
      <c r="I3267" s="1" t="s">
        <v>123</v>
      </c>
      <c r="J3267" s="3">
        <v>0.45</v>
      </c>
      <c r="K3267" s="4">
        <v>2250</v>
      </c>
      <c r="L3267" s="5">
        <f t="shared" si="26"/>
        <v>1012.5</v>
      </c>
      <c r="M3267" s="5">
        <f t="shared" si="27"/>
        <v>354.375</v>
      </c>
      <c r="N3267" s="6">
        <v>0.35</v>
      </c>
    </row>
    <row r="3268" spans="1:14" ht="15.75" customHeight="1" x14ac:dyDescent="0.45">
      <c r="A3268" s="1" t="s">
        <v>119</v>
      </c>
      <c r="B3268" s="1">
        <v>1185732</v>
      </c>
      <c r="C3268" s="2">
        <v>44687</v>
      </c>
      <c r="D3268" s="1" t="s">
        <v>11</v>
      </c>
      <c r="E3268" s="1" t="s">
        <v>105</v>
      </c>
      <c r="F3268" s="1" t="s">
        <v>106</v>
      </c>
      <c r="G3268" s="1" t="s">
        <v>15</v>
      </c>
      <c r="H3268" s="1">
        <v>36</v>
      </c>
      <c r="I3268" s="1" t="s">
        <v>123</v>
      </c>
      <c r="J3268" s="3">
        <v>0.4</v>
      </c>
      <c r="K3268" s="4">
        <v>2500</v>
      </c>
      <c r="L3268" s="5">
        <f t="shared" si="26"/>
        <v>1000</v>
      </c>
      <c r="M3268" s="5">
        <f t="shared" si="27"/>
        <v>400</v>
      </c>
      <c r="N3268" s="6">
        <v>0.4</v>
      </c>
    </row>
    <row r="3269" spans="1:14" ht="15.75" customHeight="1" x14ac:dyDescent="0.45">
      <c r="A3269" s="1" t="s">
        <v>119</v>
      </c>
      <c r="B3269" s="1">
        <v>1185732</v>
      </c>
      <c r="C3269" s="2">
        <v>44687</v>
      </c>
      <c r="D3269" s="1" t="s">
        <v>11</v>
      </c>
      <c r="E3269" s="1" t="s">
        <v>105</v>
      </c>
      <c r="F3269" s="1" t="s">
        <v>106</v>
      </c>
      <c r="G3269" s="1" t="s">
        <v>16</v>
      </c>
      <c r="H3269" s="1">
        <v>31</v>
      </c>
      <c r="I3269" s="1" t="s">
        <v>126</v>
      </c>
      <c r="J3269" s="3">
        <v>0.4</v>
      </c>
      <c r="K3269" s="4">
        <v>2000</v>
      </c>
      <c r="L3269" s="5">
        <f t="shared" si="26"/>
        <v>800</v>
      </c>
      <c r="M3269" s="5">
        <f t="shared" si="27"/>
        <v>320</v>
      </c>
      <c r="N3269" s="6">
        <v>0.4</v>
      </c>
    </row>
    <row r="3270" spans="1:14" ht="15.75" customHeight="1" x14ac:dyDescent="0.45">
      <c r="A3270" s="1" t="s">
        <v>119</v>
      </c>
      <c r="B3270" s="1">
        <v>1185732</v>
      </c>
      <c r="C3270" s="2">
        <v>44687</v>
      </c>
      <c r="D3270" s="1" t="s">
        <v>11</v>
      </c>
      <c r="E3270" s="1" t="s">
        <v>105</v>
      </c>
      <c r="F3270" s="1" t="s">
        <v>106</v>
      </c>
      <c r="G3270" s="1" t="s">
        <v>17</v>
      </c>
      <c r="H3270" s="1">
        <v>21</v>
      </c>
      <c r="I3270" s="1" t="s">
        <v>126</v>
      </c>
      <c r="J3270" s="3">
        <v>0.49999999999999994</v>
      </c>
      <c r="K3270" s="4">
        <v>2250</v>
      </c>
      <c r="L3270" s="5">
        <f t="shared" si="26"/>
        <v>1124.9999999999998</v>
      </c>
      <c r="M3270" s="5">
        <f t="shared" si="27"/>
        <v>337.49999999999994</v>
      </c>
      <c r="N3270" s="6">
        <v>0.3</v>
      </c>
    </row>
    <row r="3271" spans="1:14" ht="15.75" customHeight="1" x14ac:dyDescent="0.45">
      <c r="A3271" s="1" t="s">
        <v>119</v>
      </c>
      <c r="B3271" s="1">
        <v>1185732</v>
      </c>
      <c r="C3271" s="2">
        <v>44687</v>
      </c>
      <c r="D3271" s="1" t="s">
        <v>11</v>
      </c>
      <c r="E3271" s="1" t="s">
        <v>105</v>
      </c>
      <c r="F3271" s="1" t="s">
        <v>106</v>
      </c>
      <c r="G3271" s="1" t="s">
        <v>18</v>
      </c>
      <c r="H3271" s="1">
        <v>55</v>
      </c>
      <c r="I3271" s="1" t="s">
        <v>123</v>
      </c>
      <c r="J3271" s="3">
        <v>0.54999999999999993</v>
      </c>
      <c r="K3271" s="4">
        <v>3500</v>
      </c>
      <c r="L3271" s="5">
        <f t="shared" si="26"/>
        <v>1924.9999999999998</v>
      </c>
      <c r="M3271" s="5">
        <f t="shared" si="27"/>
        <v>770</v>
      </c>
      <c r="N3271" s="6">
        <v>0.4</v>
      </c>
    </row>
    <row r="3272" spans="1:14" ht="15.75" customHeight="1" x14ac:dyDescent="0.45">
      <c r="A3272" s="1" t="s">
        <v>119</v>
      </c>
      <c r="B3272" s="1">
        <v>1185732</v>
      </c>
      <c r="C3272" s="2">
        <v>44720</v>
      </c>
      <c r="D3272" s="1" t="s">
        <v>11</v>
      </c>
      <c r="E3272" s="1" t="s">
        <v>105</v>
      </c>
      <c r="F3272" s="1" t="s">
        <v>106</v>
      </c>
      <c r="G3272" s="1" t="s">
        <v>13</v>
      </c>
      <c r="H3272" s="1">
        <v>52</v>
      </c>
      <c r="I3272" s="1" t="s">
        <v>126</v>
      </c>
      <c r="J3272" s="3">
        <v>0.49999999999999994</v>
      </c>
      <c r="K3272" s="4">
        <v>6000</v>
      </c>
      <c r="L3272" s="5">
        <f t="shared" si="26"/>
        <v>2999.9999999999995</v>
      </c>
      <c r="M3272" s="5">
        <f t="shared" si="27"/>
        <v>1049.9999999999998</v>
      </c>
      <c r="N3272" s="6">
        <v>0.35</v>
      </c>
    </row>
    <row r="3273" spans="1:14" ht="15.75" customHeight="1" x14ac:dyDescent="0.45">
      <c r="A3273" s="1" t="s">
        <v>119</v>
      </c>
      <c r="B3273" s="1">
        <v>1185732</v>
      </c>
      <c r="C3273" s="2">
        <v>44720</v>
      </c>
      <c r="D3273" s="1" t="s">
        <v>11</v>
      </c>
      <c r="E3273" s="1" t="s">
        <v>105</v>
      </c>
      <c r="F3273" s="1" t="s">
        <v>106</v>
      </c>
      <c r="G3273" s="1" t="s">
        <v>14</v>
      </c>
      <c r="H3273" s="1">
        <v>40</v>
      </c>
      <c r="I3273" s="1" t="s">
        <v>125</v>
      </c>
      <c r="J3273" s="3">
        <v>0.45</v>
      </c>
      <c r="K3273" s="4">
        <v>3500</v>
      </c>
      <c r="L3273" s="5">
        <f t="shared" si="26"/>
        <v>1575</v>
      </c>
      <c r="M3273" s="5">
        <f t="shared" si="27"/>
        <v>551.25</v>
      </c>
      <c r="N3273" s="6">
        <v>0.35</v>
      </c>
    </row>
    <row r="3274" spans="1:14" ht="15.75" customHeight="1" x14ac:dyDescent="0.45">
      <c r="A3274" s="1" t="s">
        <v>119</v>
      </c>
      <c r="B3274" s="1">
        <v>1185732</v>
      </c>
      <c r="C3274" s="2">
        <v>44720</v>
      </c>
      <c r="D3274" s="1" t="s">
        <v>11</v>
      </c>
      <c r="E3274" s="1" t="s">
        <v>105</v>
      </c>
      <c r="F3274" s="1" t="s">
        <v>106</v>
      </c>
      <c r="G3274" s="1" t="s">
        <v>15</v>
      </c>
      <c r="H3274" s="1">
        <v>55</v>
      </c>
      <c r="I3274" s="1" t="s">
        <v>124</v>
      </c>
      <c r="J3274" s="3">
        <v>0.4</v>
      </c>
      <c r="K3274" s="4">
        <v>2750</v>
      </c>
      <c r="L3274" s="5">
        <f t="shared" si="26"/>
        <v>1100</v>
      </c>
      <c r="M3274" s="5">
        <f t="shared" si="27"/>
        <v>440</v>
      </c>
      <c r="N3274" s="6">
        <v>0.4</v>
      </c>
    </row>
    <row r="3275" spans="1:14" ht="15.75" customHeight="1" x14ac:dyDescent="0.45">
      <c r="A3275" s="1" t="s">
        <v>119</v>
      </c>
      <c r="B3275" s="1">
        <v>1185732</v>
      </c>
      <c r="C3275" s="2">
        <v>44720</v>
      </c>
      <c r="D3275" s="1" t="s">
        <v>11</v>
      </c>
      <c r="E3275" s="1" t="s">
        <v>105</v>
      </c>
      <c r="F3275" s="1" t="s">
        <v>106</v>
      </c>
      <c r="G3275" s="1" t="s">
        <v>16</v>
      </c>
      <c r="H3275" s="1">
        <v>22</v>
      </c>
      <c r="I3275" s="1" t="s">
        <v>123</v>
      </c>
      <c r="J3275" s="3">
        <v>0.4</v>
      </c>
      <c r="K3275" s="4">
        <v>2500</v>
      </c>
      <c r="L3275" s="5">
        <f t="shared" si="26"/>
        <v>1000</v>
      </c>
      <c r="M3275" s="5">
        <f t="shared" si="27"/>
        <v>400</v>
      </c>
      <c r="N3275" s="6">
        <v>0.4</v>
      </c>
    </row>
    <row r="3276" spans="1:14" ht="15.75" customHeight="1" x14ac:dyDescent="0.45">
      <c r="A3276" s="1" t="s">
        <v>119</v>
      </c>
      <c r="B3276" s="1">
        <v>1185732</v>
      </c>
      <c r="C3276" s="2">
        <v>44720</v>
      </c>
      <c r="D3276" s="1" t="s">
        <v>11</v>
      </c>
      <c r="E3276" s="1" t="s">
        <v>105</v>
      </c>
      <c r="F3276" s="1" t="s">
        <v>106</v>
      </c>
      <c r="G3276" s="1" t="s">
        <v>17</v>
      </c>
      <c r="H3276" s="1">
        <v>27</v>
      </c>
      <c r="I3276" s="1" t="s">
        <v>126</v>
      </c>
      <c r="J3276" s="3">
        <v>0.49999999999999994</v>
      </c>
      <c r="K3276" s="4">
        <v>2500</v>
      </c>
      <c r="L3276" s="5">
        <f t="shared" si="26"/>
        <v>1249.9999999999998</v>
      </c>
      <c r="M3276" s="5">
        <f t="shared" si="27"/>
        <v>374.99999999999994</v>
      </c>
      <c r="N3276" s="6">
        <v>0.3</v>
      </c>
    </row>
    <row r="3277" spans="1:14" ht="15.75" customHeight="1" x14ac:dyDescent="0.45">
      <c r="A3277" s="1" t="s">
        <v>119</v>
      </c>
      <c r="B3277" s="1">
        <v>1185732</v>
      </c>
      <c r="C3277" s="2">
        <v>44720</v>
      </c>
      <c r="D3277" s="1" t="s">
        <v>11</v>
      </c>
      <c r="E3277" s="1" t="s">
        <v>105</v>
      </c>
      <c r="F3277" s="1" t="s">
        <v>106</v>
      </c>
      <c r="G3277" s="1" t="s">
        <v>18</v>
      </c>
      <c r="H3277" s="1">
        <v>30</v>
      </c>
      <c r="I3277" s="1" t="s">
        <v>125</v>
      </c>
      <c r="J3277" s="3">
        <v>0.54999999999999993</v>
      </c>
      <c r="K3277" s="4">
        <v>4000</v>
      </c>
      <c r="L3277" s="5">
        <f t="shared" si="26"/>
        <v>2199.9999999999995</v>
      </c>
      <c r="M3277" s="5">
        <f t="shared" si="27"/>
        <v>879.99999999999989</v>
      </c>
      <c r="N3277" s="6">
        <v>0.4</v>
      </c>
    </row>
    <row r="3278" spans="1:14" ht="15.75" customHeight="1" x14ac:dyDescent="0.45">
      <c r="A3278" s="1" t="s">
        <v>119</v>
      </c>
      <c r="B3278" s="1">
        <v>1185732</v>
      </c>
      <c r="C3278" s="2">
        <v>44748</v>
      </c>
      <c r="D3278" s="1" t="s">
        <v>11</v>
      </c>
      <c r="E3278" s="1" t="s">
        <v>105</v>
      </c>
      <c r="F3278" s="1" t="s">
        <v>106</v>
      </c>
      <c r="G3278" s="1" t="s">
        <v>13</v>
      </c>
      <c r="H3278" s="1">
        <v>53</v>
      </c>
      <c r="I3278" s="1" t="s">
        <v>126</v>
      </c>
      <c r="J3278" s="3">
        <v>0.49999999999999994</v>
      </c>
      <c r="K3278" s="4">
        <v>6250</v>
      </c>
      <c r="L3278" s="5">
        <f t="shared" si="26"/>
        <v>3124.9999999999995</v>
      </c>
      <c r="M3278" s="5">
        <f t="shared" si="27"/>
        <v>1093.7499999999998</v>
      </c>
      <c r="N3278" s="6">
        <v>0.35</v>
      </c>
    </row>
    <row r="3279" spans="1:14" ht="15.75" customHeight="1" x14ac:dyDescent="0.45">
      <c r="A3279" s="1" t="s">
        <v>119</v>
      </c>
      <c r="B3279" s="1">
        <v>1185732</v>
      </c>
      <c r="C3279" s="2">
        <v>44748</v>
      </c>
      <c r="D3279" s="1" t="s">
        <v>11</v>
      </c>
      <c r="E3279" s="1" t="s">
        <v>105</v>
      </c>
      <c r="F3279" s="1" t="s">
        <v>106</v>
      </c>
      <c r="G3279" s="1" t="s">
        <v>14</v>
      </c>
      <c r="H3279" s="1">
        <v>34</v>
      </c>
      <c r="I3279" s="1" t="s">
        <v>125</v>
      </c>
      <c r="J3279" s="3">
        <v>0.45</v>
      </c>
      <c r="K3279" s="4">
        <v>3750</v>
      </c>
      <c r="L3279" s="5">
        <f t="shared" si="26"/>
        <v>1687.5</v>
      </c>
      <c r="M3279" s="5">
        <f t="shared" si="27"/>
        <v>590.625</v>
      </c>
      <c r="N3279" s="6">
        <v>0.35</v>
      </c>
    </row>
    <row r="3280" spans="1:14" ht="15.75" customHeight="1" x14ac:dyDescent="0.45">
      <c r="A3280" s="1" t="s">
        <v>119</v>
      </c>
      <c r="B3280" s="1">
        <v>1185732</v>
      </c>
      <c r="C3280" s="2">
        <v>44748</v>
      </c>
      <c r="D3280" s="1" t="s">
        <v>11</v>
      </c>
      <c r="E3280" s="1" t="s">
        <v>105</v>
      </c>
      <c r="F3280" s="1" t="s">
        <v>106</v>
      </c>
      <c r="G3280" s="1" t="s">
        <v>15</v>
      </c>
      <c r="H3280" s="1">
        <v>16</v>
      </c>
      <c r="I3280" s="1" t="s">
        <v>123</v>
      </c>
      <c r="J3280" s="3">
        <v>0.4</v>
      </c>
      <c r="K3280" s="4">
        <v>3000</v>
      </c>
      <c r="L3280" s="5">
        <f t="shared" si="26"/>
        <v>1200</v>
      </c>
      <c r="M3280" s="5">
        <f t="shared" si="27"/>
        <v>480</v>
      </c>
      <c r="N3280" s="6">
        <v>0.4</v>
      </c>
    </row>
    <row r="3281" spans="1:14" ht="15.75" customHeight="1" x14ac:dyDescent="0.45">
      <c r="A3281" s="1" t="s">
        <v>119</v>
      </c>
      <c r="B3281" s="1">
        <v>1185732</v>
      </c>
      <c r="C3281" s="2">
        <v>44748</v>
      </c>
      <c r="D3281" s="1" t="s">
        <v>11</v>
      </c>
      <c r="E3281" s="1" t="s">
        <v>105</v>
      </c>
      <c r="F3281" s="1" t="s">
        <v>106</v>
      </c>
      <c r="G3281" s="1" t="s">
        <v>16</v>
      </c>
      <c r="H3281" s="1">
        <v>50</v>
      </c>
      <c r="I3281" s="1" t="s">
        <v>123</v>
      </c>
      <c r="J3281" s="3">
        <v>0.4</v>
      </c>
      <c r="K3281" s="4">
        <v>2500</v>
      </c>
      <c r="L3281" s="5">
        <f t="shared" si="26"/>
        <v>1000</v>
      </c>
      <c r="M3281" s="5">
        <f t="shared" si="27"/>
        <v>400</v>
      </c>
      <c r="N3281" s="6">
        <v>0.4</v>
      </c>
    </row>
    <row r="3282" spans="1:14" ht="15.75" customHeight="1" x14ac:dyDescent="0.45">
      <c r="A3282" s="1" t="s">
        <v>119</v>
      </c>
      <c r="B3282" s="1">
        <v>1185732</v>
      </c>
      <c r="C3282" s="2">
        <v>44748</v>
      </c>
      <c r="D3282" s="1" t="s">
        <v>11</v>
      </c>
      <c r="E3282" s="1" t="s">
        <v>105</v>
      </c>
      <c r="F3282" s="1" t="s">
        <v>106</v>
      </c>
      <c r="G3282" s="1" t="s">
        <v>17</v>
      </c>
      <c r="H3282" s="1">
        <v>60</v>
      </c>
      <c r="I3282" s="1" t="s">
        <v>125</v>
      </c>
      <c r="J3282" s="3">
        <v>0.49999999999999994</v>
      </c>
      <c r="K3282" s="4">
        <v>2750</v>
      </c>
      <c r="L3282" s="5">
        <f t="shared" si="26"/>
        <v>1374.9999999999998</v>
      </c>
      <c r="M3282" s="5">
        <f t="shared" si="27"/>
        <v>412.49999999999994</v>
      </c>
      <c r="N3282" s="6">
        <v>0.3</v>
      </c>
    </row>
    <row r="3283" spans="1:14" ht="15.75" customHeight="1" x14ac:dyDescent="0.45">
      <c r="A3283" s="1" t="s">
        <v>119</v>
      </c>
      <c r="B3283" s="1">
        <v>1185732</v>
      </c>
      <c r="C3283" s="2">
        <v>44748</v>
      </c>
      <c r="D3283" s="1" t="s">
        <v>11</v>
      </c>
      <c r="E3283" s="1" t="s">
        <v>105</v>
      </c>
      <c r="F3283" s="1" t="s">
        <v>106</v>
      </c>
      <c r="G3283" s="1" t="s">
        <v>18</v>
      </c>
      <c r="H3283" s="1">
        <v>40</v>
      </c>
      <c r="I3283" s="1" t="s">
        <v>125</v>
      </c>
      <c r="J3283" s="3">
        <v>0.54999999999999993</v>
      </c>
      <c r="K3283" s="4">
        <v>4500</v>
      </c>
      <c r="L3283" s="5">
        <f t="shared" si="26"/>
        <v>2474.9999999999995</v>
      </c>
      <c r="M3283" s="5">
        <f t="shared" si="27"/>
        <v>989.99999999999989</v>
      </c>
      <c r="N3283" s="6">
        <v>0.4</v>
      </c>
    </row>
    <row r="3284" spans="1:14" ht="15.75" customHeight="1" x14ac:dyDescent="0.45">
      <c r="A3284" s="1" t="s">
        <v>119</v>
      </c>
      <c r="B3284" s="1">
        <v>1185732</v>
      </c>
      <c r="C3284" s="2">
        <v>44780</v>
      </c>
      <c r="D3284" s="1" t="s">
        <v>11</v>
      </c>
      <c r="E3284" s="1" t="s">
        <v>105</v>
      </c>
      <c r="F3284" s="1" t="s">
        <v>106</v>
      </c>
      <c r="G3284" s="1" t="s">
        <v>13</v>
      </c>
      <c r="H3284" s="1">
        <v>20</v>
      </c>
      <c r="I3284" s="1" t="s">
        <v>125</v>
      </c>
      <c r="J3284" s="3">
        <v>0.49999999999999994</v>
      </c>
      <c r="K3284" s="4">
        <v>6000</v>
      </c>
      <c r="L3284" s="5">
        <f t="shared" si="26"/>
        <v>2999.9999999999995</v>
      </c>
      <c r="M3284" s="5">
        <f t="shared" si="27"/>
        <v>1049.9999999999998</v>
      </c>
      <c r="N3284" s="6">
        <v>0.35</v>
      </c>
    </row>
    <row r="3285" spans="1:14" ht="15.75" customHeight="1" x14ac:dyDescent="0.45">
      <c r="A3285" s="1" t="s">
        <v>119</v>
      </c>
      <c r="B3285" s="1">
        <v>1185732</v>
      </c>
      <c r="C3285" s="2">
        <v>44780</v>
      </c>
      <c r="D3285" s="1" t="s">
        <v>11</v>
      </c>
      <c r="E3285" s="1" t="s">
        <v>105</v>
      </c>
      <c r="F3285" s="1" t="s">
        <v>106</v>
      </c>
      <c r="G3285" s="1" t="s">
        <v>14</v>
      </c>
      <c r="H3285" s="1">
        <v>41</v>
      </c>
      <c r="I3285" s="1" t="s">
        <v>123</v>
      </c>
      <c r="J3285" s="3">
        <v>0.45</v>
      </c>
      <c r="K3285" s="4">
        <v>3750</v>
      </c>
      <c r="L3285" s="5">
        <f t="shared" si="26"/>
        <v>1687.5</v>
      </c>
      <c r="M3285" s="5">
        <f t="shared" si="27"/>
        <v>590.625</v>
      </c>
      <c r="N3285" s="6">
        <v>0.35</v>
      </c>
    </row>
    <row r="3286" spans="1:14" ht="15.75" customHeight="1" x14ac:dyDescent="0.45">
      <c r="A3286" s="1" t="s">
        <v>119</v>
      </c>
      <c r="B3286" s="1">
        <v>1185732</v>
      </c>
      <c r="C3286" s="2">
        <v>44780</v>
      </c>
      <c r="D3286" s="1" t="s">
        <v>11</v>
      </c>
      <c r="E3286" s="1" t="s">
        <v>105</v>
      </c>
      <c r="F3286" s="1" t="s">
        <v>106</v>
      </c>
      <c r="G3286" s="1" t="s">
        <v>15</v>
      </c>
      <c r="H3286" s="1">
        <v>45</v>
      </c>
      <c r="I3286" s="1" t="s">
        <v>124</v>
      </c>
      <c r="J3286" s="3">
        <v>0.4</v>
      </c>
      <c r="K3286" s="4">
        <v>3000</v>
      </c>
      <c r="L3286" s="5">
        <f t="shared" si="26"/>
        <v>1200</v>
      </c>
      <c r="M3286" s="5">
        <f t="shared" si="27"/>
        <v>480</v>
      </c>
      <c r="N3286" s="6">
        <v>0.4</v>
      </c>
    </row>
    <row r="3287" spans="1:14" ht="15.75" customHeight="1" x14ac:dyDescent="0.45">
      <c r="A3287" s="1" t="s">
        <v>119</v>
      </c>
      <c r="B3287" s="1">
        <v>1185732</v>
      </c>
      <c r="C3287" s="2">
        <v>44780</v>
      </c>
      <c r="D3287" s="1" t="s">
        <v>11</v>
      </c>
      <c r="E3287" s="1" t="s">
        <v>105</v>
      </c>
      <c r="F3287" s="1" t="s">
        <v>106</v>
      </c>
      <c r="G3287" s="1" t="s">
        <v>16</v>
      </c>
      <c r="H3287" s="1">
        <v>17</v>
      </c>
      <c r="I3287" s="1" t="s">
        <v>124</v>
      </c>
      <c r="J3287" s="3">
        <v>0.4</v>
      </c>
      <c r="K3287" s="4">
        <v>2000</v>
      </c>
      <c r="L3287" s="5">
        <f t="shared" si="26"/>
        <v>800</v>
      </c>
      <c r="M3287" s="5">
        <f t="shared" si="27"/>
        <v>320</v>
      </c>
      <c r="N3287" s="6">
        <v>0.4</v>
      </c>
    </row>
    <row r="3288" spans="1:14" ht="15.75" customHeight="1" x14ac:dyDescent="0.45">
      <c r="A3288" s="1" t="s">
        <v>119</v>
      </c>
      <c r="B3288" s="1">
        <v>1185732</v>
      </c>
      <c r="C3288" s="2">
        <v>44780</v>
      </c>
      <c r="D3288" s="1" t="s">
        <v>11</v>
      </c>
      <c r="E3288" s="1" t="s">
        <v>105</v>
      </c>
      <c r="F3288" s="1" t="s">
        <v>106</v>
      </c>
      <c r="G3288" s="1" t="s">
        <v>17</v>
      </c>
      <c r="H3288" s="1">
        <v>16</v>
      </c>
      <c r="I3288" s="1" t="s">
        <v>123</v>
      </c>
      <c r="J3288" s="3">
        <v>0.49999999999999994</v>
      </c>
      <c r="K3288" s="4">
        <v>1750</v>
      </c>
      <c r="L3288" s="5">
        <f t="shared" si="26"/>
        <v>874.99999999999989</v>
      </c>
      <c r="M3288" s="5">
        <f t="shared" si="27"/>
        <v>262.49999999999994</v>
      </c>
      <c r="N3288" s="6">
        <v>0.3</v>
      </c>
    </row>
    <row r="3289" spans="1:14" ht="15.75" customHeight="1" x14ac:dyDescent="0.45">
      <c r="A3289" s="1" t="s">
        <v>119</v>
      </c>
      <c r="B3289" s="1">
        <v>1185732</v>
      </c>
      <c r="C3289" s="2">
        <v>44780</v>
      </c>
      <c r="D3289" s="1" t="s">
        <v>11</v>
      </c>
      <c r="E3289" s="1" t="s">
        <v>105</v>
      </c>
      <c r="F3289" s="1" t="s">
        <v>106</v>
      </c>
      <c r="G3289" s="1" t="s">
        <v>18</v>
      </c>
      <c r="H3289" s="1">
        <v>51</v>
      </c>
      <c r="I3289" s="1" t="s">
        <v>125</v>
      </c>
      <c r="J3289" s="3">
        <v>0.54999999999999993</v>
      </c>
      <c r="K3289" s="4">
        <v>3500</v>
      </c>
      <c r="L3289" s="5">
        <f t="shared" si="26"/>
        <v>1924.9999999999998</v>
      </c>
      <c r="M3289" s="5">
        <f t="shared" si="27"/>
        <v>770</v>
      </c>
      <c r="N3289" s="6">
        <v>0.4</v>
      </c>
    </row>
    <row r="3290" spans="1:14" ht="15.75" customHeight="1" x14ac:dyDescent="0.45">
      <c r="A3290" s="1" t="s">
        <v>119</v>
      </c>
      <c r="B3290" s="1">
        <v>1185732</v>
      </c>
      <c r="C3290" s="2">
        <v>44810</v>
      </c>
      <c r="D3290" s="1" t="s">
        <v>11</v>
      </c>
      <c r="E3290" s="1" t="s">
        <v>105</v>
      </c>
      <c r="F3290" s="1" t="s">
        <v>106</v>
      </c>
      <c r="G3290" s="1" t="s">
        <v>13</v>
      </c>
      <c r="H3290" s="1">
        <v>33</v>
      </c>
      <c r="I3290" s="1" t="s">
        <v>125</v>
      </c>
      <c r="J3290" s="3">
        <v>0.49999999999999994</v>
      </c>
      <c r="K3290" s="4">
        <v>4750</v>
      </c>
      <c r="L3290" s="5">
        <f t="shared" si="26"/>
        <v>2374.9999999999995</v>
      </c>
      <c r="M3290" s="5">
        <f t="shared" si="27"/>
        <v>831.24999999999977</v>
      </c>
      <c r="N3290" s="6">
        <v>0.35</v>
      </c>
    </row>
    <row r="3291" spans="1:14" ht="15.75" customHeight="1" x14ac:dyDescent="0.45">
      <c r="A3291" s="1" t="s">
        <v>119</v>
      </c>
      <c r="B3291" s="1">
        <v>1185732</v>
      </c>
      <c r="C3291" s="2">
        <v>44810</v>
      </c>
      <c r="D3291" s="1" t="s">
        <v>11</v>
      </c>
      <c r="E3291" s="1" t="s">
        <v>105</v>
      </c>
      <c r="F3291" s="1" t="s">
        <v>106</v>
      </c>
      <c r="G3291" s="1" t="s">
        <v>14</v>
      </c>
      <c r="H3291" s="1">
        <v>25</v>
      </c>
      <c r="I3291" s="1" t="s">
        <v>124</v>
      </c>
      <c r="J3291" s="3">
        <v>0.45</v>
      </c>
      <c r="K3291" s="4">
        <v>2750</v>
      </c>
      <c r="L3291" s="5">
        <f t="shared" si="26"/>
        <v>1237.5</v>
      </c>
      <c r="M3291" s="5">
        <f t="shared" si="27"/>
        <v>433.125</v>
      </c>
      <c r="N3291" s="6">
        <v>0.35</v>
      </c>
    </row>
    <row r="3292" spans="1:14" ht="15.75" customHeight="1" x14ac:dyDescent="0.45">
      <c r="A3292" s="1" t="s">
        <v>119</v>
      </c>
      <c r="B3292" s="1">
        <v>1185732</v>
      </c>
      <c r="C3292" s="2">
        <v>44810</v>
      </c>
      <c r="D3292" s="1" t="s">
        <v>11</v>
      </c>
      <c r="E3292" s="1" t="s">
        <v>105</v>
      </c>
      <c r="F3292" s="1" t="s">
        <v>106</v>
      </c>
      <c r="G3292" s="1" t="s">
        <v>15</v>
      </c>
      <c r="H3292" s="1">
        <v>25</v>
      </c>
      <c r="I3292" s="1" t="s">
        <v>124</v>
      </c>
      <c r="J3292" s="3">
        <v>0.4</v>
      </c>
      <c r="K3292" s="4">
        <v>1750</v>
      </c>
      <c r="L3292" s="5">
        <f t="shared" si="26"/>
        <v>700</v>
      </c>
      <c r="M3292" s="5">
        <f t="shared" si="27"/>
        <v>280</v>
      </c>
      <c r="N3292" s="6">
        <v>0.4</v>
      </c>
    </row>
    <row r="3293" spans="1:14" ht="15.75" customHeight="1" x14ac:dyDescent="0.45">
      <c r="A3293" s="1" t="s">
        <v>119</v>
      </c>
      <c r="B3293" s="1">
        <v>1185732</v>
      </c>
      <c r="C3293" s="2">
        <v>44810</v>
      </c>
      <c r="D3293" s="1" t="s">
        <v>11</v>
      </c>
      <c r="E3293" s="1" t="s">
        <v>105</v>
      </c>
      <c r="F3293" s="1" t="s">
        <v>106</v>
      </c>
      <c r="G3293" s="1" t="s">
        <v>16</v>
      </c>
      <c r="H3293" s="1">
        <v>29</v>
      </c>
      <c r="I3293" s="1" t="s">
        <v>123</v>
      </c>
      <c r="J3293" s="3">
        <v>0.4</v>
      </c>
      <c r="K3293" s="4">
        <v>1500</v>
      </c>
      <c r="L3293" s="5">
        <f t="shared" si="26"/>
        <v>600</v>
      </c>
      <c r="M3293" s="5">
        <f t="shared" si="27"/>
        <v>240</v>
      </c>
      <c r="N3293" s="6">
        <v>0.4</v>
      </c>
    </row>
    <row r="3294" spans="1:14" ht="15.75" customHeight="1" x14ac:dyDescent="0.45">
      <c r="A3294" s="1" t="s">
        <v>119</v>
      </c>
      <c r="B3294" s="1">
        <v>1185732</v>
      </c>
      <c r="C3294" s="2">
        <v>44810</v>
      </c>
      <c r="D3294" s="1" t="s">
        <v>11</v>
      </c>
      <c r="E3294" s="1" t="s">
        <v>105</v>
      </c>
      <c r="F3294" s="1" t="s">
        <v>106</v>
      </c>
      <c r="G3294" s="1" t="s">
        <v>17</v>
      </c>
      <c r="H3294" s="1">
        <v>47</v>
      </c>
      <c r="I3294" s="1" t="s">
        <v>124</v>
      </c>
      <c r="J3294" s="3">
        <v>0.49999999999999994</v>
      </c>
      <c r="K3294" s="4">
        <v>1500</v>
      </c>
      <c r="L3294" s="5">
        <f t="shared" si="26"/>
        <v>749.99999999999989</v>
      </c>
      <c r="M3294" s="5">
        <f t="shared" si="27"/>
        <v>224.99999999999997</v>
      </c>
      <c r="N3294" s="6">
        <v>0.3</v>
      </c>
    </row>
    <row r="3295" spans="1:14" ht="15.75" customHeight="1" x14ac:dyDescent="0.45">
      <c r="A3295" s="1" t="s">
        <v>119</v>
      </c>
      <c r="B3295" s="1">
        <v>1185732</v>
      </c>
      <c r="C3295" s="2">
        <v>44810</v>
      </c>
      <c r="D3295" s="1" t="s">
        <v>11</v>
      </c>
      <c r="E3295" s="1" t="s">
        <v>105</v>
      </c>
      <c r="F3295" s="1" t="s">
        <v>106</v>
      </c>
      <c r="G3295" s="1" t="s">
        <v>18</v>
      </c>
      <c r="H3295" s="1">
        <v>34</v>
      </c>
      <c r="I3295" s="1" t="s">
        <v>124</v>
      </c>
      <c r="J3295" s="3">
        <v>0.54999999999999993</v>
      </c>
      <c r="K3295" s="4">
        <v>2500</v>
      </c>
      <c r="L3295" s="5">
        <f t="shared" si="26"/>
        <v>1374.9999999999998</v>
      </c>
      <c r="M3295" s="5">
        <f t="shared" si="27"/>
        <v>549.99999999999989</v>
      </c>
      <c r="N3295" s="6">
        <v>0.4</v>
      </c>
    </row>
    <row r="3296" spans="1:14" ht="15.75" customHeight="1" x14ac:dyDescent="0.45">
      <c r="A3296" s="1" t="s">
        <v>119</v>
      </c>
      <c r="B3296" s="1">
        <v>1185732</v>
      </c>
      <c r="C3296" s="2">
        <v>44842</v>
      </c>
      <c r="D3296" s="1" t="s">
        <v>11</v>
      </c>
      <c r="E3296" s="1" t="s">
        <v>105</v>
      </c>
      <c r="F3296" s="1" t="s">
        <v>106</v>
      </c>
      <c r="G3296" s="1" t="s">
        <v>13</v>
      </c>
      <c r="H3296" s="1">
        <v>35</v>
      </c>
      <c r="I3296" s="1" t="s">
        <v>126</v>
      </c>
      <c r="J3296" s="3">
        <v>0.54999999999999993</v>
      </c>
      <c r="K3296" s="4">
        <v>4250</v>
      </c>
      <c r="L3296" s="5">
        <f t="shared" si="26"/>
        <v>2337.4999999999995</v>
      </c>
      <c r="M3296" s="5">
        <f t="shared" si="27"/>
        <v>818.12499999999977</v>
      </c>
      <c r="N3296" s="6">
        <v>0.35</v>
      </c>
    </row>
    <row r="3297" spans="1:14" ht="15.75" customHeight="1" x14ac:dyDescent="0.45">
      <c r="A3297" s="1" t="s">
        <v>119</v>
      </c>
      <c r="B3297" s="1">
        <v>1185732</v>
      </c>
      <c r="C3297" s="2">
        <v>44842</v>
      </c>
      <c r="D3297" s="1" t="s">
        <v>11</v>
      </c>
      <c r="E3297" s="1" t="s">
        <v>105</v>
      </c>
      <c r="F3297" s="1" t="s">
        <v>106</v>
      </c>
      <c r="G3297" s="1" t="s">
        <v>14</v>
      </c>
      <c r="H3297" s="1">
        <v>32</v>
      </c>
      <c r="I3297" s="1" t="s">
        <v>123</v>
      </c>
      <c r="J3297" s="3">
        <v>0.5</v>
      </c>
      <c r="K3297" s="4">
        <v>2500</v>
      </c>
      <c r="L3297" s="5">
        <f t="shared" si="26"/>
        <v>1250</v>
      </c>
      <c r="M3297" s="5">
        <f t="shared" si="27"/>
        <v>437.5</v>
      </c>
      <c r="N3297" s="6">
        <v>0.35</v>
      </c>
    </row>
    <row r="3298" spans="1:14" ht="15.75" customHeight="1" x14ac:dyDescent="0.45">
      <c r="A3298" s="1" t="s">
        <v>119</v>
      </c>
      <c r="B3298" s="1">
        <v>1185732</v>
      </c>
      <c r="C3298" s="2">
        <v>44842</v>
      </c>
      <c r="D3298" s="1" t="s">
        <v>11</v>
      </c>
      <c r="E3298" s="1" t="s">
        <v>105</v>
      </c>
      <c r="F3298" s="1" t="s">
        <v>106</v>
      </c>
      <c r="G3298" s="1" t="s">
        <v>15</v>
      </c>
      <c r="H3298" s="1">
        <v>32</v>
      </c>
      <c r="I3298" s="1" t="s">
        <v>123</v>
      </c>
      <c r="J3298" s="3">
        <v>0.5</v>
      </c>
      <c r="K3298" s="4">
        <v>1500</v>
      </c>
      <c r="L3298" s="5">
        <f t="shared" si="26"/>
        <v>750</v>
      </c>
      <c r="M3298" s="5">
        <f t="shared" si="27"/>
        <v>300</v>
      </c>
      <c r="N3298" s="6">
        <v>0.4</v>
      </c>
    </row>
    <row r="3299" spans="1:14" ht="15.75" customHeight="1" x14ac:dyDescent="0.45">
      <c r="A3299" s="1" t="s">
        <v>119</v>
      </c>
      <c r="B3299" s="1">
        <v>1185732</v>
      </c>
      <c r="C3299" s="2">
        <v>44842</v>
      </c>
      <c r="D3299" s="1" t="s">
        <v>11</v>
      </c>
      <c r="E3299" s="1" t="s">
        <v>105</v>
      </c>
      <c r="F3299" s="1" t="s">
        <v>106</v>
      </c>
      <c r="G3299" s="1" t="s">
        <v>16</v>
      </c>
      <c r="H3299" s="1">
        <v>52</v>
      </c>
      <c r="I3299" s="1" t="s">
        <v>125</v>
      </c>
      <c r="J3299" s="3">
        <v>0.5</v>
      </c>
      <c r="K3299" s="4">
        <v>1250</v>
      </c>
      <c r="L3299" s="5">
        <f t="shared" si="26"/>
        <v>625</v>
      </c>
      <c r="M3299" s="5">
        <f t="shared" si="27"/>
        <v>250</v>
      </c>
      <c r="N3299" s="6">
        <v>0.4</v>
      </c>
    </row>
    <row r="3300" spans="1:14" ht="15.75" customHeight="1" x14ac:dyDescent="0.45">
      <c r="A3300" s="1" t="s">
        <v>119</v>
      </c>
      <c r="B3300" s="1">
        <v>1185732</v>
      </c>
      <c r="C3300" s="2">
        <v>44842</v>
      </c>
      <c r="D3300" s="1" t="s">
        <v>11</v>
      </c>
      <c r="E3300" s="1" t="s">
        <v>105</v>
      </c>
      <c r="F3300" s="1" t="s">
        <v>106</v>
      </c>
      <c r="G3300" s="1" t="s">
        <v>17</v>
      </c>
      <c r="H3300" s="1">
        <v>32</v>
      </c>
      <c r="I3300" s="1" t="s">
        <v>125</v>
      </c>
      <c r="J3300" s="3">
        <v>0.6</v>
      </c>
      <c r="K3300" s="4">
        <v>1250</v>
      </c>
      <c r="L3300" s="5">
        <f t="shared" si="26"/>
        <v>750</v>
      </c>
      <c r="M3300" s="5">
        <f t="shared" si="27"/>
        <v>225</v>
      </c>
      <c r="N3300" s="6">
        <v>0.3</v>
      </c>
    </row>
    <row r="3301" spans="1:14" ht="15.75" customHeight="1" x14ac:dyDescent="0.45">
      <c r="A3301" s="1" t="s">
        <v>119</v>
      </c>
      <c r="B3301" s="1">
        <v>1185732</v>
      </c>
      <c r="C3301" s="2">
        <v>44842</v>
      </c>
      <c r="D3301" s="1" t="s">
        <v>11</v>
      </c>
      <c r="E3301" s="1" t="s">
        <v>105</v>
      </c>
      <c r="F3301" s="1" t="s">
        <v>106</v>
      </c>
      <c r="G3301" s="1" t="s">
        <v>18</v>
      </c>
      <c r="H3301" s="1">
        <v>48</v>
      </c>
      <c r="I3301" s="1" t="s">
        <v>123</v>
      </c>
      <c r="J3301" s="3">
        <v>0.64999999999999991</v>
      </c>
      <c r="K3301" s="4">
        <v>2500</v>
      </c>
      <c r="L3301" s="5">
        <f t="shared" si="26"/>
        <v>1624.9999999999998</v>
      </c>
      <c r="M3301" s="5">
        <f t="shared" si="27"/>
        <v>650</v>
      </c>
      <c r="N3301" s="6">
        <v>0.4</v>
      </c>
    </row>
    <row r="3302" spans="1:14" ht="15.75" customHeight="1" x14ac:dyDescent="0.45">
      <c r="A3302" s="1" t="s">
        <v>119</v>
      </c>
      <c r="B3302" s="1">
        <v>1185732</v>
      </c>
      <c r="C3302" s="2">
        <v>44872</v>
      </c>
      <c r="D3302" s="1" t="s">
        <v>11</v>
      </c>
      <c r="E3302" s="1" t="s">
        <v>105</v>
      </c>
      <c r="F3302" s="1" t="s">
        <v>106</v>
      </c>
      <c r="G3302" s="1" t="s">
        <v>13</v>
      </c>
      <c r="H3302" s="1">
        <v>57</v>
      </c>
      <c r="I3302" s="1" t="s">
        <v>125</v>
      </c>
      <c r="J3302" s="3">
        <v>0.6</v>
      </c>
      <c r="K3302" s="4">
        <v>4000</v>
      </c>
      <c r="L3302" s="5">
        <f t="shared" si="26"/>
        <v>2400</v>
      </c>
      <c r="M3302" s="5">
        <f t="shared" si="27"/>
        <v>840</v>
      </c>
      <c r="N3302" s="6">
        <v>0.35</v>
      </c>
    </row>
    <row r="3303" spans="1:14" ht="15.75" customHeight="1" x14ac:dyDescent="0.45">
      <c r="A3303" s="1" t="s">
        <v>119</v>
      </c>
      <c r="B3303" s="1">
        <v>1185732</v>
      </c>
      <c r="C3303" s="2">
        <v>44872</v>
      </c>
      <c r="D3303" s="1" t="s">
        <v>11</v>
      </c>
      <c r="E3303" s="1" t="s">
        <v>105</v>
      </c>
      <c r="F3303" s="1" t="s">
        <v>106</v>
      </c>
      <c r="G3303" s="1" t="s">
        <v>14</v>
      </c>
      <c r="H3303" s="1">
        <v>50</v>
      </c>
      <c r="I3303" s="1" t="s">
        <v>125</v>
      </c>
      <c r="J3303" s="3">
        <v>0.5</v>
      </c>
      <c r="K3303" s="4">
        <v>2750</v>
      </c>
      <c r="L3303" s="5">
        <f t="shared" si="26"/>
        <v>1375</v>
      </c>
      <c r="M3303" s="5">
        <f t="shared" si="27"/>
        <v>481.24999999999994</v>
      </c>
      <c r="N3303" s="6">
        <v>0.35</v>
      </c>
    </row>
    <row r="3304" spans="1:14" ht="15.75" customHeight="1" x14ac:dyDescent="0.45">
      <c r="A3304" s="1" t="s">
        <v>119</v>
      </c>
      <c r="B3304" s="1">
        <v>1185732</v>
      </c>
      <c r="C3304" s="2">
        <v>44872</v>
      </c>
      <c r="D3304" s="1" t="s">
        <v>11</v>
      </c>
      <c r="E3304" s="1" t="s">
        <v>105</v>
      </c>
      <c r="F3304" s="1" t="s">
        <v>106</v>
      </c>
      <c r="G3304" s="1" t="s">
        <v>15</v>
      </c>
      <c r="H3304" s="1">
        <v>42</v>
      </c>
      <c r="I3304" s="1" t="s">
        <v>126</v>
      </c>
      <c r="J3304" s="3">
        <v>0.5</v>
      </c>
      <c r="K3304" s="4">
        <v>2700</v>
      </c>
      <c r="L3304" s="5">
        <f t="shared" si="26"/>
        <v>1350</v>
      </c>
      <c r="M3304" s="5">
        <f t="shared" si="27"/>
        <v>540</v>
      </c>
      <c r="N3304" s="6">
        <v>0.4</v>
      </c>
    </row>
    <row r="3305" spans="1:14" ht="15.75" customHeight="1" x14ac:dyDescent="0.45">
      <c r="A3305" s="1" t="s">
        <v>119</v>
      </c>
      <c r="B3305" s="1">
        <v>1185732</v>
      </c>
      <c r="C3305" s="2">
        <v>44872</v>
      </c>
      <c r="D3305" s="1" t="s">
        <v>11</v>
      </c>
      <c r="E3305" s="1" t="s">
        <v>105</v>
      </c>
      <c r="F3305" s="1" t="s">
        <v>106</v>
      </c>
      <c r="G3305" s="1" t="s">
        <v>16</v>
      </c>
      <c r="H3305" s="1">
        <v>49</v>
      </c>
      <c r="I3305" s="1" t="s">
        <v>124</v>
      </c>
      <c r="J3305" s="3">
        <v>0.5</v>
      </c>
      <c r="K3305" s="4">
        <v>2500</v>
      </c>
      <c r="L3305" s="5">
        <f t="shared" si="26"/>
        <v>1250</v>
      </c>
      <c r="M3305" s="5">
        <f t="shared" si="27"/>
        <v>500</v>
      </c>
      <c r="N3305" s="6">
        <v>0.4</v>
      </c>
    </row>
    <row r="3306" spans="1:14" ht="15.75" customHeight="1" x14ac:dyDescent="0.45">
      <c r="A3306" s="1" t="s">
        <v>119</v>
      </c>
      <c r="B3306" s="1">
        <v>1185732</v>
      </c>
      <c r="C3306" s="2">
        <v>44872</v>
      </c>
      <c r="D3306" s="1" t="s">
        <v>11</v>
      </c>
      <c r="E3306" s="1" t="s">
        <v>105</v>
      </c>
      <c r="F3306" s="1" t="s">
        <v>106</v>
      </c>
      <c r="G3306" s="1" t="s">
        <v>17</v>
      </c>
      <c r="H3306" s="1">
        <v>60</v>
      </c>
      <c r="I3306" s="1" t="s">
        <v>126</v>
      </c>
      <c r="J3306" s="3">
        <v>0.6</v>
      </c>
      <c r="K3306" s="4">
        <v>2250</v>
      </c>
      <c r="L3306" s="5">
        <f t="shared" si="26"/>
        <v>1350</v>
      </c>
      <c r="M3306" s="5">
        <f t="shared" si="27"/>
        <v>405</v>
      </c>
      <c r="N3306" s="6">
        <v>0.3</v>
      </c>
    </row>
    <row r="3307" spans="1:14" ht="15.75" customHeight="1" x14ac:dyDescent="0.45">
      <c r="A3307" s="1" t="s">
        <v>119</v>
      </c>
      <c r="B3307" s="1">
        <v>1185732</v>
      </c>
      <c r="C3307" s="2">
        <v>44872</v>
      </c>
      <c r="D3307" s="1" t="s">
        <v>11</v>
      </c>
      <c r="E3307" s="1" t="s">
        <v>105</v>
      </c>
      <c r="F3307" s="1" t="s">
        <v>106</v>
      </c>
      <c r="G3307" s="1" t="s">
        <v>18</v>
      </c>
      <c r="H3307" s="1">
        <v>58</v>
      </c>
      <c r="I3307" s="1" t="s">
        <v>125</v>
      </c>
      <c r="J3307" s="3">
        <v>0.64999999999999991</v>
      </c>
      <c r="K3307" s="4">
        <v>3250</v>
      </c>
      <c r="L3307" s="5">
        <f t="shared" si="26"/>
        <v>2112.4999999999995</v>
      </c>
      <c r="M3307" s="5">
        <f t="shared" si="27"/>
        <v>844.99999999999989</v>
      </c>
      <c r="N3307" s="6">
        <v>0.4</v>
      </c>
    </row>
    <row r="3308" spans="1:14" ht="15.75" customHeight="1" x14ac:dyDescent="0.45">
      <c r="A3308" s="1" t="s">
        <v>119</v>
      </c>
      <c r="B3308" s="1">
        <v>1185732</v>
      </c>
      <c r="C3308" s="2">
        <v>44901</v>
      </c>
      <c r="D3308" s="1" t="s">
        <v>11</v>
      </c>
      <c r="E3308" s="1" t="s">
        <v>105</v>
      </c>
      <c r="F3308" s="1" t="s">
        <v>106</v>
      </c>
      <c r="G3308" s="1" t="s">
        <v>13</v>
      </c>
      <c r="H3308" s="1">
        <v>59</v>
      </c>
      <c r="I3308" s="1" t="s">
        <v>123</v>
      </c>
      <c r="J3308" s="3">
        <v>0.6</v>
      </c>
      <c r="K3308" s="4">
        <v>5500</v>
      </c>
      <c r="L3308" s="5">
        <f t="shared" si="26"/>
        <v>3300</v>
      </c>
      <c r="M3308" s="5">
        <f t="shared" si="27"/>
        <v>1155</v>
      </c>
      <c r="N3308" s="6">
        <v>0.35</v>
      </c>
    </row>
    <row r="3309" spans="1:14" ht="15.75" customHeight="1" x14ac:dyDescent="0.45">
      <c r="A3309" s="1" t="s">
        <v>119</v>
      </c>
      <c r="B3309" s="1">
        <v>1185732</v>
      </c>
      <c r="C3309" s="2">
        <v>44901</v>
      </c>
      <c r="D3309" s="1" t="s">
        <v>11</v>
      </c>
      <c r="E3309" s="1" t="s">
        <v>105</v>
      </c>
      <c r="F3309" s="1" t="s">
        <v>106</v>
      </c>
      <c r="G3309" s="1" t="s">
        <v>14</v>
      </c>
      <c r="H3309" s="1">
        <v>39</v>
      </c>
      <c r="I3309" s="1" t="s">
        <v>123</v>
      </c>
      <c r="J3309" s="3">
        <v>0.5</v>
      </c>
      <c r="K3309" s="4">
        <v>3500</v>
      </c>
      <c r="L3309" s="5">
        <f t="shared" si="26"/>
        <v>1750</v>
      </c>
      <c r="M3309" s="5">
        <f t="shared" si="27"/>
        <v>612.5</v>
      </c>
      <c r="N3309" s="6">
        <v>0.35</v>
      </c>
    </row>
    <row r="3310" spans="1:14" ht="15.75" customHeight="1" x14ac:dyDescent="0.45">
      <c r="A3310" s="1" t="s">
        <v>119</v>
      </c>
      <c r="B3310" s="1">
        <v>1185732</v>
      </c>
      <c r="C3310" s="2">
        <v>44901</v>
      </c>
      <c r="D3310" s="1" t="s">
        <v>11</v>
      </c>
      <c r="E3310" s="1" t="s">
        <v>105</v>
      </c>
      <c r="F3310" s="1" t="s">
        <v>106</v>
      </c>
      <c r="G3310" s="1" t="s">
        <v>15</v>
      </c>
      <c r="H3310" s="1">
        <v>42</v>
      </c>
      <c r="I3310" s="1" t="s">
        <v>126</v>
      </c>
      <c r="J3310" s="3">
        <v>0.5</v>
      </c>
      <c r="K3310" s="4">
        <v>3250</v>
      </c>
      <c r="L3310" s="5">
        <f t="shared" si="26"/>
        <v>1625</v>
      </c>
      <c r="M3310" s="5">
        <f t="shared" si="27"/>
        <v>650</v>
      </c>
      <c r="N3310" s="6">
        <v>0.4</v>
      </c>
    </row>
    <row r="3311" spans="1:14" ht="15.75" customHeight="1" x14ac:dyDescent="0.45">
      <c r="A3311" s="1" t="s">
        <v>119</v>
      </c>
      <c r="B3311" s="1">
        <v>1185732</v>
      </c>
      <c r="C3311" s="2">
        <v>44901</v>
      </c>
      <c r="D3311" s="1" t="s">
        <v>11</v>
      </c>
      <c r="E3311" s="1" t="s">
        <v>105</v>
      </c>
      <c r="F3311" s="1" t="s">
        <v>106</v>
      </c>
      <c r="G3311" s="1" t="s">
        <v>16</v>
      </c>
      <c r="H3311" s="1">
        <v>43</v>
      </c>
      <c r="I3311" s="1" t="s">
        <v>126</v>
      </c>
      <c r="J3311" s="3">
        <v>0.5</v>
      </c>
      <c r="K3311" s="4">
        <v>2750</v>
      </c>
      <c r="L3311" s="5">
        <f t="shared" si="26"/>
        <v>1375</v>
      </c>
      <c r="M3311" s="5">
        <f t="shared" si="27"/>
        <v>550</v>
      </c>
      <c r="N3311" s="6">
        <v>0.4</v>
      </c>
    </row>
    <row r="3312" spans="1:14" ht="15.75" customHeight="1" x14ac:dyDescent="0.45">
      <c r="A3312" s="1" t="s">
        <v>119</v>
      </c>
      <c r="B3312" s="1">
        <v>1185732</v>
      </c>
      <c r="C3312" s="2">
        <v>44901</v>
      </c>
      <c r="D3312" s="1" t="s">
        <v>11</v>
      </c>
      <c r="E3312" s="1" t="s">
        <v>105</v>
      </c>
      <c r="F3312" s="1" t="s">
        <v>106</v>
      </c>
      <c r="G3312" s="1" t="s">
        <v>17</v>
      </c>
      <c r="H3312" s="1">
        <v>39</v>
      </c>
      <c r="I3312" s="1" t="s">
        <v>124</v>
      </c>
      <c r="J3312" s="3">
        <v>0.6</v>
      </c>
      <c r="K3312" s="4">
        <v>2750</v>
      </c>
      <c r="L3312" s="5">
        <f t="shared" si="26"/>
        <v>1650</v>
      </c>
      <c r="M3312" s="5">
        <f t="shared" si="27"/>
        <v>495</v>
      </c>
      <c r="N3312" s="6">
        <v>0.3</v>
      </c>
    </row>
    <row r="3313" spans="1:14" ht="15.75" customHeight="1" x14ac:dyDescent="0.45">
      <c r="A3313" s="1" t="s">
        <v>119</v>
      </c>
      <c r="B3313" s="1">
        <v>1185732</v>
      </c>
      <c r="C3313" s="2">
        <v>44901</v>
      </c>
      <c r="D3313" s="1" t="s">
        <v>11</v>
      </c>
      <c r="E3313" s="1" t="s">
        <v>105</v>
      </c>
      <c r="F3313" s="1" t="s">
        <v>106</v>
      </c>
      <c r="G3313" s="1" t="s">
        <v>18</v>
      </c>
      <c r="H3313" s="1">
        <v>27</v>
      </c>
      <c r="I3313" s="1" t="s">
        <v>125</v>
      </c>
      <c r="J3313" s="3">
        <v>0.64999999999999991</v>
      </c>
      <c r="K3313" s="4">
        <v>3750</v>
      </c>
      <c r="L3313" s="5">
        <f t="shared" si="26"/>
        <v>2437.4999999999995</v>
      </c>
      <c r="M3313" s="5">
        <f t="shared" si="27"/>
        <v>974.99999999999989</v>
      </c>
      <c r="N3313" s="6">
        <v>0.4</v>
      </c>
    </row>
    <row r="3314" spans="1:14" ht="15.75" customHeight="1" x14ac:dyDescent="0.45">
      <c r="A3314" s="1" t="s">
        <v>119</v>
      </c>
      <c r="B3314" s="1">
        <v>1185732</v>
      </c>
      <c r="C3314" s="2">
        <v>44568</v>
      </c>
      <c r="D3314" s="1" t="s">
        <v>11</v>
      </c>
      <c r="E3314" s="1" t="s">
        <v>107</v>
      </c>
      <c r="F3314" s="1" t="s">
        <v>108</v>
      </c>
      <c r="G3314" s="1" t="s">
        <v>13</v>
      </c>
      <c r="H3314" s="1">
        <v>15</v>
      </c>
      <c r="I3314" s="1" t="s">
        <v>125</v>
      </c>
      <c r="J3314" s="3">
        <v>0.4</v>
      </c>
      <c r="K3314" s="4">
        <v>5000</v>
      </c>
      <c r="L3314" s="5">
        <f t="shared" si="26"/>
        <v>2000</v>
      </c>
      <c r="M3314" s="5">
        <f t="shared" si="27"/>
        <v>800</v>
      </c>
      <c r="N3314" s="6">
        <v>0.4</v>
      </c>
    </row>
    <row r="3315" spans="1:14" ht="15.75" customHeight="1" x14ac:dyDescent="0.45">
      <c r="A3315" s="1" t="s">
        <v>119</v>
      </c>
      <c r="B3315" s="1">
        <v>1185732</v>
      </c>
      <c r="C3315" s="2">
        <v>44568</v>
      </c>
      <c r="D3315" s="1" t="s">
        <v>11</v>
      </c>
      <c r="E3315" s="1" t="s">
        <v>107</v>
      </c>
      <c r="F3315" s="1" t="s">
        <v>108</v>
      </c>
      <c r="G3315" s="1" t="s">
        <v>14</v>
      </c>
      <c r="H3315" s="1">
        <v>44</v>
      </c>
      <c r="I3315" s="1" t="s">
        <v>123</v>
      </c>
      <c r="J3315" s="3">
        <v>0.4</v>
      </c>
      <c r="K3315" s="4">
        <v>3000</v>
      </c>
      <c r="L3315" s="5">
        <f t="shared" si="26"/>
        <v>1200</v>
      </c>
      <c r="M3315" s="5">
        <f t="shared" si="27"/>
        <v>480</v>
      </c>
      <c r="N3315" s="6">
        <v>0.4</v>
      </c>
    </row>
    <row r="3316" spans="1:14" ht="15.75" customHeight="1" x14ac:dyDescent="0.45">
      <c r="A3316" s="1" t="s">
        <v>119</v>
      </c>
      <c r="B3316" s="1">
        <v>1185732</v>
      </c>
      <c r="C3316" s="2">
        <v>44568</v>
      </c>
      <c r="D3316" s="1" t="s">
        <v>11</v>
      </c>
      <c r="E3316" s="1" t="s">
        <v>107</v>
      </c>
      <c r="F3316" s="1" t="s">
        <v>108</v>
      </c>
      <c r="G3316" s="1" t="s">
        <v>15</v>
      </c>
      <c r="H3316" s="1">
        <v>33</v>
      </c>
      <c r="I3316" s="1" t="s">
        <v>124</v>
      </c>
      <c r="J3316" s="3">
        <v>0.30000000000000004</v>
      </c>
      <c r="K3316" s="4">
        <v>3000</v>
      </c>
      <c r="L3316" s="5">
        <f t="shared" si="26"/>
        <v>900.00000000000011</v>
      </c>
      <c r="M3316" s="5">
        <f t="shared" si="27"/>
        <v>270</v>
      </c>
      <c r="N3316" s="6">
        <v>0.3</v>
      </c>
    </row>
    <row r="3317" spans="1:14" ht="15.75" customHeight="1" x14ac:dyDescent="0.45">
      <c r="A3317" s="1" t="s">
        <v>119</v>
      </c>
      <c r="B3317" s="1">
        <v>1185732</v>
      </c>
      <c r="C3317" s="2">
        <v>44568</v>
      </c>
      <c r="D3317" s="1" t="s">
        <v>11</v>
      </c>
      <c r="E3317" s="1" t="s">
        <v>107</v>
      </c>
      <c r="F3317" s="1" t="s">
        <v>108</v>
      </c>
      <c r="G3317" s="1" t="s">
        <v>16</v>
      </c>
      <c r="H3317" s="1">
        <v>18</v>
      </c>
      <c r="I3317" s="1" t="s">
        <v>124</v>
      </c>
      <c r="J3317" s="3">
        <v>0.35</v>
      </c>
      <c r="K3317" s="4">
        <v>1500</v>
      </c>
      <c r="L3317" s="5">
        <f t="shared" si="26"/>
        <v>525</v>
      </c>
      <c r="M3317" s="5">
        <f t="shared" si="27"/>
        <v>157.5</v>
      </c>
      <c r="N3317" s="6">
        <v>0.3</v>
      </c>
    </row>
    <row r="3318" spans="1:14" ht="15.75" customHeight="1" x14ac:dyDescent="0.45">
      <c r="A3318" s="1" t="s">
        <v>119</v>
      </c>
      <c r="B3318" s="1">
        <v>1185732</v>
      </c>
      <c r="C3318" s="2">
        <v>44568</v>
      </c>
      <c r="D3318" s="1" t="s">
        <v>11</v>
      </c>
      <c r="E3318" s="1" t="s">
        <v>107</v>
      </c>
      <c r="F3318" s="1" t="s">
        <v>108</v>
      </c>
      <c r="G3318" s="1" t="s">
        <v>17</v>
      </c>
      <c r="H3318" s="1">
        <v>30</v>
      </c>
      <c r="I3318" s="1" t="s">
        <v>125</v>
      </c>
      <c r="J3318" s="3">
        <v>0.5</v>
      </c>
      <c r="K3318" s="4">
        <v>2000</v>
      </c>
      <c r="L3318" s="5">
        <f t="shared" si="26"/>
        <v>1000</v>
      </c>
      <c r="M3318" s="5">
        <f t="shared" si="27"/>
        <v>300</v>
      </c>
      <c r="N3318" s="6">
        <v>0.3</v>
      </c>
    </row>
    <row r="3319" spans="1:14" ht="15.75" customHeight="1" x14ac:dyDescent="0.45">
      <c r="A3319" s="1" t="s">
        <v>119</v>
      </c>
      <c r="B3319" s="1">
        <v>1185732</v>
      </c>
      <c r="C3319" s="2">
        <v>44568</v>
      </c>
      <c r="D3319" s="1" t="s">
        <v>11</v>
      </c>
      <c r="E3319" s="1" t="s">
        <v>107</v>
      </c>
      <c r="F3319" s="1" t="s">
        <v>108</v>
      </c>
      <c r="G3319" s="1" t="s">
        <v>18</v>
      </c>
      <c r="H3319" s="1">
        <v>55</v>
      </c>
      <c r="I3319" s="1" t="s">
        <v>124</v>
      </c>
      <c r="J3319" s="3">
        <v>0.4</v>
      </c>
      <c r="K3319" s="4">
        <v>3000</v>
      </c>
      <c r="L3319" s="5">
        <f t="shared" si="26"/>
        <v>1200</v>
      </c>
      <c r="M3319" s="5">
        <f t="shared" si="27"/>
        <v>420</v>
      </c>
      <c r="N3319" s="6">
        <v>0.35</v>
      </c>
    </row>
    <row r="3320" spans="1:14" ht="15.75" customHeight="1" x14ac:dyDescent="0.45">
      <c r="A3320" s="1" t="s">
        <v>119</v>
      </c>
      <c r="B3320" s="1">
        <v>1185732</v>
      </c>
      <c r="C3320" s="2">
        <v>44597</v>
      </c>
      <c r="D3320" s="1" t="s">
        <v>11</v>
      </c>
      <c r="E3320" s="1" t="s">
        <v>107</v>
      </c>
      <c r="F3320" s="1" t="s">
        <v>108</v>
      </c>
      <c r="G3320" s="1" t="s">
        <v>13</v>
      </c>
      <c r="H3320" s="1">
        <v>38</v>
      </c>
      <c r="I3320" s="1" t="s">
        <v>124</v>
      </c>
      <c r="J3320" s="3">
        <v>0.4</v>
      </c>
      <c r="K3320" s="4">
        <v>5500</v>
      </c>
      <c r="L3320" s="5">
        <f t="shared" si="26"/>
        <v>2200</v>
      </c>
      <c r="M3320" s="5">
        <f t="shared" si="27"/>
        <v>880</v>
      </c>
      <c r="N3320" s="6">
        <v>0.4</v>
      </c>
    </row>
    <row r="3321" spans="1:14" ht="15.75" customHeight="1" x14ac:dyDescent="0.45">
      <c r="A3321" s="1" t="s">
        <v>119</v>
      </c>
      <c r="B3321" s="1">
        <v>1185732</v>
      </c>
      <c r="C3321" s="2">
        <v>44597</v>
      </c>
      <c r="D3321" s="1" t="s">
        <v>11</v>
      </c>
      <c r="E3321" s="1" t="s">
        <v>107</v>
      </c>
      <c r="F3321" s="1" t="s">
        <v>108</v>
      </c>
      <c r="G3321" s="1" t="s">
        <v>14</v>
      </c>
      <c r="H3321" s="1">
        <v>54</v>
      </c>
      <c r="I3321" s="1" t="s">
        <v>124</v>
      </c>
      <c r="J3321" s="3">
        <v>0.4</v>
      </c>
      <c r="K3321" s="4">
        <v>2000</v>
      </c>
      <c r="L3321" s="5">
        <f t="shared" si="26"/>
        <v>800</v>
      </c>
      <c r="M3321" s="5">
        <f t="shared" si="27"/>
        <v>320</v>
      </c>
      <c r="N3321" s="6">
        <v>0.4</v>
      </c>
    </row>
    <row r="3322" spans="1:14" ht="15.75" customHeight="1" x14ac:dyDescent="0.45">
      <c r="A3322" s="1" t="s">
        <v>119</v>
      </c>
      <c r="B3322" s="1">
        <v>1185732</v>
      </c>
      <c r="C3322" s="2">
        <v>44597</v>
      </c>
      <c r="D3322" s="1" t="s">
        <v>11</v>
      </c>
      <c r="E3322" s="1" t="s">
        <v>107</v>
      </c>
      <c r="F3322" s="1" t="s">
        <v>108</v>
      </c>
      <c r="G3322" s="1" t="s">
        <v>15</v>
      </c>
      <c r="H3322" s="1">
        <v>58</v>
      </c>
      <c r="I3322" s="1" t="s">
        <v>125</v>
      </c>
      <c r="J3322" s="3">
        <v>0.30000000000000004</v>
      </c>
      <c r="K3322" s="4">
        <v>2500</v>
      </c>
      <c r="L3322" s="5">
        <f t="shared" si="26"/>
        <v>750.00000000000011</v>
      </c>
      <c r="M3322" s="5">
        <f t="shared" si="27"/>
        <v>225.00000000000003</v>
      </c>
      <c r="N3322" s="6">
        <v>0.3</v>
      </c>
    </row>
    <row r="3323" spans="1:14" ht="15.75" customHeight="1" x14ac:dyDescent="0.45">
      <c r="A3323" s="1" t="s">
        <v>119</v>
      </c>
      <c r="B3323" s="1">
        <v>1185732</v>
      </c>
      <c r="C3323" s="2">
        <v>44597</v>
      </c>
      <c r="D3323" s="1" t="s">
        <v>11</v>
      </c>
      <c r="E3323" s="1" t="s">
        <v>107</v>
      </c>
      <c r="F3323" s="1" t="s">
        <v>108</v>
      </c>
      <c r="G3323" s="1" t="s">
        <v>16</v>
      </c>
      <c r="H3323" s="1">
        <v>31</v>
      </c>
      <c r="I3323" s="1" t="s">
        <v>126</v>
      </c>
      <c r="J3323" s="3">
        <v>0.35</v>
      </c>
      <c r="K3323" s="4">
        <v>1250</v>
      </c>
      <c r="L3323" s="5">
        <f t="shared" si="26"/>
        <v>437.5</v>
      </c>
      <c r="M3323" s="5">
        <f t="shared" si="27"/>
        <v>131.25</v>
      </c>
      <c r="N3323" s="6">
        <v>0.3</v>
      </c>
    </row>
    <row r="3324" spans="1:14" ht="15.75" customHeight="1" x14ac:dyDescent="0.45">
      <c r="A3324" s="1" t="s">
        <v>119</v>
      </c>
      <c r="B3324" s="1">
        <v>1185732</v>
      </c>
      <c r="C3324" s="2">
        <v>44597</v>
      </c>
      <c r="D3324" s="1" t="s">
        <v>11</v>
      </c>
      <c r="E3324" s="1" t="s">
        <v>107</v>
      </c>
      <c r="F3324" s="1" t="s">
        <v>108</v>
      </c>
      <c r="G3324" s="1" t="s">
        <v>17</v>
      </c>
      <c r="H3324" s="1">
        <v>56</v>
      </c>
      <c r="I3324" s="1" t="s">
        <v>123</v>
      </c>
      <c r="J3324" s="3">
        <v>0.5</v>
      </c>
      <c r="K3324" s="4">
        <v>2000</v>
      </c>
      <c r="L3324" s="5">
        <f t="shared" si="26"/>
        <v>1000</v>
      </c>
      <c r="M3324" s="5">
        <f t="shared" si="27"/>
        <v>300</v>
      </c>
      <c r="N3324" s="6">
        <v>0.3</v>
      </c>
    </row>
    <row r="3325" spans="1:14" ht="15.75" customHeight="1" x14ac:dyDescent="0.45">
      <c r="A3325" s="1" t="s">
        <v>119</v>
      </c>
      <c r="B3325" s="1">
        <v>1185732</v>
      </c>
      <c r="C3325" s="2">
        <v>44597</v>
      </c>
      <c r="D3325" s="1" t="s">
        <v>11</v>
      </c>
      <c r="E3325" s="1" t="s">
        <v>107</v>
      </c>
      <c r="F3325" s="1" t="s">
        <v>108</v>
      </c>
      <c r="G3325" s="1" t="s">
        <v>18</v>
      </c>
      <c r="H3325" s="1">
        <v>20</v>
      </c>
      <c r="I3325" s="1" t="s">
        <v>125</v>
      </c>
      <c r="J3325" s="3">
        <v>0.4</v>
      </c>
      <c r="K3325" s="4">
        <v>3000</v>
      </c>
      <c r="L3325" s="5">
        <f t="shared" si="26"/>
        <v>1200</v>
      </c>
      <c r="M3325" s="5">
        <f t="shared" si="27"/>
        <v>420</v>
      </c>
      <c r="N3325" s="6">
        <v>0.35</v>
      </c>
    </row>
    <row r="3326" spans="1:14" ht="15.75" customHeight="1" x14ac:dyDescent="0.45">
      <c r="A3326" s="1" t="s">
        <v>119</v>
      </c>
      <c r="B3326" s="1">
        <v>1185732</v>
      </c>
      <c r="C3326" s="2">
        <v>44623</v>
      </c>
      <c r="D3326" s="1" t="s">
        <v>11</v>
      </c>
      <c r="E3326" s="1" t="s">
        <v>107</v>
      </c>
      <c r="F3326" s="1" t="s">
        <v>108</v>
      </c>
      <c r="G3326" s="1" t="s">
        <v>13</v>
      </c>
      <c r="H3326" s="1">
        <v>16</v>
      </c>
      <c r="I3326" s="1" t="s">
        <v>124</v>
      </c>
      <c r="J3326" s="3">
        <v>0.4</v>
      </c>
      <c r="K3326" s="4">
        <v>5200</v>
      </c>
      <c r="L3326" s="5">
        <f t="shared" si="26"/>
        <v>2080</v>
      </c>
      <c r="M3326" s="5">
        <f t="shared" si="27"/>
        <v>832</v>
      </c>
      <c r="N3326" s="6">
        <v>0.4</v>
      </c>
    </row>
    <row r="3327" spans="1:14" ht="15.75" customHeight="1" x14ac:dyDescent="0.45">
      <c r="A3327" s="1" t="s">
        <v>119</v>
      </c>
      <c r="B3327" s="1">
        <v>1185732</v>
      </c>
      <c r="C3327" s="2">
        <v>44623</v>
      </c>
      <c r="D3327" s="1" t="s">
        <v>11</v>
      </c>
      <c r="E3327" s="1" t="s">
        <v>107</v>
      </c>
      <c r="F3327" s="1" t="s">
        <v>108</v>
      </c>
      <c r="G3327" s="1" t="s">
        <v>14</v>
      </c>
      <c r="H3327" s="1">
        <v>27</v>
      </c>
      <c r="I3327" s="1" t="s">
        <v>125</v>
      </c>
      <c r="J3327" s="3">
        <v>0.4</v>
      </c>
      <c r="K3327" s="4">
        <v>2250</v>
      </c>
      <c r="L3327" s="5">
        <f t="shared" si="26"/>
        <v>900</v>
      </c>
      <c r="M3327" s="5">
        <f t="shared" si="27"/>
        <v>360</v>
      </c>
      <c r="N3327" s="6">
        <v>0.4</v>
      </c>
    </row>
    <row r="3328" spans="1:14" ht="15.75" customHeight="1" x14ac:dyDescent="0.45">
      <c r="A3328" s="1" t="s">
        <v>119</v>
      </c>
      <c r="B3328" s="1">
        <v>1185732</v>
      </c>
      <c r="C3328" s="2">
        <v>44623</v>
      </c>
      <c r="D3328" s="1" t="s">
        <v>11</v>
      </c>
      <c r="E3328" s="1" t="s">
        <v>107</v>
      </c>
      <c r="F3328" s="1" t="s">
        <v>108</v>
      </c>
      <c r="G3328" s="1" t="s">
        <v>15</v>
      </c>
      <c r="H3328" s="1">
        <v>29</v>
      </c>
      <c r="I3328" s="1" t="s">
        <v>124</v>
      </c>
      <c r="J3328" s="3">
        <v>0.30000000000000004</v>
      </c>
      <c r="K3328" s="4">
        <v>2500</v>
      </c>
      <c r="L3328" s="5">
        <f t="shared" si="26"/>
        <v>750.00000000000011</v>
      </c>
      <c r="M3328" s="5">
        <f t="shared" si="27"/>
        <v>225.00000000000003</v>
      </c>
      <c r="N3328" s="6">
        <v>0.3</v>
      </c>
    </row>
    <row r="3329" spans="1:14" ht="15.75" customHeight="1" x14ac:dyDescent="0.45">
      <c r="A3329" s="1" t="s">
        <v>119</v>
      </c>
      <c r="B3329" s="1">
        <v>1185732</v>
      </c>
      <c r="C3329" s="2">
        <v>44623</v>
      </c>
      <c r="D3329" s="1" t="s">
        <v>11</v>
      </c>
      <c r="E3329" s="1" t="s">
        <v>107</v>
      </c>
      <c r="F3329" s="1" t="s">
        <v>108</v>
      </c>
      <c r="G3329" s="1" t="s">
        <v>16</v>
      </c>
      <c r="H3329" s="1">
        <v>19</v>
      </c>
      <c r="I3329" s="1" t="s">
        <v>125</v>
      </c>
      <c r="J3329" s="3">
        <v>0.35</v>
      </c>
      <c r="K3329" s="4">
        <v>1000</v>
      </c>
      <c r="L3329" s="5">
        <f t="shared" si="26"/>
        <v>350</v>
      </c>
      <c r="M3329" s="5">
        <f t="shared" si="27"/>
        <v>105</v>
      </c>
      <c r="N3329" s="6">
        <v>0.3</v>
      </c>
    </row>
    <row r="3330" spans="1:14" ht="15.75" customHeight="1" x14ac:dyDescent="0.45">
      <c r="A3330" s="1" t="s">
        <v>119</v>
      </c>
      <c r="B3330" s="1">
        <v>1185732</v>
      </c>
      <c r="C3330" s="2">
        <v>44623</v>
      </c>
      <c r="D3330" s="1" t="s">
        <v>11</v>
      </c>
      <c r="E3330" s="1" t="s">
        <v>107</v>
      </c>
      <c r="F3330" s="1" t="s">
        <v>108</v>
      </c>
      <c r="G3330" s="1" t="s">
        <v>17</v>
      </c>
      <c r="H3330" s="1">
        <v>17</v>
      </c>
      <c r="I3330" s="1" t="s">
        <v>124</v>
      </c>
      <c r="J3330" s="3">
        <v>0.5</v>
      </c>
      <c r="K3330" s="4">
        <v>1500</v>
      </c>
      <c r="L3330" s="5">
        <f t="shared" si="26"/>
        <v>750</v>
      </c>
      <c r="M3330" s="5">
        <f t="shared" si="27"/>
        <v>225</v>
      </c>
      <c r="N3330" s="6">
        <v>0.3</v>
      </c>
    </row>
    <row r="3331" spans="1:14" ht="15.75" customHeight="1" x14ac:dyDescent="0.45">
      <c r="A3331" s="1" t="s">
        <v>119</v>
      </c>
      <c r="B3331" s="1">
        <v>1185732</v>
      </c>
      <c r="C3331" s="2">
        <v>44623</v>
      </c>
      <c r="D3331" s="1" t="s">
        <v>11</v>
      </c>
      <c r="E3331" s="1" t="s">
        <v>107</v>
      </c>
      <c r="F3331" s="1" t="s">
        <v>108</v>
      </c>
      <c r="G3331" s="1" t="s">
        <v>18</v>
      </c>
      <c r="H3331" s="1">
        <v>58</v>
      </c>
      <c r="I3331" s="1" t="s">
        <v>126</v>
      </c>
      <c r="J3331" s="3">
        <v>0.4</v>
      </c>
      <c r="K3331" s="4">
        <v>2500</v>
      </c>
      <c r="L3331" s="5">
        <f t="shared" si="26"/>
        <v>1000</v>
      </c>
      <c r="M3331" s="5">
        <f t="shared" si="27"/>
        <v>350</v>
      </c>
      <c r="N3331" s="6">
        <v>0.35</v>
      </c>
    </row>
    <row r="3332" spans="1:14" ht="15.75" customHeight="1" x14ac:dyDescent="0.45">
      <c r="A3332" s="1" t="s">
        <v>119</v>
      </c>
      <c r="B3332" s="1">
        <v>1185732</v>
      </c>
      <c r="C3332" s="2">
        <v>44655</v>
      </c>
      <c r="D3332" s="1" t="s">
        <v>11</v>
      </c>
      <c r="E3332" s="1" t="s">
        <v>107</v>
      </c>
      <c r="F3332" s="1" t="s">
        <v>108</v>
      </c>
      <c r="G3332" s="1" t="s">
        <v>13</v>
      </c>
      <c r="H3332" s="1">
        <v>51</v>
      </c>
      <c r="I3332" s="1" t="s">
        <v>124</v>
      </c>
      <c r="J3332" s="3">
        <v>0.4</v>
      </c>
      <c r="K3332" s="4">
        <v>5000</v>
      </c>
      <c r="L3332" s="5">
        <f t="shared" si="26"/>
        <v>2000</v>
      </c>
      <c r="M3332" s="5">
        <f t="shared" si="27"/>
        <v>800</v>
      </c>
      <c r="N3332" s="6">
        <v>0.4</v>
      </c>
    </row>
    <row r="3333" spans="1:14" ht="15.75" customHeight="1" x14ac:dyDescent="0.45">
      <c r="A3333" s="1" t="s">
        <v>119</v>
      </c>
      <c r="B3333" s="1">
        <v>1185732</v>
      </c>
      <c r="C3333" s="2">
        <v>44655</v>
      </c>
      <c r="D3333" s="1" t="s">
        <v>11</v>
      </c>
      <c r="E3333" s="1" t="s">
        <v>107</v>
      </c>
      <c r="F3333" s="1" t="s">
        <v>108</v>
      </c>
      <c r="G3333" s="1" t="s">
        <v>14</v>
      </c>
      <c r="H3333" s="1">
        <v>42</v>
      </c>
      <c r="I3333" s="1" t="s">
        <v>125</v>
      </c>
      <c r="J3333" s="3">
        <v>0.4</v>
      </c>
      <c r="K3333" s="4">
        <v>2000</v>
      </c>
      <c r="L3333" s="5">
        <f t="shared" si="26"/>
        <v>800</v>
      </c>
      <c r="M3333" s="5">
        <f t="shared" si="27"/>
        <v>320</v>
      </c>
      <c r="N3333" s="6">
        <v>0.4</v>
      </c>
    </row>
    <row r="3334" spans="1:14" ht="15.75" customHeight="1" x14ac:dyDescent="0.45">
      <c r="A3334" s="1" t="s">
        <v>119</v>
      </c>
      <c r="B3334" s="1">
        <v>1185732</v>
      </c>
      <c r="C3334" s="2">
        <v>44655</v>
      </c>
      <c r="D3334" s="1" t="s">
        <v>11</v>
      </c>
      <c r="E3334" s="1" t="s">
        <v>107</v>
      </c>
      <c r="F3334" s="1" t="s">
        <v>108</v>
      </c>
      <c r="G3334" s="1" t="s">
        <v>15</v>
      </c>
      <c r="H3334" s="1">
        <v>16</v>
      </c>
      <c r="I3334" s="1" t="s">
        <v>124</v>
      </c>
      <c r="J3334" s="3">
        <v>0.30000000000000004</v>
      </c>
      <c r="K3334" s="4">
        <v>2000</v>
      </c>
      <c r="L3334" s="5">
        <f t="shared" si="26"/>
        <v>600.00000000000011</v>
      </c>
      <c r="M3334" s="5">
        <f t="shared" si="27"/>
        <v>180.00000000000003</v>
      </c>
      <c r="N3334" s="6">
        <v>0.3</v>
      </c>
    </row>
    <row r="3335" spans="1:14" ht="15.75" customHeight="1" x14ac:dyDescent="0.45">
      <c r="A3335" s="1" t="s">
        <v>119</v>
      </c>
      <c r="B3335" s="1">
        <v>1185732</v>
      </c>
      <c r="C3335" s="2">
        <v>44655</v>
      </c>
      <c r="D3335" s="1" t="s">
        <v>11</v>
      </c>
      <c r="E3335" s="1" t="s">
        <v>107</v>
      </c>
      <c r="F3335" s="1" t="s">
        <v>108</v>
      </c>
      <c r="G3335" s="1" t="s">
        <v>16</v>
      </c>
      <c r="H3335" s="1">
        <v>20</v>
      </c>
      <c r="I3335" s="1" t="s">
        <v>126</v>
      </c>
      <c r="J3335" s="3">
        <v>0.35</v>
      </c>
      <c r="K3335" s="4">
        <v>1250</v>
      </c>
      <c r="L3335" s="5">
        <f t="shared" si="26"/>
        <v>437.5</v>
      </c>
      <c r="M3335" s="5">
        <f t="shared" si="27"/>
        <v>131.25</v>
      </c>
      <c r="N3335" s="6">
        <v>0.3</v>
      </c>
    </row>
    <row r="3336" spans="1:14" ht="15.75" customHeight="1" x14ac:dyDescent="0.45">
      <c r="A3336" s="1" t="s">
        <v>119</v>
      </c>
      <c r="B3336" s="1">
        <v>1185732</v>
      </c>
      <c r="C3336" s="2">
        <v>44655</v>
      </c>
      <c r="D3336" s="1" t="s">
        <v>11</v>
      </c>
      <c r="E3336" s="1" t="s">
        <v>107</v>
      </c>
      <c r="F3336" s="1" t="s">
        <v>108</v>
      </c>
      <c r="G3336" s="1" t="s">
        <v>17</v>
      </c>
      <c r="H3336" s="1">
        <v>27</v>
      </c>
      <c r="I3336" s="1" t="s">
        <v>125</v>
      </c>
      <c r="J3336" s="3">
        <v>0.5</v>
      </c>
      <c r="K3336" s="4">
        <v>1250</v>
      </c>
      <c r="L3336" s="5">
        <f t="shared" si="26"/>
        <v>625</v>
      </c>
      <c r="M3336" s="5">
        <f t="shared" si="27"/>
        <v>187.5</v>
      </c>
      <c r="N3336" s="6">
        <v>0.3</v>
      </c>
    </row>
    <row r="3337" spans="1:14" ht="15.75" customHeight="1" x14ac:dyDescent="0.45">
      <c r="A3337" s="1" t="s">
        <v>119</v>
      </c>
      <c r="B3337" s="1">
        <v>1185732</v>
      </c>
      <c r="C3337" s="2">
        <v>44655</v>
      </c>
      <c r="D3337" s="1" t="s">
        <v>11</v>
      </c>
      <c r="E3337" s="1" t="s">
        <v>107</v>
      </c>
      <c r="F3337" s="1" t="s">
        <v>108</v>
      </c>
      <c r="G3337" s="1" t="s">
        <v>18</v>
      </c>
      <c r="H3337" s="1">
        <v>41</v>
      </c>
      <c r="I3337" s="1" t="s">
        <v>124</v>
      </c>
      <c r="J3337" s="3">
        <v>0.4</v>
      </c>
      <c r="K3337" s="4">
        <v>2750</v>
      </c>
      <c r="L3337" s="5">
        <f t="shared" si="26"/>
        <v>1100</v>
      </c>
      <c r="M3337" s="5">
        <f t="shared" si="27"/>
        <v>385</v>
      </c>
      <c r="N3337" s="6">
        <v>0.35</v>
      </c>
    </row>
    <row r="3338" spans="1:14" ht="15.75" customHeight="1" x14ac:dyDescent="0.45">
      <c r="A3338" s="1" t="s">
        <v>119</v>
      </c>
      <c r="B3338" s="1">
        <v>1185732</v>
      </c>
      <c r="C3338" s="2">
        <v>44684</v>
      </c>
      <c r="D3338" s="1" t="s">
        <v>11</v>
      </c>
      <c r="E3338" s="1" t="s">
        <v>107</v>
      </c>
      <c r="F3338" s="1" t="s">
        <v>108</v>
      </c>
      <c r="G3338" s="1" t="s">
        <v>13</v>
      </c>
      <c r="H3338" s="1">
        <v>58</v>
      </c>
      <c r="I3338" s="1" t="s">
        <v>126</v>
      </c>
      <c r="J3338" s="3">
        <v>0.54999999999999993</v>
      </c>
      <c r="K3338" s="4">
        <v>5450</v>
      </c>
      <c r="L3338" s="5">
        <f t="shared" si="26"/>
        <v>2997.4999999999995</v>
      </c>
      <c r="M3338" s="5">
        <f t="shared" si="27"/>
        <v>1198.9999999999998</v>
      </c>
      <c r="N3338" s="6">
        <v>0.4</v>
      </c>
    </row>
    <row r="3339" spans="1:14" ht="15.75" customHeight="1" x14ac:dyDescent="0.45">
      <c r="A3339" s="1" t="s">
        <v>119</v>
      </c>
      <c r="B3339" s="1">
        <v>1185732</v>
      </c>
      <c r="C3339" s="2">
        <v>44684</v>
      </c>
      <c r="D3339" s="1" t="s">
        <v>11</v>
      </c>
      <c r="E3339" s="1" t="s">
        <v>107</v>
      </c>
      <c r="F3339" s="1" t="s">
        <v>108</v>
      </c>
      <c r="G3339" s="1" t="s">
        <v>14</v>
      </c>
      <c r="H3339" s="1">
        <v>18</v>
      </c>
      <c r="I3339" s="1" t="s">
        <v>123</v>
      </c>
      <c r="J3339" s="3">
        <v>0.5</v>
      </c>
      <c r="K3339" s="4">
        <v>2500</v>
      </c>
      <c r="L3339" s="5">
        <f t="shared" si="26"/>
        <v>1250</v>
      </c>
      <c r="M3339" s="5">
        <f t="shared" si="27"/>
        <v>500</v>
      </c>
      <c r="N3339" s="6">
        <v>0.4</v>
      </c>
    </row>
    <row r="3340" spans="1:14" ht="15.75" customHeight="1" x14ac:dyDescent="0.45">
      <c r="A3340" s="1" t="s">
        <v>119</v>
      </c>
      <c r="B3340" s="1">
        <v>1185732</v>
      </c>
      <c r="C3340" s="2">
        <v>44684</v>
      </c>
      <c r="D3340" s="1" t="s">
        <v>11</v>
      </c>
      <c r="E3340" s="1" t="s">
        <v>107</v>
      </c>
      <c r="F3340" s="1" t="s">
        <v>108</v>
      </c>
      <c r="G3340" s="1" t="s">
        <v>15</v>
      </c>
      <c r="H3340" s="1">
        <v>37</v>
      </c>
      <c r="I3340" s="1" t="s">
        <v>126</v>
      </c>
      <c r="J3340" s="3">
        <v>0.45</v>
      </c>
      <c r="K3340" s="4">
        <v>2750</v>
      </c>
      <c r="L3340" s="5">
        <f t="shared" si="26"/>
        <v>1237.5</v>
      </c>
      <c r="M3340" s="5">
        <f t="shared" si="27"/>
        <v>371.25</v>
      </c>
      <c r="N3340" s="6">
        <v>0.3</v>
      </c>
    </row>
    <row r="3341" spans="1:14" ht="15.75" customHeight="1" x14ac:dyDescent="0.45">
      <c r="A3341" s="1" t="s">
        <v>119</v>
      </c>
      <c r="B3341" s="1">
        <v>1185732</v>
      </c>
      <c r="C3341" s="2">
        <v>44684</v>
      </c>
      <c r="D3341" s="1" t="s">
        <v>11</v>
      </c>
      <c r="E3341" s="1" t="s">
        <v>107</v>
      </c>
      <c r="F3341" s="1" t="s">
        <v>108</v>
      </c>
      <c r="G3341" s="1" t="s">
        <v>16</v>
      </c>
      <c r="H3341" s="1">
        <v>16</v>
      </c>
      <c r="I3341" s="1" t="s">
        <v>124</v>
      </c>
      <c r="J3341" s="3">
        <v>0.45</v>
      </c>
      <c r="K3341" s="4">
        <v>2250</v>
      </c>
      <c r="L3341" s="5">
        <f t="shared" si="26"/>
        <v>1012.5</v>
      </c>
      <c r="M3341" s="5">
        <f t="shared" si="27"/>
        <v>303.75</v>
      </c>
      <c r="N3341" s="6">
        <v>0.3</v>
      </c>
    </row>
    <row r="3342" spans="1:14" ht="15.75" customHeight="1" x14ac:dyDescent="0.45">
      <c r="A3342" s="1" t="s">
        <v>119</v>
      </c>
      <c r="B3342" s="1">
        <v>1185732</v>
      </c>
      <c r="C3342" s="2">
        <v>44684</v>
      </c>
      <c r="D3342" s="1" t="s">
        <v>11</v>
      </c>
      <c r="E3342" s="1" t="s">
        <v>107</v>
      </c>
      <c r="F3342" s="1" t="s">
        <v>108</v>
      </c>
      <c r="G3342" s="1" t="s">
        <v>17</v>
      </c>
      <c r="H3342" s="1">
        <v>34</v>
      </c>
      <c r="I3342" s="1" t="s">
        <v>125</v>
      </c>
      <c r="J3342" s="3">
        <v>0.54999999999999993</v>
      </c>
      <c r="K3342" s="4">
        <v>2500</v>
      </c>
      <c r="L3342" s="5">
        <f t="shared" si="26"/>
        <v>1374.9999999999998</v>
      </c>
      <c r="M3342" s="5">
        <f t="shared" si="27"/>
        <v>412.49999999999994</v>
      </c>
      <c r="N3342" s="6">
        <v>0.3</v>
      </c>
    </row>
    <row r="3343" spans="1:14" ht="15.75" customHeight="1" x14ac:dyDescent="0.45">
      <c r="A3343" s="1" t="s">
        <v>119</v>
      </c>
      <c r="B3343" s="1">
        <v>1185732</v>
      </c>
      <c r="C3343" s="2">
        <v>44684</v>
      </c>
      <c r="D3343" s="1" t="s">
        <v>11</v>
      </c>
      <c r="E3343" s="1" t="s">
        <v>107</v>
      </c>
      <c r="F3343" s="1" t="s">
        <v>108</v>
      </c>
      <c r="G3343" s="1" t="s">
        <v>18</v>
      </c>
      <c r="H3343" s="1">
        <v>30</v>
      </c>
      <c r="I3343" s="1" t="s">
        <v>126</v>
      </c>
      <c r="J3343" s="3">
        <v>0.6</v>
      </c>
      <c r="K3343" s="4">
        <v>3750</v>
      </c>
      <c r="L3343" s="5">
        <f t="shared" si="26"/>
        <v>2250</v>
      </c>
      <c r="M3343" s="5">
        <f t="shared" si="27"/>
        <v>787.5</v>
      </c>
      <c r="N3343" s="6">
        <v>0.35</v>
      </c>
    </row>
    <row r="3344" spans="1:14" ht="15.75" customHeight="1" x14ac:dyDescent="0.45">
      <c r="A3344" s="1" t="s">
        <v>119</v>
      </c>
      <c r="B3344" s="1">
        <v>1185732</v>
      </c>
      <c r="C3344" s="2">
        <v>44717</v>
      </c>
      <c r="D3344" s="1" t="s">
        <v>11</v>
      </c>
      <c r="E3344" s="1" t="s">
        <v>107</v>
      </c>
      <c r="F3344" s="1" t="s">
        <v>108</v>
      </c>
      <c r="G3344" s="1" t="s">
        <v>13</v>
      </c>
      <c r="H3344" s="1">
        <v>32</v>
      </c>
      <c r="I3344" s="1" t="s">
        <v>125</v>
      </c>
      <c r="J3344" s="3">
        <v>0.54999999999999993</v>
      </c>
      <c r="K3344" s="4">
        <v>6250</v>
      </c>
      <c r="L3344" s="5">
        <f t="shared" si="26"/>
        <v>3437.4999999999995</v>
      </c>
      <c r="M3344" s="5">
        <f t="shared" si="27"/>
        <v>1375</v>
      </c>
      <c r="N3344" s="6">
        <v>0.4</v>
      </c>
    </row>
    <row r="3345" spans="1:14" ht="15.75" customHeight="1" x14ac:dyDescent="0.45">
      <c r="A3345" s="1" t="s">
        <v>119</v>
      </c>
      <c r="B3345" s="1">
        <v>1185732</v>
      </c>
      <c r="C3345" s="2">
        <v>44717</v>
      </c>
      <c r="D3345" s="1" t="s">
        <v>11</v>
      </c>
      <c r="E3345" s="1" t="s">
        <v>107</v>
      </c>
      <c r="F3345" s="1" t="s">
        <v>108</v>
      </c>
      <c r="G3345" s="1" t="s">
        <v>14</v>
      </c>
      <c r="H3345" s="1">
        <v>54</v>
      </c>
      <c r="I3345" s="1" t="s">
        <v>126</v>
      </c>
      <c r="J3345" s="3">
        <v>0.5</v>
      </c>
      <c r="K3345" s="4">
        <v>3750</v>
      </c>
      <c r="L3345" s="5">
        <f t="shared" si="26"/>
        <v>1875</v>
      </c>
      <c r="M3345" s="5">
        <f t="shared" si="27"/>
        <v>750</v>
      </c>
      <c r="N3345" s="6">
        <v>0.4</v>
      </c>
    </row>
    <row r="3346" spans="1:14" ht="15.75" customHeight="1" x14ac:dyDescent="0.45">
      <c r="A3346" s="1" t="s">
        <v>119</v>
      </c>
      <c r="B3346" s="1">
        <v>1185732</v>
      </c>
      <c r="C3346" s="2">
        <v>44717</v>
      </c>
      <c r="D3346" s="1" t="s">
        <v>11</v>
      </c>
      <c r="E3346" s="1" t="s">
        <v>107</v>
      </c>
      <c r="F3346" s="1" t="s">
        <v>108</v>
      </c>
      <c r="G3346" s="1" t="s">
        <v>15</v>
      </c>
      <c r="H3346" s="1">
        <v>44</v>
      </c>
      <c r="I3346" s="1" t="s">
        <v>124</v>
      </c>
      <c r="J3346" s="3">
        <v>0.45</v>
      </c>
      <c r="K3346" s="4">
        <v>3000</v>
      </c>
      <c r="L3346" s="5">
        <f t="shared" si="26"/>
        <v>1350</v>
      </c>
      <c r="M3346" s="5">
        <f t="shared" si="27"/>
        <v>405</v>
      </c>
      <c r="N3346" s="6">
        <v>0.3</v>
      </c>
    </row>
    <row r="3347" spans="1:14" ht="15.75" customHeight="1" x14ac:dyDescent="0.45">
      <c r="A3347" s="1" t="s">
        <v>119</v>
      </c>
      <c r="B3347" s="1">
        <v>1185732</v>
      </c>
      <c r="C3347" s="2">
        <v>44717</v>
      </c>
      <c r="D3347" s="1" t="s">
        <v>11</v>
      </c>
      <c r="E3347" s="1" t="s">
        <v>107</v>
      </c>
      <c r="F3347" s="1" t="s">
        <v>108</v>
      </c>
      <c r="G3347" s="1" t="s">
        <v>16</v>
      </c>
      <c r="H3347" s="1">
        <v>50</v>
      </c>
      <c r="I3347" s="1" t="s">
        <v>126</v>
      </c>
      <c r="J3347" s="3">
        <v>0.45</v>
      </c>
      <c r="K3347" s="4">
        <v>2750</v>
      </c>
      <c r="L3347" s="5">
        <f t="shared" si="26"/>
        <v>1237.5</v>
      </c>
      <c r="M3347" s="5">
        <f t="shared" si="27"/>
        <v>371.25</v>
      </c>
      <c r="N3347" s="6">
        <v>0.3</v>
      </c>
    </row>
    <row r="3348" spans="1:14" ht="15.75" customHeight="1" x14ac:dyDescent="0.45">
      <c r="A3348" s="1" t="s">
        <v>119</v>
      </c>
      <c r="B3348" s="1">
        <v>1185732</v>
      </c>
      <c r="C3348" s="2">
        <v>44717</v>
      </c>
      <c r="D3348" s="1" t="s">
        <v>11</v>
      </c>
      <c r="E3348" s="1" t="s">
        <v>107</v>
      </c>
      <c r="F3348" s="1" t="s">
        <v>108</v>
      </c>
      <c r="G3348" s="1" t="s">
        <v>17</v>
      </c>
      <c r="H3348" s="1">
        <v>58</v>
      </c>
      <c r="I3348" s="1" t="s">
        <v>125</v>
      </c>
      <c r="J3348" s="3">
        <v>0.54999999999999993</v>
      </c>
      <c r="K3348" s="4">
        <v>2750</v>
      </c>
      <c r="L3348" s="5">
        <f t="shared" si="26"/>
        <v>1512.4999999999998</v>
      </c>
      <c r="M3348" s="5">
        <f t="shared" si="27"/>
        <v>453.74999999999994</v>
      </c>
      <c r="N3348" s="6">
        <v>0.3</v>
      </c>
    </row>
    <row r="3349" spans="1:14" ht="15.75" customHeight="1" x14ac:dyDescent="0.45">
      <c r="A3349" s="1" t="s">
        <v>119</v>
      </c>
      <c r="B3349" s="1">
        <v>1185732</v>
      </c>
      <c r="C3349" s="2">
        <v>44717</v>
      </c>
      <c r="D3349" s="1" t="s">
        <v>11</v>
      </c>
      <c r="E3349" s="1" t="s">
        <v>107</v>
      </c>
      <c r="F3349" s="1" t="s">
        <v>108</v>
      </c>
      <c r="G3349" s="1" t="s">
        <v>18</v>
      </c>
      <c r="H3349" s="1">
        <v>31</v>
      </c>
      <c r="I3349" s="1" t="s">
        <v>123</v>
      </c>
      <c r="J3349" s="3">
        <v>0.6</v>
      </c>
      <c r="K3349" s="4">
        <v>4250</v>
      </c>
      <c r="L3349" s="5">
        <f t="shared" si="26"/>
        <v>2550</v>
      </c>
      <c r="M3349" s="5">
        <f t="shared" si="27"/>
        <v>892.5</v>
      </c>
      <c r="N3349" s="6">
        <v>0.35</v>
      </c>
    </row>
    <row r="3350" spans="1:14" ht="15.75" customHeight="1" x14ac:dyDescent="0.45">
      <c r="A3350" s="1" t="s">
        <v>119</v>
      </c>
      <c r="B3350" s="1">
        <v>1185732</v>
      </c>
      <c r="C3350" s="2">
        <v>44745</v>
      </c>
      <c r="D3350" s="1" t="s">
        <v>11</v>
      </c>
      <c r="E3350" s="1" t="s">
        <v>107</v>
      </c>
      <c r="F3350" s="1" t="s">
        <v>108</v>
      </c>
      <c r="G3350" s="1" t="s">
        <v>13</v>
      </c>
      <c r="H3350" s="1">
        <v>43</v>
      </c>
      <c r="I3350" s="1" t="s">
        <v>124</v>
      </c>
      <c r="J3350" s="3">
        <v>0.54999999999999993</v>
      </c>
      <c r="K3350" s="4">
        <v>6500</v>
      </c>
      <c r="L3350" s="5">
        <f t="shared" si="26"/>
        <v>3574.9999999999995</v>
      </c>
      <c r="M3350" s="5">
        <f t="shared" si="27"/>
        <v>1430</v>
      </c>
      <c r="N3350" s="6">
        <v>0.4</v>
      </c>
    </row>
    <row r="3351" spans="1:14" ht="15.75" customHeight="1" x14ac:dyDescent="0.45">
      <c r="A3351" s="1" t="s">
        <v>119</v>
      </c>
      <c r="B3351" s="1">
        <v>1185732</v>
      </c>
      <c r="C3351" s="2">
        <v>44745</v>
      </c>
      <c r="D3351" s="1" t="s">
        <v>11</v>
      </c>
      <c r="E3351" s="1" t="s">
        <v>107</v>
      </c>
      <c r="F3351" s="1" t="s">
        <v>108</v>
      </c>
      <c r="G3351" s="1" t="s">
        <v>14</v>
      </c>
      <c r="H3351" s="1">
        <v>31</v>
      </c>
      <c r="I3351" s="1" t="s">
        <v>126</v>
      </c>
      <c r="J3351" s="3">
        <v>0.5</v>
      </c>
      <c r="K3351" s="4">
        <v>4000</v>
      </c>
      <c r="L3351" s="5">
        <f t="shared" si="26"/>
        <v>2000</v>
      </c>
      <c r="M3351" s="5">
        <f t="shared" si="27"/>
        <v>800</v>
      </c>
      <c r="N3351" s="6">
        <v>0.4</v>
      </c>
    </row>
    <row r="3352" spans="1:14" ht="15.75" customHeight="1" x14ac:dyDescent="0.45">
      <c r="A3352" s="1" t="s">
        <v>119</v>
      </c>
      <c r="B3352" s="1">
        <v>1185732</v>
      </c>
      <c r="C3352" s="2">
        <v>44745</v>
      </c>
      <c r="D3352" s="1" t="s">
        <v>11</v>
      </c>
      <c r="E3352" s="1" t="s">
        <v>107</v>
      </c>
      <c r="F3352" s="1" t="s">
        <v>108</v>
      </c>
      <c r="G3352" s="1" t="s">
        <v>15</v>
      </c>
      <c r="H3352" s="1">
        <v>41</v>
      </c>
      <c r="I3352" s="1" t="s">
        <v>126</v>
      </c>
      <c r="J3352" s="3">
        <v>0.45</v>
      </c>
      <c r="K3352" s="4">
        <v>3250</v>
      </c>
      <c r="L3352" s="5">
        <f t="shared" si="26"/>
        <v>1462.5</v>
      </c>
      <c r="M3352" s="5">
        <f t="shared" si="27"/>
        <v>438.75</v>
      </c>
      <c r="N3352" s="6">
        <v>0.3</v>
      </c>
    </row>
    <row r="3353" spans="1:14" ht="15.75" customHeight="1" x14ac:dyDescent="0.45">
      <c r="A3353" s="1" t="s">
        <v>119</v>
      </c>
      <c r="B3353" s="1">
        <v>1185732</v>
      </c>
      <c r="C3353" s="2">
        <v>44745</v>
      </c>
      <c r="D3353" s="1" t="s">
        <v>11</v>
      </c>
      <c r="E3353" s="1" t="s">
        <v>107</v>
      </c>
      <c r="F3353" s="1" t="s">
        <v>108</v>
      </c>
      <c r="G3353" s="1" t="s">
        <v>16</v>
      </c>
      <c r="H3353" s="1">
        <v>22</v>
      </c>
      <c r="I3353" s="1" t="s">
        <v>126</v>
      </c>
      <c r="J3353" s="3">
        <v>0.45</v>
      </c>
      <c r="K3353" s="4">
        <v>2750</v>
      </c>
      <c r="L3353" s="5">
        <f t="shared" si="26"/>
        <v>1237.5</v>
      </c>
      <c r="M3353" s="5">
        <f t="shared" si="27"/>
        <v>371.25</v>
      </c>
      <c r="N3353" s="6">
        <v>0.3</v>
      </c>
    </row>
    <row r="3354" spans="1:14" ht="15.75" customHeight="1" x14ac:dyDescent="0.45">
      <c r="A3354" s="1" t="s">
        <v>119</v>
      </c>
      <c r="B3354" s="1">
        <v>1185732</v>
      </c>
      <c r="C3354" s="2">
        <v>44745</v>
      </c>
      <c r="D3354" s="1" t="s">
        <v>11</v>
      </c>
      <c r="E3354" s="1" t="s">
        <v>107</v>
      </c>
      <c r="F3354" s="1" t="s">
        <v>108</v>
      </c>
      <c r="G3354" s="1" t="s">
        <v>17</v>
      </c>
      <c r="H3354" s="1">
        <v>50</v>
      </c>
      <c r="I3354" s="1" t="s">
        <v>124</v>
      </c>
      <c r="J3354" s="3">
        <v>0.54999999999999993</v>
      </c>
      <c r="K3354" s="4">
        <v>3000</v>
      </c>
      <c r="L3354" s="5">
        <f t="shared" si="26"/>
        <v>1649.9999999999998</v>
      </c>
      <c r="M3354" s="5">
        <f t="shared" si="27"/>
        <v>494.99999999999989</v>
      </c>
      <c r="N3354" s="6">
        <v>0.3</v>
      </c>
    </row>
    <row r="3355" spans="1:14" ht="15.75" customHeight="1" x14ac:dyDescent="0.45">
      <c r="A3355" s="1" t="s">
        <v>119</v>
      </c>
      <c r="B3355" s="1">
        <v>1185732</v>
      </c>
      <c r="C3355" s="2">
        <v>44745</v>
      </c>
      <c r="D3355" s="1" t="s">
        <v>11</v>
      </c>
      <c r="E3355" s="1" t="s">
        <v>107</v>
      </c>
      <c r="F3355" s="1" t="s">
        <v>108</v>
      </c>
      <c r="G3355" s="1" t="s">
        <v>18</v>
      </c>
      <c r="H3355" s="1">
        <v>47</v>
      </c>
      <c r="I3355" s="1" t="s">
        <v>126</v>
      </c>
      <c r="J3355" s="3">
        <v>0.6</v>
      </c>
      <c r="K3355" s="4">
        <v>4750</v>
      </c>
      <c r="L3355" s="5">
        <f t="shared" si="26"/>
        <v>2850</v>
      </c>
      <c r="M3355" s="5">
        <f t="shared" si="27"/>
        <v>997.49999999999989</v>
      </c>
      <c r="N3355" s="6">
        <v>0.35</v>
      </c>
    </row>
    <row r="3356" spans="1:14" ht="15.75" customHeight="1" x14ac:dyDescent="0.45">
      <c r="A3356" s="1" t="s">
        <v>119</v>
      </c>
      <c r="B3356" s="1">
        <v>1185732</v>
      </c>
      <c r="C3356" s="2">
        <v>44777</v>
      </c>
      <c r="D3356" s="1" t="s">
        <v>11</v>
      </c>
      <c r="E3356" s="1" t="s">
        <v>107</v>
      </c>
      <c r="F3356" s="1" t="s">
        <v>108</v>
      </c>
      <c r="G3356" s="1" t="s">
        <v>13</v>
      </c>
      <c r="H3356" s="1">
        <v>45</v>
      </c>
      <c r="I3356" s="1" t="s">
        <v>125</v>
      </c>
      <c r="J3356" s="3">
        <v>0.54999999999999993</v>
      </c>
      <c r="K3356" s="4">
        <v>6250</v>
      </c>
      <c r="L3356" s="5">
        <f t="shared" si="26"/>
        <v>3437.4999999999995</v>
      </c>
      <c r="M3356" s="5">
        <f t="shared" si="27"/>
        <v>1375</v>
      </c>
      <c r="N3356" s="6">
        <v>0.4</v>
      </c>
    </row>
    <row r="3357" spans="1:14" ht="15.75" customHeight="1" x14ac:dyDescent="0.45">
      <c r="A3357" s="1" t="s">
        <v>119</v>
      </c>
      <c r="B3357" s="1">
        <v>1185732</v>
      </c>
      <c r="C3357" s="2">
        <v>44777</v>
      </c>
      <c r="D3357" s="1" t="s">
        <v>11</v>
      </c>
      <c r="E3357" s="1" t="s">
        <v>107</v>
      </c>
      <c r="F3357" s="1" t="s">
        <v>108</v>
      </c>
      <c r="G3357" s="1" t="s">
        <v>14</v>
      </c>
      <c r="H3357" s="1">
        <v>18</v>
      </c>
      <c r="I3357" s="1" t="s">
        <v>126</v>
      </c>
      <c r="J3357" s="3">
        <v>0.5</v>
      </c>
      <c r="K3357" s="4">
        <v>4000</v>
      </c>
      <c r="L3357" s="5">
        <f t="shared" si="26"/>
        <v>2000</v>
      </c>
      <c r="M3357" s="5">
        <f t="shared" si="27"/>
        <v>800</v>
      </c>
      <c r="N3357" s="6">
        <v>0.4</v>
      </c>
    </row>
    <row r="3358" spans="1:14" ht="15.75" customHeight="1" x14ac:dyDescent="0.45">
      <c r="A3358" s="1" t="s">
        <v>119</v>
      </c>
      <c r="B3358" s="1">
        <v>1185732</v>
      </c>
      <c r="C3358" s="2">
        <v>44777</v>
      </c>
      <c r="D3358" s="1" t="s">
        <v>11</v>
      </c>
      <c r="E3358" s="1" t="s">
        <v>107</v>
      </c>
      <c r="F3358" s="1" t="s">
        <v>108</v>
      </c>
      <c r="G3358" s="1" t="s">
        <v>15</v>
      </c>
      <c r="H3358" s="1">
        <v>42</v>
      </c>
      <c r="I3358" s="1" t="s">
        <v>124</v>
      </c>
      <c r="J3358" s="3">
        <v>0.45</v>
      </c>
      <c r="K3358" s="4">
        <v>3250</v>
      </c>
      <c r="L3358" s="5">
        <f t="shared" si="26"/>
        <v>1462.5</v>
      </c>
      <c r="M3358" s="5">
        <f t="shared" si="27"/>
        <v>438.75</v>
      </c>
      <c r="N3358" s="6">
        <v>0.3</v>
      </c>
    </row>
    <row r="3359" spans="1:14" ht="15.75" customHeight="1" x14ac:dyDescent="0.45">
      <c r="A3359" s="1" t="s">
        <v>119</v>
      </c>
      <c r="B3359" s="1">
        <v>1185732</v>
      </c>
      <c r="C3359" s="2">
        <v>44777</v>
      </c>
      <c r="D3359" s="1" t="s">
        <v>11</v>
      </c>
      <c r="E3359" s="1" t="s">
        <v>107</v>
      </c>
      <c r="F3359" s="1" t="s">
        <v>108</v>
      </c>
      <c r="G3359" s="1" t="s">
        <v>16</v>
      </c>
      <c r="H3359" s="1">
        <v>30</v>
      </c>
      <c r="I3359" s="1" t="s">
        <v>123</v>
      </c>
      <c r="J3359" s="3">
        <v>0.45</v>
      </c>
      <c r="K3359" s="4">
        <v>2250</v>
      </c>
      <c r="L3359" s="5">
        <f t="shared" si="26"/>
        <v>1012.5</v>
      </c>
      <c r="M3359" s="5">
        <f t="shared" si="27"/>
        <v>303.75</v>
      </c>
      <c r="N3359" s="6">
        <v>0.3</v>
      </c>
    </row>
    <row r="3360" spans="1:14" ht="15.75" customHeight="1" x14ac:dyDescent="0.45">
      <c r="A3360" s="1" t="s">
        <v>119</v>
      </c>
      <c r="B3360" s="1">
        <v>1185732</v>
      </c>
      <c r="C3360" s="2">
        <v>44777</v>
      </c>
      <c r="D3360" s="1" t="s">
        <v>11</v>
      </c>
      <c r="E3360" s="1" t="s">
        <v>107</v>
      </c>
      <c r="F3360" s="1" t="s">
        <v>108</v>
      </c>
      <c r="G3360" s="1" t="s">
        <v>17</v>
      </c>
      <c r="H3360" s="1">
        <v>52</v>
      </c>
      <c r="I3360" s="1" t="s">
        <v>126</v>
      </c>
      <c r="J3360" s="3">
        <v>0.54999999999999993</v>
      </c>
      <c r="K3360" s="4">
        <v>2000</v>
      </c>
      <c r="L3360" s="5">
        <f t="shared" si="26"/>
        <v>1099.9999999999998</v>
      </c>
      <c r="M3360" s="5">
        <f t="shared" si="27"/>
        <v>329.99999999999994</v>
      </c>
      <c r="N3360" s="6">
        <v>0.3</v>
      </c>
    </row>
    <row r="3361" spans="1:14" ht="15.75" customHeight="1" x14ac:dyDescent="0.45">
      <c r="A3361" s="1" t="s">
        <v>119</v>
      </c>
      <c r="B3361" s="1">
        <v>1185732</v>
      </c>
      <c r="C3361" s="2">
        <v>44777</v>
      </c>
      <c r="D3361" s="1" t="s">
        <v>11</v>
      </c>
      <c r="E3361" s="1" t="s">
        <v>107</v>
      </c>
      <c r="F3361" s="1" t="s">
        <v>108</v>
      </c>
      <c r="G3361" s="1" t="s">
        <v>18</v>
      </c>
      <c r="H3361" s="1">
        <v>34</v>
      </c>
      <c r="I3361" s="1" t="s">
        <v>123</v>
      </c>
      <c r="J3361" s="3">
        <v>0.6</v>
      </c>
      <c r="K3361" s="4">
        <v>3750</v>
      </c>
      <c r="L3361" s="5">
        <f t="shared" si="26"/>
        <v>2250</v>
      </c>
      <c r="M3361" s="5">
        <f t="shared" si="27"/>
        <v>787.5</v>
      </c>
      <c r="N3361" s="6">
        <v>0.35</v>
      </c>
    </row>
    <row r="3362" spans="1:14" ht="15.75" customHeight="1" x14ac:dyDescent="0.45">
      <c r="A3362" s="1" t="s">
        <v>119</v>
      </c>
      <c r="B3362" s="1">
        <v>1185732</v>
      </c>
      <c r="C3362" s="2">
        <v>44807</v>
      </c>
      <c r="D3362" s="1" t="s">
        <v>11</v>
      </c>
      <c r="E3362" s="1" t="s">
        <v>107</v>
      </c>
      <c r="F3362" s="1" t="s">
        <v>108</v>
      </c>
      <c r="G3362" s="1" t="s">
        <v>13</v>
      </c>
      <c r="H3362" s="1">
        <v>18</v>
      </c>
      <c r="I3362" s="1" t="s">
        <v>126</v>
      </c>
      <c r="J3362" s="3">
        <v>0.54999999999999993</v>
      </c>
      <c r="K3362" s="4">
        <v>5000</v>
      </c>
      <c r="L3362" s="5">
        <f t="shared" si="26"/>
        <v>2749.9999999999995</v>
      </c>
      <c r="M3362" s="5">
        <f t="shared" si="27"/>
        <v>1099.9999999999998</v>
      </c>
      <c r="N3362" s="6">
        <v>0.4</v>
      </c>
    </row>
    <row r="3363" spans="1:14" ht="15.75" customHeight="1" x14ac:dyDescent="0.45">
      <c r="A3363" s="1" t="s">
        <v>119</v>
      </c>
      <c r="B3363" s="1">
        <v>1185732</v>
      </c>
      <c r="C3363" s="2">
        <v>44807</v>
      </c>
      <c r="D3363" s="1" t="s">
        <v>11</v>
      </c>
      <c r="E3363" s="1" t="s">
        <v>107</v>
      </c>
      <c r="F3363" s="1" t="s">
        <v>108</v>
      </c>
      <c r="G3363" s="1" t="s">
        <v>14</v>
      </c>
      <c r="H3363" s="1">
        <v>22</v>
      </c>
      <c r="I3363" s="1" t="s">
        <v>123</v>
      </c>
      <c r="J3363" s="3">
        <v>0.5</v>
      </c>
      <c r="K3363" s="4">
        <v>3000</v>
      </c>
      <c r="L3363" s="5">
        <f t="shared" si="26"/>
        <v>1500</v>
      </c>
      <c r="M3363" s="5">
        <f t="shared" si="27"/>
        <v>600</v>
      </c>
      <c r="N3363" s="6">
        <v>0.4</v>
      </c>
    </row>
    <row r="3364" spans="1:14" ht="15.75" customHeight="1" x14ac:dyDescent="0.45">
      <c r="A3364" s="1" t="s">
        <v>119</v>
      </c>
      <c r="B3364" s="1">
        <v>1185732</v>
      </c>
      <c r="C3364" s="2">
        <v>44807</v>
      </c>
      <c r="D3364" s="1" t="s">
        <v>11</v>
      </c>
      <c r="E3364" s="1" t="s">
        <v>107</v>
      </c>
      <c r="F3364" s="1" t="s">
        <v>108</v>
      </c>
      <c r="G3364" s="1" t="s">
        <v>15</v>
      </c>
      <c r="H3364" s="1">
        <v>34</v>
      </c>
      <c r="I3364" s="1" t="s">
        <v>125</v>
      </c>
      <c r="J3364" s="3">
        <v>0.45</v>
      </c>
      <c r="K3364" s="4">
        <v>2000</v>
      </c>
      <c r="L3364" s="5">
        <f t="shared" si="26"/>
        <v>900</v>
      </c>
      <c r="M3364" s="5">
        <f t="shared" si="27"/>
        <v>270</v>
      </c>
      <c r="N3364" s="6">
        <v>0.3</v>
      </c>
    </row>
    <row r="3365" spans="1:14" ht="15.75" customHeight="1" x14ac:dyDescent="0.45">
      <c r="A3365" s="1" t="s">
        <v>119</v>
      </c>
      <c r="B3365" s="1">
        <v>1185732</v>
      </c>
      <c r="C3365" s="2">
        <v>44807</v>
      </c>
      <c r="D3365" s="1" t="s">
        <v>11</v>
      </c>
      <c r="E3365" s="1" t="s">
        <v>107</v>
      </c>
      <c r="F3365" s="1" t="s">
        <v>108</v>
      </c>
      <c r="G3365" s="1" t="s">
        <v>16</v>
      </c>
      <c r="H3365" s="1">
        <v>42</v>
      </c>
      <c r="I3365" s="1" t="s">
        <v>123</v>
      </c>
      <c r="J3365" s="3">
        <v>0.45</v>
      </c>
      <c r="K3365" s="4">
        <v>1750</v>
      </c>
      <c r="L3365" s="5">
        <f t="shared" si="26"/>
        <v>787.5</v>
      </c>
      <c r="M3365" s="5">
        <f t="shared" si="27"/>
        <v>236.25</v>
      </c>
      <c r="N3365" s="6">
        <v>0.3</v>
      </c>
    </row>
    <row r="3366" spans="1:14" ht="15.75" customHeight="1" x14ac:dyDescent="0.45">
      <c r="A3366" s="1" t="s">
        <v>119</v>
      </c>
      <c r="B3366" s="1">
        <v>1185732</v>
      </c>
      <c r="C3366" s="2">
        <v>44807</v>
      </c>
      <c r="D3366" s="1" t="s">
        <v>11</v>
      </c>
      <c r="E3366" s="1" t="s">
        <v>107</v>
      </c>
      <c r="F3366" s="1" t="s">
        <v>108</v>
      </c>
      <c r="G3366" s="1" t="s">
        <v>17</v>
      </c>
      <c r="H3366" s="1">
        <v>46</v>
      </c>
      <c r="I3366" s="1" t="s">
        <v>123</v>
      </c>
      <c r="J3366" s="3">
        <v>0.54999999999999993</v>
      </c>
      <c r="K3366" s="4">
        <v>1750</v>
      </c>
      <c r="L3366" s="5">
        <f t="shared" si="26"/>
        <v>962.49999999999989</v>
      </c>
      <c r="M3366" s="5">
        <f t="shared" si="27"/>
        <v>288.74999999999994</v>
      </c>
      <c r="N3366" s="6">
        <v>0.3</v>
      </c>
    </row>
    <row r="3367" spans="1:14" ht="15.75" customHeight="1" x14ac:dyDescent="0.45">
      <c r="A3367" s="1" t="s">
        <v>119</v>
      </c>
      <c r="B3367" s="1">
        <v>1185732</v>
      </c>
      <c r="C3367" s="2">
        <v>44807</v>
      </c>
      <c r="D3367" s="1" t="s">
        <v>11</v>
      </c>
      <c r="E3367" s="1" t="s">
        <v>107</v>
      </c>
      <c r="F3367" s="1" t="s">
        <v>108</v>
      </c>
      <c r="G3367" s="1" t="s">
        <v>18</v>
      </c>
      <c r="H3367" s="1">
        <v>40</v>
      </c>
      <c r="I3367" s="1" t="s">
        <v>125</v>
      </c>
      <c r="J3367" s="3">
        <v>0.6</v>
      </c>
      <c r="K3367" s="4">
        <v>2750</v>
      </c>
      <c r="L3367" s="5">
        <f t="shared" si="26"/>
        <v>1650</v>
      </c>
      <c r="M3367" s="5">
        <f t="shared" si="27"/>
        <v>577.5</v>
      </c>
      <c r="N3367" s="6">
        <v>0.35</v>
      </c>
    </row>
    <row r="3368" spans="1:14" ht="15.75" customHeight="1" x14ac:dyDescent="0.45">
      <c r="A3368" s="1" t="s">
        <v>119</v>
      </c>
      <c r="B3368" s="1">
        <v>1185732</v>
      </c>
      <c r="C3368" s="2">
        <v>44839</v>
      </c>
      <c r="D3368" s="1" t="s">
        <v>11</v>
      </c>
      <c r="E3368" s="1" t="s">
        <v>107</v>
      </c>
      <c r="F3368" s="1" t="s">
        <v>108</v>
      </c>
      <c r="G3368" s="1" t="s">
        <v>13</v>
      </c>
      <c r="H3368" s="1">
        <v>32</v>
      </c>
      <c r="I3368" s="1" t="s">
        <v>124</v>
      </c>
      <c r="J3368" s="3">
        <v>0.6</v>
      </c>
      <c r="K3368" s="4">
        <v>4500</v>
      </c>
      <c r="L3368" s="5">
        <f t="shared" si="26"/>
        <v>2700</v>
      </c>
      <c r="M3368" s="5">
        <f t="shared" si="27"/>
        <v>1080</v>
      </c>
      <c r="N3368" s="6">
        <v>0.4</v>
      </c>
    </row>
    <row r="3369" spans="1:14" ht="15.75" customHeight="1" x14ac:dyDescent="0.45">
      <c r="A3369" s="1" t="s">
        <v>119</v>
      </c>
      <c r="B3369" s="1">
        <v>1185732</v>
      </c>
      <c r="C3369" s="2">
        <v>44839</v>
      </c>
      <c r="D3369" s="1" t="s">
        <v>11</v>
      </c>
      <c r="E3369" s="1" t="s">
        <v>107</v>
      </c>
      <c r="F3369" s="1" t="s">
        <v>108</v>
      </c>
      <c r="G3369" s="1" t="s">
        <v>14</v>
      </c>
      <c r="H3369" s="1">
        <v>50</v>
      </c>
      <c r="I3369" s="1" t="s">
        <v>125</v>
      </c>
      <c r="J3369" s="3">
        <v>0.55000000000000004</v>
      </c>
      <c r="K3369" s="4">
        <v>2750</v>
      </c>
      <c r="L3369" s="5">
        <f t="shared" si="26"/>
        <v>1512.5000000000002</v>
      </c>
      <c r="M3369" s="5">
        <f t="shared" si="27"/>
        <v>605.00000000000011</v>
      </c>
      <c r="N3369" s="6">
        <v>0.4</v>
      </c>
    </row>
    <row r="3370" spans="1:14" ht="15.75" customHeight="1" x14ac:dyDescent="0.45">
      <c r="A3370" s="1" t="s">
        <v>119</v>
      </c>
      <c r="B3370" s="1">
        <v>1185732</v>
      </c>
      <c r="C3370" s="2">
        <v>44839</v>
      </c>
      <c r="D3370" s="1" t="s">
        <v>11</v>
      </c>
      <c r="E3370" s="1" t="s">
        <v>107</v>
      </c>
      <c r="F3370" s="1" t="s">
        <v>108</v>
      </c>
      <c r="G3370" s="1" t="s">
        <v>15</v>
      </c>
      <c r="H3370" s="1">
        <v>42</v>
      </c>
      <c r="I3370" s="1" t="s">
        <v>126</v>
      </c>
      <c r="J3370" s="3">
        <v>0.55000000000000004</v>
      </c>
      <c r="K3370" s="4">
        <v>1750</v>
      </c>
      <c r="L3370" s="5">
        <f t="shared" si="26"/>
        <v>962.50000000000011</v>
      </c>
      <c r="M3370" s="5">
        <f t="shared" si="27"/>
        <v>288.75</v>
      </c>
      <c r="N3370" s="6">
        <v>0.3</v>
      </c>
    </row>
    <row r="3371" spans="1:14" ht="15.75" customHeight="1" x14ac:dyDescent="0.45">
      <c r="A3371" s="1" t="s">
        <v>119</v>
      </c>
      <c r="B3371" s="1">
        <v>1185732</v>
      </c>
      <c r="C3371" s="2">
        <v>44839</v>
      </c>
      <c r="D3371" s="1" t="s">
        <v>11</v>
      </c>
      <c r="E3371" s="1" t="s">
        <v>107</v>
      </c>
      <c r="F3371" s="1" t="s">
        <v>108</v>
      </c>
      <c r="G3371" s="1" t="s">
        <v>16</v>
      </c>
      <c r="H3371" s="1">
        <v>53</v>
      </c>
      <c r="I3371" s="1" t="s">
        <v>123</v>
      </c>
      <c r="J3371" s="3">
        <v>0.55000000000000004</v>
      </c>
      <c r="K3371" s="4">
        <v>1500</v>
      </c>
      <c r="L3371" s="5">
        <f t="shared" si="26"/>
        <v>825.00000000000011</v>
      </c>
      <c r="M3371" s="5">
        <f t="shared" si="27"/>
        <v>247.50000000000003</v>
      </c>
      <c r="N3371" s="6">
        <v>0.3</v>
      </c>
    </row>
    <row r="3372" spans="1:14" ht="15.75" customHeight="1" x14ac:dyDescent="0.45">
      <c r="A3372" s="1" t="s">
        <v>119</v>
      </c>
      <c r="B3372" s="1">
        <v>1185732</v>
      </c>
      <c r="C3372" s="2">
        <v>44839</v>
      </c>
      <c r="D3372" s="1" t="s">
        <v>11</v>
      </c>
      <c r="E3372" s="1" t="s">
        <v>107</v>
      </c>
      <c r="F3372" s="1" t="s">
        <v>108</v>
      </c>
      <c r="G3372" s="1" t="s">
        <v>17</v>
      </c>
      <c r="H3372" s="1">
        <v>26</v>
      </c>
      <c r="I3372" s="1" t="s">
        <v>124</v>
      </c>
      <c r="J3372" s="3">
        <v>0.65</v>
      </c>
      <c r="K3372" s="4">
        <v>1500</v>
      </c>
      <c r="L3372" s="5">
        <f t="shared" si="26"/>
        <v>975</v>
      </c>
      <c r="M3372" s="5">
        <f t="shared" si="27"/>
        <v>292.5</v>
      </c>
      <c r="N3372" s="6">
        <v>0.3</v>
      </c>
    </row>
    <row r="3373" spans="1:14" ht="15.75" customHeight="1" x14ac:dyDescent="0.45">
      <c r="A3373" s="1" t="s">
        <v>119</v>
      </c>
      <c r="B3373" s="1">
        <v>1185732</v>
      </c>
      <c r="C3373" s="2">
        <v>44839</v>
      </c>
      <c r="D3373" s="1" t="s">
        <v>11</v>
      </c>
      <c r="E3373" s="1" t="s">
        <v>107</v>
      </c>
      <c r="F3373" s="1" t="s">
        <v>108</v>
      </c>
      <c r="G3373" s="1" t="s">
        <v>18</v>
      </c>
      <c r="H3373" s="1">
        <v>25</v>
      </c>
      <c r="I3373" s="1" t="s">
        <v>123</v>
      </c>
      <c r="J3373" s="3">
        <v>0.7</v>
      </c>
      <c r="K3373" s="4">
        <v>2750</v>
      </c>
      <c r="L3373" s="5">
        <f t="shared" si="26"/>
        <v>1924.9999999999998</v>
      </c>
      <c r="M3373" s="5">
        <f t="shared" si="27"/>
        <v>673.74999999999989</v>
      </c>
      <c r="N3373" s="6">
        <v>0.35</v>
      </c>
    </row>
    <row r="3374" spans="1:14" ht="15.75" customHeight="1" x14ac:dyDescent="0.45">
      <c r="A3374" s="1" t="s">
        <v>119</v>
      </c>
      <c r="B3374" s="1">
        <v>1185732</v>
      </c>
      <c r="C3374" s="2">
        <v>44869</v>
      </c>
      <c r="D3374" s="1" t="s">
        <v>11</v>
      </c>
      <c r="E3374" s="1" t="s">
        <v>107</v>
      </c>
      <c r="F3374" s="1" t="s">
        <v>108</v>
      </c>
      <c r="G3374" s="1" t="s">
        <v>13</v>
      </c>
      <c r="H3374" s="1">
        <v>51</v>
      </c>
      <c r="I3374" s="1" t="s">
        <v>125</v>
      </c>
      <c r="J3374" s="3">
        <v>0.65</v>
      </c>
      <c r="K3374" s="4">
        <v>4250</v>
      </c>
      <c r="L3374" s="5">
        <f t="shared" si="26"/>
        <v>2762.5</v>
      </c>
      <c r="M3374" s="5">
        <f t="shared" si="27"/>
        <v>1105</v>
      </c>
      <c r="N3374" s="6">
        <v>0.4</v>
      </c>
    </row>
    <row r="3375" spans="1:14" ht="15.75" customHeight="1" x14ac:dyDescent="0.45">
      <c r="A3375" s="1" t="s">
        <v>119</v>
      </c>
      <c r="B3375" s="1">
        <v>1185732</v>
      </c>
      <c r="C3375" s="2">
        <v>44869</v>
      </c>
      <c r="D3375" s="1" t="s">
        <v>11</v>
      </c>
      <c r="E3375" s="1" t="s">
        <v>107</v>
      </c>
      <c r="F3375" s="1" t="s">
        <v>108</v>
      </c>
      <c r="G3375" s="1" t="s">
        <v>14</v>
      </c>
      <c r="H3375" s="1">
        <v>56</v>
      </c>
      <c r="I3375" s="1" t="s">
        <v>123</v>
      </c>
      <c r="J3375" s="3">
        <v>0.55000000000000004</v>
      </c>
      <c r="K3375" s="4">
        <v>3000</v>
      </c>
      <c r="L3375" s="5">
        <f t="shared" si="26"/>
        <v>1650.0000000000002</v>
      </c>
      <c r="M3375" s="5">
        <f t="shared" si="27"/>
        <v>660.00000000000011</v>
      </c>
      <c r="N3375" s="6">
        <v>0.4</v>
      </c>
    </row>
    <row r="3376" spans="1:14" ht="15.75" customHeight="1" x14ac:dyDescent="0.45">
      <c r="A3376" s="1" t="s">
        <v>119</v>
      </c>
      <c r="B3376" s="1">
        <v>1185732</v>
      </c>
      <c r="C3376" s="2">
        <v>44869</v>
      </c>
      <c r="D3376" s="1" t="s">
        <v>11</v>
      </c>
      <c r="E3376" s="1" t="s">
        <v>107</v>
      </c>
      <c r="F3376" s="1" t="s">
        <v>108</v>
      </c>
      <c r="G3376" s="1" t="s">
        <v>15</v>
      </c>
      <c r="H3376" s="1">
        <v>52</v>
      </c>
      <c r="I3376" s="1" t="s">
        <v>125</v>
      </c>
      <c r="J3376" s="3">
        <v>0.55000000000000004</v>
      </c>
      <c r="K3376" s="4">
        <v>2950</v>
      </c>
      <c r="L3376" s="5">
        <f t="shared" si="26"/>
        <v>1622.5000000000002</v>
      </c>
      <c r="M3376" s="5">
        <f t="shared" si="27"/>
        <v>486.75000000000006</v>
      </c>
      <c r="N3376" s="6">
        <v>0.3</v>
      </c>
    </row>
    <row r="3377" spans="1:14" ht="15.75" customHeight="1" x14ac:dyDescent="0.45">
      <c r="A3377" s="1" t="s">
        <v>119</v>
      </c>
      <c r="B3377" s="1">
        <v>1185732</v>
      </c>
      <c r="C3377" s="2">
        <v>44869</v>
      </c>
      <c r="D3377" s="1" t="s">
        <v>11</v>
      </c>
      <c r="E3377" s="1" t="s">
        <v>107</v>
      </c>
      <c r="F3377" s="1" t="s">
        <v>108</v>
      </c>
      <c r="G3377" s="1" t="s">
        <v>16</v>
      </c>
      <c r="H3377" s="1">
        <v>15</v>
      </c>
      <c r="I3377" s="1" t="s">
        <v>125</v>
      </c>
      <c r="J3377" s="3">
        <v>0.55000000000000004</v>
      </c>
      <c r="K3377" s="4">
        <v>2750</v>
      </c>
      <c r="L3377" s="5">
        <f t="shared" si="26"/>
        <v>1512.5000000000002</v>
      </c>
      <c r="M3377" s="5">
        <f t="shared" si="27"/>
        <v>453.75000000000006</v>
      </c>
      <c r="N3377" s="6">
        <v>0.3</v>
      </c>
    </row>
    <row r="3378" spans="1:14" ht="15.75" customHeight="1" x14ac:dyDescent="0.45">
      <c r="A3378" s="1" t="s">
        <v>119</v>
      </c>
      <c r="B3378" s="1">
        <v>1185732</v>
      </c>
      <c r="C3378" s="2">
        <v>44869</v>
      </c>
      <c r="D3378" s="1" t="s">
        <v>11</v>
      </c>
      <c r="E3378" s="1" t="s">
        <v>107</v>
      </c>
      <c r="F3378" s="1" t="s">
        <v>108</v>
      </c>
      <c r="G3378" s="1" t="s">
        <v>17</v>
      </c>
      <c r="H3378" s="1">
        <v>35</v>
      </c>
      <c r="I3378" s="1" t="s">
        <v>124</v>
      </c>
      <c r="J3378" s="3">
        <v>0.65</v>
      </c>
      <c r="K3378" s="4">
        <v>2500</v>
      </c>
      <c r="L3378" s="5">
        <f t="shared" si="26"/>
        <v>1625</v>
      </c>
      <c r="M3378" s="5">
        <f t="shared" si="27"/>
        <v>487.5</v>
      </c>
      <c r="N3378" s="6">
        <v>0.3</v>
      </c>
    </row>
    <row r="3379" spans="1:14" ht="15.75" customHeight="1" x14ac:dyDescent="0.45">
      <c r="A3379" s="1" t="s">
        <v>119</v>
      </c>
      <c r="B3379" s="1">
        <v>1185732</v>
      </c>
      <c r="C3379" s="2">
        <v>44869</v>
      </c>
      <c r="D3379" s="1" t="s">
        <v>11</v>
      </c>
      <c r="E3379" s="1" t="s">
        <v>107</v>
      </c>
      <c r="F3379" s="1" t="s">
        <v>108</v>
      </c>
      <c r="G3379" s="1" t="s">
        <v>18</v>
      </c>
      <c r="H3379" s="1">
        <v>55</v>
      </c>
      <c r="I3379" s="1" t="s">
        <v>125</v>
      </c>
      <c r="J3379" s="3">
        <v>0.7</v>
      </c>
      <c r="K3379" s="4">
        <v>3500</v>
      </c>
      <c r="L3379" s="5">
        <f t="shared" si="26"/>
        <v>2450</v>
      </c>
      <c r="M3379" s="5">
        <f t="shared" si="27"/>
        <v>857.5</v>
      </c>
      <c r="N3379" s="6">
        <v>0.35</v>
      </c>
    </row>
    <row r="3380" spans="1:14" ht="15.75" customHeight="1" x14ac:dyDescent="0.45">
      <c r="A3380" s="1" t="s">
        <v>119</v>
      </c>
      <c r="B3380" s="1">
        <v>1185732</v>
      </c>
      <c r="C3380" s="2">
        <v>44898</v>
      </c>
      <c r="D3380" s="1" t="s">
        <v>11</v>
      </c>
      <c r="E3380" s="1" t="s">
        <v>107</v>
      </c>
      <c r="F3380" s="1" t="s">
        <v>108</v>
      </c>
      <c r="G3380" s="1" t="s">
        <v>13</v>
      </c>
      <c r="H3380" s="1">
        <v>58</v>
      </c>
      <c r="I3380" s="1" t="s">
        <v>124</v>
      </c>
      <c r="J3380" s="3">
        <v>0.65</v>
      </c>
      <c r="K3380" s="4">
        <v>5750</v>
      </c>
      <c r="L3380" s="5">
        <f t="shared" si="26"/>
        <v>3737.5</v>
      </c>
      <c r="M3380" s="5">
        <f t="shared" si="27"/>
        <v>1495</v>
      </c>
      <c r="N3380" s="6">
        <v>0.4</v>
      </c>
    </row>
    <row r="3381" spans="1:14" ht="15.75" customHeight="1" x14ac:dyDescent="0.45">
      <c r="A3381" s="1" t="s">
        <v>119</v>
      </c>
      <c r="B3381" s="1">
        <v>1185732</v>
      </c>
      <c r="C3381" s="2">
        <v>44898</v>
      </c>
      <c r="D3381" s="1" t="s">
        <v>11</v>
      </c>
      <c r="E3381" s="1" t="s">
        <v>107</v>
      </c>
      <c r="F3381" s="1" t="s">
        <v>108</v>
      </c>
      <c r="G3381" s="1" t="s">
        <v>14</v>
      </c>
      <c r="H3381" s="1">
        <v>27</v>
      </c>
      <c r="I3381" s="1" t="s">
        <v>124</v>
      </c>
      <c r="J3381" s="3">
        <v>0.55000000000000004</v>
      </c>
      <c r="K3381" s="4">
        <v>3750</v>
      </c>
      <c r="L3381" s="5">
        <f t="shared" si="26"/>
        <v>2062.5</v>
      </c>
      <c r="M3381" s="5">
        <f t="shared" si="27"/>
        <v>825</v>
      </c>
      <c r="N3381" s="6">
        <v>0.4</v>
      </c>
    </row>
    <row r="3382" spans="1:14" ht="15.75" customHeight="1" x14ac:dyDescent="0.45">
      <c r="A3382" s="1" t="s">
        <v>119</v>
      </c>
      <c r="B3382" s="1">
        <v>1185732</v>
      </c>
      <c r="C3382" s="2">
        <v>44898</v>
      </c>
      <c r="D3382" s="1" t="s">
        <v>11</v>
      </c>
      <c r="E3382" s="1" t="s">
        <v>107</v>
      </c>
      <c r="F3382" s="1" t="s">
        <v>108</v>
      </c>
      <c r="G3382" s="1" t="s">
        <v>15</v>
      </c>
      <c r="H3382" s="1">
        <v>36</v>
      </c>
      <c r="I3382" s="1" t="s">
        <v>124</v>
      </c>
      <c r="J3382" s="3">
        <v>0.55000000000000004</v>
      </c>
      <c r="K3382" s="4">
        <v>3500</v>
      </c>
      <c r="L3382" s="5">
        <f t="shared" si="26"/>
        <v>1925.0000000000002</v>
      </c>
      <c r="M3382" s="5">
        <f t="shared" si="27"/>
        <v>577.5</v>
      </c>
      <c r="N3382" s="6">
        <v>0.3</v>
      </c>
    </row>
    <row r="3383" spans="1:14" ht="15.75" customHeight="1" x14ac:dyDescent="0.45">
      <c r="A3383" s="1" t="s">
        <v>119</v>
      </c>
      <c r="B3383" s="1">
        <v>1185732</v>
      </c>
      <c r="C3383" s="2">
        <v>44898</v>
      </c>
      <c r="D3383" s="1" t="s">
        <v>11</v>
      </c>
      <c r="E3383" s="1" t="s">
        <v>107</v>
      </c>
      <c r="F3383" s="1" t="s">
        <v>108</v>
      </c>
      <c r="G3383" s="1" t="s">
        <v>16</v>
      </c>
      <c r="H3383" s="1">
        <v>24</v>
      </c>
      <c r="I3383" s="1" t="s">
        <v>123</v>
      </c>
      <c r="J3383" s="3">
        <v>0.55000000000000004</v>
      </c>
      <c r="K3383" s="4">
        <v>3000</v>
      </c>
      <c r="L3383" s="5">
        <f t="shared" si="26"/>
        <v>1650.0000000000002</v>
      </c>
      <c r="M3383" s="5">
        <f t="shared" si="27"/>
        <v>495.00000000000006</v>
      </c>
      <c r="N3383" s="6">
        <v>0.3</v>
      </c>
    </row>
    <row r="3384" spans="1:14" ht="15.75" customHeight="1" x14ac:dyDescent="0.45">
      <c r="A3384" s="1" t="s">
        <v>119</v>
      </c>
      <c r="B3384" s="1">
        <v>1185732</v>
      </c>
      <c r="C3384" s="2">
        <v>44898</v>
      </c>
      <c r="D3384" s="1" t="s">
        <v>11</v>
      </c>
      <c r="E3384" s="1" t="s">
        <v>107</v>
      </c>
      <c r="F3384" s="1" t="s">
        <v>108</v>
      </c>
      <c r="G3384" s="1" t="s">
        <v>17</v>
      </c>
      <c r="H3384" s="1">
        <v>17</v>
      </c>
      <c r="I3384" s="1" t="s">
        <v>123</v>
      </c>
      <c r="J3384" s="3">
        <v>0.65</v>
      </c>
      <c r="K3384" s="4">
        <v>3000</v>
      </c>
      <c r="L3384" s="5">
        <f t="shared" si="26"/>
        <v>1950</v>
      </c>
      <c r="M3384" s="5">
        <f t="shared" si="27"/>
        <v>585</v>
      </c>
      <c r="N3384" s="6">
        <v>0.3</v>
      </c>
    </row>
    <row r="3385" spans="1:14" ht="15.75" customHeight="1" x14ac:dyDescent="0.45">
      <c r="A3385" s="1" t="s">
        <v>119</v>
      </c>
      <c r="B3385" s="1">
        <v>1185732</v>
      </c>
      <c r="C3385" s="2">
        <v>44898</v>
      </c>
      <c r="D3385" s="1" t="s">
        <v>11</v>
      </c>
      <c r="E3385" s="1" t="s">
        <v>107</v>
      </c>
      <c r="F3385" s="1" t="s">
        <v>108</v>
      </c>
      <c r="G3385" s="1" t="s">
        <v>18</v>
      </c>
      <c r="H3385" s="1">
        <v>21</v>
      </c>
      <c r="I3385" s="1" t="s">
        <v>123</v>
      </c>
      <c r="J3385" s="3">
        <v>0.7</v>
      </c>
      <c r="K3385" s="4">
        <v>4000</v>
      </c>
      <c r="L3385" s="5">
        <f t="shared" si="26"/>
        <v>2800</v>
      </c>
      <c r="M3385" s="5">
        <f t="shared" si="27"/>
        <v>979.99999999999989</v>
      </c>
      <c r="N3385" s="6">
        <v>0.35</v>
      </c>
    </row>
    <row r="3386" spans="1:14" ht="15.75" customHeight="1" x14ac:dyDescent="0.45">
      <c r="A3386" s="1" t="s">
        <v>119</v>
      </c>
      <c r="B3386" s="1">
        <v>1185732</v>
      </c>
      <c r="C3386" s="2">
        <v>44571</v>
      </c>
      <c r="D3386" s="1" t="s">
        <v>11</v>
      </c>
      <c r="E3386" s="1" t="s">
        <v>109</v>
      </c>
      <c r="F3386" s="1" t="s">
        <v>110</v>
      </c>
      <c r="G3386" s="1" t="s">
        <v>13</v>
      </c>
      <c r="H3386" s="1">
        <v>19</v>
      </c>
      <c r="I3386" s="1" t="s">
        <v>124</v>
      </c>
      <c r="J3386" s="3">
        <v>0.35000000000000003</v>
      </c>
      <c r="K3386" s="4">
        <v>4250</v>
      </c>
      <c r="L3386" s="5">
        <f t="shared" si="26"/>
        <v>1487.5000000000002</v>
      </c>
      <c r="M3386" s="5">
        <f t="shared" si="27"/>
        <v>520.625</v>
      </c>
      <c r="N3386" s="6">
        <v>0.35</v>
      </c>
    </row>
    <row r="3387" spans="1:14" ht="15.75" customHeight="1" x14ac:dyDescent="0.45">
      <c r="A3387" s="1" t="s">
        <v>119</v>
      </c>
      <c r="B3387" s="1">
        <v>1185732</v>
      </c>
      <c r="C3387" s="2">
        <v>44571</v>
      </c>
      <c r="D3387" s="1" t="s">
        <v>11</v>
      </c>
      <c r="E3387" s="1" t="s">
        <v>109</v>
      </c>
      <c r="F3387" s="1" t="s">
        <v>110</v>
      </c>
      <c r="G3387" s="1" t="s">
        <v>14</v>
      </c>
      <c r="H3387" s="1">
        <v>58</v>
      </c>
      <c r="I3387" s="1" t="s">
        <v>123</v>
      </c>
      <c r="J3387" s="3">
        <v>0.35000000000000003</v>
      </c>
      <c r="K3387" s="4">
        <v>2250</v>
      </c>
      <c r="L3387" s="5">
        <f t="shared" si="26"/>
        <v>787.50000000000011</v>
      </c>
      <c r="M3387" s="5">
        <f t="shared" si="27"/>
        <v>275.625</v>
      </c>
      <c r="N3387" s="6">
        <v>0.35</v>
      </c>
    </row>
    <row r="3388" spans="1:14" ht="15.75" customHeight="1" x14ac:dyDescent="0.45">
      <c r="A3388" s="1" t="s">
        <v>119</v>
      </c>
      <c r="B3388" s="1">
        <v>1185732</v>
      </c>
      <c r="C3388" s="2">
        <v>44571</v>
      </c>
      <c r="D3388" s="1" t="s">
        <v>11</v>
      </c>
      <c r="E3388" s="1" t="s">
        <v>109</v>
      </c>
      <c r="F3388" s="1" t="s">
        <v>110</v>
      </c>
      <c r="G3388" s="1" t="s">
        <v>15</v>
      </c>
      <c r="H3388" s="1">
        <v>46</v>
      </c>
      <c r="I3388" s="1" t="s">
        <v>125</v>
      </c>
      <c r="J3388" s="3">
        <v>0.25000000000000006</v>
      </c>
      <c r="K3388" s="4">
        <v>2250</v>
      </c>
      <c r="L3388" s="5">
        <f t="shared" si="26"/>
        <v>562.50000000000011</v>
      </c>
      <c r="M3388" s="5">
        <f t="shared" si="27"/>
        <v>225.00000000000006</v>
      </c>
      <c r="N3388" s="6">
        <v>0.4</v>
      </c>
    </row>
    <row r="3389" spans="1:14" ht="15.75" customHeight="1" x14ac:dyDescent="0.45">
      <c r="A3389" s="1" t="s">
        <v>119</v>
      </c>
      <c r="B3389" s="1">
        <v>1185732</v>
      </c>
      <c r="C3389" s="2">
        <v>44571</v>
      </c>
      <c r="D3389" s="1" t="s">
        <v>11</v>
      </c>
      <c r="E3389" s="1" t="s">
        <v>109</v>
      </c>
      <c r="F3389" s="1" t="s">
        <v>110</v>
      </c>
      <c r="G3389" s="1" t="s">
        <v>16</v>
      </c>
      <c r="H3389" s="1">
        <v>30</v>
      </c>
      <c r="I3389" s="1" t="s">
        <v>125</v>
      </c>
      <c r="J3389" s="3">
        <v>0.3</v>
      </c>
      <c r="K3389" s="4">
        <v>750</v>
      </c>
      <c r="L3389" s="5">
        <f t="shared" si="26"/>
        <v>225</v>
      </c>
      <c r="M3389" s="5">
        <f t="shared" si="27"/>
        <v>90</v>
      </c>
      <c r="N3389" s="6">
        <v>0.4</v>
      </c>
    </row>
    <row r="3390" spans="1:14" ht="15.75" customHeight="1" x14ac:dyDescent="0.45">
      <c r="A3390" s="1" t="s">
        <v>119</v>
      </c>
      <c r="B3390" s="1">
        <v>1185732</v>
      </c>
      <c r="C3390" s="2">
        <v>44571</v>
      </c>
      <c r="D3390" s="1" t="s">
        <v>11</v>
      </c>
      <c r="E3390" s="1" t="s">
        <v>109</v>
      </c>
      <c r="F3390" s="1" t="s">
        <v>110</v>
      </c>
      <c r="G3390" s="1" t="s">
        <v>17</v>
      </c>
      <c r="H3390" s="1">
        <v>50</v>
      </c>
      <c r="I3390" s="1" t="s">
        <v>126</v>
      </c>
      <c r="J3390" s="3">
        <v>0.45</v>
      </c>
      <c r="K3390" s="4">
        <v>1250</v>
      </c>
      <c r="L3390" s="5">
        <f t="shared" si="26"/>
        <v>562.5</v>
      </c>
      <c r="M3390" s="5">
        <f t="shared" si="27"/>
        <v>168.75</v>
      </c>
      <c r="N3390" s="6">
        <v>0.3</v>
      </c>
    </row>
    <row r="3391" spans="1:14" ht="15.75" customHeight="1" x14ac:dyDescent="0.45">
      <c r="A3391" s="1" t="s">
        <v>119</v>
      </c>
      <c r="B3391" s="1">
        <v>1185732</v>
      </c>
      <c r="C3391" s="2">
        <v>44571</v>
      </c>
      <c r="D3391" s="1" t="s">
        <v>11</v>
      </c>
      <c r="E3391" s="1" t="s">
        <v>109</v>
      </c>
      <c r="F3391" s="1" t="s">
        <v>110</v>
      </c>
      <c r="G3391" s="1" t="s">
        <v>18</v>
      </c>
      <c r="H3391" s="1">
        <v>32</v>
      </c>
      <c r="I3391" s="1" t="s">
        <v>123</v>
      </c>
      <c r="J3391" s="3">
        <v>0.35000000000000003</v>
      </c>
      <c r="K3391" s="4">
        <v>2250</v>
      </c>
      <c r="L3391" s="5">
        <f t="shared" si="26"/>
        <v>787.50000000000011</v>
      </c>
      <c r="M3391" s="5">
        <f t="shared" si="27"/>
        <v>315.00000000000006</v>
      </c>
      <c r="N3391" s="6">
        <v>0.4</v>
      </c>
    </row>
    <row r="3392" spans="1:14" ht="15.75" customHeight="1" x14ac:dyDescent="0.45">
      <c r="A3392" s="1" t="s">
        <v>119</v>
      </c>
      <c r="B3392" s="1">
        <v>1185732</v>
      </c>
      <c r="C3392" s="2">
        <v>44600</v>
      </c>
      <c r="D3392" s="1" t="s">
        <v>11</v>
      </c>
      <c r="E3392" s="1" t="s">
        <v>109</v>
      </c>
      <c r="F3392" s="1" t="s">
        <v>110</v>
      </c>
      <c r="G3392" s="1" t="s">
        <v>13</v>
      </c>
      <c r="H3392" s="1">
        <v>23</v>
      </c>
      <c r="I3392" s="1" t="s">
        <v>124</v>
      </c>
      <c r="J3392" s="3">
        <v>0.35000000000000003</v>
      </c>
      <c r="K3392" s="4">
        <v>4750</v>
      </c>
      <c r="L3392" s="5">
        <f t="shared" si="26"/>
        <v>1662.5000000000002</v>
      </c>
      <c r="M3392" s="5">
        <f t="shared" si="27"/>
        <v>581.875</v>
      </c>
      <c r="N3392" s="6">
        <v>0.35</v>
      </c>
    </row>
    <row r="3393" spans="1:14" ht="15.75" customHeight="1" x14ac:dyDescent="0.45">
      <c r="A3393" s="1" t="s">
        <v>119</v>
      </c>
      <c r="B3393" s="1">
        <v>1185732</v>
      </c>
      <c r="C3393" s="2">
        <v>44600</v>
      </c>
      <c r="D3393" s="1" t="s">
        <v>11</v>
      </c>
      <c r="E3393" s="1" t="s">
        <v>109</v>
      </c>
      <c r="F3393" s="1" t="s">
        <v>110</v>
      </c>
      <c r="G3393" s="1" t="s">
        <v>14</v>
      </c>
      <c r="H3393" s="1">
        <v>55</v>
      </c>
      <c r="I3393" s="1" t="s">
        <v>124</v>
      </c>
      <c r="J3393" s="3">
        <v>0.35000000000000003</v>
      </c>
      <c r="K3393" s="4">
        <v>1250</v>
      </c>
      <c r="L3393" s="5">
        <f t="shared" si="26"/>
        <v>437.50000000000006</v>
      </c>
      <c r="M3393" s="5">
        <f t="shared" si="27"/>
        <v>153.125</v>
      </c>
      <c r="N3393" s="6">
        <v>0.35</v>
      </c>
    </row>
    <row r="3394" spans="1:14" ht="15.75" customHeight="1" x14ac:dyDescent="0.45">
      <c r="A3394" s="1" t="s">
        <v>119</v>
      </c>
      <c r="B3394" s="1">
        <v>1185732</v>
      </c>
      <c r="C3394" s="2">
        <v>44600</v>
      </c>
      <c r="D3394" s="1" t="s">
        <v>11</v>
      </c>
      <c r="E3394" s="1" t="s">
        <v>109</v>
      </c>
      <c r="F3394" s="1" t="s">
        <v>110</v>
      </c>
      <c r="G3394" s="1" t="s">
        <v>15</v>
      </c>
      <c r="H3394" s="1">
        <v>18</v>
      </c>
      <c r="I3394" s="1" t="s">
        <v>125</v>
      </c>
      <c r="J3394" s="3">
        <v>0.25000000000000006</v>
      </c>
      <c r="K3394" s="4">
        <v>1750</v>
      </c>
      <c r="L3394" s="5">
        <f t="shared" si="26"/>
        <v>437.50000000000011</v>
      </c>
      <c r="M3394" s="5">
        <f t="shared" si="27"/>
        <v>175.00000000000006</v>
      </c>
      <c r="N3394" s="6">
        <v>0.4</v>
      </c>
    </row>
    <row r="3395" spans="1:14" ht="15.75" customHeight="1" x14ac:dyDescent="0.45">
      <c r="A3395" s="1" t="s">
        <v>119</v>
      </c>
      <c r="B3395" s="1">
        <v>1185732</v>
      </c>
      <c r="C3395" s="2">
        <v>44600</v>
      </c>
      <c r="D3395" s="1" t="s">
        <v>11</v>
      </c>
      <c r="E3395" s="1" t="s">
        <v>109</v>
      </c>
      <c r="F3395" s="1" t="s">
        <v>110</v>
      </c>
      <c r="G3395" s="1" t="s">
        <v>16</v>
      </c>
      <c r="H3395" s="1">
        <v>52</v>
      </c>
      <c r="I3395" s="1" t="s">
        <v>126</v>
      </c>
      <c r="J3395" s="3">
        <v>0.3</v>
      </c>
      <c r="K3395" s="4">
        <v>500</v>
      </c>
      <c r="L3395" s="5">
        <f t="shared" si="26"/>
        <v>150</v>
      </c>
      <c r="M3395" s="5">
        <f t="shared" si="27"/>
        <v>60</v>
      </c>
      <c r="N3395" s="6">
        <v>0.4</v>
      </c>
    </row>
    <row r="3396" spans="1:14" ht="15.75" customHeight="1" x14ac:dyDescent="0.45">
      <c r="A3396" s="1" t="s">
        <v>119</v>
      </c>
      <c r="B3396" s="1">
        <v>1185732</v>
      </c>
      <c r="C3396" s="2">
        <v>44600</v>
      </c>
      <c r="D3396" s="1" t="s">
        <v>11</v>
      </c>
      <c r="E3396" s="1" t="s">
        <v>109</v>
      </c>
      <c r="F3396" s="1" t="s">
        <v>110</v>
      </c>
      <c r="G3396" s="1" t="s">
        <v>17</v>
      </c>
      <c r="H3396" s="1">
        <v>34</v>
      </c>
      <c r="I3396" s="1" t="s">
        <v>125</v>
      </c>
      <c r="J3396" s="3">
        <v>0.45</v>
      </c>
      <c r="K3396" s="4">
        <v>1250</v>
      </c>
      <c r="L3396" s="5">
        <f t="shared" si="26"/>
        <v>562.5</v>
      </c>
      <c r="M3396" s="5">
        <f t="shared" si="27"/>
        <v>168.75</v>
      </c>
      <c r="N3396" s="6">
        <v>0.3</v>
      </c>
    </row>
    <row r="3397" spans="1:14" ht="15.75" customHeight="1" x14ac:dyDescent="0.45">
      <c r="A3397" s="1" t="s">
        <v>119</v>
      </c>
      <c r="B3397" s="1">
        <v>1185732</v>
      </c>
      <c r="C3397" s="2">
        <v>44600</v>
      </c>
      <c r="D3397" s="1" t="s">
        <v>11</v>
      </c>
      <c r="E3397" s="1" t="s">
        <v>109</v>
      </c>
      <c r="F3397" s="1" t="s">
        <v>110</v>
      </c>
      <c r="G3397" s="1" t="s">
        <v>18</v>
      </c>
      <c r="H3397" s="1">
        <v>26</v>
      </c>
      <c r="I3397" s="1" t="s">
        <v>123</v>
      </c>
      <c r="J3397" s="3">
        <v>0.35000000000000003</v>
      </c>
      <c r="K3397" s="4">
        <v>2250</v>
      </c>
      <c r="L3397" s="5">
        <f t="shared" si="26"/>
        <v>787.50000000000011</v>
      </c>
      <c r="M3397" s="5">
        <f t="shared" si="27"/>
        <v>315.00000000000006</v>
      </c>
      <c r="N3397" s="6">
        <v>0.4</v>
      </c>
    </row>
    <row r="3398" spans="1:14" ht="15.75" customHeight="1" x14ac:dyDescent="0.45">
      <c r="A3398" s="1" t="s">
        <v>119</v>
      </c>
      <c r="B3398" s="1">
        <v>1185732</v>
      </c>
      <c r="C3398" s="2">
        <v>44626</v>
      </c>
      <c r="D3398" s="1" t="s">
        <v>11</v>
      </c>
      <c r="E3398" s="1" t="s">
        <v>109</v>
      </c>
      <c r="F3398" s="1" t="s">
        <v>110</v>
      </c>
      <c r="G3398" s="1" t="s">
        <v>13</v>
      </c>
      <c r="H3398" s="1">
        <v>27</v>
      </c>
      <c r="I3398" s="1" t="s">
        <v>126</v>
      </c>
      <c r="J3398" s="3">
        <v>0.35000000000000003</v>
      </c>
      <c r="K3398" s="4">
        <v>4450</v>
      </c>
      <c r="L3398" s="5">
        <f t="shared" si="26"/>
        <v>1557.5000000000002</v>
      </c>
      <c r="M3398" s="5">
        <f t="shared" si="27"/>
        <v>545.125</v>
      </c>
      <c r="N3398" s="6">
        <v>0.35</v>
      </c>
    </row>
    <row r="3399" spans="1:14" ht="15.75" customHeight="1" x14ac:dyDescent="0.45">
      <c r="A3399" s="1" t="s">
        <v>119</v>
      </c>
      <c r="B3399" s="1">
        <v>1185732</v>
      </c>
      <c r="C3399" s="2">
        <v>44626</v>
      </c>
      <c r="D3399" s="1" t="s">
        <v>11</v>
      </c>
      <c r="E3399" s="1" t="s">
        <v>109</v>
      </c>
      <c r="F3399" s="1" t="s">
        <v>110</v>
      </c>
      <c r="G3399" s="1" t="s">
        <v>14</v>
      </c>
      <c r="H3399" s="1">
        <v>26</v>
      </c>
      <c r="I3399" s="1" t="s">
        <v>126</v>
      </c>
      <c r="J3399" s="3">
        <v>0.35000000000000003</v>
      </c>
      <c r="K3399" s="4">
        <v>1500</v>
      </c>
      <c r="L3399" s="5">
        <f t="shared" si="26"/>
        <v>525</v>
      </c>
      <c r="M3399" s="5">
        <f t="shared" si="27"/>
        <v>183.75</v>
      </c>
      <c r="N3399" s="6">
        <v>0.35</v>
      </c>
    </row>
    <row r="3400" spans="1:14" ht="15.75" customHeight="1" x14ac:dyDescent="0.45">
      <c r="A3400" s="1" t="s">
        <v>119</v>
      </c>
      <c r="B3400" s="1">
        <v>1185732</v>
      </c>
      <c r="C3400" s="2">
        <v>44626</v>
      </c>
      <c r="D3400" s="1" t="s">
        <v>11</v>
      </c>
      <c r="E3400" s="1" t="s">
        <v>109</v>
      </c>
      <c r="F3400" s="1" t="s">
        <v>110</v>
      </c>
      <c r="G3400" s="1" t="s">
        <v>15</v>
      </c>
      <c r="H3400" s="1">
        <v>30</v>
      </c>
      <c r="I3400" s="1" t="s">
        <v>123</v>
      </c>
      <c r="J3400" s="3">
        <v>0.25000000000000006</v>
      </c>
      <c r="K3400" s="4">
        <v>1750</v>
      </c>
      <c r="L3400" s="5">
        <f t="shared" si="26"/>
        <v>437.50000000000011</v>
      </c>
      <c r="M3400" s="5">
        <f t="shared" si="27"/>
        <v>175.00000000000006</v>
      </c>
      <c r="N3400" s="6">
        <v>0.4</v>
      </c>
    </row>
    <row r="3401" spans="1:14" ht="15.75" customHeight="1" x14ac:dyDescent="0.45">
      <c r="A3401" s="1" t="s">
        <v>119</v>
      </c>
      <c r="B3401" s="1">
        <v>1185732</v>
      </c>
      <c r="C3401" s="2">
        <v>44626</v>
      </c>
      <c r="D3401" s="1" t="s">
        <v>11</v>
      </c>
      <c r="E3401" s="1" t="s">
        <v>109</v>
      </c>
      <c r="F3401" s="1" t="s">
        <v>110</v>
      </c>
      <c r="G3401" s="1" t="s">
        <v>16</v>
      </c>
      <c r="H3401" s="1">
        <v>39</v>
      </c>
      <c r="I3401" s="1" t="s">
        <v>126</v>
      </c>
      <c r="J3401" s="3">
        <v>0.3</v>
      </c>
      <c r="K3401" s="4">
        <v>250</v>
      </c>
      <c r="L3401" s="5">
        <f t="shared" si="26"/>
        <v>75</v>
      </c>
      <c r="M3401" s="5">
        <f t="shared" si="27"/>
        <v>30</v>
      </c>
      <c r="N3401" s="6">
        <v>0.4</v>
      </c>
    </row>
    <row r="3402" spans="1:14" ht="15.75" customHeight="1" x14ac:dyDescent="0.45">
      <c r="A3402" s="1" t="s">
        <v>119</v>
      </c>
      <c r="B3402" s="1">
        <v>1185732</v>
      </c>
      <c r="C3402" s="2">
        <v>44626</v>
      </c>
      <c r="D3402" s="1" t="s">
        <v>11</v>
      </c>
      <c r="E3402" s="1" t="s">
        <v>109</v>
      </c>
      <c r="F3402" s="1" t="s">
        <v>110</v>
      </c>
      <c r="G3402" s="1" t="s">
        <v>17</v>
      </c>
      <c r="H3402" s="1">
        <v>23</v>
      </c>
      <c r="I3402" s="1" t="s">
        <v>126</v>
      </c>
      <c r="J3402" s="3">
        <v>0.45</v>
      </c>
      <c r="K3402" s="4">
        <v>750</v>
      </c>
      <c r="L3402" s="5">
        <f t="shared" si="26"/>
        <v>337.5</v>
      </c>
      <c r="M3402" s="5">
        <f t="shared" si="27"/>
        <v>101.25</v>
      </c>
      <c r="N3402" s="6">
        <v>0.3</v>
      </c>
    </row>
    <row r="3403" spans="1:14" ht="15.75" customHeight="1" x14ac:dyDescent="0.45">
      <c r="A3403" s="1" t="s">
        <v>119</v>
      </c>
      <c r="B3403" s="1">
        <v>1185732</v>
      </c>
      <c r="C3403" s="2">
        <v>44626</v>
      </c>
      <c r="D3403" s="1" t="s">
        <v>11</v>
      </c>
      <c r="E3403" s="1" t="s">
        <v>109</v>
      </c>
      <c r="F3403" s="1" t="s">
        <v>110</v>
      </c>
      <c r="G3403" s="1" t="s">
        <v>18</v>
      </c>
      <c r="H3403" s="1">
        <v>59</v>
      </c>
      <c r="I3403" s="1" t="s">
        <v>124</v>
      </c>
      <c r="J3403" s="3">
        <v>0.35000000000000003</v>
      </c>
      <c r="K3403" s="4">
        <v>1750</v>
      </c>
      <c r="L3403" s="5">
        <f t="shared" si="26"/>
        <v>612.50000000000011</v>
      </c>
      <c r="M3403" s="5">
        <f t="shared" si="27"/>
        <v>245.00000000000006</v>
      </c>
      <c r="N3403" s="6">
        <v>0.4</v>
      </c>
    </row>
    <row r="3404" spans="1:14" ht="15.75" customHeight="1" x14ac:dyDescent="0.45">
      <c r="A3404" s="1" t="s">
        <v>119</v>
      </c>
      <c r="B3404" s="1">
        <v>1185732</v>
      </c>
      <c r="C3404" s="2">
        <v>44658</v>
      </c>
      <c r="D3404" s="1" t="s">
        <v>11</v>
      </c>
      <c r="E3404" s="1" t="s">
        <v>109</v>
      </c>
      <c r="F3404" s="1" t="s">
        <v>110</v>
      </c>
      <c r="G3404" s="1" t="s">
        <v>13</v>
      </c>
      <c r="H3404" s="1">
        <v>29</v>
      </c>
      <c r="I3404" s="1" t="s">
        <v>123</v>
      </c>
      <c r="J3404" s="3">
        <v>0.35000000000000003</v>
      </c>
      <c r="K3404" s="4">
        <v>4250</v>
      </c>
      <c r="L3404" s="5">
        <f t="shared" si="26"/>
        <v>1487.5000000000002</v>
      </c>
      <c r="M3404" s="5">
        <f t="shared" si="27"/>
        <v>520.625</v>
      </c>
      <c r="N3404" s="6">
        <v>0.35</v>
      </c>
    </row>
    <row r="3405" spans="1:14" ht="15.75" customHeight="1" x14ac:dyDescent="0.45">
      <c r="A3405" s="1" t="s">
        <v>119</v>
      </c>
      <c r="B3405" s="1">
        <v>1185732</v>
      </c>
      <c r="C3405" s="2">
        <v>44658</v>
      </c>
      <c r="D3405" s="1" t="s">
        <v>11</v>
      </c>
      <c r="E3405" s="1" t="s">
        <v>109</v>
      </c>
      <c r="F3405" s="1" t="s">
        <v>110</v>
      </c>
      <c r="G3405" s="1" t="s">
        <v>14</v>
      </c>
      <c r="H3405" s="1">
        <v>39</v>
      </c>
      <c r="I3405" s="1" t="s">
        <v>126</v>
      </c>
      <c r="J3405" s="3">
        <v>0.35000000000000003</v>
      </c>
      <c r="K3405" s="4">
        <v>1250</v>
      </c>
      <c r="L3405" s="5">
        <f t="shared" si="26"/>
        <v>437.50000000000006</v>
      </c>
      <c r="M3405" s="5">
        <f t="shared" si="27"/>
        <v>153.125</v>
      </c>
      <c r="N3405" s="6">
        <v>0.35</v>
      </c>
    </row>
    <row r="3406" spans="1:14" ht="15.75" customHeight="1" x14ac:dyDescent="0.45">
      <c r="A3406" s="1" t="s">
        <v>119</v>
      </c>
      <c r="B3406" s="1">
        <v>1185732</v>
      </c>
      <c r="C3406" s="2">
        <v>44658</v>
      </c>
      <c r="D3406" s="1" t="s">
        <v>11</v>
      </c>
      <c r="E3406" s="1" t="s">
        <v>109</v>
      </c>
      <c r="F3406" s="1" t="s">
        <v>110</v>
      </c>
      <c r="G3406" s="1" t="s">
        <v>15</v>
      </c>
      <c r="H3406" s="1">
        <v>30</v>
      </c>
      <c r="I3406" s="1" t="s">
        <v>123</v>
      </c>
      <c r="J3406" s="3">
        <v>0.25000000000000006</v>
      </c>
      <c r="K3406" s="4">
        <v>1250</v>
      </c>
      <c r="L3406" s="5">
        <f t="shared" si="26"/>
        <v>312.50000000000006</v>
      </c>
      <c r="M3406" s="5">
        <f t="shared" si="27"/>
        <v>125.00000000000003</v>
      </c>
      <c r="N3406" s="6">
        <v>0.4</v>
      </c>
    </row>
    <row r="3407" spans="1:14" ht="15.75" customHeight="1" x14ac:dyDescent="0.45">
      <c r="A3407" s="1" t="s">
        <v>119</v>
      </c>
      <c r="B3407" s="1">
        <v>1185732</v>
      </c>
      <c r="C3407" s="2">
        <v>44658</v>
      </c>
      <c r="D3407" s="1" t="s">
        <v>11</v>
      </c>
      <c r="E3407" s="1" t="s">
        <v>109</v>
      </c>
      <c r="F3407" s="1" t="s">
        <v>110</v>
      </c>
      <c r="G3407" s="1" t="s">
        <v>16</v>
      </c>
      <c r="H3407" s="1">
        <v>20</v>
      </c>
      <c r="I3407" s="1" t="s">
        <v>125</v>
      </c>
      <c r="J3407" s="3">
        <v>0.3</v>
      </c>
      <c r="K3407" s="4">
        <v>500</v>
      </c>
      <c r="L3407" s="5">
        <f t="shared" si="26"/>
        <v>150</v>
      </c>
      <c r="M3407" s="5">
        <f t="shared" si="27"/>
        <v>60</v>
      </c>
      <c r="N3407" s="6">
        <v>0.4</v>
      </c>
    </row>
    <row r="3408" spans="1:14" ht="15.75" customHeight="1" x14ac:dyDescent="0.45">
      <c r="A3408" s="1" t="s">
        <v>119</v>
      </c>
      <c r="B3408" s="1">
        <v>1185732</v>
      </c>
      <c r="C3408" s="2">
        <v>44658</v>
      </c>
      <c r="D3408" s="1" t="s">
        <v>11</v>
      </c>
      <c r="E3408" s="1" t="s">
        <v>109</v>
      </c>
      <c r="F3408" s="1" t="s">
        <v>110</v>
      </c>
      <c r="G3408" s="1" t="s">
        <v>17</v>
      </c>
      <c r="H3408" s="1">
        <v>28</v>
      </c>
      <c r="I3408" s="1" t="s">
        <v>124</v>
      </c>
      <c r="J3408" s="3">
        <v>0.45</v>
      </c>
      <c r="K3408" s="4">
        <v>500</v>
      </c>
      <c r="L3408" s="5">
        <f t="shared" si="26"/>
        <v>225</v>
      </c>
      <c r="M3408" s="5">
        <f t="shared" si="27"/>
        <v>67.5</v>
      </c>
      <c r="N3408" s="6">
        <v>0.3</v>
      </c>
    </row>
    <row r="3409" spans="1:14" ht="15.75" customHeight="1" x14ac:dyDescent="0.45">
      <c r="A3409" s="1" t="s">
        <v>119</v>
      </c>
      <c r="B3409" s="1">
        <v>1185732</v>
      </c>
      <c r="C3409" s="2">
        <v>44658</v>
      </c>
      <c r="D3409" s="1" t="s">
        <v>11</v>
      </c>
      <c r="E3409" s="1" t="s">
        <v>109</v>
      </c>
      <c r="F3409" s="1" t="s">
        <v>110</v>
      </c>
      <c r="G3409" s="1" t="s">
        <v>18</v>
      </c>
      <c r="H3409" s="1">
        <v>20</v>
      </c>
      <c r="I3409" s="1" t="s">
        <v>123</v>
      </c>
      <c r="J3409" s="3">
        <v>0.35000000000000003</v>
      </c>
      <c r="K3409" s="4">
        <v>2000</v>
      </c>
      <c r="L3409" s="5">
        <f t="shared" si="26"/>
        <v>700.00000000000011</v>
      </c>
      <c r="M3409" s="5">
        <f t="shared" si="27"/>
        <v>280.00000000000006</v>
      </c>
      <c r="N3409" s="6">
        <v>0.4</v>
      </c>
    </row>
    <row r="3410" spans="1:14" ht="15.75" customHeight="1" x14ac:dyDescent="0.45">
      <c r="A3410" s="1" t="s">
        <v>119</v>
      </c>
      <c r="B3410" s="1">
        <v>1185732</v>
      </c>
      <c r="C3410" s="2">
        <v>44687</v>
      </c>
      <c r="D3410" s="1" t="s">
        <v>11</v>
      </c>
      <c r="E3410" s="1" t="s">
        <v>109</v>
      </c>
      <c r="F3410" s="1" t="s">
        <v>110</v>
      </c>
      <c r="G3410" s="1" t="s">
        <v>13</v>
      </c>
      <c r="H3410" s="1">
        <v>47</v>
      </c>
      <c r="I3410" s="1" t="s">
        <v>125</v>
      </c>
      <c r="J3410" s="3">
        <v>0.49999999999999994</v>
      </c>
      <c r="K3410" s="4">
        <v>4700</v>
      </c>
      <c r="L3410" s="5">
        <f t="shared" si="26"/>
        <v>2349.9999999999995</v>
      </c>
      <c r="M3410" s="5">
        <f t="shared" si="27"/>
        <v>822.49999999999977</v>
      </c>
      <c r="N3410" s="6">
        <v>0.35</v>
      </c>
    </row>
    <row r="3411" spans="1:14" ht="15.75" customHeight="1" x14ac:dyDescent="0.45">
      <c r="A3411" s="1" t="s">
        <v>119</v>
      </c>
      <c r="B3411" s="1">
        <v>1185732</v>
      </c>
      <c r="C3411" s="2">
        <v>44687</v>
      </c>
      <c r="D3411" s="1" t="s">
        <v>11</v>
      </c>
      <c r="E3411" s="1" t="s">
        <v>109</v>
      </c>
      <c r="F3411" s="1" t="s">
        <v>110</v>
      </c>
      <c r="G3411" s="1" t="s">
        <v>14</v>
      </c>
      <c r="H3411" s="1">
        <v>53</v>
      </c>
      <c r="I3411" s="1" t="s">
        <v>123</v>
      </c>
      <c r="J3411" s="3">
        <v>0.45</v>
      </c>
      <c r="K3411" s="4">
        <v>1750</v>
      </c>
      <c r="L3411" s="5">
        <f t="shared" si="26"/>
        <v>787.5</v>
      </c>
      <c r="M3411" s="5">
        <f t="shared" si="27"/>
        <v>275.625</v>
      </c>
      <c r="N3411" s="6">
        <v>0.35</v>
      </c>
    </row>
    <row r="3412" spans="1:14" ht="15.75" customHeight="1" x14ac:dyDescent="0.45">
      <c r="A3412" s="1" t="s">
        <v>119</v>
      </c>
      <c r="B3412" s="1">
        <v>1185732</v>
      </c>
      <c r="C3412" s="2">
        <v>44687</v>
      </c>
      <c r="D3412" s="1" t="s">
        <v>11</v>
      </c>
      <c r="E3412" s="1" t="s">
        <v>109</v>
      </c>
      <c r="F3412" s="1" t="s">
        <v>110</v>
      </c>
      <c r="G3412" s="1" t="s">
        <v>15</v>
      </c>
      <c r="H3412" s="1">
        <v>24</v>
      </c>
      <c r="I3412" s="1" t="s">
        <v>125</v>
      </c>
      <c r="J3412" s="3">
        <v>0.4</v>
      </c>
      <c r="K3412" s="4">
        <v>2000</v>
      </c>
      <c r="L3412" s="5">
        <f t="shared" si="26"/>
        <v>800</v>
      </c>
      <c r="M3412" s="5">
        <f t="shared" si="27"/>
        <v>320</v>
      </c>
      <c r="N3412" s="6">
        <v>0.4</v>
      </c>
    </row>
    <row r="3413" spans="1:14" ht="15.75" customHeight="1" x14ac:dyDescent="0.45">
      <c r="A3413" s="1" t="s">
        <v>119</v>
      </c>
      <c r="B3413" s="1">
        <v>1185732</v>
      </c>
      <c r="C3413" s="2">
        <v>44687</v>
      </c>
      <c r="D3413" s="1" t="s">
        <v>11</v>
      </c>
      <c r="E3413" s="1" t="s">
        <v>109</v>
      </c>
      <c r="F3413" s="1" t="s">
        <v>110</v>
      </c>
      <c r="G3413" s="1" t="s">
        <v>16</v>
      </c>
      <c r="H3413" s="1">
        <v>60</v>
      </c>
      <c r="I3413" s="1" t="s">
        <v>124</v>
      </c>
      <c r="J3413" s="3">
        <v>0.4</v>
      </c>
      <c r="K3413" s="4">
        <v>1500</v>
      </c>
      <c r="L3413" s="5">
        <f t="shared" si="26"/>
        <v>600</v>
      </c>
      <c r="M3413" s="5">
        <f t="shared" si="27"/>
        <v>240</v>
      </c>
      <c r="N3413" s="6">
        <v>0.4</v>
      </c>
    </row>
    <row r="3414" spans="1:14" ht="15.75" customHeight="1" x14ac:dyDescent="0.45">
      <c r="A3414" s="1" t="s">
        <v>119</v>
      </c>
      <c r="B3414" s="1">
        <v>1185732</v>
      </c>
      <c r="C3414" s="2">
        <v>44687</v>
      </c>
      <c r="D3414" s="1" t="s">
        <v>11</v>
      </c>
      <c r="E3414" s="1" t="s">
        <v>109</v>
      </c>
      <c r="F3414" s="1" t="s">
        <v>110</v>
      </c>
      <c r="G3414" s="1" t="s">
        <v>17</v>
      </c>
      <c r="H3414" s="1">
        <v>53</v>
      </c>
      <c r="I3414" s="1" t="s">
        <v>123</v>
      </c>
      <c r="J3414" s="3">
        <v>0.49999999999999994</v>
      </c>
      <c r="K3414" s="4">
        <v>1750</v>
      </c>
      <c r="L3414" s="5">
        <f t="shared" si="26"/>
        <v>874.99999999999989</v>
      </c>
      <c r="M3414" s="5">
        <f t="shared" si="27"/>
        <v>262.49999999999994</v>
      </c>
      <c r="N3414" s="6">
        <v>0.3</v>
      </c>
    </row>
    <row r="3415" spans="1:14" ht="15.75" customHeight="1" x14ac:dyDescent="0.45">
      <c r="A3415" s="1" t="s">
        <v>119</v>
      </c>
      <c r="B3415" s="1">
        <v>1185732</v>
      </c>
      <c r="C3415" s="2">
        <v>44687</v>
      </c>
      <c r="D3415" s="1" t="s">
        <v>11</v>
      </c>
      <c r="E3415" s="1" t="s">
        <v>109</v>
      </c>
      <c r="F3415" s="1" t="s">
        <v>110</v>
      </c>
      <c r="G3415" s="1" t="s">
        <v>18</v>
      </c>
      <c r="H3415" s="1">
        <v>50</v>
      </c>
      <c r="I3415" s="1" t="s">
        <v>123</v>
      </c>
      <c r="J3415" s="3">
        <v>0.54999999999999993</v>
      </c>
      <c r="K3415" s="4">
        <v>3000</v>
      </c>
      <c r="L3415" s="5">
        <f t="shared" si="26"/>
        <v>1649.9999999999998</v>
      </c>
      <c r="M3415" s="5">
        <f t="shared" si="27"/>
        <v>660</v>
      </c>
      <c r="N3415" s="6">
        <v>0.4</v>
      </c>
    </row>
    <row r="3416" spans="1:14" ht="15.75" customHeight="1" x14ac:dyDescent="0.45">
      <c r="A3416" s="1" t="s">
        <v>119</v>
      </c>
      <c r="B3416" s="1">
        <v>1185732</v>
      </c>
      <c r="C3416" s="2">
        <v>44720</v>
      </c>
      <c r="D3416" s="1" t="s">
        <v>11</v>
      </c>
      <c r="E3416" s="1" t="s">
        <v>109</v>
      </c>
      <c r="F3416" s="1" t="s">
        <v>110</v>
      </c>
      <c r="G3416" s="1" t="s">
        <v>13</v>
      </c>
      <c r="H3416" s="1">
        <v>27</v>
      </c>
      <c r="I3416" s="1" t="s">
        <v>123</v>
      </c>
      <c r="J3416" s="3">
        <v>0.49999999999999994</v>
      </c>
      <c r="K3416" s="4">
        <v>5500</v>
      </c>
      <c r="L3416" s="5">
        <f t="shared" si="26"/>
        <v>2749.9999999999995</v>
      </c>
      <c r="M3416" s="5">
        <f t="shared" si="27"/>
        <v>962.49999999999977</v>
      </c>
      <c r="N3416" s="6">
        <v>0.35</v>
      </c>
    </row>
    <row r="3417" spans="1:14" ht="15.75" customHeight="1" x14ac:dyDescent="0.45">
      <c r="A3417" s="1" t="s">
        <v>119</v>
      </c>
      <c r="B3417" s="1">
        <v>1185732</v>
      </c>
      <c r="C3417" s="2">
        <v>44720</v>
      </c>
      <c r="D3417" s="1" t="s">
        <v>11</v>
      </c>
      <c r="E3417" s="1" t="s">
        <v>109</v>
      </c>
      <c r="F3417" s="1" t="s">
        <v>110</v>
      </c>
      <c r="G3417" s="1" t="s">
        <v>14</v>
      </c>
      <c r="H3417" s="1">
        <v>45</v>
      </c>
      <c r="I3417" s="1" t="s">
        <v>124</v>
      </c>
      <c r="J3417" s="3">
        <v>0.45</v>
      </c>
      <c r="K3417" s="4">
        <v>3000</v>
      </c>
      <c r="L3417" s="5">
        <f t="shared" si="26"/>
        <v>1350</v>
      </c>
      <c r="M3417" s="5">
        <f t="shared" si="27"/>
        <v>472.49999999999994</v>
      </c>
      <c r="N3417" s="6">
        <v>0.35</v>
      </c>
    </row>
    <row r="3418" spans="1:14" ht="15.75" customHeight="1" x14ac:dyDescent="0.45">
      <c r="A3418" s="1" t="s">
        <v>119</v>
      </c>
      <c r="B3418" s="1">
        <v>1185732</v>
      </c>
      <c r="C3418" s="2">
        <v>44720</v>
      </c>
      <c r="D3418" s="1" t="s">
        <v>11</v>
      </c>
      <c r="E3418" s="1" t="s">
        <v>109</v>
      </c>
      <c r="F3418" s="1" t="s">
        <v>110</v>
      </c>
      <c r="G3418" s="1" t="s">
        <v>15</v>
      </c>
      <c r="H3418" s="1">
        <v>21</v>
      </c>
      <c r="I3418" s="1" t="s">
        <v>126</v>
      </c>
      <c r="J3418" s="3">
        <v>0.4</v>
      </c>
      <c r="K3418" s="4">
        <v>2250</v>
      </c>
      <c r="L3418" s="5">
        <f t="shared" si="26"/>
        <v>900</v>
      </c>
      <c r="M3418" s="5">
        <f t="shared" si="27"/>
        <v>360</v>
      </c>
      <c r="N3418" s="6">
        <v>0.4</v>
      </c>
    </row>
    <row r="3419" spans="1:14" ht="15.75" customHeight="1" x14ac:dyDescent="0.45">
      <c r="A3419" s="1" t="s">
        <v>119</v>
      </c>
      <c r="B3419" s="1">
        <v>1185732</v>
      </c>
      <c r="C3419" s="2">
        <v>44720</v>
      </c>
      <c r="D3419" s="1" t="s">
        <v>11</v>
      </c>
      <c r="E3419" s="1" t="s">
        <v>109</v>
      </c>
      <c r="F3419" s="1" t="s">
        <v>110</v>
      </c>
      <c r="G3419" s="1" t="s">
        <v>16</v>
      </c>
      <c r="H3419" s="1">
        <v>23</v>
      </c>
      <c r="I3419" s="1" t="s">
        <v>123</v>
      </c>
      <c r="J3419" s="3">
        <v>0.4</v>
      </c>
      <c r="K3419" s="4">
        <v>2000</v>
      </c>
      <c r="L3419" s="5">
        <f t="shared" si="26"/>
        <v>800</v>
      </c>
      <c r="M3419" s="5">
        <f t="shared" si="27"/>
        <v>320</v>
      </c>
      <c r="N3419" s="6">
        <v>0.4</v>
      </c>
    </row>
    <row r="3420" spans="1:14" ht="15.75" customHeight="1" x14ac:dyDescent="0.45">
      <c r="A3420" s="1" t="s">
        <v>119</v>
      </c>
      <c r="B3420" s="1">
        <v>1185732</v>
      </c>
      <c r="C3420" s="2">
        <v>44720</v>
      </c>
      <c r="D3420" s="1" t="s">
        <v>11</v>
      </c>
      <c r="E3420" s="1" t="s">
        <v>109</v>
      </c>
      <c r="F3420" s="1" t="s">
        <v>110</v>
      </c>
      <c r="G3420" s="1" t="s">
        <v>17</v>
      </c>
      <c r="H3420" s="1">
        <v>32</v>
      </c>
      <c r="I3420" s="1" t="s">
        <v>124</v>
      </c>
      <c r="J3420" s="3">
        <v>0.49999999999999994</v>
      </c>
      <c r="K3420" s="4">
        <v>2000</v>
      </c>
      <c r="L3420" s="5">
        <f t="shared" si="26"/>
        <v>999.99999999999989</v>
      </c>
      <c r="M3420" s="5">
        <f t="shared" si="27"/>
        <v>299.99999999999994</v>
      </c>
      <c r="N3420" s="6">
        <v>0.3</v>
      </c>
    </row>
    <row r="3421" spans="1:14" ht="15.75" customHeight="1" x14ac:dyDescent="0.45">
      <c r="A3421" s="1" t="s">
        <v>119</v>
      </c>
      <c r="B3421" s="1">
        <v>1185732</v>
      </c>
      <c r="C3421" s="2">
        <v>44720</v>
      </c>
      <c r="D3421" s="1" t="s">
        <v>11</v>
      </c>
      <c r="E3421" s="1" t="s">
        <v>109</v>
      </c>
      <c r="F3421" s="1" t="s">
        <v>110</v>
      </c>
      <c r="G3421" s="1" t="s">
        <v>18</v>
      </c>
      <c r="H3421" s="1">
        <v>52</v>
      </c>
      <c r="I3421" s="1" t="s">
        <v>123</v>
      </c>
      <c r="J3421" s="3">
        <v>0.54999999999999993</v>
      </c>
      <c r="K3421" s="4">
        <v>3500</v>
      </c>
      <c r="L3421" s="5">
        <f t="shared" si="26"/>
        <v>1924.9999999999998</v>
      </c>
      <c r="M3421" s="5">
        <f t="shared" si="27"/>
        <v>770</v>
      </c>
      <c r="N3421" s="6">
        <v>0.4</v>
      </c>
    </row>
    <row r="3422" spans="1:14" ht="15.75" customHeight="1" x14ac:dyDescent="0.45">
      <c r="A3422" s="1" t="s">
        <v>119</v>
      </c>
      <c r="B3422" s="1">
        <v>1185732</v>
      </c>
      <c r="C3422" s="2">
        <v>44748</v>
      </c>
      <c r="D3422" s="1" t="s">
        <v>11</v>
      </c>
      <c r="E3422" s="1" t="s">
        <v>109</v>
      </c>
      <c r="F3422" s="1" t="s">
        <v>110</v>
      </c>
      <c r="G3422" s="1" t="s">
        <v>13</v>
      </c>
      <c r="H3422" s="1">
        <v>52</v>
      </c>
      <c r="I3422" s="1" t="s">
        <v>124</v>
      </c>
      <c r="J3422" s="3">
        <v>0.49999999999999994</v>
      </c>
      <c r="K3422" s="4">
        <v>5750</v>
      </c>
      <c r="L3422" s="5">
        <f t="shared" si="26"/>
        <v>2874.9999999999995</v>
      </c>
      <c r="M3422" s="5">
        <f t="shared" si="27"/>
        <v>1006.2499999999998</v>
      </c>
      <c r="N3422" s="6">
        <v>0.35</v>
      </c>
    </row>
    <row r="3423" spans="1:14" ht="15.75" customHeight="1" x14ac:dyDescent="0.45">
      <c r="A3423" s="1" t="s">
        <v>119</v>
      </c>
      <c r="B3423" s="1">
        <v>1185732</v>
      </c>
      <c r="C3423" s="2">
        <v>44748</v>
      </c>
      <c r="D3423" s="1" t="s">
        <v>11</v>
      </c>
      <c r="E3423" s="1" t="s">
        <v>109</v>
      </c>
      <c r="F3423" s="1" t="s">
        <v>110</v>
      </c>
      <c r="G3423" s="1" t="s">
        <v>14</v>
      </c>
      <c r="H3423" s="1">
        <v>42</v>
      </c>
      <c r="I3423" s="1" t="s">
        <v>126</v>
      </c>
      <c r="J3423" s="3">
        <v>0.45</v>
      </c>
      <c r="K3423" s="4">
        <v>3250</v>
      </c>
      <c r="L3423" s="5">
        <f t="shared" si="26"/>
        <v>1462.5</v>
      </c>
      <c r="M3423" s="5">
        <f t="shared" si="27"/>
        <v>511.87499999999994</v>
      </c>
      <c r="N3423" s="6">
        <v>0.35</v>
      </c>
    </row>
    <row r="3424" spans="1:14" ht="15.75" customHeight="1" x14ac:dyDescent="0.45">
      <c r="A3424" s="1" t="s">
        <v>119</v>
      </c>
      <c r="B3424" s="1">
        <v>1185732</v>
      </c>
      <c r="C3424" s="2">
        <v>44748</v>
      </c>
      <c r="D3424" s="1" t="s">
        <v>11</v>
      </c>
      <c r="E3424" s="1" t="s">
        <v>109</v>
      </c>
      <c r="F3424" s="1" t="s">
        <v>110</v>
      </c>
      <c r="G3424" s="1" t="s">
        <v>15</v>
      </c>
      <c r="H3424" s="1">
        <v>43</v>
      </c>
      <c r="I3424" s="1" t="s">
        <v>123</v>
      </c>
      <c r="J3424" s="3">
        <v>0.4</v>
      </c>
      <c r="K3424" s="4">
        <v>2500</v>
      </c>
      <c r="L3424" s="5">
        <f t="shared" si="26"/>
        <v>1000</v>
      </c>
      <c r="M3424" s="5">
        <f t="shared" si="27"/>
        <v>400</v>
      </c>
      <c r="N3424" s="6">
        <v>0.4</v>
      </c>
    </row>
    <row r="3425" spans="1:14" ht="15.75" customHeight="1" x14ac:dyDescent="0.45">
      <c r="A3425" s="1" t="s">
        <v>119</v>
      </c>
      <c r="B3425" s="1">
        <v>1185732</v>
      </c>
      <c r="C3425" s="2">
        <v>44748</v>
      </c>
      <c r="D3425" s="1" t="s">
        <v>11</v>
      </c>
      <c r="E3425" s="1" t="s">
        <v>109</v>
      </c>
      <c r="F3425" s="1" t="s">
        <v>110</v>
      </c>
      <c r="G3425" s="1" t="s">
        <v>16</v>
      </c>
      <c r="H3425" s="1">
        <v>56</v>
      </c>
      <c r="I3425" s="1" t="s">
        <v>126</v>
      </c>
      <c r="J3425" s="3">
        <v>0.4</v>
      </c>
      <c r="K3425" s="4">
        <v>2000</v>
      </c>
      <c r="L3425" s="5">
        <f t="shared" si="26"/>
        <v>800</v>
      </c>
      <c r="M3425" s="5">
        <f t="shared" si="27"/>
        <v>320</v>
      </c>
      <c r="N3425" s="6">
        <v>0.4</v>
      </c>
    </row>
    <row r="3426" spans="1:14" ht="15.75" customHeight="1" x14ac:dyDescent="0.45">
      <c r="A3426" s="1" t="s">
        <v>119</v>
      </c>
      <c r="B3426" s="1">
        <v>1185732</v>
      </c>
      <c r="C3426" s="2">
        <v>44748</v>
      </c>
      <c r="D3426" s="1" t="s">
        <v>11</v>
      </c>
      <c r="E3426" s="1" t="s">
        <v>109</v>
      </c>
      <c r="F3426" s="1" t="s">
        <v>110</v>
      </c>
      <c r="G3426" s="1" t="s">
        <v>17</v>
      </c>
      <c r="H3426" s="1">
        <v>21</v>
      </c>
      <c r="I3426" s="1" t="s">
        <v>125</v>
      </c>
      <c r="J3426" s="3">
        <v>0.49999999999999994</v>
      </c>
      <c r="K3426" s="4">
        <v>2250</v>
      </c>
      <c r="L3426" s="5">
        <f t="shared" si="26"/>
        <v>1124.9999999999998</v>
      </c>
      <c r="M3426" s="5">
        <f t="shared" si="27"/>
        <v>337.49999999999994</v>
      </c>
      <c r="N3426" s="6">
        <v>0.3</v>
      </c>
    </row>
    <row r="3427" spans="1:14" ht="15.75" customHeight="1" x14ac:dyDescent="0.45">
      <c r="A3427" s="1" t="s">
        <v>119</v>
      </c>
      <c r="B3427" s="1">
        <v>1185732</v>
      </c>
      <c r="C3427" s="2">
        <v>44748</v>
      </c>
      <c r="D3427" s="1" t="s">
        <v>11</v>
      </c>
      <c r="E3427" s="1" t="s">
        <v>109</v>
      </c>
      <c r="F3427" s="1" t="s">
        <v>110</v>
      </c>
      <c r="G3427" s="1" t="s">
        <v>18</v>
      </c>
      <c r="H3427" s="1">
        <v>47</v>
      </c>
      <c r="I3427" s="1" t="s">
        <v>123</v>
      </c>
      <c r="J3427" s="3">
        <v>0.54999999999999993</v>
      </c>
      <c r="K3427" s="4">
        <v>4000</v>
      </c>
      <c r="L3427" s="5">
        <f t="shared" si="26"/>
        <v>2199.9999999999995</v>
      </c>
      <c r="M3427" s="5">
        <f t="shared" si="27"/>
        <v>879.99999999999989</v>
      </c>
      <c r="N3427" s="6">
        <v>0.4</v>
      </c>
    </row>
    <row r="3428" spans="1:14" ht="15.75" customHeight="1" x14ac:dyDescent="0.45">
      <c r="A3428" s="1" t="s">
        <v>119</v>
      </c>
      <c r="B3428" s="1">
        <v>1185732</v>
      </c>
      <c r="C3428" s="2">
        <v>44780</v>
      </c>
      <c r="D3428" s="1" t="s">
        <v>11</v>
      </c>
      <c r="E3428" s="1" t="s">
        <v>109</v>
      </c>
      <c r="F3428" s="1" t="s">
        <v>110</v>
      </c>
      <c r="G3428" s="1" t="s">
        <v>13</v>
      </c>
      <c r="H3428" s="1">
        <v>45</v>
      </c>
      <c r="I3428" s="1" t="s">
        <v>124</v>
      </c>
      <c r="J3428" s="3">
        <v>0.49999999999999994</v>
      </c>
      <c r="K3428" s="4">
        <v>5500</v>
      </c>
      <c r="L3428" s="5">
        <f t="shared" ref="L3428:L3682" si="28">J3428*K3428</f>
        <v>2749.9999999999995</v>
      </c>
      <c r="M3428" s="5">
        <f t="shared" ref="M3428:M3682" si="29">L3428*N3428</f>
        <v>962.49999999999977</v>
      </c>
      <c r="N3428" s="6">
        <v>0.35</v>
      </c>
    </row>
    <row r="3429" spans="1:14" ht="15.75" customHeight="1" x14ac:dyDescent="0.45">
      <c r="A3429" s="1" t="s">
        <v>119</v>
      </c>
      <c r="B3429" s="1">
        <v>1185732</v>
      </c>
      <c r="C3429" s="2">
        <v>44780</v>
      </c>
      <c r="D3429" s="1" t="s">
        <v>11</v>
      </c>
      <c r="E3429" s="1" t="s">
        <v>109</v>
      </c>
      <c r="F3429" s="1" t="s">
        <v>110</v>
      </c>
      <c r="G3429" s="1" t="s">
        <v>14</v>
      </c>
      <c r="H3429" s="1">
        <v>48</v>
      </c>
      <c r="I3429" s="1" t="s">
        <v>126</v>
      </c>
      <c r="J3429" s="3">
        <v>0.45</v>
      </c>
      <c r="K3429" s="4">
        <v>3250</v>
      </c>
      <c r="L3429" s="5">
        <f t="shared" si="28"/>
        <v>1462.5</v>
      </c>
      <c r="M3429" s="5">
        <f t="shared" si="29"/>
        <v>511.87499999999994</v>
      </c>
      <c r="N3429" s="6">
        <v>0.35</v>
      </c>
    </row>
    <row r="3430" spans="1:14" ht="15.75" customHeight="1" x14ac:dyDescent="0.45">
      <c r="A3430" s="1" t="s">
        <v>119</v>
      </c>
      <c r="B3430" s="1">
        <v>1185732</v>
      </c>
      <c r="C3430" s="2">
        <v>44780</v>
      </c>
      <c r="D3430" s="1" t="s">
        <v>11</v>
      </c>
      <c r="E3430" s="1" t="s">
        <v>109</v>
      </c>
      <c r="F3430" s="1" t="s">
        <v>110</v>
      </c>
      <c r="G3430" s="1" t="s">
        <v>15</v>
      </c>
      <c r="H3430" s="1">
        <v>38</v>
      </c>
      <c r="I3430" s="1" t="s">
        <v>123</v>
      </c>
      <c r="J3430" s="3">
        <v>0.4</v>
      </c>
      <c r="K3430" s="4">
        <v>2500</v>
      </c>
      <c r="L3430" s="5">
        <f t="shared" si="28"/>
        <v>1000</v>
      </c>
      <c r="M3430" s="5">
        <f t="shared" si="29"/>
        <v>400</v>
      </c>
      <c r="N3430" s="6">
        <v>0.4</v>
      </c>
    </row>
    <row r="3431" spans="1:14" ht="15.75" customHeight="1" x14ac:dyDescent="0.45">
      <c r="A3431" s="1" t="s">
        <v>119</v>
      </c>
      <c r="B3431" s="1">
        <v>1185732</v>
      </c>
      <c r="C3431" s="2">
        <v>44780</v>
      </c>
      <c r="D3431" s="1" t="s">
        <v>11</v>
      </c>
      <c r="E3431" s="1" t="s">
        <v>109</v>
      </c>
      <c r="F3431" s="1" t="s">
        <v>110</v>
      </c>
      <c r="G3431" s="1" t="s">
        <v>16</v>
      </c>
      <c r="H3431" s="1">
        <v>59</v>
      </c>
      <c r="I3431" s="1" t="s">
        <v>125</v>
      </c>
      <c r="J3431" s="3">
        <v>0.4</v>
      </c>
      <c r="K3431" s="4">
        <v>1500</v>
      </c>
      <c r="L3431" s="5">
        <f t="shared" si="28"/>
        <v>600</v>
      </c>
      <c r="M3431" s="5">
        <f t="shared" si="29"/>
        <v>240</v>
      </c>
      <c r="N3431" s="6">
        <v>0.4</v>
      </c>
    </row>
    <row r="3432" spans="1:14" ht="15.75" customHeight="1" x14ac:dyDescent="0.45">
      <c r="A3432" s="1" t="s">
        <v>119</v>
      </c>
      <c r="B3432" s="1">
        <v>1185732</v>
      </c>
      <c r="C3432" s="2">
        <v>44780</v>
      </c>
      <c r="D3432" s="1" t="s">
        <v>11</v>
      </c>
      <c r="E3432" s="1" t="s">
        <v>109</v>
      </c>
      <c r="F3432" s="1" t="s">
        <v>110</v>
      </c>
      <c r="G3432" s="1" t="s">
        <v>17</v>
      </c>
      <c r="H3432" s="1">
        <v>55</v>
      </c>
      <c r="I3432" s="1" t="s">
        <v>125</v>
      </c>
      <c r="J3432" s="3">
        <v>0.49999999999999994</v>
      </c>
      <c r="K3432" s="4">
        <v>1250</v>
      </c>
      <c r="L3432" s="5">
        <f t="shared" si="28"/>
        <v>624.99999999999989</v>
      </c>
      <c r="M3432" s="5">
        <f t="shared" si="29"/>
        <v>187.49999999999997</v>
      </c>
      <c r="N3432" s="6">
        <v>0.3</v>
      </c>
    </row>
    <row r="3433" spans="1:14" ht="15.75" customHeight="1" x14ac:dyDescent="0.45">
      <c r="A3433" s="1" t="s">
        <v>119</v>
      </c>
      <c r="B3433" s="1">
        <v>1185732</v>
      </c>
      <c r="C3433" s="2">
        <v>44780</v>
      </c>
      <c r="D3433" s="1" t="s">
        <v>11</v>
      </c>
      <c r="E3433" s="1" t="s">
        <v>109</v>
      </c>
      <c r="F3433" s="1" t="s">
        <v>110</v>
      </c>
      <c r="G3433" s="1" t="s">
        <v>18</v>
      </c>
      <c r="H3433" s="1">
        <v>32</v>
      </c>
      <c r="I3433" s="1" t="s">
        <v>126</v>
      </c>
      <c r="J3433" s="3">
        <v>0.54999999999999993</v>
      </c>
      <c r="K3433" s="4">
        <v>3000</v>
      </c>
      <c r="L3433" s="5">
        <f t="shared" si="28"/>
        <v>1649.9999999999998</v>
      </c>
      <c r="M3433" s="5">
        <f t="shared" si="29"/>
        <v>660</v>
      </c>
      <c r="N3433" s="6">
        <v>0.4</v>
      </c>
    </row>
    <row r="3434" spans="1:14" ht="15.75" customHeight="1" x14ac:dyDescent="0.45">
      <c r="A3434" s="1" t="s">
        <v>119</v>
      </c>
      <c r="B3434" s="1">
        <v>1185732</v>
      </c>
      <c r="C3434" s="2">
        <v>44810</v>
      </c>
      <c r="D3434" s="1" t="s">
        <v>11</v>
      </c>
      <c r="E3434" s="1" t="s">
        <v>109</v>
      </c>
      <c r="F3434" s="1" t="s">
        <v>110</v>
      </c>
      <c r="G3434" s="1" t="s">
        <v>13</v>
      </c>
      <c r="H3434" s="1">
        <v>38</v>
      </c>
      <c r="I3434" s="1" t="s">
        <v>126</v>
      </c>
      <c r="J3434" s="3">
        <v>0.49999999999999994</v>
      </c>
      <c r="K3434" s="4">
        <v>4250</v>
      </c>
      <c r="L3434" s="5">
        <f t="shared" si="28"/>
        <v>2124.9999999999995</v>
      </c>
      <c r="M3434" s="5">
        <f t="shared" si="29"/>
        <v>743.74999999999977</v>
      </c>
      <c r="N3434" s="6">
        <v>0.35</v>
      </c>
    </row>
    <row r="3435" spans="1:14" ht="15.75" customHeight="1" x14ac:dyDescent="0.45">
      <c r="A3435" s="1" t="s">
        <v>119</v>
      </c>
      <c r="B3435" s="1">
        <v>1185732</v>
      </c>
      <c r="C3435" s="2">
        <v>44810</v>
      </c>
      <c r="D3435" s="1" t="s">
        <v>11</v>
      </c>
      <c r="E3435" s="1" t="s">
        <v>109</v>
      </c>
      <c r="F3435" s="1" t="s">
        <v>110</v>
      </c>
      <c r="G3435" s="1" t="s">
        <v>14</v>
      </c>
      <c r="H3435" s="1">
        <v>49</v>
      </c>
      <c r="I3435" s="1" t="s">
        <v>124</v>
      </c>
      <c r="J3435" s="3">
        <v>0.45</v>
      </c>
      <c r="K3435" s="4">
        <v>2250</v>
      </c>
      <c r="L3435" s="5">
        <f t="shared" si="28"/>
        <v>1012.5</v>
      </c>
      <c r="M3435" s="5">
        <f t="shared" si="29"/>
        <v>354.375</v>
      </c>
      <c r="N3435" s="6">
        <v>0.35</v>
      </c>
    </row>
    <row r="3436" spans="1:14" ht="15.75" customHeight="1" x14ac:dyDescent="0.45">
      <c r="A3436" s="1" t="s">
        <v>119</v>
      </c>
      <c r="B3436" s="1">
        <v>1185732</v>
      </c>
      <c r="C3436" s="2">
        <v>44810</v>
      </c>
      <c r="D3436" s="1" t="s">
        <v>11</v>
      </c>
      <c r="E3436" s="1" t="s">
        <v>109</v>
      </c>
      <c r="F3436" s="1" t="s">
        <v>110</v>
      </c>
      <c r="G3436" s="1" t="s">
        <v>15</v>
      </c>
      <c r="H3436" s="1">
        <v>22</v>
      </c>
      <c r="I3436" s="1" t="s">
        <v>125</v>
      </c>
      <c r="J3436" s="3">
        <v>0.4</v>
      </c>
      <c r="K3436" s="4">
        <v>1250</v>
      </c>
      <c r="L3436" s="5">
        <f t="shared" si="28"/>
        <v>500</v>
      </c>
      <c r="M3436" s="5">
        <f t="shared" si="29"/>
        <v>200</v>
      </c>
      <c r="N3436" s="6">
        <v>0.4</v>
      </c>
    </row>
    <row r="3437" spans="1:14" ht="15.75" customHeight="1" x14ac:dyDescent="0.45">
      <c r="A3437" s="1" t="s">
        <v>119</v>
      </c>
      <c r="B3437" s="1">
        <v>1185732</v>
      </c>
      <c r="C3437" s="2">
        <v>44810</v>
      </c>
      <c r="D3437" s="1" t="s">
        <v>11</v>
      </c>
      <c r="E3437" s="1" t="s">
        <v>109</v>
      </c>
      <c r="F3437" s="1" t="s">
        <v>110</v>
      </c>
      <c r="G3437" s="1" t="s">
        <v>16</v>
      </c>
      <c r="H3437" s="1">
        <v>56</v>
      </c>
      <c r="I3437" s="1" t="s">
        <v>125</v>
      </c>
      <c r="J3437" s="3">
        <v>0.4</v>
      </c>
      <c r="K3437" s="4">
        <v>1000</v>
      </c>
      <c r="L3437" s="5">
        <f t="shared" si="28"/>
        <v>400</v>
      </c>
      <c r="M3437" s="5">
        <f t="shared" si="29"/>
        <v>160</v>
      </c>
      <c r="N3437" s="6">
        <v>0.4</v>
      </c>
    </row>
    <row r="3438" spans="1:14" ht="15.75" customHeight="1" x14ac:dyDescent="0.45">
      <c r="A3438" s="1" t="s">
        <v>119</v>
      </c>
      <c r="B3438" s="1">
        <v>1185732</v>
      </c>
      <c r="C3438" s="2">
        <v>44810</v>
      </c>
      <c r="D3438" s="1" t="s">
        <v>11</v>
      </c>
      <c r="E3438" s="1" t="s">
        <v>109</v>
      </c>
      <c r="F3438" s="1" t="s">
        <v>110</v>
      </c>
      <c r="G3438" s="1" t="s">
        <v>17</v>
      </c>
      <c r="H3438" s="1">
        <v>28</v>
      </c>
      <c r="I3438" s="1" t="s">
        <v>125</v>
      </c>
      <c r="J3438" s="3">
        <v>0.49999999999999994</v>
      </c>
      <c r="K3438" s="4">
        <v>1000</v>
      </c>
      <c r="L3438" s="5">
        <f t="shared" si="28"/>
        <v>499.99999999999994</v>
      </c>
      <c r="M3438" s="5">
        <f t="shared" si="29"/>
        <v>149.99999999999997</v>
      </c>
      <c r="N3438" s="6">
        <v>0.3</v>
      </c>
    </row>
    <row r="3439" spans="1:14" ht="15.75" customHeight="1" x14ac:dyDescent="0.45">
      <c r="A3439" s="1" t="s">
        <v>119</v>
      </c>
      <c r="B3439" s="1">
        <v>1185732</v>
      </c>
      <c r="C3439" s="2">
        <v>44810</v>
      </c>
      <c r="D3439" s="1" t="s">
        <v>11</v>
      </c>
      <c r="E3439" s="1" t="s">
        <v>109</v>
      </c>
      <c r="F3439" s="1" t="s">
        <v>110</v>
      </c>
      <c r="G3439" s="1" t="s">
        <v>18</v>
      </c>
      <c r="H3439" s="1">
        <v>56</v>
      </c>
      <c r="I3439" s="1" t="s">
        <v>126</v>
      </c>
      <c r="J3439" s="3">
        <v>0.54999999999999993</v>
      </c>
      <c r="K3439" s="4">
        <v>2000</v>
      </c>
      <c r="L3439" s="5">
        <f t="shared" si="28"/>
        <v>1099.9999999999998</v>
      </c>
      <c r="M3439" s="5">
        <f t="shared" si="29"/>
        <v>439.99999999999994</v>
      </c>
      <c r="N3439" s="6">
        <v>0.4</v>
      </c>
    </row>
    <row r="3440" spans="1:14" ht="15.75" customHeight="1" x14ac:dyDescent="0.45">
      <c r="A3440" s="1" t="s">
        <v>119</v>
      </c>
      <c r="B3440" s="1">
        <v>1185732</v>
      </c>
      <c r="C3440" s="2">
        <v>44842</v>
      </c>
      <c r="D3440" s="1" t="s">
        <v>11</v>
      </c>
      <c r="E3440" s="1" t="s">
        <v>109</v>
      </c>
      <c r="F3440" s="1" t="s">
        <v>110</v>
      </c>
      <c r="G3440" s="1" t="s">
        <v>13</v>
      </c>
      <c r="H3440" s="1">
        <v>41</v>
      </c>
      <c r="I3440" s="1" t="s">
        <v>123</v>
      </c>
      <c r="J3440" s="3">
        <v>0.54999999999999993</v>
      </c>
      <c r="K3440" s="4">
        <v>3750</v>
      </c>
      <c r="L3440" s="5">
        <f t="shared" si="28"/>
        <v>2062.4999999999995</v>
      </c>
      <c r="M3440" s="5">
        <f t="shared" si="29"/>
        <v>721.87499999999977</v>
      </c>
      <c r="N3440" s="6">
        <v>0.35</v>
      </c>
    </row>
    <row r="3441" spans="1:14" ht="15.75" customHeight="1" x14ac:dyDescent="0.45">
      <c r="A3441" s="1" t="s">
        <v>119</v>
      </c>
      <c r="B3441" s="1">
        <v>1185732</v>
      </c>
      <c r="C3441" s="2">
        <v>44842</v>
      </c>
      <c r="D3441" s="1" t="s">
        <v>11</v>
      </c>
      <c r="E3441" s="1" t="s">
        <v>109</v>
      </c>
      <c r="F3441" s="1" t="s">
        <v>110</v>
      </c>
      <c r="G3441" s="1" t="s">
        <v>14</v>
      </c>
      <c r="H3441" s="1">
        <v>45</v>
      </c>
      <c r="I3441" s="1" t="s">
        <v>124</v>
      </c>
      <c r="J3441" s="3">
        <v>0.5</v>
      </c>
      <c r="K3441" s="4">
        <v>2000</v>
      </c>
      <c r="L3441" s="5">
        <f t="shared" si="28"/>
        <v>1000</v>
      </c>
      <c r="M3441" s="5">
        <f t="shared" si="29"/>
        <v>350</v>
      </c>
      <c r="N3441" s="6">
        <v>0.35</v>
      </c>
    </row>
    <row r="3442" spans="1:14" ht="15.75" customHeight="1" x14ac:dyDescent="0.45">
      <c r="A3442" s="1" t="s">
        <v>119</v>
      </c>
      <c r="B3442" s="1">
        <v>1185732</v>
      </c>
      <c r="C3442" s="2">
        <v>44842</v>
      </c>
      <c r="D3442" s="1" t="s">
        <v>11</v>
      </c>
      <c r="E3442" s="1" t="s">
        <v>109</v>
      </c>
      <c r="F3442" s="1" t="s">
        <v>110</v>
      </c>
      <c r="G3442" s="1" t="s">
        <v>15</v>
      </c>
      <c r="H3442" s="1">
        <v>54</v>
      </c>
      <c r="I3442" s="1" t="s">
        <v>125</v>
      </c>
      <c r="J3442" s="3">
        <v>0.5</v>
      </c>
      <c r="K3442" s="4">
        <v>1000</v>
      </c>
      <c r="L3442" s="5">
        <f t="shared" si="28"/>
        <v>500</v>
      </c>
      <c r="M3442" s="5">
        <f t="shared" si="29"/>
        <v>200</v>
      </c>
      <c r="N3442" s="6">
        <v>0.4</v>
      </c>
    </row>
    <row r="3443" spans="1:14" ht="15.75" customHeight="1" x14ac:dyDescent="0.45">
      <c r="A3443" s="1" t="s">
        <v>119</v>
      </c>
      <c r="B3443" s="1">
        <v>1185732</v>
      </c>
      <c r="C3443" s="2">
        <v>44842</v>
      </c>
      <c r="D3443" s="1" t="s">
        <v>11</v>
      </c>
      <c r="E3443" s="1" t="s">
        <v>109</v>
      </c>
      <c r="F3443" s="1" t="s">
        <v>110</v>
      </c>
      <c r="G3443" s="1" t="s">
        <v>16</v>
      </c>
      <c r="H3443" s="1">
        <v>42</v>
      </c>
      <c r="I3443" s="1" t="s">
        <v>124</v>
      </c>
      <c r="J3443" s="3">
        <v>0.5</v>
      </c>
      <c r="K3443" s="4">
        <v>750</v>
      </c>
      <c r="L3443" s="5">
        <f t="shared" si="28"/>
        <v>375</v>
      </c>
      <c r="M3443" s="5">
        <f t="shared" si="29"/>
        <v>150</v>
      </c>
      <c r="N3443" s="6">
        <v>0.4</v>
      </c>
    </row>
    <row r="3444" spans="1:14" ht="15.75" customHeight="1" x14ac:dyDescent="0.45">
      <c r="A3444" s="1" t="s">
        <v>119</v>
      </c>
      <c r="B3444" s="1">
        <v>1185732</v>
      </c>
      <c r="C3444" s="2">
        <v>44842</v>
      </c>
      <c r="D3444" s="1" t="s">
        <v>11</v>
      </c>
      <c r="E3444" s="1" t="s">
        <v>109</v>
      </c>
      <c r="F3444" s="1" t="s">
        <v>110</v>
      </c>
      <c r="G3444" s="1" t="s">
        <v>17</v>
      </c>
      <c r="H3444" s="1">
        <v>15</v>
      </c>
      <c r="I3444" s="1" t="s">
        <v>126</v>
      </c>
      <c r="J3444" s="3">
        <v>0.6</v>
      </c>
      <c r="K3444" s="4">
        <v>750</v>
      </c>
      <c r="L3444" s="5">
        <f t="shared" si="28"/>
        <v>450</v>
      </c>
      <c r="M3444" s="5">
        <f t="shared" si="29"/>
        <v>135</v>
      </c>
      <c r="N3444" s="6">
        <v>0.3</v>
      </c>
    </row>
    <row r="3445" spans="1:14" ht="15.75" customHeight="1" x14ac:dyDescent="0.45">
      <c r="A3445" s="1" t="s">
        <v>119</v>
      </c>
      <c r="B3445" s="1">
        <v>1185732</v>
      </c>
      <c r="C3445" s="2">
        <v>44842</v>
      </c>
      <c r="D3445" s="1" t="s">
        <v>11</v>
      </c>
      <c r="E3445" s="1" t="s">
        <v>109</v>
      </c>
      <c r="F3445" s="1" t="s">
        <v>110</v>
      </c>
      <c r="G3445" s="1" t="s">
        <v>18</v>
      </c>
      <c r="H3445" s="1">
        <v>24</v>
      </c>
      <c r="I3445" s="1" t="s">
        <v>124</v>
      </c>
      <c r="J3445" s="3">
        <v>0.64999999999999991</v>
      </c>
      <c r="K3445" s="4">
        <v>2000</v>
      </c>
      <c r="L3445" s="5">
        <f t="shared" si="28"/>
        <v>1299.9999999999998</v>
      </c>
      <c r="M3445" s="5">
        <f t="shared" si="29"/>
        <v>519.99999999999989</v>
      </c>
      <c r="N3445" s="6">
        <v>0.4</v>
      </c>
    </row>
    <row r="3446" spans="1:14" ht="15.75" customHeight="1" x14ac:dyDescent="0.45">
      <c r="A3446" s="1" t="s">
        <v>119</v>
      </c>
      <c r="B3446" s="1">
        <v>1185732</v>
      </c>
      <c r="C3446" s="2">
        <v>44872</v>
      </c>
      <c r="D3446" s="1" t="s">
        <v>11</v>
      </c>
      <c r="E3446" s="1" t="s">
        <v>109</v>
      </c>
      <c r="F3446" s="1" t="s">
        <v>110</v>
      </c>
      <c r="G3446" s="1" t="s">
        <v>13</v>
      </c>
      <c r="H3446" s="1">
        <v>38</v>
      </c>
      <c r="I3446" s="1" t="s">
        <v>124</v>
      </c>
      <c r="J3446" s="3">
        <v>0.6</v>
      </c>
      <c r="K3446" s="4">
        <v>3500</v>
      </c>
      <c r="L3446" s="5">
        <f t="shared" si="28"/>
        <v>2100</v>
      </c>
      <c r="M3446" s="5">
        <f t="shared" si="29"/>
        <v>735</v>
      </c>
      <c r="N3446" s="6">
        <v>0.35</v>
      </c>
    </row>
    <row r="3447" spans="1:14" ht="15.75" customHeight="1" x14ac:dyDescent="0.45">
      <c r="A3447" s="1" t="s">
        <v>119</v>
      </c>
      <c r="B3447" s="1">
        <v>1185732</v>
      </c>
      <c r="C3447" s="2">
        <v>44872</v>
      </c>
      <c r="D3447" s="1" t="s">
        <v>11</v>
      </c>
      <c r="E3447" s="1" t="s">
        <v>109</v>
      </c>
      <c r="F3447" s="1" t="s">
        <v>110</v>
      </c>
      <c r="G3447" s="1" t="s">
        <v>14</v>
      </c>
      <c r="H3447" s="1">
        <v>45</v>
      </c>
      <c r="I3447" s="1" t="s">
        <v>125</v>
      </c>
      <c r="J3447" s="3">
        <v>0.5</v>
      </c>
      <c r="K3447" s="4">
        <v>2250</v>
      </c>
      <c r="L3447" s="5">
        <f t="shared" si="28"/>
        <v>1125</v>
      </c>
      <c r="M3447" s="5">
        <f t="shared" si="29"/>
        <v>393.75</v>
      </c>
      <c r="N3447" s="6">
        <v>0.35</v>
      </c>
    </row>
    <row r="3448" spans="1:14" ht="15.75" customHeight="1" x14ac:dyDescent="0.45">
      <c r="A3448" s="1" t="s">
        <v>119</v>
      </c>
      <c r="B3448" s="1">
        <v>1185732</v>
      </c>
      <c r="C3448" s="2">
        <v>44872</v>
      </c>
      <c r="D3448" s="1" t="s">
        <v>11</v>
      </c>
      <c r="E3448" s="1" t="s">
        <v>109</v>
      </c>
      <c r="F3448" s="1" t="s">
        <v>110</v>
      </c>
      <c r="G3448" s="1" t="s">
        <v>15</v>
      </c>
      <c r="H3448" s="1">
        <v>23</v>
      </c>
      <c r="I3448" s="1" t="s">
        <v>124</v>
      </c>
      <c r="J3448" s="3">
        <v>0.5</v>
      </c>
      <c r="K3448" s="4">
        <v>2200</v>
      </c>
      <c r="L3448" s="5">
        <f t="shared" si="28"/>
        <v>1100</v>
      </c>
      <c r="M3448" s="5">
        <f t="shared" si="29"/>
        <v>440</v>
      </c>
      <c r="N3448" s="6">
        <v>0.4</v>
      </c>
    </row>
    <row r="3449" spans="1:14" ht="15.75" customHeight="1" x14ac:dyDescent="0.45">
      <c r="A3449" s="1" t="s">
        <v>119</v>
      </c>
      <c r="B3449" s="1">
        <v>1185732</v>
      </c>
      <c r="C3449" s="2">
        <v>44872</v>
      </c>
      <c r="D3449" s="1" t="s">
        <v>11</v>
      </c>
      <c r="E3449" s="1" t="s">
        <v>109</v>
      </c>
      <c r="F3449" s="1" t="s">
        <v>110</v>
      </c>
      <c r="G3449" s="1" t="s">
        <v>16</v>
      </c>
      <c r="H3449" s="1">
        <v>23</v>
      </c>
      <c r="I3449" s="1" t="s">
        <v>126</v>
      </c>
      <c r="J3449" s="3">
        <v>0.5</v>
      </c>
      <c r="K3449" s="4">
        <v>2000</v>
      </c>
      <c r="L3449" s="5">
        <f t="shared" si="28"/>
        <v>1000</v>
      </c>
      <c r="M3449" s="5">
        <f t="shared" si="29"/>
        <v>400</v>
      </c>
      <c r="N3449" s="6">
        <v>0.4</v>
      </c>
    </row>
    <row r="3450" spans="1:14" ht="15.75" customHeight="1" x14ac:dyDescent="0.45">
      <c r="A3450" s="1" t="s">
        <v>119</v>
      </c>
      <c r="B3450" s="1">
        <v>1185732</v>
      </c>
      <c r="C3450" s="2">
        <v>44872</v>
      </c>
      <c r="D3450" s="1" t="s">
        <v>11</v>
      </c>
      <c r="E3450" s="1" t="s">
        <v>109</v>
      </c>
      <c r="F3450" s="1" t="s">
        <v>110</v>
      </c>
      <c r="G3450" s="1" t="s">
        <v>17</v>
      </c>
      <c r="H3450" s="1">
        <v>22</v>
      </c>
      <c r="I3450" s="1" t="s">
        <v>124</v>
      </c>
      <c r="J3450" s="3">
        <v>0.6</v>
      </c>
      <c r="K3450" s="4">
        <v>1750</v>
      </c>
      <c r="L3450" s="5">
        <f t="shared" si="28"/>
        <v>1050</v>
      </c>
      <c r="M3450" s="5">
        <f t="shared" si="29"/>
        <v>315</v>
      </c>
      <c r="N3450" s="6">
        <v>0.3</v>
      </c>
    </row>
    <row r="3451" spans="1:14" ht="15.75" customHeight="1" x14ac:dyDescent="0.45">
      <c r="A3451" s="1" t="s">
        <v>119</v>
      </c>
      <c r="B3451" s="1">
        <v>1185732</v>
      </c>
      <c r="C3451" s="2">
        <v>44872</v>
      </c>
      <c r="D3451" s="1" t="s">
        <v>11</v>
      </c>
      <c r="E3451" s="1" t="s">
        <v>109</v>
      </c>
      <c r="F3451" s="1" t="s">
        <v>110</v>
      </c>
      <c r="G3451" s="1" t="s">
        <v>18</v>
      </c>
      <c r="H3451" s="1">
        <v>31</v>
      </c>
      <c r="I3451" s="1" t="s">
        <v>123</v>
      </c>
      <c r="J3451" s="3">
        <v>0.64999999999999991</v>
      </c>
      <c r="K3451" s="4">
        <v>2750</v>
      </c>
      <c r="L3451" s="5">
        <f t="shared" si="28"/>
        <v>1787.4999999999998</v>
      </c>
      <c r="M3451" s="5">
        <f t="shared" si="29"/>
        <v>715</v>
      </c>
      <c r="N3451" s="6">
        <v>0.4</v>
      </c>
    </row>
    <row r="3452" spans="1:14" ht="15.75" customHeight="1" x14ac:dyDescent="0.45">
      <c r="A3452" s="1" t="s">
        <v>119</v>
      </c>
      <c r="B3452" s="1">
        <v>1185732</v>
      </c>
      <c r="C3452" s="2">
        <v>44901</v>
      </c>
      <c r="D3452" s="1" t="s">
        <v>11</v>
      </c>
      <c r="E3452" s="1" t="s">
        <v>109</v>
      </c>
      <c r="F3452" s="1" t="s">
        <v>110</v>
      </c>
      <c r="G3452" s="1" t="s">
        <v>13</v>
      </c>
      <c r="H3452" s="1">
        <v>57</v>
      </c>
      <c r="I3452" s="1" t="s">
        <v>126</v>
      </c>
      <c r="J3452" s="3">
        <v>0.6</v>
      </c>
      <c r="K3452" s="4">
        <v>5000</v>
      </c>
      <c r="L3452" s="5">
        <f t="shared" si="28"/>
        <v>3000</v>
      </c>
      <c r="M3452" s="5">
        <f t="shared" si="29"/>
        <v>1050</v>
      </c>
      <c r="N3452" s="6">
        <v>0.35</v>
      </c>
    </row>
    <row r="3453" spans="1:14" ht="15.75" customHeight="1" x14ac:dyDescent="0.45">
      <c r="A3453" s="1" t="s">
        <v>119</v>
      </c>
      <c r="B3453" s="1">
        <v>1185732</v>
      </c>
      <c r="C3453" s="2">
        <v>44901</v>
      </c>
      <c r="D3453" s="1" t="s">
        <v>11</v>
      </c>
      <c r="E3453" s="1" t="s">
        <v>109</v>
      </c>
      <c r="F3453" s="1" t="s">
        <v>110</v>
      </c>
      <c r="G3453" s="1" t="s">
        <v>14</v>
      </c>
      <c r="H3453" s="1">
        <v>46</v>
      </c>
      <c r="I3453" s="1" t="s">
        <v>125</v>
      </c>
      <c r="J3453" s="3">
        <v>0.5</v>
      </c>
      <c r="K3453" s="4">
        <v>3000</v>
      </c>
      <c r="L3453" s="5">
        <f t="shared" si="28"/>
        <v>1500</v>
      </c>
      <c r="M3453" s="5">
        <f t="shared" si="29"/>
        <v>525</v>
      </c>
      <c r="N3453" s="6">
        <v>0.35</v>
      </c>
    </row>
    <row r="3454" spans="1:14" ht="15.75" customHeight="1" x14ac:dyDescent="0.45">
      <c r="A3454" s="1" t="s">
        <v>119</v>
      </c>
      <c r="B3454" s="1">
        <v>1185732</v>
      </c>
      <c r="C3454" s="2">
        <v>44901</v>
      </c>
      <c r="D3454" s="1" t="s">
        <v>11</v>
      </c>
      <c r="E3454" s="1" t="s">
        <v>109</v>
      </c>
      <c r="F3454" s="1" t="s">
        <v>110</v>
      </c>
      <c r="G3454" s="1" t="s">
        <v>15</v>
      </c>
      <c r="H3454" s="1">
        <v>39</v>
      </c>
      <c r="I3454" s="1" t="s">
        <v>124</v>
      </c>
      <c r="J3454" s="3">
        <v>0.5</v>
      </c>
      <c r="K3454" s="4">
        <v>2750</v>
      </c>
      <c r="L3454" s="5">
        <f t="shared" si="28"/>
        <v>1375</v>
      </c>
      <c r="M3454" s="5">
        <f t="shared" si="29"/>
        <v>550</v>
      </c>
      <c r="N3454" s="6">
        <v>0.4</v>
      </c>
    </row>
    <row r="3455" spans="1:14" ht="15.75" customHeight="1" x14ac:dyDescent="0.45">
      <c r="A3455" s="1" t="s">
        <v>119</v>
      </c>
      <c r="B3455" s="1">
        <v>1185732</v>
      </c>
      <c r="C3455" s="2">
        <v>44901</v>
      </c>
      <c r="D3455" s="1" t="s">
        <v>11</v>
      </c>
      <c r="E3455" s="1" t="s">
        <v>109</v>
      </c>
      <c r="F3455" s="1" t="s">
        <v>110</v>
      </c>
      <c r="G3455" s="1" t="s">
        <v>16</v>
      </c>
      <c r="H3455" s="1">
        <v>53</v>
      </c>
      <c r="I3455" s="1" t="s">
        <v>125</v>
      </c>
      <c r="J3455" s="3">
        <v>0.5</v>
      </c>
      <c r="K3455" s="4">
        <v>2250</v>
      </c>
      <c r="L3455" s="5">
        <f t="shared" si="28"/>
        <v>1125</v>
      </c>
      <c r="M3455" s="5">
        <f t="shared" si="29"/>
        <v>450</v>
      </c>
      <c r="N3455" s="6">
        <v>0.4</v>
      </c>
    </row>
    <row r="3456" spans="1:14" ht="15.75" customHeight="1" x14ac:dyDescent="0.45">
      <c r="A3456" s="1" t="s">
        <v>119</v>
      </c>
      <c r="B3456" s="1">
        <v>1185732</v>
      </c>
      <c r="C3456" s="2">
        <v>44901</v>
      </c>
      <c r="D3456" s="1" t="s">
        <v>11</v>
      </c>
      <c r="E3456" s="1" t="s">
        <v>109</v>
      </c>
      <c r="F3456" s="1" t="s">
        <v>110</v>
      </c>
      <c r="G3456" s="1" t="s">
        <v>17</v>
      </c>
      <c r="H3456" s="1">
        <v>26</v>
      </c>
      <c r="I3456" s="1" t="s">
        <v>126</v>
      </c>
      <c r="J3456" s="3">
        <v>0.6</v>
      </c>
      <c r="K3456" s="4">
        <v>2250</v>
      </c>
      <c r="L3456" s="5">
        <f t="shared" si="28"/>
        <v>1350</v>
      </c>
      <c r="M3456" s="5">
        <f t="shared" si="29"/>
        <v>405</v>
      </c>
      <c r="N3456" s="6">
        <v>0.3</v>
      </c>
    </row>
    <row r="3457" spans="1:14" ht="15.75" customHeight="1" x14ac:dyDescent="0.45">
      <c r="A3457" s="1" t="s">
        <v>119</v>
      </c>
      <c r="B3457" s="1">
        <v>1185732</v>
      </c>
      <c r="C3457" s="2">
        <v>44901</v>
      </c>
      <c r="D3457" s="1" t="s">
        <v>11</v>
      </c>
      <c r="E3457" s="1" t="s">
        <v>109</v>
      </c>
      <c r="F3457" s="1" t="s">
        <v>110</v>
      </c>
      <c r="G3457" s="1" t="s">
        <v>18</v>
      </c>
      <c r="H3457" s="1">
        <v>58</v>
      </c>
      <c r="I3457" s="1" t="s">
        <v>123</v>
      </c>
      <c r="J3457" s="3">
        <v>0.64999999999999991</v>
      </c>
      <c r="K3457" s="4">
        <v>3250</v>
      </c>
      <c r="L3457" s="5">
        <f t="shared" si="28"/>
        <v>2112.4999999999995</v>
      </c>
      <c r="M3457" s="5">
        <f t="shared" si="29"/>
        <v>844.99999999999989</v>
      </c>
      <c r="N3457" s="6">
        <v>0.4</v>
      </c>
    </row>
    <row r="3458" spans="1:14" ht="15.75" customHeight="1" x14ac:dyDescent="0.45">
      <c r="A3458" s="1" t="s">
        <v>119</v>
      </c>
      <c r="B3458" s="1">
        <v>1185732</v>
      </c>
      <c r="C3458" s="2">
        <v>44578</v>
      </c>
      <c r="D3458" s="1" t="s">
        <v>11</v>
      </c>
      <c r="E3458" s="1" t="s">
        <v>111</v>
      </c>
      <c r="F3458" s="1" t="s">
        <v>112</v>
      </c>
      <c r="G3458" s="1" t="s">
        <v>13</v>
      </c>
      <c r="H3458" s="1">
        <v>33</v>
      </c>
      <c r="I3458" s="1" t="s">
        <v>125</v>
      </c>
      <c r="J3458" s="3">
        <v>0.4</v>
      </c>
      <c r="K3458" s="4">
        <v>4500</v>
      </c>
      <c r="L3458" s="5">
        <f t="shared" si="28"/>
        <v>1800</v>
      </c>
      <c r="M3458" s="5">
        <f t="shared" si="29"/>
        <v>540</v>
      </c>
      <c r="N3458" s="6">
        <v>0.3</v>
      </c>
    </row>
    <row r="3459" spans="1:14" ht="15.75" customHeight="1" x14ac:dyDescent="0.45">
      <c r="A3459" s="1" t="s">
        <v>119</v>
      </c>
      <c r="B3459" s="1">
        <v>1185732</v>
      </c>
      <c r="C3459" s="2">
        <v>44578</v>
      </c>
      <c r="D3459" s="1" t="s">
        <v>11</v>
      </c>
      <c r="E3459" s="1" t="s">
        <v>111</v>
      </c>
      <c r="F3459" s="1" t="s">
        <v>112</v>
      </c>
      <c r="G3459" s="1" t="s">
        <v>14</v>
      </c>
      <c r="H3459" s="1">
        <v>46</v>
      </c>
      <c r="I3459" s="1" t="s">
        <v>123</v>
      </c>
      <c r="J3459" s="3">
        <v>0.4</v>
      </c>
      <c r="K3459" s="4">
        <v>2500</v>
      </c>
      <c r="L3459" s="5">
        <f t="shared" si="28"/>
        <v>1000</v>
      </c>
      <c r="M3459" s="5">
        <f t="shared" si="29"/>
        <v>300</v>
      </c>
      <c r="N3459" s="6">
        <v>0.3</v>
      </c>
    </row>
    <row r="3460" spans="1:14" ht="15.75" customHeight="1" x14ac:dyDescent="0.45">
      <c r="A3460" s="1" t="s">
        <v>119</v>
      </c>
      <c r="B3460" s="1">
        <v>1185732</v>
      </c>
      <c r="C3460" s="2">
        <v>44578</v>
      </c>
      <c r="D3460" s="1" t="s">
        <v>11</v>
      </c>
      <c r="E3460" s="1" t="s">
        <v>111</v>
      </c>
      <c r="F3460" s="1" t="s">
        <v>112</v>
      </c>
      <c r="G3460" s="1" t="s">
        <v>15</v>
      </c>
      <c r="H3460" s="1">
        <v>16</v>
      </c>
      <c r="I3460" s="1" t="s">
        <v>123</v>
      </c>
      <c r="J3460" s="3">
        <v>0.30000000000000004</v>
      </c>
      <c r="K3460" s="4">
        <v>2500</v>
      </c>
      <c r="L3460" s="5">
        <f t="shared" si="28"/>
        <v>750.00000000000011</v>
      </c>
      <c r="M3460" s="5">
        <f t="shared" si="29"/>
        <v>187.50000000000003</v>
      </c>
      <c r="N3460" s="6">
        <v>0.25</v>
      </c>
    </row>
    <row r="3461" spans="1:14" ht="15.75" customHeight="1" x14ac:dyDescent="0.45">
      <c r="A3461" s="1" t="s">
        <v>119</v>
      </c>
      <c r="B3461" s="1">
        <v>1185732</v>
      </c>
      <c r="C3461" s="2">
        <v>44578</v>
      </c>
      <c r="D3461" s="1" t="s">
        <v>11</v>
      </c>
      <c r="E3461" s="1" t="s">
        <v>111</v>
      </c>
      <c r="F3461" s="1" t="s">
        <v>112</v>
      </c>
      <c r="G3461" s="1" t="s">
        <v>16</v>
      </c>
      <c r="H3461" s="1">
        <v>32</v>
      </c>
      <c r="I3461" s="1" t="s">
        <v>126</v>
      </c>
      <c r="J3461" s="3">
        <v>0.35</v>
      </c>
      <c r="K3461" s="4">
        <v>1000</v>
      </c>
      <c r="L3461" s="5">
        <f t="shared" si="28"/>
        <v>350</v>
      </c>
      <c r="M3461" s="5">
        <f t="shared" si="29"/>
        <v>87.5</v>
      </c>
      <c r="N3461" s="6">
        <v>0.25</v>
      </c>
    </row>
    <row r="3462" spans="1:14" ht="15.75" customHeight="1" x14ac:dyDescent="0.45">
      <c r="A3462" s="1" t="s">
        <v>119</v>
      </c>
      <c r="B3462" s="1">
        <v>1185732</v>
      </c>
      <c r="C3462" s="2">
        <v>44578</v>
      </c>
      <c r="D3462" s="1" t="s">
        <v>11</v>
      </c>
      <c r="E3462" s="1" t="s">
        <v>111</v>
      </c>
      <c r="F3462" s="1" t="s">
        <v>112</v>
      </c>
      <c r="G3462" s="1" t="s">
        <v>17</v>
      </c>
      <c r="H3462" s="1">
        <v>33</v>
      </c>
      <c r="I3462" s="1" t="s">
        <v>124</v>
      </c>
      <c r="J3462" s="3">
        <v>0.5</v>
      </c>
      <c r="K3462" s="4">
        <v>1500</v>
      </c>
      <c r="L3462" s="5">
        <f t="shared" si="28"/>
        <v>750</v>
      </c>
      <c r="M3462" s="5">
        <f t="shared" si="29"/>
        <v>187.5</v>
      </c>
      <c r="N3462" s="6">
        <v>0.25</v>
      </c>
    </row>
    <row r="3463" spans="1:14" ht="15.75" customHeight="1" x14ac:dyDescent="0.45">
      <c r="A3463" s="1" t="s">
        <v>119</v>
      </c>
      <c r="B3463" s="1">
        <v>1185732</v>
      </c>
      <c r="C3463" s="2">
        <v>44578</v>
      </c>
      <c r="D3463" s="1" t="s">
        <v>11</v>
      </c>
      <c r="E3463" s="1" t="s">
        <v>111</v>
      </c>
      <c r="F3463" s="1" t="s">
        <v>112</v>
      </c>
      <c r="G3463" s="1" t="s">
        <v>18</v>
      </c>
      <c r="H3463" s="1">
        <v>57</v>
      </c>
      <c r="I3463" s="1" t="s">
        <v>126</v>
      </c>
      <c r="J3463" s="3">
        <v>0.4</v>
      </c>
      <c r="K3463" s="4">
        <v>2500</v>
      </c>
      <c r="L3463" s="5">
        <f t="shared" si="28"/>
        <v>1000</v>
      </c>
      <c r="M3463" s="5">
        <f t="shared" si="29"/>
        <v>300</v>
      </c>
      <c r="N3463" s="6">
        <v>0.3</v>
      </c>
    </row>
    <row r="3464" spans="1:14" ht="15.75" customHeight="1" x14ac:dyDescent="0.45">
      <c r="A3464" s="1" t="s">
        <v>119</v>
      </c>
      <c r="B3464" s="1">
        <v>1185732</v>
      </c>
      <c r="C3464" s="2">
        <v>44607</v>
      </c>
      <c r="D3464" s="1" t="s">
        <v>11</v>
      </c>
      <c r="E3464" s="1" t="s">
        <v>111</v>
      </c>
      <c r="F3464" s="1" t="s">
        <v>112</v>
      </c>
      <c r="G3464" s="1" t="s">
        <v>13</v>
      </c>
      <c r="H3464" s="1">
        <v>26</v>
      </c>
      <c r="I3464" s="1" t="s">
        <v>124</v>
      </c>
      <c r="J3464" s="3">
        <v>0.4</v>
      </c>
      <c r="K3464" s="4">
        <v>5000</v>
      </c>
      <c r="L3464" s="5">
        <f t="shared" si="28"/>
        <v>2000</v>
      </c>
      <c r="M3464" s="5">
        <f t="shared" si="29"/>
        <v>600</v>
      </c>
      <c r="N3464" s="6">
        <v>0.3</v>
      </c>
    </row>
    <row r="3465" spans="1:14" ht="15.75" customHeight="1" x14ac:dyDescent="0.45">
      <c r="A3465" s="1" t="s">
        <v>119</v>
      </c>
      <c r="B3465" s="1">
        <v>1185732</v>
      </c>
      <c r="C3465" s="2">
        <v>44607</v>
      </c>
      <c r="D3465" s="1" t="s">
        <v>11</v>
      </c>
      <c r="E3465" s="1" t="s">
        <v>111</v>
      </c>
      <c r="F3465" s="1" t="s">
        <v>112</v>
      </c>
      <c r="G3465" s="1" t="s">
        <v>14</v>
      </c>
      <c r="H3465" s="1">
        <v>58</v>
      </c>
      <c r="I3465" s="1" t="s">
        <v>125</v>
      </c>
      <c r="J3465" s="3">
        <v>0.4</v>
      </c>
      <c r="K3465" s="4">
        <v>1500</v>
      </c>
      <c r="L3465" s="5">
        <f t="shared" si="28"/>
        <v>600</v>
      </c>
      <c r="M3465" s="5">
        <f t="shared" si="29"/>
        <v>180</v>
      </c>
      <c r="N3465" s="6">
        <v>0.3</v>
      </c>
    </row>
    <row r="3466" spans="1:14" ht="15.75" customHeight="1" x14ac:dyDescent="0.45">
      <c r="A3466" s="1" t="s">
        <v>119</v>
      </c>
      <c r="B3466" s="1">
        <v>1185732</v>
      </c>
      <c r="C3466" s="2">
        <v>44607</v>
      </c>
      <c r="D3466" s="1" t="s">
        <v>11</v>
      </c>
      <c r="E3466" s="1" t="s">
        <v>111</v>
      </c>
      <c r="F3466" s="1" t="s">
        <v>112</v>
      </c>
      <c r="G3466" s="1" t="s">
        <v>15</v>
      </c>
      <c r="H3466" s="1">
        <v>58</v>
      </c>
      <c r="I3466" s="1" t="s">
        <v>125</v>
      </c>
      <c r="J3466" s="3">
        <v>0.30000000000000004</v>
      </c>
      <c r="K3466" s="4">
        <v>2000</v>
      </c>
      <c r="L3466" s="5">
        <f t="shared" si="28"/>
        <v>600.00000000000011</v>
      </c>
      <c r="M3466" s="5">
        <f t="shared" si="29"/>
        <v>150.00000000000003</v>
      </c>
      <c r="N3466" s="6">
        <v>0.25</v>
      </c>
    </row>
    <row r="3467" spans="1:14" ht="15.75" customHeight="1" x14ac:dyDescent="0.45">
      <c r="A3467" s="1" t="s">
        <v>119</v>
      </c>
      <c r="B3467" s="1">
        <v>1185732</v>
      </c>
      <c r="C3467" s="2">
        <v>44607</v>
      </c>
      <c r="D3467" s="1" t="s">
        <v>11</v>
      </c>
      <c r="E3467" s="1" t="s">
        <v>111</v>
      </c>
      <c r="F3467" s="1" t="s">
        <v>112</v>
      </c>
      <c r="G3467" s="1" t="s">
        <v>16</v>
      </c>
      <c r="H3467" s="1">
        <v>45</v>
      </c>
      <c r="I3467" s="1" t="s">
        <v>124</v>
      </c>
      <c r="J3467" s="3">
        <v>0.35</v>
      </c>
      <c r="K3467" s="4">
        <v>2500</v>
      </c>
      <c r="L3467" s="5">
        <f t="shared" si="28"/>
        <v>875</v>
      </c>
      <c r="M3467" s="5">
        <f t="shared" si="29"/>
        <v>218.75</v>
      </c>
      <c r="N3467" s="6">
        <v>0.25</v>
      </c>
    </row>
    <row r="3468" spans="1:14" ht="15.75" customHeight="1" x14ac:dyDescent="0.45">
      <c r="A3468" s="1" t="s">
        <v>119</v>
      </c>
      <c r="B3468" s="1">
        <v>1185732</v>
      </c>
      <c r="C3468" s="2">
        <v>44607</v>
      </c>
      <c r="D3468" s="1" t="s">
        <v>11</v>
      </c>
      <c r="E3468" s="1" t="s">
        <v>111</v>
      </c>
      <c r="F3468" s="1" t="s">
        <v>112</v>
      </c>
      <c r="G3468" s="1" t="s">
        <v>17</v>
      </c>
      <c r="H3468" s="1">
        <v>46</v>
      </c>
      <c r="I3468" s="1" t="s">
        <v>124</v>
      </c>
      <c r="J3468" s="3">
        <v>0.5</v>
      </c>
      <c r="K3468" s="4">
        <v>1500</v>
      </c>
      <c r="L3468" s="5">
        <f t="shared" si="28"/>
        <v>750</v>
      </c>
      <c r="M3468" s="5">
        <f t="shared" si="29"/>
        <v>187.5</v>
      </c>
      <c r="N3468" s="6">
        <v>0.25</v>
      </c>
    </row>
    <row r="3469" spans="1:14" ht="15.75" customHeight="1" x14ac:dyDescent="0.45">
      <c r="A3469" s="1" t="s">
        <v>119</v>
      </c>
      <c r="B3469" s="1">
        <v>1185732</v>
      </c>
      <c r="C3469" s="2">
        <v>44607</v>
      </c>
      <c r="D3469" s="1" t="s">
        <v>11</v>
      </c>
      <c r="E3469" s="1" t="s">
        <v>111</v>
      </c>
      <c r="F3469" s="1" t="s">
        <v>112</v>
      </c>
      <c r="G3469" s="1" t="s">
        <v>18</v>
      </c>
      <c r="H3469" s="1">
        <v>20</v>
      </c>
      <c r="I3469" s="1" t="s">
        <v>123</v>
      </c>
      <c r="J3469" s="3">
        <v>0.4</v>
      </c>
      <c r="K3469" s="4">
        <v>2500</v>
      </c>
      <c r="L3469" s="5">
        <f t="shared" si="28"/>
        <v>1000</v>
      </c>
      <c r="M3469" s="5">
        <f t="shared" si="29"/>
        <v>300</v>
      </c>
      <c r="N3469" s="6">
        <v>0.3</v>
      </c>
    </row>
    <row r="3470" spans="1:14" ht="15.75" customHeight="1" x14ac:dyDescent="0.45">
      <c r="A3470" s="1" t="s">
        <v>119</v>
      </c>
      <c r="B3470" s="1">
        <v>1185732</v>
      </c>
      <c r="C3470" s="2">
        <v>44633</v>
      </c>
      <c r="D3470" s="1" t="s">
        <v>11</v>
      </c>
      <c r="E3470" s="1" t="s">
        <v>111</v>
      </c>
      <c r="F3470" s="1" t="s">
        <v>112</v>
      </c>
      <c r="G3470" s="1" t="s">
        <v>13</v>
      </c>
      <c r="H3470" s="1">
        <v>27</v>
      </c>
      <c r="I3470" s="1" t="s">
        <v>125</v>
      </c>
      <c r="J3470" s="3">
        <v>0.4</v>
      </c>
      <c r="K3470" s="4">
        <v>4700</v>
      </c>
      <c r="L3470" s="5">
        <f t="shared" si="28"/>
        <v>1880</v>
      </c>
      <c r="M3470" s="5">
        <f t="shared" si="29"/>
        <v>564</v>
      </c>
      <c r="N3470" s="6">
        <v>0.3</v>
      </c>
    </row>
    <row r="3471" spans="1:14" ht="15.75" customHeight="1" x14ac:dyDescent="0.45">
      <c r="A3471" s="1" t="s">
        <v>119</v>
      </c>
      <c r="B3471" s="1">
        <v>1185732</v>
      </c>
      <c r="C3471" s="2">
        <v>44633</v>
      </c>
      <c r="D3471" s="1" t="s">
        <v>11</v>
      </c>
      <c r="E3471" s="1" t="s">
        <v>111</v>
      </c>
      <c r="F3471" s="1" t="s">
        <v>112</v>
      </c>
      <c r="G3471" s="1" t="s">
        <v>14</v>
      </c>
      <c r="H3471" s="1">
        <v>35</v>
      </c>
      <c r="I3471" s="1" t="s">
        <v>124</v>
      </c>
      <c r="J3471" s="3">
        <v>0.4</v>
      </c>
      <c r="K3471" s="4">
        <v>1750</v>
      </c>
      <c r="L3471" s="5">
        <f t="shared" si="28"/>
        <v>700</v>
      </c>
      <c r="M3471" s="5">
        <f t="shared" si="29"/>
        <v>210</v>
      </c>
      <c r="N3471" s="6">
        <v>0.3</v>
      </c>
    </row>
    <row r="3472" spans="1:14" ht="15.75" customHeight="1" x14ac:dyDescent="0.45">
      <c r="A3472" s="1" t="s">
        <v>119</v>
      </c>
      <c r="B3472" s="1">
        <v>1185732</v>
      </c>
      <c r="C3472" s="2">
        <v>44633</v>
      </c>
      <c r="D3472" s="1" t="s">
        <v>11</v>
      </c>
      <c r="E3472" s="1" t="s">
        <v>111</v>
      </c>
      <c r="F3472" s="1" t="s">
        <v>112</v>
      </c>
      <c r="G3472" s="1" t="s">
        <v>15</v>
      </c>
      <c r="H3472" s="1">
        <v>26</v>
      </c>
      <c r="I3472" s="1" t="s">
        <v>123</v>
      </c>
      <c r="J3472" s="3">
        <v>0.30000000000000004</v>
      </c>
      <c r="K3472" s="4">
        <v>2000</v>
      </c>
      <c r="L3472" s="5">
        <f t="shared" si="28"/>
        <v>600.00000000000011</v>
      </c>
      <c r="M3472" s="5">
        <f t="shared" si="29"/>
        <v>150.00000000000003</v>
      </c>
      <c r="N3472" s="6">
        <v>0.25</v>
      </c>
    </row>
    <row r="3473" spans="1:14" ht="15.75" customHeight="1" x14ac:dyDescent="0.45">
      <c r="A3473" s="1" t="s">
        <v>119</v>
      </c>
      <c r="B3473" s="1">
        <v>1185732</v>
      </c>
      <c r="C3473" s="2">
        <v>44633</v>
      </c>
      <c r="D3473" s="1" t="s">
        <v>11</v>
      </c>
      <c r="E3473" s="1" t="s">
        <v>111</v>
      </c>
      <c r="F3473" s="1" t="s">
        <v>112</v>
      </c>
      <c r="G3473" s="1" t="s">
        <v>16</v>
      </c>
      <c r="H3473" s="1">
        <v>22</v>
      </c>
      <c r="I3473" s="1" t="s">
        <v>123</v>
      </c>
      <c r="J3473" s="3">
        <v>0.35</v>
      </c>
      <c r="K3473" s="4">
        <v>3000</v>
      </c>
      <c r="L3473" s="5">
        <f t="shared" si="28"/>
        <v>1050</v>
      </c>
      <c r="M3473" s="5">
        <f t="shared" si="29"/>
        <v>262.5</v>
      </c>
      <c r="N3473" s="6">
        <v>0.25</v>
      </c>
    </row>
    <row r="3474" spans="1:14" ht="15.75" customHeight="1" x14ac:dyDescent="0.45">
      <c r="A3474" s="1" t="s">
        <v>119</v>
      </c>
      <c r="B3474" s="1">
        <v>1185732</v>
      </c>
      <c r="C3474" s="2">
        <v>44633</v>
      </c>
      <c r="D3474" s="1" t="s">
        <v>11</v>
      </c>
      <c r="E3474" s="1" t="s">
        <v>111</v>
      </c>
      <c r="F3474" s="1" t="s">
        <v>112</v>
      </c>
      <c r="G3474" s="1" t="s">
        <v>17</v>
      </c>
      <c r="H3474" s="1">
        <v>27</v>
      </c>
      <c r="I3474" s="1" t="s">
        <v>125</v>
      </c>
      <c r="J3474" s="3">
        <v>0.5</v>
      </c>
      <c r="K3474" s="4">
        <v>1000</v>
      </c>
      <c r="L3474" s="5">
        <f t="shared" si="28"/>
        <v>500</v>
      </c>
      <c r="M3474" s="5">
        <f t="shared" si="29"/>
        <v>125</v>
      </c>
      <c r="N3474" s="6">
        <v>0.25</v>
      </c>
    </row>
    <row r="3475" spans="1:14" ht="15.75" customHeight="1" x14ac:dyDescent="0.45">
      <c r="A3475" s="1" t="s">
        <v>119</v>
      </c>
      <c r="B3475" s="1">
        <v>1185732</v>
      </c>
      <c r="C3475" s="2">
        <v>44633</v>
      </c>
      <c r="D3475" s="1" t="s">
        <v>11</v>
      </c>
      <c r="E3475" s="1" t="s">
        <v>111</v>
      </c>
      <c r="F3475" s="1" t="s">
        <v>112</v>
      </c>
      <c r="G3475" s="1" t="s">
        <v>18</v>
      </c>
      <c r="H3475" s="1">
        <v>21</v>
      </c>
      <c r="I3475" s="1" t="s">
        <v>125</v>
      </c>
      <c r="J3475" s="3">
        <v>0.4</v>
      </c>
      <c r="K3475" s="4">
        <v>2000</v>
      </c>
      <c r="L3475" s="5">
        <f t="shared" si="28"/>
        <v>800</v>
      </c>
      <c r="M3475" s="5">
        <f t="shared" si="29"/>
        <v>240</v>
      </c>
      <c r="N3475" s="6">
        <v>0.3</v>
      </c>
    </row>
    <row r="3476" spans="1:14" ht="15.75" customHeight="1" x14ac:dyDescent="0.45">
      <c r="A3476" s="1" t="s">
        <v>119</v>
      </c>
      <c r="B3476" s="1">
        <v>1185732</v>
      </c>
      <c r="C3476" s="2">
        <v>44665</v>
      </c>
      <c r="D3476" s="1" t="s">
        <v>11</v>
      </c>
      <c r="E3476" s="1" t="s">
        <v>111</v>
      </c>
      <c r="F3476" s="1" t="s">
        <v>112</v>
      </c>
      <c r="G3476" s="1" t="s">
        <v>13</v>
      </c>
      <c r="H3476" s="1">
        <v>33</v>
      </c>
      <c r="I3476" s="1" t="s">
        <v>125</v>
      </c>
      <c r="J3476" s="3">
        <v>0.4</v>
      </c>
      <c r="K3476" s="4">
        <v>4500</v>
      </c>
      <c r="L3476" s="5">
        <f t="shared" si="28"/>
        <v>1800</v>
      </c>
      <c r="M3476" s="5">
        <f t="shared" si="29"/>
        <v>540</v>
      </c>
      <c r="N3476" s="6">
        <v>0.3</v>
      </c>
    </row>
    <row r="3477" spans="1:14" ht="15.75" customHeight="1" x14ac:dyDescent="0.45">
      <c r="A3477" s="1" t="s">
        <v>119</v>
      </c>
      <c r="B3477" s="1">
        <v>1185732</v>
      </c>
      <c r="C3477" s="2">
        <v>44665</v>
      </c>
      <c r="D3477" s="1" t="s">
        <v>11</v>
      </c>
      <c r="E3477" s="1" t="s">
        <v>111</v>
      </c>
      <c r="F3477" s="1" t="s">
        <v>112</v>
      </c>
      <c r="G3477" s="1" t="s">
        <v>14</v>
      </c>
      <c r="H3477" s="1">
        <v>50</v>
      </c>
      <c r="I3477" s="1" t="s">
        <v>126</v>
      </c>
      <c r="J3477" s="3">
        <v>0.4</v>
      </c>
      <c r="K3477" s="4">
        <v>1500</v>
      </c>
      <c r="L3477" s="5">
        <f t="shared" si="28"/>
        <v>600</v>
      </c>
      <c r="M3477" s="5">
        <f t="shared" si="29"/>
        <v>180</v>
      </c>
      <c r="N3477" s="6">
        <v>0.3</v>
      </c>
    </row>
    <row r="3478" spans="1:14" ht="15.75" customHeight="1" x14ac:dyDescent="0.45">
      <c r="A3478" s="1" t="s">
        <v>119</v>
      </c>
      <c r="B3478" s="1">
        <v>1185732</v>
      </c>
      <c r="C3478" s="2">
        <v>44665</v>
      </c>
      <c r="D3478" s="1" t="s">
        <v>11</v>
      </c>
      <c r="E3478" s="1" t="s">
        <v>111</v>
      </c>
      <c r="F3478" s="1" t="s">
        <v>112</v>
      </c>
      <c r="G3478" s="1" t="s">
        <v>15</v>
      </c>
      <c r="H3478" s="1">
        <v>47</v>
      </c>
      <c r="I3478" s="1" t="s">
        <v>126</v>
      </c>
      <c r="J3478" s="3">
        <v>0.30000000000000004</v>
      </c>
      <c r="K3478" s="4">
        <v>1500</v>
      </c>
      <c r="L3478" s="5">
        <f t="shared" si="28"/>
        <v>450.00000000000006</v>
      </c>
      <c r="M3478" s="5">
        <f t="shared" si="29"/>
        <v>112.50000000000001</v>
      </c>
      <c r="N3478" s="6">
        <v>0.25</v>
      </c>
    </row>
    <row r="3479" spans="1:14" ht="15.75" customHeight="1" x14ac:dyDescent="0.45">
      <c r="A3479" s="1" t="s">
        <v>119</v>
      </c>
      <c r="B3479" s="1">
        <v>1185732</v>
      </c>
      <c r="C3479" s="2">
        <v>44665</v>
      </c>
      <c r="D3479" s="1" t="s">
        <v>11</v>
      </c>
      <c r="E3479" s="1" t="s">
        <v>111</v>
      </c>
      <c r="F3479" s="1" t="s">
        <v>112</v>
      </c>
      <c r="G3479" s="1" t="s">
        <v>16</v>
      </c>
      <c r="H3479" s="1">
        <v>19</v>
      </c>
      <c r="I3479" s="1" t="s">
        <v>123</v>
      </c>
      <c r="J3479" s="3">
        <v>0.35</v>
      </c>
      <c r="K3479" s="4">
        <v>1250</v>
      </c>
      <c r="L3479" s="5">
        <f t="shared" si="28"/>
        <v>437.5</v>
      </c>
      <c r="M3479" s="5">
        <f t="shared" si="29"/>
        <v>109.375</v>
      </c>
      <c r="N3479" s="6">
        <v>0.25</v>
      </c>
    </row>
    <row r="3480" spans="1:14" ht="15.75" customHeight="1" x14ac:dyDescent="0.45">
      <c r="A3480" s="1" t="s">
        <v>119</v>
      </c>
      <c r="B3480" s="1">
        <v>1185732</v>
      </c>
      <c r="C3480" s="2">
        <v>44665</v>
      </c>
      <c r="D3480" s="1" t="s">
        <v>11</v>
      </c>
      <c r="E3480" s="1" t="s">
        <v>111</v>
      </c>
      <c r="F3480" s="1" t="s">
        <v>112</v>
      </c>
      <c r="G3480" s="1" t="s">
        <v>17</v>
      </c>
      <c r="H3480" s="1">
        <v>42</v>
      </c>
      <c r="I3480" s="1" t="s">
        <v>124</v>
      </c>
      <c r="J3480" s="3">
        <v>0.5</v>
      </c>
      <c r="K3480" s="4">
        <v>1250</v>
      </c>
      <c r="L3480" s="5">
        <f t="shared" si="28"/>
        <v>625</v>
      </c>
      <c r="M3480" s="5">
        <f t="shared" si="29"/>
        <v>156.25</v>
      </c>
      <c r="N3480" s="6">
        <v>0.25</v>
      </c>
    </row>
    <row r="3481" spans="1:14" ht="15.75" customHeight="1" x14ac:dyDescent="0.45">
      <c r="A3481" s="1" t="s">
        <v>119</v>
      </c>
      <c r="B3481" s="1">
        <v>1185732</v>
      </c>
      <c r="C3481" s="2">
        <v>44665</v>
      </c>
      <c r="D3481" s="1" t="s">
        <v>11</v>
      </c>
      <c r="E3481" s="1" t="s">
        <v>111</v>
      </c>
      <c r="F3481" s="1" t="s">
        <v>112</v>
      </c>
      <c r="G3481" s="1" t="s">
        <v>18</v>
      </c>
      <c r="H3481" s="1">
        <v>20</v>
      </c>
      <c r="I3481" s="1" t="s">
        <v>125</v>
      </c>
      <c r="J3481" s="3">
        <v>0.4</v>
      </c>
      <c r="K3481" s="4">
        <v>2750</v>
      </c>
      <c r="L3481" s="5">
        <f t="shared" si="28"/>
        <v>1100</v>
      </c>
      <c r="M3481" s="5">
        <f t="shared" si="29"/>
        <v>330</v>
      </c>
      <c r="N3481" s="6">
        <v>0.3</v>
      </c>
    </row>
    <row r="3482" spans="1:14" ht="15.75" customHeight="1" x14ac:dyDescent="0.45">
      <c r="A3482" s="1" t="s">
        <v>119</v>
      </c>
      <c r="B3482" s="1">
        <v>1185732</v>
      </c>
      <c r="C3482" s="2">
        <v>44694</v>
      </c>
      <c r="D3482" s="1" t="s">
        <v>11</v>
      </c>
      <c r="E3482" s="1" t="s">
        <v>111</v>
      </c>
      <c r="F3482" s="1" t="s">
        <v>112</v>
      </c>
      <c r="G3482" s="1" t="s">
        <v>13</v>
      </c>
      <c r="H3482" s="1">
        <v>25</v>
      </c>
      <c r="I3482" s="1" t="s">
        <v>125</v>
      </c>
      <c r="J3482" s="3">
        <v>0.54999999999999993</v>
      </c>
      <c r="K3482" s="4">
        <v>4950</v>
      </c>
      <c r="L3482" s="5">
        <f t="shared" si="28"/>
        <v>2722.4999999999995</v>
      </c>
      <c r="M3482" s="5">
        <f t="shared" si="29"/>
        <v>816.74999999999989</v>
      </c>
      <c r="N3482" s="6">
        <v>0.3</v>
      </c>
    </row>
    <row r="3483" spans="1:14" ht="15.75" customHeight="1" x14ac:dyDescent="0.45">
      <c r="A3483" s="1" t="s">
        <v>119</v>
      </c>
      <c r="B3483" s="1">
        <v>1185732</v>
      </c>
      <c r="C3483" s="2">
        <v>44694</v>
      </c>
      <c r="D3483" s="1" t="s">
        <v>11</v>
      </c>
      <c r="E3483" s="1" t="s">
        <v>111</v>
      </c>
      <c r="F3483" s="1" t="s">
        <v>112</v>
      </c>
      <c r="G3483" s="1" t="s">
        <v>14</v>
      </c>
      <c r="H3483" s="1">
        <v>38</v>
      </c>
      <c r="I3483" s="1" t="s">
        <v>125</v>
      </c>
      <c r="J3483" s="3">
        <v>0.5</v>
      </c>
      <c r="K3483" s="4">
        <v>2000</v>
      </c>
      <c r="L3483" s="5">
        <f t="shared" si="28"/>
        <v>1000</v>
      </c>
      <c r="M3483" s="5">
        <f t="shared" si="29"/>
        <v>300</v>
      </c>
      <c r="N3483" s="6">
        <v>0.3</v>
      </c>
    </row>
    <row r="3484" spans="1:14" ht="15.75" customHeight="1" x14ac:dyDescent="0.45">
      <c r="A3484" s="1" t="s">
        <v>119</v>
      </c>
      <c r="B3484" s="1">
        <v>1185732</v>
      </c>
      <c r="C3484" s="2">
        <v>44694</v>
      </c>
      <c r="D3484" s="1" t="s">
        <v>11</v>
      </c>
      <c r="E3484" s="1" t="s">
        <v>111</v>
      </c>
      <c r="F3484" s="1" t="s">
        <v>112</v>
      </c>
      <c r="G3484" s="1" t="s">
        <v>15</v>
      </c>
      <c r="H3484" s="1">
        <v>51</v>
      </c>
      <c r="I3484" s="1" t="s">
        <v>125</v>
      </c>
      <c r="J3484" s="3">
        <v>0.45</v>
      </c>
      <c r="K3484" s="4">
        <v>2250</v>
      </c>
      <c r="L3484" s="5">
        <f t="shared" si="28"/>
        <v>1012.5</v>
      </c>
      <c r="M3484" s="5">
        <f t="shared" si="29"/>
        <v>253.125</v>
      </c>
      <c r="N3484" s="6">
        <v>0.25</v>
      </c>
    </row>
    <row r="3485" spans="1:14" ht="15.75" customHeight="1" x14ac:dyDescent="0.45">
      <c r="A3485" s="1" t="s">
        <v>119</v>
      </c>
      <c r="B3485" s="1">
        <v>1185732</v>
      </c>
      <c r="C3485" s="2">
        <v>44694</v>
      </c>
      <c r="D3485" s="1" t="s">
        <v>11</v>
      </c>
      <c r="E3485" s="1" t="s">
        <v>111</v>
      </c>
      <c r="F3485" s="1" t="s">
        <v>112</v>
      </c>
      <c r="G3485" s="1" t="s">
        <v>16</v>
      </c>
      <c r="H3485" s="1">
        <v>30</v>
      </c>
      <c r="I3485" s="1" t="s">
        <v>125</v>
      </c>
      <c r="J3485" s="3">
        <v>0.45</v>
      </c>
      <c r="K3485" s="4">
        <v>1750</v>
      </c>
      <c r="L3485" s="5">
        <f t="shared" si="28"/>
        <v>787.5</v>
      </c>
      <c r="M3485" s="5">
        <f t="shared" si="29"/>
        <v>196.875</v>
      </c>
      <c r="N3485" s="6">
        <v>0.25</v>
      </c>
    </row>
    <row r="3486" spans="1:14" ht="15.75" customHeight="1" x14ac:dyDescent="0.45">
      <c r="A3486" s="1" t="s">
        <v>119</v>
      </c>
      <c r="B3486" s="1">
        <v>1185732</v>
      </c>
      <c r="C3486" s="2">
        <v>44694</v>
      </c>
      <c r="D3486" s="1" t="s">
        <v>11</v>
      </c>
      <c r="E3486" s="1" t="s">
        <v>111</v>
      </c>
      <c r="F3486" s="1" t="s">
        <v>112</v>
      </c>
      <c r="G3486" s="1" t="s">
        <v>17</v>
      </c>
      <c r="H3486" s="1">
        <v>32</v>
      </c>
      <c r="I3486" s="1" t="s">
        <v>124</v>
      </c>
      <c r="J3486" s="3">
        <v>0.54999999999999993</v>
      </c>
      <c r="K3486" s="4">
        <v>2000</v>
      </c>
      <c r="L3486" s="5">
        <f t="shared" si="28"/>
        <v>1099.9999999999998</v>
      </c>
      <c r="M3486" s="5">
        <f t="shared" si="29"/>
        <v>274.99999999999994</v>
      </c>
      <c r="N3486" s="6">
        <v>0.25</v>
      </c>
    </row>
    <row r="3487" spans="1:14" ht="15.75" customHeight="1" x14ac:dyDescent="0.45">
      <c r="A3487" s="1" t="s">
        <v>119</v>
      </c>
      <c r="B3487" s="1">
        <v>1185732</v>
      </c>
      <c r="C3487" s="2">
        <v>44694</v>
      </c>
      <c r="D3487" s="1" t="s">
        <v>11</v>
      </c>
      <c r="E3487" s="1" t="s">
        <v>111</v>
      </c>
      <c r="F3487" s="1" t="s">
        <v>112</v>
      </c>
      <c r="G3487" s="1" t="s">
        <v>18</v>
      </c>
      <c r="H3487" s="1">
        <v>32</v>
      </c>
      <c r="I3487" s="1" t="s">
        <v>126</v>
      </c>
      <c r="J3487" s="3">
        <v>0.6</v>
      </c>
      <c r="K3487" s="4">
        <v>3250</v>
      </c>
      <c r="L3487" s="5">
        <f t="shared" si="28"/>
        <v>1950</v>
      </c>
      <c r="M3487" s="5">
        <f t="shared" si="29"/>
        <v>585</v>
      </c>
      <c r="N3487" s="6">
        <v>0.3</v>
      </c>
    </row>
    <row r="3488" spans="1:14" ht="15.75" customHeight="1" x14ac:dyDescent="0.45">
      <c r="A3488" s="1" t="s">
        <v>119</v>
      </c>
      <c r="B3488" s="1">
        <v>1185732</v>
      </c>
      <c r="C3488" s="2">
        <v>44727</v>
      </c>
      <c r="D3488" s="1" t="s">
        <v>11</v>
      </c>
      <c r="E3488" s="1" t="s">
        <v>111</v>
      </c>
      <c r="F3488" s="1" t="s">
        <v>112</v>
      </c>
      <c r="G3488" s="1" t="s">
        <v>13</v>
      </c>
      <c r="H3488" s="1">
        <v>30</v>
      </c>
      <c r="I3488" s="1" t="s">
        <v>123</v>
      </c>
      <c r="J3488" s="3">
        <v>0.54999999999999993</v>
      </c>
      <c r="K3488" s="4">
        <v>5750</v>
      </c>
      <c r="L3488" s="5">
        <f t="shared" si="28"/>
        <v>3162.4999999999995</v>
      </c>
      <c r="M3488" s="5">
        <f t="shared" si="29"/>
        <v>948.74999999999977</v>
      </c>
      <c r="N3488" s="6">
        <v>0.3</v>
      </c>
    </row>
    <row r="3489" spans="1:14" ht="15.75" customHeight="1" x14ac:dyDescent="0.45">
      <c r="A3489" s="1" t="s">
        <v>119</v>
      </c>
      <c r="B3489" s="1">
        <v>1185732</v>
      </c>
      <c r="C3489" s="2">
        <v>44727</v>
      </c>
      <c r="D3489" s="1" t="s">
        <v>11</v>
      </c>
      <c r="E3489" s="1" t="s">
        <v>111</v>
      </c>
      <c r="F3489" s="1" t="s">
        <v>112</v>
      </c>
      <c r="G3489" s="1" t="s">
        <v>14</v>
      </c>
      <c r="H3489" s="1">
        <v>57</v>
      </c>
      <c r="I3489" s="1" t="s">
        <v>126</v>
      </c>
      <c r="J3489" s="3">
        <v>0.5</v>
      </c>
      <c r="K3489" s="4">
        <v>3250</v>
      </c>
      <c r="L3489" s="5">
        <f t="shared" si="28"/>
        <v>1625</v>
      </c>
      <c r="M3489" s="5">
        <f t="shared" si="29"/>
        <v>487.5</v>
      </c>
      <c r="N3489" s="6">
        <v>0.3</v>
      </c>
    </row>
    <row r="3490" spans="1:14" ht="15.75" customHeight="1" x14ac:dyDescent="0.45">
      <c r="A3490" s="1" t="s">
        <v>119</v>
      </c>
      <c r="B3490" s="1">
        <v>1185732</v>
      </c>
      <c r="C3490" s="2">
        <v>44727</v>
      </c>
      <c r="D3490" s="1" t="s">
        <v>11</v>
      </c>
      <c r="E3490" s="1" t="s">
        <v>111</v>
      </c>
      <c r="F3490" s="1" t="s">
        <v>112</v>
      </c>
      <c r="G3490" s="1" t="s">
        <v>15</v>
      </c>
      <c r="H3490" s="1">
        <v>15</v>
      </c>
      <c r="I3490" s="1" t="s">
        <v>126</v>
      </c>
      <c r="J3490" s="3">
        <v>0.45</v>
      </c>
      <c r="K3490" s="4">
        <v>2500</v>
      </c>
      <c r="L3490" s="5">
        <f t="shared" si="28"/>
        <v>1125</v>
      </c>
      <c r="M3490" s="5">
        <f t="shared" si="29"/>
        <v>281.25</v>
      </c>
      <c r="N3490" s="6">
        <v>0.25</v>
      </c>
    </row>
    <row r="3491" spans="1:14" ht="15.75" customHeight="1" x14ac:dyDescent="0.45">
      <c r="A3491" s="1" t="s">
        <v>119</v>
      </c>
      <c r="B3491" s="1">
        <v>1185732</v>
      </c>
      <c r="C3491" s="2">
        <v>44727</v>
      </c>
      <c r="D3491" s="1" t="s">
        <v>11</v>
      </c>
      <c r="E3491" s="1" t="s">
        <v>111</v>
      </c>
      <c r="F3491" s="1" t="s">
        <v>112</v>
      </c>
      <c r="G3491" s="1" t="s">
        <v>16</v>
      </c>
      <c r="H3491" s="1">
        <v>35</v>
      </c>
      <c r="I3491" s="1" t="s">
        <v>123</v>
      </c>
      <c r="J3491" s="3">
        <v>0.45</v>
      </c>
      <c r="K3491" s="4">
        <v>2250</v>
      </c>
      <c r="L3491" s="5">
        <f t="shared" si="28"/>
        <v>1012.5</v>
      </c>
      <c r="M3491" s="5">
        <f t="shared" si="29"/>
        <v>253.125</v>
      </c>
      <c r="N3491" s="6">
        <v>0.25</v>
      </c>
    </row>
    <row r="3492" spans="1:14" ht="15.75" customHeight="1" x14ac:dyDescent="0.45">
      <c r="A3492" s="1" t="s">
        <v>119</v>
      </c>
      <c r="B3492" s="1">
        <v>1185732</v>
      </c>
      <c r="C3492" s="2">
        <v>44727</v>
      </c>
      <c r="D3492" s="1" t="s">
        <v>11</v>
      </c>
      <c r="E3492" s="1" t="s">
        <v>111</v>
      </c>
      <c r="F3492" s="1" t="s">
        <v>112</v>
      </c>
      <c r="G3492" s="1" t="s">
        <v>17</v>
      </c>
      <c r="H3492" s="1">
        <v>29</v>
      </c>
      <c r="I3492" s="1" t="s">
        <v>125</v>
      </c>
      <c r="J3492" s="3">
        <v>0.54999999999999993</v>
      </c>
      <c r="K3492" s="4">
        <v>2250</v>
      </c>
      <c r="L3492" s="5">
        <f t="shared" si="28"/>
        <v>1237.4999999999998</v>
      </c>
      <c r="M3492" s="5">
        <f t="shared" si="29"/>
        <v>309.37499999999994</v>
      </c>
      <c r="N3492" s="6">
        <v>0.25</v>
      </c>
    </row>
    <row r="3493" spans="1:14" ht="15.75" customHeight="1" x14ac:dyDescent="0.45">
      <c r="A3493" s="1" t="s">
        <v>119</v>
      </c>
      <c r="B3493" s="1">
        <v>1185732</v>
      </c>
      <c r="C3493" s="2">
        <v>44727</v>
      </c>
      <c r="D3493" s="1" t="s">
        <v>11</v>
      </c>
      <c r="E3493" s="1" t="s">
        <v>111</v>
      </c>
      <c r="F3493" s="1" t="s">
        <v>112</v>
      </c>
      <c r="G3493" s="1" t="s">
        <v>18</v>
      </c>
      <c r="H3493" s="1">
        <v>17</v>
      </c>
      <c r="I3493" s="1" t="s">
        <v>125</v>
      </c>
      <c r="J3493" s="3">
        <v>0.6</v>
      </c>
      <c r="K3493" s="4">
        <v>3750</v>
      </c>
      <c r="L3493" s="5">
        <f t="shared" si="28"/>
        <v>2250</v>
      </c>
      <c r="M3493" s="5">
        <f t="shared" si="29"/>
        <v>675</v>
      </c>
      <c r="N3493" s="6">
        <v>0.3</v>
      </c>
    </row>
    <row r="3494" spans="1:14" ht="15.75" customHeight="1" x14ac:dyDescent="0.45">
      <c r="A3494" s="1" t="s">
        <v>119</v>
      </c>
      <c r="B3494" s="1">
        <v>1185732</v>
      </c>
      <c r="C3494" s="2">
        <v>44755</v>
      </c>
      <c r="D3494" s="1" t="s">
        <v>11</v>
      </c>
      <c r="E3494" s="1" t="s">
        <v>111</v>
      </c>
      <c r="F3494" s="1" t="s">
        <v>112</v>
      </c>
      <c r="G3494" s="1" t="s">
        <v>13</v>
      </c>
      <c r="H3494" s="1">
        <v>31</v>
      </c>
      <c r="I3494" s="1" t="s">
        <v>125</v>
      </c>
      <c r="J3494" s="3">
        <v>0.54999999999999993</v>
      </c>
      <c r="K3494" s="4">
        <v>6000</v>
      </c>
      <c r="L3494" s="5">
        <f t="shared" si="28"/>
        <v>3299.9999999999995</v>
      </c>
      <c r="M3494" s="5">
        <f t="shared" si="29"/>
        <v>989.99999999999977</v>
      </c>
      <c r="N3494" s="6">
        <v>0.3</v>
      </c>
    </row>
    <row r="3495" spans="1:14" ht="15.75" customHeight="1" x14ac:dyDescent="0.45">
      <c r="A3495" s="1" t="s">
        <v>119</v>
      </c>
      <c r="B3495" s="1">
        <v>1185732</v>
      </c>
      <c r="C3495" s="2">
        <v>44755</v>
      </c>
      <c r="D3495" s="1" t="s">
        <v>11</v>
      </c>
      <c r="E3495" s="1" t="s">
        <v>111</v>
      </c>
      <c r="F3495" s="1" t="s">
        <v>112</v>
      </c>
      <c r="G3495" s="1" t="s">
        <v>14</v>
      </c>
      <c r="H3495" s="1">
        <v>39</v>
      </c>
      <c r="I3495" s="1" t="s">
        <v>123</v>
      </c>
      <c r="J3495" s="3">
        <v>0.5</v>
      </c>
      <c r="K3495" s="4">
        <v>3500</v>
      </c>
      <c r="L3495" s="5">
        <f t="shared" si="28"/>
        <v>1750</v>
      </c>
      <c r="M3495" s="5">
        <f t="shared" si="29"/>
        <v>525</v>
      </c>
      <c r="N3495" s="6">
        <v>0.3</v>
      </c>
    </row>
    <row r="3496" spans="1:14" ht="15.75" customHeight="1" x14ac:dyDescent="0.45">
      <c r="A3496" s="1" t="s">
        <v>119</v>
      </c>
      <c r="B3496" s="1">
        <v>1185732</v>
      </c>
      <c r="C3496" s="2">
        <v>44755</v>
      </c>
      <c r="D3496" s="1" t="s">
        <v>11</v>
      </c>
      <c r="E3496" s="1" t="s">
        <v>111</v>
      </c>
      <c r="F3496" s="1" t="s">
        <v>112</v>
      </c>
      <c r="G3496" s="1" t="s">
        <v>15</v>
      </c>
      <c r="H3496" s="1">
        <v>20</v>
      </c>
      <c r="I3496" s="1" t="s">
        <v>123</v>
      </c>
      <c r="J3496" s="3">
        <v>0.45</v>
      </c>
      <c r="K3496" s="4">
        <v>2750</v>
      </c>
      <c r="L3496" s="5">
        <f t="shared" si="28"/>
        <v>1237.5</v>
      </c>
      <c r="M3496" s="5">
        <f t="shared" si="29"/>
        <v>309.375</v>
      </c>
      <c r="N3496" s="6">
        <v>0.25</v>
      </c>
    </row>
    <row r="3497" spans="1:14" ht="15.75" customHeight="1" x14ac:dyDescent="0.45">
      <c r="A3497" s="1" t="s">
        <v>119</v>
      </c>
      <c r="B3497" s="1">
        <v>1185732</v>
      </c>
      <c r="C3497" s="2">
        <v>44755</v>
      </c>
      <c r="D3497" s="1" t="s">
        <v>11</v>
      </c>
      <c r="E3497" s="1" t="s">
        <v>111</v>
      </c>
      <c r="F3497" s="1" t="s">
        <v>112</v>
      </c>
      <c r="G3497" s="1" t="s">
        <v>16</v>
      </c>
      <c r="H3497" s="1">
        <v>47</v>
      </c>
      <c r="I3497" s="1" t="s">
        <v>125</v>
      </c>
      <c r="J3497" s="3">
        <v>0.45</v>
      </c>
      <c r="K3497" s="4">
        <v>2250</v>
      </c>
      <c r="L3497" s="5">
        <f t="shared" si="28"/>
        <v>1012.5</v>
      </c>
      <c r="M3497" s="5">
        <f t="shared" si="29"/>
        <v>253.125</v>
      </c>
      <c r="N3497" s="6">
        <v>0.25</v>
      </c>
    </row>
    <row r="3498" spans="1:14" ht="15.75" customHeight="1" x14ac:dyDescent="0.45">
      <c r="A3498" s="1" t="s">
        <v>119</v>
      </c>
      <c r="B3498" s="1">
        <v>1185732</v>
      </c>
      <c r="C3498" s="2">
        <v>44755</v>
      </c>
      <c r="D3498" s="1" t="s">
        <v>11</v>
      </c>
      <c r="E3498" s="1" t="s">
        <v>111</v>
      </c>
      <c r="F3498" s="1" t="s">
        <v>112</v>
      </c>
      <c r="G3498" s="1" t="s">
        <v>17</v>
      </c>
      <c r="H3498" s="1">
        <v>45</v>
      </c>
      <c r="I3498" s="1" t="s">
        <v>126</v>
      </c>
      <c r="J3498" s="3">
        <v>0.54999999999999993</v>
      </c>
      <c r="K3498" s="4">
        <v>2500</v>
      </c>
      <c r="L3498" s="5">
        <f t="shared" si="28"/>
        <v>1374.9999999999998</v>
      </c>
      <c r="M3498" s="5">
        <f t="shared" si="29"/>
        <v>343.74999999999994</v>
      </c>
      <c r="N3498" s="6">
        <v>0.25</v>
      </c>
    </row>
    <row r="3499" spans="1:14" ht="15.75" customHeight="1" x14ac:dyDescent="0.45">
      <c r="A3499" s="1" t="s">
        <v>119</v>
      </c>
      <c r="B3499" s="1">
        <v>1185732</v>
      </c>
      <c r="C3499" s="2">
        <v>44755</v>
      </c>
      <c r="D3499" s="1" t="s">
        <v>11</v>
      </c>
      <c r="E3499" s="1" t="s">
        <v>111</v>
      </c>
      <c r="F3499" s="1" t="s">
        <v>112</v>
      </c>
      <c r="G3499" s="1" t="s">
        <v>18</v>
      </c>
      <c r="H3499" s="1">
        <v>15</v>
      </c>
      <c r="I3499" s="1" t="s">
        <v>126</v>
      </c>
      <c r="J3499" s="3">
        <v>0.6</v>
      </c>
      <c r="K3499" s="4">
        <v>4250</v>
      </c>
      <c r="L3499" s="5">
        <f t="shared" si="28"/>
        <v>2550</v>
      </c>
      <c r="M3499" s="5">
        <f t="shared" si="29"/>
        <v>765</v>
      </c>
      <c r="N3499" s="6">
        <v>0.3</v>
      </c>
    </row>
    <row r="3500" spans="1:14" ht="15.75" customHeight="1" x14ac:dyDescent="0.45">
      <c r="A3500" s="1" t="s">
        <v>119</v>
      </c>
      <c r="B3500" s="1">
        <v>1185732</v>
      </c>
      <c r="C3500" s="2">
        <v>44787</v>
      </c>
      <c r="D3500" s="1" t="s">
        <v>11</v>
      </c>
      <c r="E3500" s="1" t="s">
        <v>111</v>
      </c>
      <c r="F3500" s="1" t="s">
        <v>112</v>
      </c>
      <c r="G3500" s="1" t="s">
        <v>13</v>
      </c>
      <c r="H3500" s="1">
        <v>27</v>
      </c>
      <c r="I3500" s="1" t="s">
        <v>123</v>
      </c>
      <c r="J3500" s="3">
        <v>0.54999999999999993</v>
      </c>
      <c r="K3500" s="4">
        <v>5750</v>
      </c>
      <c r="L3500" s="5">
        <f t="shared" si="28"/>
        <v>3162.4999999999995</v>
      </c>
      <c r="M3500" s="5">
        <f t="shared" si="29"/>
        <v>948.74999999999977</v>
      </c>
      <c r="N3500" s="6">
        <v>0.3</v>
      </c>
    </row>
    <row r="3501" spans="1:14" ht="15.75" customHeight="1" x14ac:dyDescent="0.45">
      <c r="A3501" s="1" t="s">
        <v>119</v>
      </c>
      <c r="B3501" s="1">
        <v>1185732</v>
      </c>
      <c r="C3501" s="2">
        <v>44787</v>
      </c>
      <c r="D3501" s="1" t="s">
        <v>11</v>
      </c>
      <c r="E3501" s="1" t="s">
        <v>111</v>
      </c>
      <c r="F3501" s="1" t="s">
        <v>112</v>
      </c>
      <c r="G3501" s="1" t="s">
        <v>14</v>
      </c>
      <c r="H3501" s="1">
        <v>26</v>
      </c>
      <c r="I3501" s="1" t="s">
        <v>125</v>
      </c>
      <c r="J3501" s="3">
        <v>0.5</v>
      </c>
      <c r="K3501" s="4">
        <v>3500</v>
      </c>
      <c r="L3501" s="5">
        <f t="shared" si="28"/>
        <v>1750</v>
      </c>
      <c r="M3501" s="5">
        <f t="shared" si="29"/>
        <v>525</v>
      </c>
      <c r="N3501" s="6">
        <v>0.3</v>
      </c>
    </row>
    <row r="3502" spans="1:14" ht="15.75" customHeight="1" x14ac:dyDescent="0.45">
      <c r="A3502" s="1" t="s">
        <v>119</v>
      </c>
      <c r="B3502" s="1">
        <v>1185732</v>
      </c>
      <c r="C3502" s="2">
        <v>44787</v>
      </c>
      <c r="D3502" s="1" t="s">
        <v>11</v>
      </c>
      <c r="E3502" s="1" t="s">
        <v>111</v>
      </c>
      <c r="F3502" s="1" t="s">
        <v>112</v>
      </c>
      <c r="G3502" s="1" t="s">
        <v>15</v>
      </c>
      <c r="H3502" s="1">
        <v>26</v>
      </c>
      <c r="I3502" s="1" t="s">
        <v>123</v>
      </c>
      <c r="J3502" s="3">
        <v>0.45</v>
      </c>
      <c r="K3502" s="4">
        <v>2750</v>
      </c>
      <c r="L3502" s="5">
        <f t="shared" si="28"/>
        <v>1237.5</v>
      </c>
      <c r="M3502" s="5">
        <f t="shared" si="29"/>
        <v>309.375</v>
      </c>
      <c r="N3502" s="6">
        <v>0.25</v>
      </c>
    </row>
    <row r="3503" spans="1:14" ht="15.75" customHeight="1" x14ac:dyDescent="0.45">
      <c r="A3503" s="1" t="s">
        <v>119</v>
      </c>
      <c r="B3503" s="1">
        <v>1185732</v>
      </c>
      <c r="C3503" s="2">
        <v>44787</v>
      </c>
      <c r="D3503" s="1" t="s">
        <v>11</v>
      </c>
      <c r="E3503" s="1" t="s">
        <v>111</v>
      </c>
      <c r="F3503" s="1" t="s">
        <v>112</v>
      </c>
      <c r="G3503" s="1" t="s">
        <v>16</v>
      </c>
      <c r="H3503" s="1">
        <v>15</v>
      </c>
      <c r="I3503" s="1" t="s">
        <v>124</v>
      </c>
      <c r="J3503" s="3">
        <v>0.45</v>
      </c>
      <c r="K3503" s="4">
        <v>1750</v>
      </c>
      <c r="L3503" s="5">
        <f t="shared" si="28"/>
        <v>787.5</v>
      </c>
      <c r="M3503" s="5">
        <f t="shared" si="29"/>
        <v>196.875</v>
      </c>
      <c r="N3503" s="6">
        <v>0.25</v>
      </c>
    </row>
    <row r="3504" spans="1:14" ht="15.75" customHeight="1" x14ac:dyDescent="0.45">
      <c r="A3504" s="1" t="s">
        <v>119</v>
      </c>
      <c r="B3504" s="1">
        <v>1185732</v>
      </c>
      <c r="C3504" s="2">
        <v>44787</v>
      </c>
      <c r="D3504" s="1" t="s">
        <v>11</v>
      </c>
      <c r="E3504" s="1" t="s">
        <v>111</v>
      </c>
      <c r="F3504" s="1" t="s">
        <v>112</v>
      </c>
      <c r="G3504" s="1" t="s">
        <v>17</v>
      </c>
      <c r="H3504" s="1">
        <v>32</v>
      </c>
      <c r="I3504" s="1" t="s">
        <v>124</v>
      </c>
      <c r="J3504" s="3">
        <v>0.54999999999999993</v>
      </c>
      <c r="K3504" s="4">
        <v>1500</v>
      </c>
      <c r="L3504" s="5">
        <f t="shared" si="28"/>
        <v>824.99999999999989</v>
      </c>
      <c r="M3504" s="5">
        <f t="shared" si="29"/>
        <v>206.24999999999997</v>
      </c>
      <c r="N3504" s="6">
        <v>0.25</v>
      </c>
    </row>
    <row r="3505" spans="1:14" ht="15.75" customHeight="1" x14ac:dyDescent="0.45">
      <c r="A3505" s="1" t="s">
        <v>119</v>
      </c>
      <c r="B3505" s="1">
        <v>1185732</v>
      </c>
      <c r="C3505" s="2">
        <v>44787</v>
      </c>
      <c r="D3505" s="1" t="s">
        <v>11</v>
      </c>
      <c r="E3505" s="1" t="s">
        <v>111</v>
      </c>
      <c r="F3505" s="1" t="s">
        <v>112</v>
      </c>
      <c r="G3505" s="1" t="s">
        <v>18</v>
      </c>
      <c r="H3505" s="1">
        <v>17</v>
      </c>
      <c r="I3505" s="1" t="s">
        <v>125</v>
      </c>
      <c r="J3505" s="3">
        <v>0.6</v>
      </c>
      <c r="K3505" s="4">
        <v>3250</v>
      </c>
      <c r="L3505" s="5">
        <f t="shared" si="28"/>
        <v>1950</v>
      </c>
      <c r="M3505" s="5">
        <f t="shared" si="29"/>
        <v>585</v>
      </c>
      <c r="N3505" s="6">
        <v>0.3</v>
      </c>
    </row>
    <row r="3506" spans="1:14" ht="15.75" customHeight="1" x14ac:dyDescent="0.45">
      <c r="A3506" s="1" t="s">
        <v>119</v>
      </c>
      <c r="B3506" s="1">
        <v>1185732</v>
      </c>
      <c r="C3506" s="2">
        <v>44817</v>
      </c>
      <c r="D3506" s="1" t="s">
        <v>11</v>
      </c>
      <c r="E3506" s="1" t="s">
        <v>111</v>
      </c>
      <c r="F3506" s="1" t="s">
        <v>112</v>
      </c>
      <c r="G3506" s="1" t="s">
        <v>13</v>
      </c>
      <c r="H3506" s="1">
        <v>48</v>
      </c>
      <c r="I3506" s="1" t="s">
        <v>125</v>
      </c>
      <c r="J3506" s="3">
        <v>0.54999999999999993</v>
      </c>
      <c r="K3506" s="4">
        <v>4500</v>
      </c>
      <c r="L3506" s="5">
        <f t="shared" si="28"/>
        <v>2474.9999999999995</v>
      </c>
      <c r="M3506" s="5">
        <f t="shared" si="29"/>
        <v>742.49999999999989</v>
      </c>
      <c r="N3506" s="6">
        <v>0.3</v>
      </c>
    </row>
    <row r="3507" spans="1:14" ht="15.75" customHeight="1" x14ac:dyDescent="0.45">
      <c r="A3507" s="1" t="s">
        <v>119</v>
      </c>
      <c r="B3507" s="1">
        <v>1185732</v>
      </c>
      <c r="C3507" s="2">
        <v>44817</v>
      </c>
      <c r="D3507" s="1" t="s">
        <v>11</v>
      </c>
      <c r="E3507" s="1" t="s">
        <v>111</v>
      </c>
      <c r="F3507" s="1" t="s">
        <v>112</v>
      </c>
      <c r="G3507" s="1" t="s">
        <v>14</v>
      </c>
      <c r="H3507" s="1">
        <v>20</v>
      </c>
      <c r="I3507" s="1" t="s">
        <v>125</v>
      </c>
      <c r="J3507" s="3">
        <v>0.5</v>
      </c>
      <c r="K3507" s="4">
        <v>2500</v>
      </c>
      <c r="L3507" s="5">
        <f t="shared" si="28"/>
        <v>1250</v>
      </c>
      <c r="M3507" s="5">
        <f t="shared" si="29"/>
        <v>375</v>
      </c>
      <c r="N3507" s="6">
        <v>0.3</v>
      </c>
    </row>
    <row r="3508" spans="1:14" ht="15.75" customHeight="1" x14ac:dyDescent="0.45">
      <c r="A3508" s="1" t="s">
        <v>119</v>
      </c>
      <c r="B3508" s="1">
        <v>1185732</v>
      </c>
      <c r="C3508" s="2">
        <v>44817</v>
      </c>
      <c r="D3508" s="1" t="s">
        <v>11</v>
      </c>
      <c r="E3508" s="1" t="s">
        <v>111</v>
      </c>
      <c r="F3508" s="1" t="s">
        <v>112</v>
      </c>
      <c r="G3508" s="1" t="s">
        <v>15</v>
      </c>
      <c r="H3508" s="1">
        <v>25</v>
      </c>
      <c r="I3508" s="1" t="s">
        <v>123</v>
      </c>
      <c r="J3508" s="3">
        <v>0.45</v>
      </c>
      <c r="K3508" s="4">
        <v>1500</v>
      </c>
      <c r="L3508" s="5">
        <f t="shared" si="28"/>
        <v>675</v>
      </c>
      <c r="M3508" s="5">
        <f t="shared" si="29"/>
        <v>168.75</v>
      </c>
      <c r="N3508" s="6">
        <v>0.25</v>
      </c>
    </row>
    <row r="3509" spans="1:14" ht="15.75" customHeight="1" x14ac:dyDescent="0.45">
      <c r="A3509" s="1" t="s">
        <v>119</v>
      </c>
      <c r="B3509" s="1">
        <v>1185732</v>
      </c>
      <c r="C3509" s="2">
        <v>44817</v>
      </c>
      <c r="D3509" s="1" t="s">
        <v>11</v>
      </c>
      <c r="E3509" s="1" t="s">
        <v>111</v>
      </c>
      <c r="F3509" s="1" t="s">
        <v>112</v>
      </c>
      <c r="G3509" s="1" t="s">
        <v>16</v>
      </c>
      <c r="H3509" s="1">
        <v>23</v>
      </c>
      <c r="I3509" s="1" t="s">
        <v>124</v>
      </c>
      <c r="J3509" s="3">
        <v>0.45</v>
      </c>
      <c r="K3509" s="4">
        <v>1250</v>
      </c>
      <c r="L3509" s="5">
        <f t="shared" si="28"/>
        <v>562.5</v>
      </c>
      <c r="M3509" s="5">
        <f t="shared" si="29"/>
        <v>140.625</v>
      </c>
      <c r="N3509" s="6">
        <v>0.25</v>
      </c>
    </row>
    <row r="3510" spans="1:14" ht="15.75" customHeight="1" x14ac:dyDescent="0.45">
      <c r="A3510" s="1" t="s">
        <v>119</v>
      </c>
      <c r="B3510" s="1">
        <v>1185732</v>
      </c>
      <c r="C3510" s="2">
        <v>44817</v>
      </c>
      <c r="D3510" s="1" t="s">
        <v>11</v>
      </c>
      <c r="E3510" s="1" t="s">
        <v>111</v>
      </c>
      <c r="F3510" s="1" t="s">
        <v>112</v>
      </c>
      <c r="G3510" s="1" t="s">
        <v>17</v>
      </c>
      <c r="H3510" s="1">
        <v>36</v>
      </c>
      <c r="I3510" s="1" t="s">
        <v>123</v>
      </c>
      <c r="J3510" s="3">
        <v>0.54999999999999993</v>
      </c>
      <c r="K3510" s="4">
        <v>1250</v>
      </c>
      <c r="L3510" s="5">
        <f t="shared" si="28"/>
        <v>687.49999999999989</v>
      </c>
      <c r="M3510" s="5">
        <f t="shared" si="29"/>
        <v>171.87499999999997</v>
      </c>
      <c r="N3510" s="6">
        <v>0.25</v>
      </c>
    </row>
    <row r="3511" spans="1:14" ht="15.75" customHeight="1" x14ac:dyDescent="0.45">
      <c r="A3511" s="1" t="s">
        <v>119</v>
      </c>
      <c r="B3511" s="1">
        <v>1185732</v>
      </c>
      <c r="C3511" s="2">
        <v>44817</v>
      </c>
      <c r="D3511" s="1" t="s">
        <v>11</v>
      </c>
      <c r="E3511" s="1" t="s">
        <v>111</v>
      </c>
      <c r="F3511" s="1" t="s">
        <v>112</v>
      </c>
      <c r="G3511" s="1" t="s">
        <v>18</v>
      </c>
      <c r="H3511" s="1">
        <v>21</v>
      </c>
      <c r="I3511" s="1" t="s">
        <v>126</v>
      </c>
      <c r="J3511" s="3">
        <v>0.6</v>
      </c>
      <c r="K3511" s="4">
        <v>2250</v>
      </c>
      <c r="L3511" s="5">
        <f t="shared" si="28"/>
        <v>1350</v>
      </c>
      <c r="M3511" s="5">
        <f t="shared" si="29"/>
        <v>405</v>
      </c>
      <c r="N3511" s="6">
        <v>0.3</v>
      </c>
    </row>
    <row r="3512" spans="1:14" ht="15.75" customHeight="1" x14ac:dyDescent="0.45">
      <c r="A3512" s="1" t="s">
        <v>119</v>
      </c>
      <c r="B3512" s="1">
        <v>1185732</v>
      </c>
      <c r="C3512" s="2">
        <v>44849</v>
      </c>
      <c r="D3512" s="1" t="s">
        <v>11</v>
      </c>
      <c r="E3512" s="1" t="s">
        <v>111</v>
      </c>
      <c r="F3512" s="1" t="s">
        <v>112</v>
      </c>
      <c r="G3512" s="1" t="s">
        <v>13</v>
      </c>
      <c r="H3512" s="1">
        <v>21</v>
      </c>
      <c r="I3512" s="1" t="s">
        <v>125</v>
      </c>
      <c r="J3512" s="3">
        <v>0.6</v>
      </c>
      <c r="K3512" s="4">
        <v>4000</v>
      </c>
      <c r="L3512" s="5">
        <f t="shared" si="28"/>
        <v>2400</v>
      </c>
      <c r="M3512" s="5">
        <f t="shared" si="29"/>
        <v>720</v>
      </c>
      <c r="N3512" s="6">
        <v>0.3</v>
      </c>
    </row>
    <row r="3513" spans="1:14" ht="15.75" customHeight="1" x14ac:dyDescent="0.45">
      <c r="A3513" s="1" t="s">
        <v>119</v>
      </c>
      <c r="B3513" s="1">
        <v>1185732</v>
      </c>
      <c r="C3513" s="2">
        <v>44849</v>
      </c>
      <c r="D3513" s="1" t="s">
        <v>11</v>
      </c>
      <c r="E3513" s="1" t="s">
        <v>111</v>
      </c>
      <c r="F3513" s="1" t="s">
        <v>112</v>
      </c>
      <c r="G3513" s="1" t="s">
        <v>14</v>
      </c>
      <c r="H3513" s="1">
        <v>44</v>
      </c>
      <c r="I3513" s="1" t="s">
        <v>125</v>
      </c>
      <c r="J3513" s="3">
        <v>0.55000000000000004</v>
      </c>
      <c r="K3513" s="4">
        <v>2250</v>
      </c>
      <c r="L3513" s="5">
        <f t="shared" si="28"/>
        <v>1237.5</v>
      </c>
      <c r="M3513" s="5">
        <f t="shared" si="29"/>
        <v>371.25</v>
      </c>
      <c r="N3513" s="6">
        <v>0.3</v>
      </c>
    </row>
    <row r="3514" spans="1:14" ht="15.75" customHeight="1" x14ac:dyDescent="0.45">
      <c r="A3514" s="1" t="s">
        <v>119</v>
      </c>
      <c r="B3514" s="1">
        <v>1185732</v>
      </c>
      <c r="C3514" s="2">
        <v>44849</v>
      </c>
      <c r="D3514" s="1" t="s">
        <v>11</v>
      </c>
      <c r="E3514" s="1" t="s">
        <v>111</v>
      </c>
      <c r="F3514" s="1" t="s">
        <v>112</v>
      </c>
      <c r="G3514" s="1" t="s">
        <v>15</v>
      </c>
      <c r="H3514" s="1">
        <v>57</v>
      </c>
      <c r="I3514" s="1" t="s">
        <v>123</v>
      </c>
      <c r="J3514" s="3">
        <v>0.55000000000000004</v>
      </c>
      <c r="K3514" s="4">
        <v>1250</v>
      </c>
      <c r="L3514" s="5">
        <f t="shared" si="28"/>
        <v>687.5</v>
      </c>
      <c r="M3514" s="5">
        <f t="shared" si="29"/>
        <v>171.875</v>
      </c>
      <c r="N3514" s="6">
        <v>0.25</v>
      </c>
    </row>
    <row r="3515" spans="1:14" ht="15.75" customHeight="1" x14ac:dyDescent="0.45">
      <c r="A3515" s="1" t="s">
        <v>119</v>
      </c>
      <c r="B3515" s="1">
        <v>1185732</v>
      </c>
      <c r="C3515" s="2">
        <v>44849</v>
      </c>
      <c r="D3515" s="1" t="s">
        <v>11</v>
      </c>
      <c r="E3515" s="1" t="s">
        <v>111</v>
      </c>
      <c r="F3515" s="1" t="s">
        <v>112</v>
      </c>
      <c r="G3515" s="1" t="s">
        <v>16</v>
      </c>
      <c r="H3515" s="1">
        <v>53</v>
      </c>
      <c r="I3515" s="1" t="s">
        <v>125</v>
      </c>
      <c r="J3515" s="3">
        <v>0.55000000000000004</v>
      </c>
      <c r="K3515" s="4">
        <v>1000</v>
      </c>
      <c r="L3515" s="5">
        <f t="shared" si="28"/>
        <v>550</v>
      </c>
      <c r="M3515" s="5">
        <f t="shared" si="29"/>
        <v>137.5</v>
      </c>
      <c r="N3515" s="6">
        <v>0.25</v>
      </c>
    </row>
    <row r="3516" spans="1:14" ht="15.75" customHeight="1" x14ac:dyDescent="0.45">
      <c r="A3516" s="1" t="s">
        <v>119</v>
      </c>
      <c r="B3516" s="1">
        <v>1185732</v>
      </c>
      <c r="C3516" s="2">
        <v>44849</v>
      </c>
      <c r="D3516" s="1" t="s">
        <v>11</v>
      </c>
      <c r="E3516" s="1" t="s">
        <v>111</v>
      </c>
      <c r="F3516" s="1" t="s">
        <v>112</v>
      </c>
      <c r="G3516" s="1" t="s">
        <v>17</v>
      </c>
      <c r="H3516" s="1">
        <v>38</v>
      </c>
      <c r="I3516" s="1" t="s">
        <v>125</v>
      </c>
      <c r="J3516" s="3">
        <v>0.65</v>
      </c>
      <c r="K3516" s="4">
        <v>1000</v>
      </c>
      <c r="L3516" s="5">
        <f t="shared" si="28"/>
        <v>650</v>
      </c>
      <c r="M3516" s="5">
        <f t="shared" si="29"/>
        <v>162.5</v>
      </c>
      <c r="N3516" s="6">
        <v>0.25</v>
      </c>
    </row>
    <row r="3517" spans="1:14" ht="15.75" customHeight="1" x14ac:dyDescent="0.45">
      <c r="A3517" s="1" t="s">
        <v>119</v>
      </c>
      <c r="B3517" s="1">
        <v>1185732</v>
      </c>
      <c r="C3517" s="2">
        <v>44849</v>
      </c>
      <c r="D3517" s="1" t="s">
        <v>11</v>
      </c>
      <c r="E3517" s="1" t="s">
        <v>111</v>
      </c>
      <c r="F3517" s="1" t="s">
        <v>112</v>
      </c>
      <c r="G3517" s="1" t="s">
        <v>18</v>
      </c>
      <c r="H3517" s="1">
        <v>54</v>
      </c>
      <c r="I3517" s="1" t="s">
        <v>123</v>
      </c>
      <c r="J3517" s="3">
        <v>0.7</v>
      </c>
      <c r="K3517" s="4">
        <v>2250</v>
      </c>
      <c r="L3517" s="5">
        <f t="shared" si="28"/>
        <v>1575</v>
      </c>
      <c r="M3517" s="5">
        <f t="shared" si="29"/>
        <v>472.5</v>
      </c>
      <c r="N3517" s="6">
        <v>0.3</v>
      </c>
    </row>
    <row r="3518" spans="1:14" ht="15.75" customHeight="1" x14ac:dyDescent="0.45">
      <c r="A3518" s="1" t="s">
        <v>119</v>
      </c>
      <c r="B3518" s="1">
        <v>1185732</v>
      </c>
      <c r="C3518" s="2">
        <v>44879</v>
      </c>
      <c r="D3518" s="1" t="s">
        <v>11</v>
      </c>
      <c r="E3518" s="1" t="s">
        <v>111</v>
      </c>
      <c r="F3518" s="1" t="s">
        <v>112</v>
      </c>
      <c r="G3518" s="1" t="s">
        <v>13</v>
      </c>
      <c r="H3518" s="1">
        <v>38</v>
      </c>
      <c r="I3518" s="1" t="s">
        <v>125</v>
      </c>
      <c r="J3518" s="3">
        <v>0.65</v>
      </c>
      <c r="K3518" s="4">
        <v>3750</v>
      </c>
      <c r="L3518" s="5">
        <f t="shared" si="28"/>
        <v>2437.5</v>
      </c>
      <c r="M3518" s="5">
        <f t="shared" si="29"/>
        <v>731.25</v>
      </c>
      <c r="N3518" s="6">
        <v>0.3</v>
      </c>
    </row>
    <row r="3519" spans="1:14" ht="15.75" customHeight="1" x14ac:dyDescent="0.45">
      <c r="A3519" s="1" t="s">
        <v>119</v>
      </c>
      <c r="B3519" s="1">
        <v>1185732</v>
      </c>
      <c r="C3519" s="2">
        <v>44879</v>
      </c>
      <c r="D3519" s="1" t="s">
        <v>11</v>
      </c>
      <c r="E3519" s="1" t="s">
        <v>111</v>
      </c>
      <c r="F3519" s="1" t="s">
        <v>112</v>
      </c>
      <c r="G3519" s="1" t="s">
        <v>14</v>
      </c>
      <c r="H3519" s="1">
        <v>46</v>
      </c>
      <c r="I3519" s="1" t="s">
        <v>123</v>
      </c>
      <c r="J3519" s="3">
        <v>0.55000000000000004</v>
      </c>
      <c r="K3519" s="4">
        <v>3000</v>
      </c>
      <c r="L3519" s="5">
        <f t="shared" si="28"/>
        <v>1650.0000000000002</v>
      </c>
      <c r="M3519" s="5">
        <f t="shared" si="29"/>
        <v>495.00000000000006</v>
      </c>
      <c r="N3519" s="6">
        <v>0.3</v>
      </c>
    </row>
    <row r="3520" spans="1:14" ht="15.75" customHeight="1" x14ac:dyDescent="0.45">
      <c r="A3520" s="1" t="s">
        <v>119</v>
      </c>
      <c r="B3520" s="1">
        <v>1185732</v>
      </c>
      <c r="C3520" s="2">
        <v>44879</v>
      </c>
      <c r="D3520" s="1" t="s">
        <v>11</v>
      </c>
      <c r="E3520" s="1" t="s">
        <v>111</v>
      </c>
      <c r="F3520" s="1" t="s">
        <v>112</v>
      </c>
      <c r="G3520" s="1" t="s">
        <v>15</v>
      </c>
      <c r="H3520" s="1">
        <v>19</v>
      </c>
      <c r="I3520" s="1" t="s">
        <v>123</v>
      </c>
      <c r="J3520" s="3">
        <v>0.55000000000000004</v>
      </c>
      <c r="K3520" s="4">
        <v>2950</v>
      </c>
      <c r="L3520" s="5">
        <f t="shared" si="28"/>
        <v>1622.5000000000002</v>
      </c>
      <c r="M3520" s="5">
        <f t="shared" si="29"/>
        <v>405.62500000000006</v>
      </c>
      <c r="N3520" s="6">
        <v>0.25</v>
      </c>
    </row>
    <row r="3521" spans="1:14" ht="15.75" customHeight="1" x14ac:dyDescent="0.45">
      <c r="A3521" s="1" t="s">
        <v>119</v>
      </c>
      <c r="B3521" s="1">
        <v>1185732</v>
      </c>
      <c r="C3521" s="2">
        <v>44879</v>
      </c>
      <c r="D3521" s="1" t="s">
        <v>11</v>
      </c>
      <c r="E3521" s="1" t="s">
        <v>111</v>
      </c>
      <c r="F3521" s="1" t="s">
        <v>112</v>
      </c>
      <c r="G3521" s="1" t="s">
        <v>16</v>
      </c>
      <c r="H3521" s="1">
        <v>52</v>
      </c>
      <c r="I3521" s="1" t="s">
        <v>124</v>
      </c>
      <c r="J3521" s="3">
        <v>0.55000000000000004</v>
      </c>
      <c r="K3521" s="4">
        <v>2750</v>
      </c>
      <c r="L3521" s="5">
        <f t="shared" si="28"/>
        <v>1512.5000000000002</v>
      </c>
      <c r="M3521" s="5">
        <f t="shared" si="29"/>
        <v>378.12500000000006</v>
      </c>
      <c r="N3521" s="6">
        <v>0.25</v>
      </c>
    </row>
    <row r="3522" spans="1:14" ht="15.75" customHeight="1" x14ac:dyDescent="0.45">
      <c r="A3522" s="1" t="s">
        <v>119</v>
      </c>
      <c r="B3522" s="1">
        <v>1185732</v>
      </c>
      <c r="C3522" s="2">
        <v>44879</v>
      </c>
      <c r="D3522" s="1" t="s">
        <v>11</v>
      </c>
      <c r="E3522" s="1" t="s">
        <v>111</v>
      </c>
      <c r="F3522" s="1" t="s">
        <v>112</v>
      </c>
      <c r="G3522" s="1" t="s">
        <v>17</v>
      </c>
      <c r="H3522" s="1">
        <v>49</v>
      </c>
      <c r="I3522" s="1" t="s">
        <v>123</v>
      </c>
      <c r="J3522" s="3">
        <v>0.65</v>
      </c>
      <c r="K3522" s="4">
        <v>2500</v>
      </c>
      <c r="L3522" s="5">
        <f t="shared" si="28"/>
        <v>1625</v>
      </c>
      <c r="M3522" s="5">
        <f t="shared" si="29"/>
        <v>406.25</v>
      </c>
      <c r="N3522" s="6">
        <v>0.25</v>
      </c>
    </row>
    <row r="3523" spans="1:14" ht="15.75" customHeight="1" x14ac:dyDescent="0.45">
      <c r="A3523" s="1" t="s">
        <v>119</v>
      </c>
      <c r="B3523" s="1">
        <v>1185732</v>
      </c>
      <c r="C3523" s="2">
        <v>44879</v>
      </c>
      <c r="D3523" s="1" t="s">
        <v>11</v>
      </c>
      <c r="E3523" s="1" t="s">
        <v>111</v>
      </c>
      <c r="F3523" s="1" t="s">
        <v>112</v>
      </c>
      <c r="G3523" s="1" t="s">
        <v>18</v>
      </c>
      <c r="H3523" s="1">
        <v>16</v>
      </c>
      <c r="I3523" s="1" t="s">
        <v>125</v>
      </c>
      <c r="J3523" s="3">
        <v>0.7</v>
      </c>
      <c r="K3523" s="4">
        <v>3500</v>
      </c>
      <c r="L3523" s="5">
        <f t="shared" si="28"/>
        <v>2450</v>
      </c>
      <c r="M3523" s="5">
        <f t="shared" si="29"/>
        <v>735</v>
      </c>
      <c r="N3523" s="6">
        <v>0.3</v>
      </c>
    </row>
    <row r="3524" spans="1:14" ht="15.75" customHeight="1" x14ac:dyDescent="0.45">
      <c r="A3524" s="1" t="s">
        <v>119</v>
      </c>
      <c r="B3524" s="1">
        <v>1185732</v>
      </c>
      <c r="C3524" s="2">
        <v>44908</v>
      </c>
      <c r="D3524" s="1" t="s">
        <v>11</v>
      </c>
      <c r="E3524" s="1" t="s">
        <v>111</v>
      </c>
      <c r="F3524" s="1" t="s">
        <v>112</v>
      </c>
      <c r="G3524" s="1" t="s">
        <v>13</v>
      </c>
      <c r="H3524" s="1">
        <v>51</v>
      </c>
      <c r="I3524" s="1" t="s">
        <v>124</v>
      </c>
      <c r="J3524" s="3">
        <v>0.65</v>
      </c>
      <c r="K3524" s="4">
        <v>5750</v>
      </c>
      <c r="L3524" s="5">
        <f t="shared" si="28"/>
        <v>3737.5</v>
      </c>
      <c r="M3524" s="5">
        <f t="shared" si="29"/>
        <v>1121.25</v>
      </c>
      <c r="N3524" s="6">
        <v>0.3</v>
      </c>
    </row>
    <row r="3525" spans="1:14" ht="15.75" customHeight="1" x14ac:dyDescent="0.45">
      <c r="A3525" s="1" t="s">
        <v>119</v>
      </c>
      <c r="B3525" s="1">
        <v>1185732</v>
      </c>
      <c r="C3525" s="2">
        <v>44908</v>
      </c>
      <c r="D3525" s="1" t="s">
        <v>11</v>
      </c>
      <c r="E3525" s="1" t="s">
        <v>111</v>
      </c>
      <c r="F3525" s="1" t="s">
        <v>112</v>
      </c>
      <c r="G3525" s="1" t="s">
        <v>14</v>
      </c>
      <c r="H3525" s="1">
        <v>37</v>
      </c>
      <c r="I3525" s="1" t="s">
        <v>123</v>
      </c>
      <c r="J3525" s="3">
        <v>0.55000000000000004</v>
      </c>
      <c r="K3525" s="4">
        <v>3750</v>
      </c>
      <c r="L3525" s="5">
        <f t="shared" si="28"/>
        <v>2062.5</v>
      </c>
      <c r="M3525" s="5">
        <f t="shared" si="29"/>
        <v>618.75</v>
      </c>
      <c r="N3525" s="6">
        <v>0.3</v>
      </c>
    </row>
    <row r="3526" spans="1:14" ht="15.75" customHeight="1" x14ac:dyDescent="0.45">
      <c r="A3526" s="1" t="s">
        <v>119</v>
      </c>
      <c r="B3526" s="1">
        <v>1185732</v>
      </c>
      <c r="C3526" s="2">
        <v>44908</v>
      </c>
      <c r="D3526" s="1" t="s">
        <v>11</v>
      </c>
      <c r="E3526" s="1" t="s">
        <v>111</v>
      </c>
      <c r="F3526" s="1" t="s">
        <v>112</v>
      </c>
      <c r="G3526" s="1" t="s">
        <v>15</v>
      </c>
      <c r="H3526" s="1">
        <v>32</v>
      </c>
      <c r="I3526" s="1" t="s">
        <v>126</v>
      </c>
      <c r="J3526" s="3">
        <v>0.55000000000000004</v>
      </c>
      <c r="K3526" s="4">
        <v>3500</v>
      </c>
      <c r="L3526" s="5">
        <f t="shared" si="28"/>
        <v>1925.0000000000002</v>
      </c>
      <c r="M3526" s="5">
        <f t="shared" si="29"/>
        <v>481.25000000000006</v>
      </c>
      <c r="N3526" s="6">
        <v>0.25</v>
      </c>
    </row>
    <row r="3527" spans="1:14" ht="15.75" customHeight="1" x14ac:dyDescent="0.45">
      <c r="A3527" s="1" t="s">
        <v>119</v>
      </c>
      <c r="B3527" s="1">
        <v>1185732</v>
      </c>
      <c r="C3527" s="2">
        <v>44908</v>
      </c>
      <c r="D3527" s="1" t="s">
        <v>11</v>
      </c>
      <c r="E3527" s="1" t="s">
        <v>111</v>
      </c>
      <c r="F3527" s="1" t="s">
        <v>112</v>
      </c>
      <c r="G3527" s="1" t="s">
        <v>16</v>
      </c>
      <c r="H3527" s="1">
        <v>22</v>
      </c>
      <c r="I3527" s="1" t="s">
        <v>126</v>
      </c>
      <c r="J3527" s="3">
        <v>0.55000000000000004</v>
      </c>
      <c r="K3527" s="4">
        <v>3000</v>
      </c>
      <c r="L3527" s="5">
        <f t="shared" si="28"/>
        <v>1650.0000000000002</v>
      </c>
      <c r="M3527" s="5">
        <f t="shared" si="29"/>
        <v>412.50000000000006</v>
      </c>
      <c r="N3527" s="6">
        <v>0.25</v>
      </c>
    </row>
    <row r="3528" spans="1:14" ht="15.75" customHeight="1" x14ac:dyDescent="0.45">
      <c r="A3528" s="1" t="s">
        <v>119</v>
      </c>
      <c r="B3528" s="1">
        <v>1185732</v>
      </c>
      <c r="C3528" s="2">
        <v>44908</v>
      </c>
      <c r="D3528" s="1" t="s">
        <v>11</v>
      </c>
      <c r="E3528" s="1" t="s">
        <v>111</v>
      </c>
      <c r="F3528" s="1" t="s">
        <v>112</v>
      </c>
      <c r="G3528" s="1" t="s">
        <v>17</v>
      </c>
      <c r="H3528" s="1">
        <v>36</v>
      </c>
      <c r="I3528" s="1" t="s">
        <v>123</v>
      </c>
      <c r="J3528" s="3">
        <v>0.65</v>
      </c>
      <c r="K3528" s="4">
        <v>3000</v>
      </c>
      <c r="L3528" s="5">
        <f t="shared" si="28"/>
        <v>1950</v>
      </c>
      <c r="M3528" s="5">
        <f t="shared" si="29"/>
        <v>487.5</v>
      </c>
      <c r="N3528" s="6">
        <v>0.25</v>
      </c>
    </row>
    <row r="3529" spans="1:14" ht="15.75" customHeight="1" x14ac:dyDescent="0.45">
      <c r="A3529" s="1" t="s">
        <v>119</v>
      </c>
      <c r="B3529" s="1">
        <v>1185732</v>
      </c>
      <c r="C3529" s="2">
        <v>44908</v>
      </c>
      <c r="D3529" s="1" t="s">
        <v>11</v>
      </c>
      <c r="E3529" s="1" t="s">
        <v>111</v>
      </c>
      <c r="F3529" s="1" t="s">
        <v>112</v>
      </c>
      <c r="G3529" s="1" t="s">
        <v>18</v>
      </c>
      <c r="H3529" s="1">
        <v>48</v>
      </c>
      <c r="I3529" s="1" t="s">
        <v>125</v>
      </c>
      <c r="J3529" s="3">
        <v>0.7</v>
      </c>
      <c r="K3529" s="4">
        <v>4000</v>
      </c>
      <c r="L3529" s="5">
        <f t="shared" si="28"/>
        <v>2800</v>
      </c>
      <c r="M3529" s="5">
        <f t="shared" si="29"/>
        <v>840</v>
      </c>
      <c r="N3529" s="6">
        <v>0.3</v>
      </c>
    </row>
    <row r="3530" spans="1:14" ht="15.75" customHeight="1" x14ac:dyDescent="0.45">
      <c r="A3530" s="1" t="s">
        <v>119</v>
      </c>
      <c r="B3530" s="1">
        <v>1185732</v>
      </c>
      <c r="C3530" s="2">
        <v>44575</v>
      </c>
      <c r="D3530" s="1" t="s">
        <v>11</v>
      </c>
      <c r="E3530" s="1" t="s">
        <v>113</v>
      </c>
      <c r="F3530" s="1" t="s">
        <v>114</v>
      </c>
      <c r="G3530" s="1" t="s">
        <v>13</v>
      </c>
      <c r="H3530" s="1">
        <v>27</v>
      </c>
      <c r="I3530" s="1" t="s">
        <v>123</v>
      </c>
      <c r="J3530" s="3">
        <v>0.45</v>
      </c>
      <c r="K3530" s="4">
        <v>5250</v>
      </c>
      <c r="L3530" s="5">
        <f t="shared" si="28"/>
        <v>2362.5</v>
      </c>
      <c r="M3530" s="5">
        <f t="shared" si="29"/>
        <v>1063.125</v>
      </c>
      <c r="N3530" s="6">
        <v>0.45</v>
      </c>
    </row>
    <row r="3531" spans="1:14" ht="15.75" customHeight="1" x14ac:dyDescent="0.45">
      <c r="A3531" s="1" t="s">
        <v>119</v>
      </c>
      <c r="B3531" s="1">
        <v>1185732</v>
      </c>
      <c r="C3531" s="2">
        <v>44575</v>
      </c>
      <c r="D3531" s="1" t="s">
        <v>11</v>
      </c>
      <c r="E3531" s="1" t="s">
        <v>113</v>
      </c>
      <c r="F3531" s="1" t="s">
        <v>114</v>
      </c>
      <c r="G3531" s="1" t="s">
        <v>14</v>
      </c>
      <c r="H3531" s="1">
        <v>41</v>
      </c>
      <c r="I3531" s="1" t="s">
        <v>123</v>
      </c>
      <c r="J3531" s="3">
        <v>0.45</v>
      </c>
      <c r="K3531" s="4">
        <v>3250</v>
      </c>
      <c r="L3531" s="5">
        <f t="shared" si="28"/>
        <v>1462.5</v>
      </c>
      <c r="M3531" s="5">
        <f t="shared" si="29"/>
        <v>658.125</v>
      </c>
      <c r="N3531" s="6">
        <v>0.45</v>
      </c>
    </row>
    <row r="3532" spans="1:14" ht="15.75" customHeight="1" x14ac:dyDescent="0.45">
      <c r="A3532" s="1" t="s">
        <v>119</v>
      </c>
      <c r="B3532" s="1">
        <v>1185732</v>
      </c>
      <c r="C3532" s="2">
        <v>44575</v>
      </c>
      <c r="D3532" s="1" t="s">
        <v>11</v>
      </c>
      <c r="E3532" s="1" t="s">
        <v>113</v>
      </c>
      <c r="F3532" s="1" t="s">
        <v>114</v>
      </c>
      <c r="G3532" s="1" t="s">
        <v>15</v>
      </c>
      <c r="H3532" s="1">
        <v>41</v>
      </c>
      <c r="I3532" s="1" t="s">
        <v>125</v>
      </c>
      <c r="J3532" s="3">
        <v>0.35000000000000003</v>
      </c>
      <c r="K3532" s="4">
        <v>3250</v>
      </c>
      <c r="L3532" s="5">
        <f t="shared" si="28"/>
        <v>1137.5</v>
      </c>
      <c r="M3532" s="5">
        <f t="shared" si="29"/>
        <v>398.125</v>
      </c>
      <c r="N3532" s="6">
        <v>0.35</v>
      </c>
    </row>
    <row r="3533" spans="1:14" ht="15.75" customHeight="1" x14ac:dyDescent="0.45">
      <c r="A3533" s="1" t="s">
        <v>119</v>
      </c>
      <c r="B3533" s="1">
        <v>1185732</v>
      </c>
      <c r="C3533" s="2">
        <v>44575</v>
      </c>
      <c r="D3533" s="1" t="s">
        <v>11</v>
      </c>
      <c r="E3533" s="1" t="s">
        <v>113</v>
      </c>
      <c r="F3533" s="1" t="s">
        <v>114</v>
      </c>
      <c r="G3533" s="1" t="s">
        <v>16</v>
      </c>
      <c r="H3533" s="1">
        <v>25</v>
      </c>
      <c r="I3533" s="1" t="s">
        <v>124</v>
      </c>
      <c r="J3533" s="3">
        <v>0.39999999999999997</v>
      </c>
      <c r="K3533" s="4">
        <v>1750</v>
      </c>
      <c r="L3533" s="5">
        <f t="shared" si="28"/>
        <v>699.99999999999989</v>
      </c>
      <c r="M3533" s="5">
        <f t="shared" si="29"/>
        <v>244.99999999999994</v>
      </c>
      <c r="N3533" s="6">
        <v>0.35</v>
      </c>
    </row>
    <row r="3534" spans="1:14" ht="15.75" customHeight="1" x14ac:dyDescent="0.45">
      <c r="A3534" s="1" t="s">
        <v>119</v>
      </c>
      <c r="B3534" s="1">
        <v>1185732</v>
      </c>
      <c r="C3534" s="2">
        <v>44575</v>
      </c>
      <c r="D3534" s="1" t="s">
        <v>11</v>
      </c>
      <c r="E3534" s="1" t="s">
        <v>113</v>
      </c>
      <c r="F3534" s="1" t="s">
        <v>114</v>
      </c>
      <c r="G3534" s="1" t="s">
        <v>17</v>
      </c>
      <c r="H3534" s="1">
        <v>31</v>
      </c>
      <c r="I3534" s="1" t="s">
        <v>123</v>
      </c>
      <c r="J3534" s="3">
        <v>0.55000000000000004</v>
      </c>
      <c r="K3534" s="4">
        <v>2250</v>
      </c>
      <c r="L3534" s="5">
        <f t="shared" si="28"/>
        <v>1237.5</v>
      </c>
      <c r="M3534" s="5">
        <f t="shared" si="29"/>
        <v>433.125</v>
      </c>
      <c r="N3534" s="6">
        <v>0.35</v>
      </c>
    </row>
    <row r="3535" spans="1:14" ht="15.75" customHeight="1" x14ac:dyDescent="0.45">
      <c r="A3535" s="1" t="s">
        <v>119</v>
      </c>
      <c r="B3535" s="1">
        <v>1185732</v>
      </c>
      <c r="C3535" s="2">
        <v>44575</v>
      </c>
      <c r="D3535" s="1" t="s">
        <v>11</v>
      </c>
      <c r="E3535" s="1" t="s">
        <v>113</v>
      </c>
      <c r="F3535" s="1" t="s">
        <v>114</v>
      </c>
      <c r="G3535" s="1" t="s">
        <v>18</v>
      </c>
      <c r="H3535" s="1">
        <v>18</v>
      </c>
      <c r="I3535" s="1" t="s">
        <v>123</v>
      </c>
      <c r="J3535" s="3">
        <v>0.45</v>
      </c>
      <c r="K3535" s="4">
        <v>3250</v>
      </c>
      <c r="L3535" s="5">
        <f t="shared" si="28"/>
        <v>1462.5</v>
      </c>
      <c r="M3535" s="5">
        <f t="shared" si="29"/>
        <v>585</v>
      </c>
      <c r="N3535" s="6">
        <v>0.39999999999999997</v>
      </c>
    </row>
    <row r="3536" spans="1:14" ht="15.75" customHeight="1" x14ac:dyDescent="0.45">
      <c r="A3536" s="1" t="s">
        <v>119</v>
      </c>
      <c r="B3536" s="1">
        <v>1185732</v>
      </c>
      <c r="C3536" s="2">
        <v>44604</v>
      </c>
      <c r="D3536" s="1" t="s">
        <v>11</v>
      </c>
      <c r="E3536" s="1" t="s">
        <v>113</v>
      </c>
      <c r="F3536" s="1" t="s">
        <v>114</v>
      </c>
      <c r="G3536" s="1" t="s">
        <v>13</v>
      </c>
      <c r="H3536" s="1">
        <v>18</v>
      </c>
      <c r="I3536" s="1" t="s">
        <v>123</v>
      </c>
      <c r="J3536" s="3">
        <v>0.45</v>
      </c>
      <c r="K3536" s="4">
        <v>5750</v>
      </c>
      <c r="L3536" s="5">
        <f t="shared" si="28"/>
        <v>2587.5</v>
      </c>
      <c r="M3536" s="5">
        <f t="shared" si="29"/>
        <v>1164.375</v>
      </c>
      <c r="N3536" s="6">
        <v>0.45</v>
      </c>
    </row>
    <row r="3537" spans="1:14" ht="15.75" customHeight="1" x14ac:dyDescent="0.45">
      <c r="A3537" s="1" t="s">
        <v>119</v>
      </c>
      <c r="B3537" s="1">
        <v>1185732</v>
      </c>
      <c r="C3537" s="2">
        <v>44604</v>
      </c>
      <c r="D3537" s="1" t="s">
        <v>11</v>
      </c>
      <c r="E3537" s="1" t="s">
        <v>113</v>
      </c>
      <c r="F3537" s="1" t="s">
        <v>114</v>
      </c>
      <c r="G3537" s="1" t="s">
        <v>14</v>
      </c>
      <c r="H3537" s="1">
        <v>43</v>
      </c>
      <c r="I3537" s="1" t="s">
        <v>126</v>
      </c>
      <c r="J3537" s="3">
        <v>0.45</v>
      </c>
      <c r="K3537" s="4">
        <v>2250</v>
      </c>
      <c r="L3537" s="5">
        <f t="shared" si="28"/>
        <v>1012.5</v>
      </c>
      <c r="M3537" s="5">
        <f t="shared" si="29"/>
        <v>455.625</v>
      </c>
      <c r="N3537" s="6">
        <v>0.45</v>
      </c>
    </row>
    <row r="3538" spans="1:14" ht="15.75" customHeight="1" x14ac:dyDescent="0.45">
      <c r="A3538" s="1" t="s">
        <v>119</v>
      </c>
      <c r="B3538" s="1">
        <v>1185732</v>
      </c>
      <c r="C3538" s="2">
        <v>44604</v>
      </c>
      <c r="D3538" s="1" t="s">
        <v>11</v>
      </c>
      <c r="E3538" s="1" t="s">
        <v>113</v>
      </c>
      <c r="F3538" s="1" t="s">
        <v>114</v>
      </c>
      <c r="G3538" s="1" t="s">
        <v>15</v>
      </c>
      <c r="H3538" s="1">
        <v>51</v>
      </c>
      <c r="I3538" s="1" t="s">
        <v>126</v>
      </c>
      <c r="J3538" s="3">
        <v>0.35000000000000003</v>
      </c>
      <c r="K3538" s="4">
        <v>2750</v>
      </c>
      <c r="L3538" s="5">
        <f t="shared" si="28"/>
        <v>962.50000000000011</v>
      </c>
      <c r="M3538" s="5">
        <f t="shared" si="29"/>
        <v>336.875</v>
      </c>
      <c r="N3538" s="6">
        <v>0.35</v>
      </c>
    </row>
    <row r="3539" spans="1:14" ht="15.75" customHeight="1" x14ac:dyDescent="0.45">
      <c r="A3539" s="1" t="s">
        <v>119</v>
      </c>
      <c r="B3539" s="1">
        <v>1185732</v>
      </c>
      <c r="C3539" s="2">
        <v>44604</v>
      </c>
      <c r="D3539" s="1" t="s">
        <v>11</v>
      </c>
      <c r="E3539" s="1" t="s">
        <v>113</v>
      </c>
      <c r="F3539" s="1" t="s">
        <v>114</v>
      </c>
      <c r="G3539" s="1" t="s">
        <v>16</v>
      </c>
      <c r="H3539" s="1">
        <v>28</v>
      </c>
      <c r="I3539" s="1" t="s">
        <v>125</v>
      </c>
      <c r="J3539" s="3">
        <v>0.39999999999999997</v>
      </c>
      <c r="K3539" s="4">
        <v>1500</v>
      </c>
      <c r="L3539" s="5">
        <f t="shared" si="28"/>
        <v>600</v>
      </c>
      <c r="M3539" s="5">
        <f t="shared" si="29"/>
        <v>210</v>
      </c>
      <c r="N3539" s="6">
        <v>0.35</v>
      </c>
    </row>
    <row r="3540" spans="1:14" ht="15.75" customHeight="1" x14ac:dyDescent="0.45">
      <c r="A3540" s="1" t="s">
        <v>119</v>
      </c>
      <c r="B3540" s="1">
        <v>1185732</v>
      </c>
      <c r="C3540" s="2">
        <v>44604</v>
      </c>
      <c r="D3540" s="1" t="s">
        <v>11</v>
      </c>
      <c r="E3540" s="1" t="s">
        <v>113</v>
      </c>
      <c r="F3540" s="1" t="s">
        <v>114</v>
      </c>
      <c r="G3540" s="1" t="s">
        <v>17</v>
      </c>
      <c r="H3540" s="1">
        <v>26</v>
      </c>
      <c r="I3540" s="1" t="s">
        <v>126</v>
      </c>
      <c r="J3540" s="3">
        <v>0.55000000000000004</v>
      </c>
      <c r="K3540" s="4">
        <v>2250</v>
      </c>
      <c r="L3540" s="5">
        <f t="shared" si="28"/>
        <v>1237.5</v>
      </c>
      <c r="M3540" s="5">
        <f t="shared" si="29"/>
        <v>433.125</v>
      </c>
      <c r="N3540" s="6">
        <v>0.35</v>
      </c>
    </row>
    <row r="3541" spans="1:14" ht="15.75" customHeight="1" x14ac:dyDescent="0.45">
      <c r="A3541" s="1" t="s">
        <v>119</v>
      </c>
      <c r="B3541" s="1">
        <v>1185732</v>
      </c>
      <c r="C3541" s="2">
        <v>44604</v>
      </c>
      <c r="D3541" s="1" t="s">
        <v>11</v>
      </c>
      <c r="E3541" s="1" t="s">
        <v>113</v>
      </c>
      <c r="F3541" s="1" t="s">
        <v>114</v>
      </c>
      <c r="G3541" s="1" t="s">
        <v>18</v>
      </c>
      <c r="H3541" s="1">
        <v>21</v>
      </c>
      <c r="I3541" s="1" t="s">
        <v>125</v>
      </c>
      <c r="J3541" s="3">
        <v>0.45</v>
      </c>
      <c r="K3541" s="4">
        <v>3250</v>
      </c>
      <c r="L3541" s="5">
        <f t="shared" si="28"/>
        <v>1462.5</v>
      </c>
      <c r="M3541" s="5">
        <f t="shared" si="29"/>
        <v>585</v>
      </c>
      <c r="N3541" s="6">
        <v>0.39999999999999997</v>
      </c>
    </row>
    <row r="3542" spans="1:14" ht="15.75" customHeight="1" x14ac:dyDescent="0.45">
      <c r="A3542" s="1" t="s">
        <v>119</v>
      </c>
      <c r="B3542" s="1">
        <v>1185732</v>
      </c>
      <c r="C3542" s="2">
        <v>44630</v>
      </c>
      <c r="D3542" s="1" t="s">
        <v>11</v>
      </c>
      <c r="E3542" s="1" t="s">
        <v>113</v>
      </c>
      <c r="F3542" s="1" t="s">
        <v>114</v>
      </c>
      <c r="G3542" s="1" t="s">
        <v>13</v>
      </c>
      <c r="H3542" s="1">
        <v>16</v>
      </c>
      <c r="I3542" s="1" t="s">
        <v>124</v>
      </c>
      <c r="J3542" s="3">
        <v>0.45</v>
      </c>
      <c r="K3542" s="4">
        <v>5450</v>
      </c>
      <c r="L3542" s="5">
        <f t="shared" si="28"/>
        <v>2452.5</v>
      </c>
      <c r="M3542" s="5">
        <f t="shared" si="29"/>
        <v>1103.625</v>
      </c>
      <c r="N3542" s="6">
        <v>0.45</v>
      </c>
    </row>
    <row r="3543" spans="1:14" ht="15.75" customHeight="1" x14ac:dyDescent="0.45">
      <c r="A3543" s="1" t="s">
        <v>119</v>
      </c>
      <c r="B3543" s="1">
        <v>1185732</v>
      </c>
      <c r="C3543" s="2">
        <v>44630</v>
      </c>
      <c r="D3543" s="1" t="s">
        <v>11</v>
      </c>
      <c r="E3543" s="1" t="s">
        <v>113</v>
      </c>
      <c r="F3543" s="1" t="s">
        <v>114</v>
      </c>
      <c r="G3543" s="1" t="s">
        <v>14</v>
      </c>
      <c r="H3543" s="1">
        <v>25</v>
      </c>
      <c r="I3543" s="1" t="s">
        <v>125</v>
      </c>
      <c r="J3543" s="3">
        <v>0.45</v>
      </c>
      <c r="K3543" s="4">
        <v>2500</v>
      </c>
      <c r="L3543" s="5">
        <f t="shared" si="28"/>
        <v>1125</v>
      </c>
      <c r="M3543" s="5">
        <f t="shared" si="29"/>
        <v>506.25</v>
      </c>
      <c r="N3543" s="6">
        <v>0.45</v>
      </c>
    </row>
    <row r="3544" spans="1:14" ht="15.75" customHeight="1" x14ac:dyDescent="0.45">
      <c r="A3544" s="1" t="s">
        <v>119</v>
      </c>
      <c r="B3544" s="1">
        <v>1185732</v>
      </c>
      <c r="C3544" s="2">
        <v>44630</v>
      </c>
      <c r="D3544" s="1" t="s">
        <v>11</v>
      </c>
      <c r="E3544" s="1" t="s">
        <v>113</v>
      </c>
      <c r="F3544" s="1" t="s">
        <v>114</v>
      </c>
      <c r="G3544" s="1" t="s">
        <v>15</v>
      </c>
      <c r="H3544" s="1">
        <v>24</v>
      </c>
      <c r="I3544" s="1" t="s">
        <v>123</v>
      </c>
      <c r="J3544" s="3">
        <v>0.35000000000000003</v>
      </c>
      <c r="K3544" s="4">
        <v>2750</v>
      </c>
      <c r="L3544" s="5">
        <f t="shared" si="28"/>
        <v>962.50000000000011</v>
      </c>
      <c r="M3544" s="5">
        <f t="shared" si="29"/>
        <v>336.875</v>
      </c>
      <c r="N3544" s="6">
        <v>0.35</v>
      </c>
    </row>
    <row r="3545" spans="1:14" ht="15.75" customHeight="1" x14ac:dyDescent="0.45">
      <c r="A3545" s="1" t="s">
        <v>119</v>
      </c>
      <c r="B3545" s="1">
        <v>1185732</v>
      </c>
      <c r="C3545" s="2">
        <v>44630</v>
      </c>
      <c r="D3545" s="1" t="s">
        <v>11</v>
      </c>
      <c r="E3545" s="1" t="s">
        <v>113</v>
      </c>
      <c r="F3545" s="1" t="s">
        <v>114</v>
      </c>
      <c r="G3545" s="1" t="s">
        <v>16</v>
      </c>
      <c r="H3545" s="1">
        <v>36</v>
      </c>
      <c r="I3545" s="1" t="s">
        <v>124</v>
      </c>
      <c r="J3545" s="3">
        <v>0.39999999999999997</v>
      </c>
      <c r="K3545" s="4">
        <v>1250</v>
      </c>
      <c r="L3545" s="5">
        <f t="shared" si="28"/>
        <v>499.99999999999994</v>
      </c>
      <c r="M3545" s="5">
        <f t="shared" si="29"/>
        <v>174.99999999999997</v>
      </c>
      <c r="N3545" s="6">
        <v>0.35</v>
      </c>
    </row>
    <row r="3546" spans="1:14" ht="15.75" customHeight="1" x14ac:dyDescent="0.45">
      <c r="A3546" s="1" t="s">
        <v>119</v>
      </c>
      <c r="B3546" s="1">
        <v>1185732</v>
      </c>
      <c r="C3546" s="2">
        <v>44630</v>
      </c>
      <c r="D3546" s="1" t="s">
        <v>11</v>
      </c>
      <c r="E3546" s="1" t="s">
        <v>113</v>
      </c>
      <c r="F3546" s="1" t="s">
        <v>114</v>
      </c>
      <c r="G3546" s="1" t="s">
        <v>17</v>
      </c>
      <c r="H3546" s="1">
        <v>37</v>
      </c>
      <c r="I3546" s="1" t="s">
        <v>124</v>
      </c>
      <c r="J3546" s="3">
        <v>0.55000000000000004</v>
      </c>
      <c r="K3546" s="4">
        <v>1750</v>
      </c>
      <c r="L3546" s="5">
        <f t="shared" si="28"/>
        <v>962.50000000000011</v>
      </c>
      <c r="M3546" s="5">
        <f t="shared" si="29"/>
        <v>336.875</v>
      </c>
      <c r="N3546" s="6">
        <v>0.35</v>
      </c>
    </row>
    <row r="3547" spans="1:14" ht="15.75" customHeight="1" x14ac:dyDescent="0.45">
      <c r="A3547" s="1" t="s">
        <v>119</v>
      </c>
      <c r="B3547" s="1">
        <v>1185732</v>
      </c>
      <c r="C3547" s="2">
        <v>44630</v>
      </c>
      <c r="D3547" s="1" t="s">
        <v>11</v>
      </c>
      <c r="E3547" s="1" t="s">
        <v>113</v>
      </c>
      <c r="F3547" s="1" t="s">
        <v>114</v>
      </c>
      <c r="G3547" s="1" t="s">
        <v>18</v>
      </c>
      <c r="H3547" s="1">
        <v>28</v>
      </c>
      <c r="I3547" s="1" t="s">
        <v>123</v>
      </c>
      <c r="J3547" s="3">
        <v>0.45</v>
      </c>
      <c r="K3547" s="4">
        <v>2750</v>
      </c>
      <c r="L3547" s="5">
        <f t="shared" si="28"/>
        <v>1237.5</v>
      </c>
      <c r="M3547" s="5">
        <f t="shared" si="29"/>
        <v>494.99999999999994</v>
      </c>
      <c r="N3547" s="6">
        <v>0.39999999999999997</v>
      </c>
    </row>
    <row r="3548" spans="1:14" ht="15.75" customHeight="1" x14ac:dyDescent="0.45">
      <c r="A3548" s="1" t="s">
        <v>119</v>
      </c>
      <c r="B3548" s="1">
        <v>1185732</v>
      </c>
      <c r="C3548" s="2">
        <v>44662</v>
      </c>
      <c r="D3548" s="1" t="s">
        <v>11</v>
      </c>
      <c r="E3548" s="1" t="s">
        <v>113</v>
      </c>
      <c r="F3548" s="1" t="s">
        <v>114</v>
      </c>
      <c r="G3548" s="1" t="s">
        <v>13</v>
      </c>
      <c r="H3548" s="1">
        <v>48</v>
      </c>
      <c r="I3548" s="1" t="s">
        <v>123</v>
      </c>
      <c r="J3548" s="3">
        <v>0.45</v>
      </c>
      <c r="K3548" s="4">
        <v>5250</v>
      </c>
      <c r="L3548" s="5">
        <f t="shared" si="28"/>
        <v>2362.5</v>
      </c>
      <c r="M3548" s="5">
        <f t="shared" si="29"/>
        <v>1063.125</v>
      </c>
      <c r="N3548" s="6">
        <v>0.45</v>
      </c>
    </row>
    <row r="3549" spans="1:14" ht="15.75" customHeight="1" x14ac:dyDescent="0.45">
      <c r="A3549" s="1" t="s">
        <v>119</v>
      </c>
      <c r="B3549" s="1">
        <v>1185732</v>
      </c>
      <c r="C3549" s="2">
        <v>44662</v>
      </c>
      <c r="D3549" s="1" t="s">
        <v>11</v>
      </c>
      <c r="E3549" s="1" t="s">
        <v>113</v>
      </c>
      <c r="F3549" s="1" t="s">
        <v>114</v>
      </c>
      <c r="G3549" s="1" t="s">
        <v>14</v>
      </c>
      <c r="H3549" s="1">
        <v>37</v>
      </c>
      <c r="I3549" s="1" t="s">
        <v>124</v>
      </c>
      <c r="J3549" s="3">
        <v>0.45</v>
      </c>
      <c r="K3549" s="4">
        <v>2250</v>
      </c>
      <c r="L3549" s="5">
        <f t="shared" si="28"/>
        <v>1012.5</v>
      </c>
      <c r="M3549" s="5">
        <f t="shared" si="29"/>
        <v>455.625</v>
      </c>
      <c r="N3549" s="6">
        <v>0.45</v>
      </c>
    </row>
    <row r="3550" spans="1:14" ht="15.75" customHeight="1" x14ac:dyDescent="0.45">
      <c r="A3550" s="1" t="s">
        <v>119</v>
      </c>
      <c r="B3550" s="1">
        <v>1185732</v>
      </c>
      <c r="C3550" s="2">
        <v>44662</v>
      </c>
      <c r="D3550" s="1" t="s">
        <v>11</v>
      </c>
      <c r="E3550" s="1" t="s">
        <v>113</v>
      </c>
      <c r="F3550" s="1" t="s">
        <v>114</v>
      </c>
      <c r="G3550" s="1" t="s">
        <v>15</v>
      </c>
      <c r="H3550" s="1">
        <v>25</v>
      </c>
      <c r="I3550" s="1" t="s">
        <v>126</v>
      </c>
      <c r="J3550" s="3">
        <v>0.35000000000000003</v>
      </c>
      <c r="K3550" s="4">
        <v>2250</v>
      </c>
      <c r="L3550" s="5">
        <f t="shared" si="28"/>
        <v>787.50000000000011</v>
      </c>
      <c r="M3550" s="5">
        <f t="shared" si="29"/>
        <v>275.625</v>
      </c>
      <c r="N3550" s="6">
        <v>0.35</v>
      </c>
    </row>
    <row r="3551" spans="1:14" ht="15.75" customHeight="1" x14ac:dyDescent="0.45">
      <c r="A3551" s="1" t="s">
        <v>119</v>
      </c>
      <c r="B3551" s="1">
        <v>1185732</v>
      </c>
      <c r="C3551" s="2">
        <v>44662</v>
      </c>
      <c r="D3551" s="1" t="s">
        <v>11</v>
      </c>
      <c r="E3551" s="1" t="s">
        <v>113</v>
      </c>
      <c r="F3551" s="1" t="s">
        <v>114</v>
      </c>
      <c r="G3551" s="1" t="s">
        <v>16</v>
      </c>
      <c r="H3551" s="1">
        <v>41</v>
      </c>
      <c r="I3551" s="1" t="s">
        <v>125</v>
      </c>
      <c r="J3551" s="3">
        <v>0.39999999999999997</v>
      </c>
      <c r="K3551" s="4">
        <v>1500</v>
      </c>
      <c r="L3551" s="5">
        <f t="shared" si="28"/>
        <v>600</v>
      </c>
      <c r="M3551" s="5">
        <f t="shared" si="29"/>
        <v>210</v>
      </c>
      <c r="N3551" s="6">
        <v>0.35</v>
      </c>
    </row>
    <row r="3552" spans="1:14" ht="15.75" customHeight="1" x14ac:dyDescent="0.45">
      <c r="A3552" s="1" t="s">
        <v>119</v>
      </c>
      <c r="B3552" s="1">
        <v>1185732</v>
      </c>
      <c r="C3552" s="2">
        <v>44662</v>
      </c>
      <c r="D3552" s="1" t="s">
        <v>11</v>
      </c>
      <c r="E3552" s="1" t="s">
        <v>113</v>
      </c>
      <c r="F3552" s="1" t="s">
        <v>114</v>
      </c>
      <c r="G3552" s="1" t="s">
        <v>17</v>
      </c>
      <c r="H3552" s="1">
        <v>38</v>
      </c>
      <c r="I3552" s="1" t="s">
        <v>125</v>
      </c>
      <c r="J3552" s="3">
        <v>0.55000000000000004</v>
      </c>
      <c r="K3552" s="4">
        <v>1500</v>
      </c>
      <c r="L3552" s="5">
        <f t="shared" si="28"/>
        <v>825.00000000000011</v>
      </c>
      <c r="M3552" s="5">
        <f t="shared" si="29"/>
        <v>288.75</v>
      </c>
      <c r="N3552" s="6">
        <v>0.35</v>
      </c>
    </row>
    <row r="3553" spans="1:14" ht="15.75" customHeight="1" x14ac:dyDescent="0.45">
      <c r="A3553" s="1" t="s">
        <v>119</v>
      </c>
      <c r="B3553" s="1">
        <v>1185732</v>
      </c>
      <c r="C3553" s="2">
        <v>44662</v>
      </c>
      <c r="D3553" s="1" t="s">
        <v>11</v>
      </c>
      <c r="E3553" s="1" t="s">
        <v>113</v>
      </c>
      <c r="F3553" s="1" t="s">
        <v>114</v>
      </c>
      <c r="G3553" s="1" t="s">
        <v>18</v>
      </c>
      <c r="H3553" s="1">
        <v>18</v>
      </c>
      <c r="I3553" s="1" t="s">
        <v>123</v>
      </c>
      <c r="J3553" s="3">
        <v>0.45</v>
      </c>
      <c r="K3553" s="4">
        <v>3000</v>
      </c>
      <c r="L3553" s="5">
        <f t="shared" si="28"/>
        <v>1350</v>
      </c>
      <c r="M3553" s="5">
        <f t="shared" si="29"/>
        <v>540</v>
      </c>
      <c r="N3553" s="6">
        <v>0.39999999999999997</v>
      </c>
    </row>
    <row r="3554" spans="1:14" ht="15.75" customHeight="1" x14ac:dyDescent="0.45">
      <c r="A3554" s="1" t="s">
        <v>119</v>
      </c>
      <c r="B3554" s="1">
        <v>1185732</v>
      </c>
      <c r="C3554" s="2">
        <v>44691</v>
      </c>
      <c r="D3554" s="1" t="s">
        <v>11</v>
      </c>
      <c r="E3554" s="1" t="s">
        <v>113</v>
      </c>
      <c r="F3554" s="1" t="s">
        <v>114</v>
      </c>
      <c r="G3554" s="1" t="s">
        <v>13</v>
      </c>
      <c r="H3554" s="1">
        <v>16</v>
      </c>
      <c r="I3554" s="1" t="s">
        <v>124</v>
      </c>
      <c r="J3554" s="3">
        <v>0.6</v>
      </c>
      <c r="K3554" s="4">
        <v>5700</v>
      </c>
      <c r="L3554" s="5">
        <f t="shared" si="28"/>
        <v>3420</v>
      </c>
      <c r="M3554" s="5">
        <f t="shared" si="29"/>
        <v>1539</v>
      </c>
      <c r="N3554" s="6">
        <v>0.45</v>
      </c>
    </row>
    <row r="3555" spans="1:14" ht="15.75" customHeight="1" x14ac:dyDescent="0.45">
      <c r="A3555" s="1" t="s">
        <v>119</v>
      </c>
      <c r="B3555" s="1">
        <v>1185732</v>
      </c>
      <c r="C3555" s="2">
        <v>44691</v>
      </c>
      <c r="D3555" s="1" t="s">
        <v>11</v>
      </c>
      <c r="E3555" s="1" t="s">
        <v>113</v>
      </c>
      <c r="F3555" s="1" t="s">
        <v>114</v>
      </c>
      <c r="G3555" s="1" t="s">
        <v>14</v>
      </c>
      <c r="H3555" s="1">
        <v>50</v>
      </c>
      <c r="I3555" s="1" t="s">
        <v>126</v>
      </c>
      <c r="J3555" s="3">
        <v>0.55000000000000004</v>
      </c>
      <c r="K3555" s="4">
        <v>2750</v>
      </c>
      <c r="L3555" s="5">
        <f t="shared" si="28"/>
        <v>1512.5000000000002</v>
      </c>
      <c r="M3555" s="5">
        <f t="shared" si="29"/>
        <v>680.62500000000011</v>
      </c>
      <c r="N3555" s="6">
        <v>0.45</v>
      </c>
    </row>
    <row r="3556" spans="1:14" ht="15.75" customHeight="1" x14ac:dyDescent="0.45">
      <c r="A3556" s="1" t="s">
        <v>119</v>
      </c>
      <c r="B3556" s="1">
        <v>1185732</v>
      </c>
      <c r="C3556" s="2">
        <v>44691</v>
      </c>
      <c r="D3556" s="1" t="s">
        <v>11</v>
      </c>
      <c r="E3556" s="1" t="s">
        <v>113</v>
      </c>
      <c r="F3556" s="1" t="s">
        <v>114</v>
      </c>
      <c r="G3556" s="1" t="s">
        <v>15</v>
      </c>
      <c r="H3556" s="1">
        <v>22</v>
      </c>
      <c r="I3556" s="1" t="s">
        <v>125</v>
      </c>
      <c r="J3556" s="3">
        <v>0.5</v>
      </c>
      <c r="K3556" s="4">
        <v>3000</v>
      </c>
      <c r="L3556" s="5">
        <f t="shared" si="28"/>
        <v>1500</v>
      </c>
      <c r="M3556" s="5">
        <f t="shared" si="29"/>
        <v>525</v>
      </c>
      <c r="N3556" s="6">
        <v>0.35</v>
      </c>
    </row>
    <row r="3557" spans="1:14" ht="15.75" customHeight="1" x14ac:dyDescent="0.45">
      <c r="A3557" s="1" t="s">
        <v>119</v>
      </c>
      <c r="B3557" s="1">
        <v>1185732</v>
      </c>
      <c r="C3557" s="2">
        <v>44691</v>
      </c>
      <c r="D3557" s="1" t="s">
        <v>11</v>
      </c>
      <c r="E3557" s="1" t="s">
        <v>113</v>
      </c>
      <c r="F3557" s="1" t="s">
        <v>114</v>
      </c>
      <c r="G3557" s="1" t="s">
        <v>16</v>
      </c>
      <c r="H3557" s="1">
        <v>58</v>
      </c>
      <c r="I3557" s="1" t="s">
        <v>126</v>
      </c>
      <c r="J3557" s="3">
        <v>0.5</v>
      </c>
      <c r="K3557" s="4">
        <v>2500</v>
      </c>
      <c r="L3557" s="5">
        <f t="shared" si="28"/>
        <v>1250</v>
      </c>
      <c r="M3557" s="5">
        <f t="shared" si="29"/>
        <v>437.5</v>
      </c>
      <c r="N3557" s="6">
        <v>0.35</v>
      </c>
    </row>
    <row r="3558" spans="1:14" ht="15.75" customHeight="1" x14ac:dyDescent="0.45">
      <c r="A3558" s="1" t="s">
        <v>119</v>
      </c>
      <c r="B3558" s="1">
        <v>1185732</v>
      </c>
      <c r="C3558" s="2">
        <v>44691</v>
      </c>
      <c r="D3558" s="1" t="s">
        <v>11</v>
      </c>
      <c r="E3558" s="1" t="s">
        <v>113</v>
      </c>
      <c r="F3558" s="1" t="s">
        <v>114</v>
      </c>
      <c r="G3558" s="1" t="s">
        <v>17</v>
      </c>
      <c r="H3558" s="1">
        <v>37</v>
      </c>
      <c r="I3558" s="1" t="s">
        <v>123</v>
      </c>
      <c r="J3558" s="3">
        <v>0.6</v>
      </c>
      <c r="K3558" s="4">
        <v>2750</v>
      </c>
      <c r="L3558" s="5">
        <f t="shared" si="28"/>
        <v>1650</v>
      </c>
      <c r="M3558" s="5">
        <f t="shared" si="29"/>
        <v>577.5</v>
      </c>
      <c r="N3558" s="6">
        <v>0.35</v>
      </c>
    </row>
    <row r="3559" spans="1:14" ht="15.75" customHeight="1" x14ac:dyDescent="0.45">
      <c r="A3559" s="1" t="s">
        <v>119</v>
      </c>
      <c r="B3559" s="1">
        <v>1185732</v>
      </c>
      <c r="C3559" s="2">
        <v>44691</v>
      </c>
      <c r="D3559" s="1" t="s">
        <v>11</v>
      </c>
      <c r="E3559" s="1" t="s">
        <v>113</v>
      </c>
      <c r="F3559" s="1" t="s">
        <v>114</v>
      </c>
      <c r="G3559" s="1" t="s">
        <v>18</v>
      </c>
      <c r="H3559" s="1">
        <v>60</v>
      </c>
      <c r="I3559" s="1" t="s">
        <v>123</v>
      </c>
      <c r="J3559" s="3">
        <v>0.65</v>
      </c>
      <c r="K3559" s="4">
        <v>4000</v>
      </c>
      <c r="L3559" s="5">
        <f t="shared" si="28"/>
        <v>2600</v>
      </c>
      <c r="M3559" s="5">
        <f t="shared" si="29"/>
        <v>1040</v>
      </c>
      <c r="N3559" s="6">
        <v>0.39999999999999997</v>
      </c>
    </row>
    <row r="3560" spans="1:14" ht="15.75" customHeight="1" x14ac:dyDescent="0.45">
      <c r="A3560" s="1" t="s">
        <v>119</v>
      </c>
      <c r="B3560" s="1">
        <v>1185732</v>
      </c>
      <c r="C3560" s="2">
        <v>44724</v>
      </c>
      <c r="D3560" s="1" t="s">
        <v>11</v>
      </c>
      <c r="E3560" s="1" t="s">
        <v>113</v>
      </c>
      <c r="F3560" s="1" t="s">
        <v>114</v>
      </c>
      <c r="G3560" s="1" t="s">
        <v>13</v>
      </c>
      <c r="H3560" s="1">
        <v>26</v>
      </c>
      <c r="I3560" s="1" t="s">
        <v>125</v>
      </c>
      <c r="J3560" s="3">
        <v>0.6</v>
      </c>
      <c r="K3560" s="4">
        <v>6500</v>
      </c>
      <c r="L3560" s="5">
        <f t="shared" si="28"/>
        <v>3900</v>
      </c>
      <c r="M3560" s="5">
        <f t="shared" si="29"/>
        <v>1755</v>
      </c>
      <c r="N3560" s="6">
        <v>0.45</v>
      </c>
    </row>
    <row r="3561" spans="1:14" ht="15.75" customHeight="1" x14ac:dyDescent="0.45">
      <c r="A3561" s="1" t="s">
        <v>119</v>
      </c>
      <c r="B3561" s="1">
        <v>1185732</v>
      </c>
      <c r="C3561" s="2">
        <v>44724</v>
      </c>
      <c r="D3561" s="1" t="s">
        <v>11</v>
      </c>
      <c r="E3561" s="1" t="s">
        <v>113</v>
      </c>
      <c r="F3561" s="1" t="s">
        <v>114</v>
      </c>
      <c r="G3561" s="1" t="s">
        <v>14</v>
      </c>
      <c r="H3561" s="1">
        <v>41</v>
      </c>
      <c r="I3561" s="1" t="s">
        <v>126</v>
      </c>
      <c r="J3561" s="3">
        <v>0.55000000000000004</v>
      </c>
      <c r="K3561" s="4">
        <v>4000</v>
      </c>
      <c r="L3561" s="5">
        <f t="shared" si="28"/>
        <v>2200</v>
      </c>
      <c r="M3561" s="5">
        <f t="shared" si="29"/>
        <v>990</v>
      </c>
      <c r="N3561" s="6">
        <v>0.45</v>
      </c>
    </row>
    <row r="3562" spans="1:14" ht="15.75" customHeight="1" x14ac:dyDescent="0.45">
      <c r="A3562" s="1" t="s">
        <v>119</v>
      </c>
      <c r="B3562" s="1">
        <v>1185732</v>
      </c>
      <c r="C3562" s="2">
        <v>44724</v>
      </c>
      <c r="D3562" s="1" t="s">
        <v>11</v>
      </c>
      <c r="E3562" s="1" t="s">
        <v>113</v>
      </c>
      <c r="F3562" s="1" t="s">
        <v>114</v>
      </c>
      <c r="G3562" s="1" t="s">
        <v>15</v>
      </c>
      <c r="H3562" s="1">
        <v>30</v>
      </c>
      <c r="I3562" s="1" t="s">
        <v>123</v>
      </c>
      <c r="J3562" s="3">
        <v>0.5</v>
      </c>
      <c r="K3562" s="4">
        <v>3250</v>
      </c>
      <c r="L3562" s="5">
        <f t="shared" si="28"/>
        <v>1625</v>
      </c>
      <c r="M3562" s="5">
        <f t="shared" si="29"/>
        <v>568.75</v>
      </c>
      <c r="N3562" s="6">
        <v>0.35</v>
      </c>
    </row>
    <row r="3563" spans="1:14" ht="15.75" customHeight="1" x14ac:dyDescent="0.45">
      <c r="A3563" s="1" t="s">
        <v>119</v>
      </c>
      <c r="B3563" s="1">
        <v>1185732</v>
      </c>
      <c r="C3563" s="2">
        <v>44724</v>
      </c>
      <c r="D3563" s="1" t="s">
        <v>11</v>
      </c>
      <c r="E3563" s="1" t="s">
        <v>113</v>
      </c>
      <c r="F3563" s="1" t="s">
        <v>114</v>
      </c>
      <c r="G3563" s="1" t="s">
        <v>16</v>
      </c>
      <c r="H3563" s="1">
        <v>17</v>
      </c>
      <c r="I3563" s="1" t="s">
        <v>123</v>
      </c>
      <c r="J3563" s="3">
        <v>0.5</v>
      </c>
      <c r="K3563" s="4">
        <v>3000</v>
      </c>
      <c r="L3563" s="5">
        <f t="shared" si="28"/>
        <v>1500</v>
      </c>
      <c r="M3563" s="5">
        <f t="shared" si="29"/>
        <v>525</v>
      </c>
      <c r="N3563" s="6">
        <v>0.35</v>
      </c>
    </row>
    <row r="3564" spans="1:14" ht="15.75" customHeight="1" x14ac:dyDescent="0.45">
      <c r="A3564" s="1" t="s">
        <v>119</v>
      </c>
      <c r="B3564" s="1">
        <v>1185732</v>
      </c>
      <c r="C3564" s="2">
        <v>44724</v>
      </c>
      <c r="D3564" s="1" t="s">
        <v>11</v>
      </c>
      <c r="E3564" s="1" t="s">
        <v>113</v>
      </c>
      <c r="F3564" s="1" t="s">
        <v>114</v>
      </c>
      <c r="G3564" s="1" t="s">
        <v>17</v>
      </c>
      <c r="H3564" s="1">
        <v>27</v>
      </c>
      <c r="I3564" s="1" t="s">
        <v>125</v>
      </c>
      <c r="J3564" s="3">
        <v>0.6</v>
      </c>
      <c r="K3564" s="4">
        <v>3000</v>
      </c>
      <c r="L3564" s="5">
        <f t="shared" si="28"/>
        <v>1800</v>
      </c>
      <c r="M3564" s="5">
        <f t="shared" si="29"/>
        <v>630</v>
      </c>
      <c r="N3564" s="6">
        <v>0.35</v>
      </c>
    </row>
    <row r="3565" spans="1:14" ht="15.75" customHeight="1" x14ac:dyDescent="0.45">
      <c r="A3565" s="1" t="s">
        <v>119</v>
      </c>
      <c r="B3565" s="1">
        <v>1185732</v>
      </c>
      <c r="C3565" s="2">
        <v>44724</v>
      </c>
      <c r="D3565" s="1" t="s">
        <v>11</v>
      </c>
      <c r="E3565" s="1" t="s">
        <v>113</v>
      </c>
      <c r="F3565" s="1" t="s">
        <v>114</v>
      </c>
      <c r="G3565" s="1" t="s">
        <v>18</v>
      </c>
      <c r="H3565" s="1">
        <v>57</v>
      </c>
      <c r="I3565" s="1" t="s">
        <v>125</v>
      </c>
      <c r="J3565" s="3">
        <v>0.65</v>
      </c>
      <c r="K3565" s="4">
        <v>4500</v>
      </c>
      <c r="L3565" s="5">
        <f t="shared" si="28"/>
        <v>2925</v>
      </c>
      <c r="M3565" s="5">
        <f t="shared" si="29"/>
        <v>1170</v>
      </c>
      <c r="N3565" s="6">
        <v>0.39999999999999997</v>
      </c>
    </row>
    <row r="3566" spans="1:14" ht="15.75" customHeight="1" x14ac:dyDescent="0.45">
      <c r="A3566" s="1" t="s">
        <v>119</v>
      </c>
      <c r="B3566" s="1">
        <v>1185732</v>
      </c>
      <c r="C3566" s="2">
        <v>44752</v>
      </c>
      <c r="D3566" s="1" t="s">
        <v>11</v>
      </c>
      <c r="E3566" s="1" t="s">
        <v>113</v>
      </c>
      <c r="F3566" s="1" t="s">
        <v>114</v>
      </c>
      <c r="G3566" s="1" t="s">
        <v>13</v>
      </c>
      <c r="H3566" s="1">
        <v>60</v>
      </c>
      <c r="I3566" s="1" t="s">
        <v>123</v>
      </c>
      <c r="J3566" s="3">
        <v>0.6</v>
      </c>
      <c r="K3566" s="4">
        <v>6750</v>
      </c>
      <c r="L3566" s="5">
        <f t="shared" si="28"/>
        <v>4050</v>
      </c>
      <c r="M3566" s="5">
        <f t="shared" si="29"/>
        <v>1822.5</v>
      </c>
      <c r="N3566" s="6">
        <v>0.45</v>
      </c>
    </row>
    <row r="3567" spans="1:14" ht="15.75" customHeight="1" x14ac:dyDescent="0.45">
      <c r="A3567" s="1" t="s">
        <v>119</v>
      </c>
      <c r="B3567" s="1">
        <v>1185732</v>
      </c>
      <c r="C3567" s="2">
        <v>44752</v>
      </c>
      <c r="D3567" s="1" t="s">
        <v>11</v>
      </c>
      <c r="E3567" s="1" t="s">
        <v>113</v>
      </c>
      <c r="F3567" s="1" t="s">
        <v>114</v>
      </c>
      <c r="G3567" s="1" t="s">
        <v>14</v>
      </c>
      <c r="H3567" s="1">
        <v>53</v>
      </c>
      <c r="I3567" s="1" t="s">
        <v>125</v>
      </c>
      <c r="J3567" s="3">
        <v>0.55000000000000004</v>
      </c>
      <c r="K3567" s="4">
        <v>4250</v>
      </c>
      <c r="L3567" s="5">
        <f t="shared" si="28"/>
        <v>2337.5</v>
      </c>
      <c r="M3567" s="5">
        <f t="shared" si="29"/>
        <v>1051.875</v>
      </c>
      <c r="N3567" s="6">
        <v>0.45</v>
      </c>
    </row>
    <row r="3568" spans="1:14" ht="15.75" customHeight="1" x14ac:dyDescent="0.45">
      <c r="A3568" s="1" t="s">
        <v>119</v>
      </c>
      <c r="B3568" s="1">
        <v>1185732</v>
      </c>
      <c r="C3568" s="2">
        <v>44752</v>
      </c>
      <c r="D3568" s="1" t="s">
        <v>11</v>
      </c>
      <c r="E3568" s="1" t="s">
        <v>113</v>
      </c>
      <c r="F3568" s="1" t="s">
        <v>114</v>
      </c>
      <c r="G3568" s="1" t="s">
        <v>15</v>
      </c>
      <c r="H3568" s="1">
        <v>53</v>
      </c>
      <c r="I3568" s="1" t="s">
        <v>123</v>
      </c>
      <c r="J3568" s="3">
        <v>0.5</v>
      </c>
      <c r="K3568" s="4">
        <v>3500</v>
      </c>
      <c r="L3568" s="5">
        <f t="shared" si="28"/>
        <v>1750</v>
      </c>
      <c r="M3568" s="5">
        <f t="shared" si="29"/>
        <v>612.5</v>
      </c>
      <c r="N3568" s="6">
        <v>0.35</v>
      </c>
    </row>
    <row r="3569" spans="1:14" ht="15.75" customHeight="1" x14ac:dyDescent="0.45">
      <c r="A3569" s="1" t="s">
        <v>119</v>
      </c>
      <c r="B3569" s="1">
        <v>1185732</v>
      </c>
      <c r="C3569" s="2">
        <v>44752</v>
      </c>
      <c r="D3569" s="1" t="s">
        <v>11</v>
      </c>
      <c r="E3569" s="1" t="s">
        <v>113</v>
      </c>
      <c r="F3569" s="1" t="s">
        <v>114</v>
      </c>
      <c r="G3569" s="1" t="s">
        <v>16</v>
      </c>
      <c r="H3569" s="1">
        <v>60</v>
      </c>
      <c r="I3569" s="1" t="s">
        <v>124</v>
      </c>
      <c r="J3569" s="3">
        <v>0.5</v>
      </c>
      <c r="K3569" s="4">
        <v>3000</v>
      </c>
      <c r="L3569" s="5">
        <f t="shared" si="28"/>
        <v>1500</v>
      </c>
      <c r="M3569" s="5">
        <f t="shared" si="29"/>
        <v>525</v>
      </c>
      <c r="N3569" s="6">
        <v>0.35</v>
      </c>
    </row>
    <row r="3570" spans="1:14" ht="15.75" customHeight="1" x14ac:dyDescent="0.45">
      <c r="A3570" s="1" t="s">
        <v>119</v>
      </c>
      <c r="B3570" s="1">
        <v>1185732</v>
      </c>
      <c r="C3570" s="2">
        <v>44752</v>
      </c>
      <c r="D3570" s="1" t="s">
        <v>11</v>
      </c>
      <c r="E3570" s="1" t="s">
        <v>113</v>
      </c>
      <c r="F3570" s="1" t="s">
        <v>114</v>
      </c>
      <c r="G3570" s="1" t="s">
        <v>17</v>
      </c>
      <c r="H3570" s="1">
        <v>56</v>
      </c>
      <c r="I3570" s="1" t="s">
        <v>125</v>
      </c>
      <c r="J3570" s="3">
        <v>0.6</v>
      </c>
      <c r="K3570" s="4">
        <v>3250</v>
      </c>
      <c r="L3570" s="5">
        <f t="shared" si="28"/>
        <v>1950</v>
      </c>
      <c r="M3570" s="5">
        <f t="shared" si="29"/>
        <v>682.5</v>
      </c>
      <c r="N3570" s="6">
        <v>0.35</v>
      </c>
    </row>
    <row r="3571" spans="1:14" ht="15.75" customHeight="1" x14ac:dyDescent="0.45">
      <c r="A3571" s="1" t="s">
        <v>119</v>
      </c>
      <c r="B3571" s="1">
        <v>1185732</v>
      </c>
      <c r="C3571" s="2">
        <v>44752</v>
      </c>
      <c r="D3571" s="1" t="s">
        <v>11</v>
      </c>
      <c r="E3571" s="1" t="s">
        <v>113</v>
      </c>
      <c r="F3571" s="1" t="s">
        <v>114</v>
      </c>
      <c r="G3571" s="1" t="s">
        <v>18</v>
      </c>
      <c r="H3571" s="1">
        <v>31</v>
      </c>
      <c r="I3571" s="1" t="s">
        <v>123</v>
      </c>
      <c r="J3571" s="3">
        <v>0.65</v>
      </c>
      <c r="K3571" s="4">
        <v>5000</v>
      </c>
      <c r="L3571" s="5">
        <f t="shared" si="28"/>
        <v>3250</v>
      </c>
      <c r="M3571" s="5">
        <f t="shared" si="29"/>
        <v>1300</v>
      </c>
      <c r="N3571" s="6">
        <v>0.39999999999999997</v>
      </c>
    </row>
    <row r="3572" spans="1:14" ht="15.75" customHeight="1" x14ac:dyDescent="0.45">
      <c r="A3572" s="1" t="s">
        <v>119</v>
      </c>
      <c r="B3572" s="1">
        <v>1185732</v>
      </c>
      <c r="C3572" s="2">
        <v>44784</v>
      </c>
      <c r="D3572" s="1" t="s">
        <v>11</v>
      </c>
      <c r="E3572" s="1" t="s">
        <v>113</v>
      </c>
      <c r="F3572" s="1" t="s">
        <v>114</v>
      </c>
      <c r="G3572" s="1" t="s">
        <v>13</v>
      </c>
      <c r="H3572" s="1">
        <v>54</v>
      </c>
      <c r="I3572" s="1" t="s">
        <v>125</v>
      </c>
      <c r="J3572" s="3">
        <v>0.6</v>
      </c>
      <c r="K3572" s="4">
        <v>6500</v>
      </c>
      <c r="L3572" s="5">
        <f t="shared" si="28"/>
        <v>3900</v>
      </c>
      <c r="M3572" s="5">
        <f t="shared" si="29"/>
        <v>1755</v>
      </c>
      <c r="N3572" s="6">
        <v>0.45</v>
      </c>
    </row>
    <row r="3573" spans="1:14" ht="15.75" customHeight="1" x14ac:dyDescent="0.45">
      <c r="A3573" s="1" t="s">
        <v>119</v>
      </c>
      <c r="B3573" s="1">
        <v>1185732</v>
      </c>
      <c r="C3573" s="2">
        <v>44784</v>
      </c>
      <c r="D3573" s="1" t="s">
        <v>11</v>
      </c>
      <c r="E3573" s="1" t="s">
        <v>113</v>
      </c>
      <c r="F3573" s="1" t="s">
        <v>114</v>
      </c>
      <c r="G3573" s="1" t="s">
        <v>14</v>
      </c>
      <c r="H3573" s="1">
        <v>33</v>
      </c>
      <c r="I3573" s="1" t="s">
        <v>124</v>
      </c>
      <c r="J3573" s="3">
        <v>0.55000000000000004</v>
      </c>
      <c r="K3573" s="4">
        <v>4250</v>
      </c>
      <c r="L3573" s="5">
        <f t="shared" si="28"/>
        <v>2337.5</v>
      </c>
      <c r="M3573" s="5">
        <f t="shared" si="29"/>
        <v>1051.875</v>
      </c>
      <c r="N3573" s="6">
        <v>0.45</v>
      </c>
    </row>
    <row r="3574" spans="1:14" ht="15.75" customHeight="1" x14ac:dyDescent="0.45">
      <c r="A3574" s="1" t="s">
        <v>119</v>
      </c>
      <c r="B3574" s="1">
        <v>1185732</v>
      </c>
      <c r="C3574" s="2">
        <v>44784</v>
      </c>
      <c r="D3574" s="1" t="s">
        <v>11</v>
      </c>
      <c r="E3574" s="1" t="s">
        <v>113</v>
      </c>
      <c r="F3574" s="1" t="s">
        <v>114</v>
      </c>
      <c r="G3574" s="1" t="s">
        <v>15</v>
      </c>
      <c r="H3574" s="1">
        <v>31</v>
      </c>
      <c r="I3574" s="1" t="s">
        <v>125</v>
      </c>
      <c r="J3574" s="3">
        <v>0.5</v>
      </c>
      <c r="K3574" s="4">
        <v>3500</v>
      </c>
      <c r="L3574" s="5">
        <f t="shared" si="28"/>
        <v>1750</v>
      </c>
      <c r="M3574" s="5">
        <f t="shared" si="29"/>
        <v>612.5</v>
      </c>
      <c r="N3574" s="6">
        <v>0.35</v>
      </c>
    </row>
    <row r="3575" spans="1:14" ht="15.75" customHeight="1" x14ac:dyDescent="0.45">
      <c r="A3575" s="1" t="s">
        <v>119</v>
      </c>
      <c r="B3575" s="1">
        <v>1185732</v>
      </c>
      <c r="C3575" s="2">
        <v>44784</v>
      </c>
      <c r="D3575" s="1" t="s">
        <v>11</v>
      </c>
      <c r="E3575" s="1" t="s">
        <v>113</v>
      </c>
      <c r="F3575" s="1" t="s">
        <v>114</v>
      </c>
      <c r="G3575" s="1" t="s">
        <v>16</v>
      </c>
      <c r="H3575" s="1">
        <v>58</v>
      </c>
      <c r="I3575" s="1" t="s">
        <v>123</v>
      </c>
      <c r="J3575" s="3">
        <v>0.5</v>
      </c>
      <c r="K3575" s="4">
        <v>2500</v>
      </c>
      <c r="L3575" s="5">
        <f t="shared" si="28"/>
        <v>1250</v>
      </c>
      <c r="M3575" s="5">
        <f t="shared" si="29"/>
        <v>437.5</v>
      </c>
      <c r="N3575" s="6">
        <v>0.35</v>
      </c>
    </row>
    <row r="3576" spans="1:14" ht="15.75" customHeight="1" x14ac:dyDescent="0.45">
      <c r="A3576" s="1" t="s">
        <v>119</v>
      </c>
      <c r="B3576" s="1">
        <v>1185732</v>
      </c>
      <c r="C3576" s="2">
        <v>44784</v>
      </c>
      <c r="D3576" s="1" t="s">
        <v>11</v>
      </c>
      <c r="E3576" s="1" t="s">
        <v>113</v>
      </c>
      <c r="F3576" s="1" t="s">
        <v>114</v>
      </c>
      <c r="G3576" s="1" t="s">
        <v>17</v>
      </c>
      <c r="H3576" s="1">
        <v>18</v>
      </c>
      <c r="I3576" s="1" t="s">
        <v>124</v>
      </c>
      <c r="J3576" s="3">
        <v>0.6</v>
      </c>
      <c r="K3576" s="4">
        <v>2250</v>
      </c>
      <c r="L3576" s="5">
        <f t="shared" si="28"/>
        <v>1350</v>
      </c>
      <c r="M3576" s="5">
        <f t="shared" si="29"/>
        <v>472.49999999999994</v>
      </c>
      <c r="N3576" s="6">
        <v>0.35</v>
      </c>
    </row>
    <row r="3577" spans="1:14" ht="15.75" customHeight="1" x14ac:dyDescent="0.45">
      <c r="A3577" s="1" t="s">
        <v>119</v>
      </c>
      <c r="B3577" s="1">
        <v>1185732</v>
      </c>
      <c r="C3577" s="2">
        <v>44784</v>
      </c>
      <c r="D3577" s="1" t="s">
        <v>11</v>
      </c>
      <c r="E3577" s="1" t="s">
        <v>113</v>
      </c>
      <c r="F3577" s="1" t="s">
        <v>114</v>
      </c>
      <c r="G3577" s="1" t="s">
        <v>18</v>
      </c>
      <c r="H3577" s="1">
        <v>20</v>
      </c>
      <c r="I3577" s="1" t="s">
        <v>123</v>
      </c>
      <c r="J3577" s="3">
        <v>0.65</v>
      </c>
      <c r="K3577" s="4">
        <v>4000</v>
      </c>
      <c r="L3577" s="5">
        <f t="shared" si="28"/>
        <v>2600</v>
      </c>
      <c r="M3577" s="5">
        <f t="shared" si="29"/>
        <v>1040</v>
      </c>
      <c r="N3577" s="6">
        <v>0.39999999999999997</v>
      </c>
    </row>
    <row r="3578" spans="1:14" ht="15.75" customHeight="1" x14ac:dyDescent="0.45">
      <c r="A3578" s="1" t="s">
        <v>119</v>
      </c>
      <c r="B3578" s="1">
        <v>1185732</v>
      </c>
      <c r="C3578" s="2">
        <v>44814</v>
      </c>
      <c r="D3578" s="1" t="s">
        <v>11</v>
      </c>
      <c r="E3578" s="1" t="s">
        <v>113</v>
      </c>
      <c r="F3578" s="1" t="s">
        <v>114</v>
      </c>
      <c r="G3578" s="1" t="s">
        <v>13</v>
      </c>
      <c r="H3578" s="1">
        <v>16</v>
      </c>
      <c r="I3578" s="1" t="s">
        <v>124</v>
      </c>
      <c r="J3578" s="3">
        <v>0.6</v>
      </c>
      <c r="K3578" s="4">
        <v>5250</v>
      </c>
      <c r="L3578" s="5">
        <f t="shared" si="28"/>
        <v>3150</v>
      </c>
      <c r="M3578" s="5">
        <f t="shared" si="29"/>
        <v>1417.5</v>
      </c>
      <c r="N3578" s="6">
        <v>0.45</v>
      </c>
    </row>
    <row r="3579" spans="1:14" ht="15.75" customHeight="1" x14ac:dyDescent="0.45">
      <c r="A3579" s="1" t="s">
        <v>119</v>
      </c>
      <c r="B3579" s="1">
        <v>1185732</v>
      </c>
      <c r="C3579" s="2">
        <v>44814</v>
      </c>
      <c r="D3579" s="1" t="s">
        <v>11</v>
      </c>
      <c r="E3579" s="1" t="s">
        <v>113</v>
      </c>
      <c r="F3579" s="1" t="s">
        <v>114</v>
      </c>
      <c r="G3579" s="1" t="s">
        <v>14</v>
      </c>
      <c r="H3579" s="1">
        <v>37</v>
      </c>
      <c r="I3579" s="1" t="s">
        <v>126</v>
      </c>
      <c r="J3579" s="3">
        <v>0.55000000000000004</v>
      </c>
      <c r="K3579" s="4">
        <v>3250</v>
      </c>
      <c r="L3579" s="5">
        <f t="shared" si="28"/>
        <v>1787.5000000000002</v>
      </c>
      <c r="M3579" s="5">
        <f t="shared" si="29"/>
        <v>804.37500000000011</v>
      </c>
      <c r="N3579" s="6">
        <v>0.45</v>
      </c>
    </row>
    <row r="3580" spans="1:14" ht="15.75" customHeight="1" x14ac:dyDescent="0.45">
      <c r="A3580" s="1" t="s">
        <v>119</v>
      </c>
      <c r="B3580" s="1">
        <v>1185732</v>
      </c>
      <c r="C3580" s="2">
        <v>44814</v>
      </c>
      <c r="D3580" s="1" t="s">
        <v>11</v>
      </c>
      <c r="E3580" s="1" t="s">
        <v>113</v>
      </c>
      <c r="F3580" s="1" t="s">
        <v>114</v>
      </c>
      <c r="G3580" s="1" t="s">
        <v>15</v>
      </c>
      <c r="H3580" s="1">
        <v>52</v>
      </c>
      <c r="I3580" s="1" t="s">
        <v>126</v>
      </c>
      <c r="J3580" s="3">
        <v>0.5</v>
      </c>
      <c r="K3580" s="4">
        <v>2250</v>
      </c>
      <c r="L3580" s="5">
        <f t="shared" si="28"/>
        <v>1125</v>
      </c>
      <c r="M3580" s="5">
        <f t="shared" si="29"/>
        <v>393.75</v>
      </c>
      <c r="N3580" s="6">
        <v>0.35</v>
      </c>
    </row>
    <row r="3581" spans="1:14" ht="15.75" customHeight="1" x14ac:dyDescent="0.45">
      <c r="A3581" s="1" t="s">
        <v>119</v>
      </c>
      <c r="B3581" s="1">
        <v>1185732</v>
      </c>
      <c r="C3581" s="2">
        <v>44814</v>
      </c>
      <c r="D3581" s="1" t="s">
        <v>11</v>
      </c>
      <c r="E3581" s="1" t="s">
        <v>113</v>
      </c>
      <c r="F3581" s="1" t="s">
        <v>114</v>
      </c>
      <c r="G3581" s="1" t="s">
        <v>16</v>
      </c>
      <c r="H3581" s="1">
        <v>56</v>
      </c>
      <c r="I3581" s="1" t="s">
        <v>126</v>
      </c>
      <c r="J3581" s="3">
        <v>0.5</v>
      </c>
      <c r="K3581" s="4">
        <v>2000</v>
      </c>
      <c r="L3581" s="5">
        <f t="shared" si="28"/>
        <v>1000</v>
      </c>
      <c r="M3581" s="5">
        <f t="shared" si="29"/>
        <v>350</v>
      </c>
      <c r="N3581" s="6">
        <v>0.35</v>
      </c>
    </row>
    <row r="3582" spans="1:14" ht="15.75" customHeight="1" x14ac:dyDescent="0.45">
      <c r="A3582" s="1" t="s">
        <v>119</v>
      </c>
      <c r="B3582" s="1">
        <v>1185732</v>
      </c>
      <c r="C3582" s="2">
        <v>44814</v>
      </c>
      <c r="D3582" s="1" t="s">
        <v>11</v>
      </c>
      <c r="E3582" s="1" t="s">
        <v>113</v>
      </c>
      <c r="F3582" s="1" t="s">
        <v>114</v>
      </c>
      <c r="G3582" s="1" t="s">
        <v>17</v>
      </c>
      <c r="H3582" s="1">
        <v>17</v>
      </c>
      <c r="I3582" s="1" t="s">
        <v>124</v>
      </c>
      <c r="J3582" s="3">
        <v>0.6</v>
      </c>
      <c r="K3582" s="4">
        <v>2000</v>
      </c>
      <c r="L3582" s="5">
        <f t="shared" si="28"/>
        <v>1200</v>
      </c>
      <c r="M3582" s="5">
        <f t="shared" si="29"/>
        <v>420</v>
      </c>
      <c r="N3582" s="6">
        <v>0.35</v>
      </c>
    </row>
    <row r="3583" spans="1:14" ht="15.75" customHeight="1" x14ac:dyDescent="0.45">
      <c r="A3583" s="1" t="s">
        <v>119</v>
      </c>
      <c r="B3583" s="1">
        <v>1185732</v>
      </c>
      <c r="C3583" s="2">
        <v>44814</v>
      </c>
      <c r="D3583" s="1" t="s">
        <v>11</v>
      </c>
      <c r="E3583" s="1" t="s">
        <v>113</v>
      </c>
      <c r="F3583" s="1" t="s">
        <v>114</v>
      </c>
      <c r="G3583" s="1" t="s">
        <v>18</v>
      </c>
      <c r="H3583" s="1">
        <v>21</v>
      </c>
      <c r="I3583" s="1" t="s">
        <v>126</v>
      </c>
      <c r="J3583" s="3">
        <v>0.65</v>
      </c>
      <c r="K3583" s="4">
        <v>3000</v>
      </c>
      <c r="L3583" s="5">
        <f t="shared" si="28"/>
        <v>1950</v>
      </c>
      <c r="M3583" s="5">
        <f t="shared" si="29"/>
        <v>779.99999999999989</v>
      </c>
      <c r="N3583" s="6">
        <v>0.39999999999999997</v>
      </c>
    </row>
    <row r="3584" spans="1:14" ht="15.75" customHeight="1" x14ac:dyDescent="0.45">
      <c r="A3584" s="1" t="s">
        <v>119</v>
      </c>
      <c r="B3584" s="1">
        <v>1185732</v>
      </c>
      <c r="C3584" s="2">
        <v>44846</v>
      </c>
      <c r="D3584" s="1" t="s">
        <v>11</v>
      </c>
      <c r="E3584" s="1" t="s">
        <v>113</v>
      </c>
      <c r="F3584" s="1" t="s">
        <v>114</v>
      </c>
      <c r="G3584" s="1" t="s">
        <v>13</v>
      </c>
      <c r="H3584" s="1">
        <v>31</v>
      </c>
      <c r="I3584" s="1" t="s">
        <v>126</v>
      </c>
      <c r="J3584" s="3">
        <v>0.65</v>
      </c>
      <c r="K3584" s="4">
        <v>4750</v>
      </c>
      <c r="L3584" s="5">
        <f t="shared" si="28"/>
        <v>3087.5</v>
      </c>
      <c r="M3584" s="5">
        <f t="shared" si="29"/>
        <v>1389.375</v>
      </c>
      <c r="N3584" s="6">
        <v>0.45</v>
      </c>
    </row>
    <row r="3585" spans="1:14" ht="15.75" customHeight="1" x14ac:dyDescent="0.45">
      <c r="A3585" s="1" t="s">
        <v>119</v>
      </c>
      <c r="B3585" s="1">
        <v>1185732</v>
      </c>
      <c r="C3585" s="2">
        <v>44846</v>
      </c>
      <c r="D3585" s="1" t="s">
        <v>11</v>
      </c>
      <c r="E3585" s="1" t="s">
        <v>113</v>
      </c>
      <c r="F3585" s="1" t="s">
        <v>114</v>
      </c>
      <c r="G3585" s="1" t="s">
        <v>14</v>
      </c>
      <c r="H3585" s="1">
        <v>30</v>
      </c>
      <c r="I3585" s="1" t="s">
        <v>126</v>
      </c>
      <c r="J3585" s="3">
        <v>0.60000000000000009</v>
      </c>
      <c r="K3585" s="4">
        <v>3000</v>
      </c>
      <c r="L3585" s="5">
        <f t="shared" si="28"/>
        <v>1800.0000000000002</v>
      </c>
      <c r="M3585" s="5">
        <f t="shared" si="29"/>
        <v>810.00000000000011</v>
      </c>
      <c r="N3585" s="6">
        <v>0.45</v>
      </c>
    </row>
    <row r="3586" spans="1:14" ht="15.75" customHeight="1" x14ac:dyDescent="0.45">
      <c r="A3586" s="1" t="s">
        <v>119</v>
      </c>
      <c r="B3586" s="1">
        <v>1185732</v>
      </c>
      <c r="C3586" s="2">
        <v>44846</v>
      </c>
      <c r="D3586" s="1" t="s">
        <v>11</v>
      </c>
      <c r="E3586" s="1" t="s">
        <v>113</v>
      </c>
      <c r="F3586" s="1" t="s">
        <v>114</v>
      </c>
      <c r="G3586" s="1" t="s">
        <v>15</v>
      </c>
      <c r="H3586" s="1">
        <v>27</v>
      </c>
      <c r="I3586" s="1" t="s">
        <v>126</v>
      </c>
      <c r="J3586" s="3">
        <v>0.60000000000000009</v>
      </c>
      <c r="K3586" s="4">
        <v>2000</v>
      </c>
      <c r="L3586" s="5">
        <f t="shared" si="28"/>
        <v>1200.0000000000002</v>
      </c>
      <c r="M3586" s="5">
        <f t="shared" si="29"/>
        <v>420.00000000000006</v>
      </c>
      <c r="N3586" s="6">
        <v>0.35</v>
      </c>
    </row>
    <row r="3587" spans="1:14" ht="15.75" customHeight="1" x14ac:dyDescent="0.45">
      <c r="A3587" s="1" t="s">
        <v>119</v>
      </c>
      <c r="B3587" s="1">
        <v>1185732</v>
      </c>
      <c r="C3587" s="2">
        <v>44846</v>
      </c>
      <c r="D3587" s="1" t="s">
        <v>11</v>
      </c>
      <c r="E3587" s="1" t="s">
        <v>113</v>
      </c>
      <c r="F3587" s="1" t="s">
        <v>114</v>
      </c>
      <c r="G3587" s="1" t="s">
        <v>16</v>
      </c>
      <c r="H3587" s="1">
        <v>55</v>
      </c>
      <c r="I3587" s="1" t="s">
        <v>123</v>
      </c>
      <c r="J3587" s="3">
        <v>0.60000000000000009</v>
      </c>
      <c r="K3587" s="4">
        <v>1750</v>
      </c>
      <c r="L3587" s="5">
        <f t="shared" si="28"/>
        <v>1050.0000000000002</v>
      </c>
      <c r="M3587" s="5">
        <f t="shared" si="29"/>
        <v>367.50000000000006</v>
      </c>
      <c r="N3587" s="6">
        <v>0.35</v>
      </c>
    </row>
    <row r="3588" spans="1:14" ht="15.75" customHeight="1" x14ac:dyDescent="0.45">
      <c r="A3588" s="1" t="s">
        <v>119</v>
      </c>
      <c r="B3588" s="1">
        <v>1185732</v>
      </c>
      <c r="C3588" s="2">
        <v>44846</v>
      </c>
      <c r="D3588" s="1" t="s">
        <v>11</v>
      </c>
      <c r="E3588" s="1" t="s">
        <v>113</v>
      </c>
      <c r="F3588" s="1" t="s">
        <v>114</v>
      </c>
      <c r="G3588" s="1" t="s">
        <v>17</v>
      </c>
      <c r="H3588" s="1">
        <v>40</v>
      </c>
      <c r="I3588" s="1" t="s">
        <v>126</v>
      </c>
      <c r="J3588" s="3">
        <v>0.70000000000000007</v>
      </c>
      <c r="K3588" s="4">
        <v>1750</v>
      </c>
      <c r="L3588" s="5">
        <f t="shared" si="28"/>
        <v>1225.0000000000002</v>
      </c>
      <c r="M3588" s="5">
        <f t="shared" si="29"/>
        <v>428.75000000000006</v>
      </c>
      <c r="N3588" s="6">
        <v>0.35</v>
      </c>
    </row>
    <row r="3589" spans="1:14" ht="15.75" customHeight="1" x14ac:dyDescent="0.45">
      <c r="A3589" s="1" t="s">
        <v>119</v>
      </c>
      <c r="B3589" s="1">
        <v>1185732</v>
      </c>
      <c r="C3589" s="2">
        <v>44846</v>
      </c>
      <c r="D3589" s="1" t="s">
        <v>11</v>
      </c>
      <c r="E3589" s="1" t="s">
        <v>113</v>
      </c>
      <c r="F3589" s="1" t="s">
        <v>114</v>
      </c>
      <c r="G3589" s="1" t="s">
        <v>18</v>
      </c>
      <c r="H3589" s="1">
        <v>18</v>
      </c>
      <c r="I3589" s="1" t="s">
        <v>126</v>
      </c>
      <c r="J3589" s="3">
        <v>0.75</v>
      </c>
      <c r="K3589" s="4">
        <v>3000</v>
      </c>
      <c r="L3589" s="5">
        <f t="shared" si="28"/>
        <v>2250</v>
      </c>
      <c r="M3589" s="5">
        <f t="shared" si="29"/>
        <v>899.99999999999989</v>
      </c>
      <c r="N3589" s="6">
        <v>0.39999999999999997</v>
      </c>
    </row>
    <row r="3590" spans="1:14" ht="15.75" customHeight="1" x14ac:dyDescent="0.45">
      <c r="A3590" s="1" t="s">
        <v>119</v>
      </c>
      <c r="B3590" s="1">
        <v>1185732</v>
      </c>
      <c r="C3590" s="2">
        <v>44876</v>
      </c>
      <c r="D3590" s="1" t="s">
        <v>11</v>
      </c>
      <c r="E3590" s="1" t="s">
        <v>113</v>
      </c>
      <c r="F3590" s="1" t="s">
        <v>114</v>
      </c>
      <c r="G3590" s="1" t="s">
        <v>13</v>
      </c>
      <c r="H3590" s="1">
        <v>50</v>
      </c>
      <c r="I3590" s="1" t="s">
        <v>126</v>
      </c>
      <c r="J3590" s="3">
        <v>0.70000000000000007</v>
      </c>
      <c r="K3590" s="4">
        <v>4500</v>
      </c>
      <c r="L3590" s="5">
        <f t="shared" si="28"/>
        <v>3150.0000000000005</v>
      </c>
      <c r="M3590" s="5">
        <f t="shared" si="29"/>
        <v>1417.5000000000002</v>
      </c>
      <c r="N3590" s="6">
        <v>0.45</v>
      </c>
    </row>
    <row r="3591" spans="1:14" ht="15.75" customHeight="1" x14ac:dyDescent="0.45">
      <c r="A3591" s="1" t="s">
        <v>119</v>
      </c>
      <c r="B3591" s="1">
        <v>1185732</v>
      </c>
      <c r="C3591" s="2">
        <v>44876</v>
      </c>
      <c r="D3591" s="1" t="s">
        <v>11</v>
      </c>
      <c r="E3591" s="1" t="s">
        <v>113</v>
      </c>
      <c r="F3591" s="1" t="s">
        <v>114</v>
      </c>
      <c r="G3591" s="1" t="s">
        <v>14</v>
      </c>
      <c r="H3591" s="1">
        <v>25</v>
      </c>
      <c r="I3591" s="1" t="s">
        <v>123</v>
      </c>
      <c r="J3591" s="3">
        <v>0.60000000000000009</v>
      </c>
      <c r="K3591" s="4">
        <v>3250</v>
      </c>
      <c r="L3591" s="5">
        <f t="shared" si="28"/>
        <v>1950.0000000000002</v>
      </c>
      <c r="M3591" s="5">
        <f t="shared" si="29"/>
        <v>877.50000000000011</v>
      </c>
      <c r="N3591" s="6">
        <v>0.45</v>
      </c>
    </row>
    <row r="3592" spans="1:14" ht="15.75" customHeight="1" x14ac:dyDescent="0.45">
      <c r="A3592" s="1" t="s">
        <v>119</v>
      </c>
      <c r="B3592" s="1">
        <v>1185732</v>
      </c>
      <c r="C3592" s="2">
        <v>44876</v>
      </c>
      <c r="D3592" s="1" t="s">
        <v>11</v>
      </c>
      <c r="E3592" s="1" t="s">
        <v>113</v>
      </c>
      <c r="F3592" s="1" t="s">
        <v>114</v>
      </c>
      <c r="G3592" s="1" t="s">
        <v>15</v>
      </c>
      <c r="H3592" s="1">
        <v>56</v>
      </c>
      <c r="I3592" s="1" t="s">
        <v>124</v>
      </c>
      <c r="J3592" s="3">
        <v>0.60000000000000009</v>
      </c>
      <c r="K3592" s="4">
        <v>3200</v>
      </c>
      <c r="L3592" s="5">
        <f t="shared" si="28"/>
        <v>1920.0000000000002</v>
      </c>
      <c r="M3592" s="5">
        <f t="shared" si="29"/>
        <v>672</v>
      </c>
      <c r="N3592" s="6">
        <v>0.35</v>
      </c>
    </row>
    <row r="3593" spans="1:14" ht="15.75" customHeight="1" x14ac:dyDescent="0.45">
      <c r="A3593" s="1" t="s">
        <v>119</v>
      </c>
      <c r="B3593" s="1">
        <v>1185732</v>
      </c>
      <c r="C3593" s="2">
        <v>44876</v>
      </c>
      <c r="D3593" s="1" t="s">
        <v>11</v>
      </c>
      <c r="E3593" s="1" t="s">
        <v>113</v>
      </c>
      <c r="F3593" s="1" t="s">
        <v>114</v>
      </c>
      <c r="G3593" s="1" t="s">
        <v>16</v>
      </c>
      <c r="H3593" s="1">
        <v>27</v>
      </c>
      <c r="I3593" s="1" t="s">
        <v>124</v>
      </c>
      <c r="J3593" s="3">
        <v>0.60000000000000009</v>
      </c>
      <c r="K3593" s="4">
        <v>3000</v>
      </c>
      <c r="L3593" s="5">
        <f t="shared" si="28"/>
        <v>1800.0000000000002</v>
      </c>
      <c r="M3593" s="5">
        <f t="shared" si="29"/>
        <v>630</v>
      </c>
      <c r="N3593" s="6">
        <v>0.35</v>
      </c>
    </row>
    <row r="3594" spans="1:14" ht="15.75" customHeight="1" x14ac:dyDescent="0.45">
      <c r="A3594" s="1" t="s">
        <v>119</v>
      </c>
      <c r="B3594" s="1">
        <v>1185732</v>
      </c>
      <c r="C3594" s="2">
        <v>44876</v>
      </c>
      <c r="D3594" s="1" t="s">
        <v>11</v>
      </c>
      <c r="E3594" s="1" t="s">
        <v>113</v>
      </c>
      <c r="F3594" s="1" t="s">
        <v>114</v>
      </c>
      <c r="G3594" s="1" t="s">
        <v>17</v>
      </c>
      <c r="H3594" s="1">
        <v>52</v>
      </c>
      <c r="I3594" s="1" t="s">
        <v>123</v>
      </c>
      <c r="J3594" s="3">
        <v>0.70000000000000007</v>
      </c>
      <c r="K3594" s="4">
        <v>2750</v>
      </c>
      <c r="L3594" s="5">
        <f t="shared" si="28"/>
        <v>1925.0000000000002</v>
      </c>
      <c r="M3594" s="5">
        <f t="shared" si="29"/>
        <v>673.75</v>
      </c>
      <c r="N3594" s="6">
        <v>0.35</v>
      </c>
    </row>
    <row r="3595" spans="1:14" ht="15.75" customHeight="1" x14ac:dyDescent="0.45">
      <c r="A3595" s="1" t="s">
        <v>119</v>
      </c>
      <c r="B3595" s="1">
        <v>1185732</v>
      </c>
      <c r="C3595" s="2">
        <v>44876</v>
      </c>
      <c r="D3595" s="1" t="s">
        <v>11</v>
      </c>
      <c r="E3595" s="1" t="s">
        <v>113</v>
      </c>
      <c r="F3595" s="1" t="s">
        <v>114</v>
      </c>
      <c r="G3595" s="1" t="s">
        <v>18</v>
      </c>
      <c r="H3595" s="1">
        <v>47</v>
      </c>
      <c r="I3595" s="1" t="s">
        <v>125</v>
      </c>
      <c r="J3595" s="3">
        <v>0.75</v>
      </c>
      <c r="K3595" s="4">
        <v>3750</v>
      </c>
      <c r="L3595" s="5">
        <f t="shared" si="28"/>
        <v>2812.5</v>
      </c>
      <c r="M3595" s="5">
        <f t="shared" si="29"/>
        <v>1125</v>
      </c>
      <c r="N3595" s="6">
        <v>0.39999999999999997</v>
      </c>
    </row>
    <row r="3596" spans="1:14" ht="15.75" customHeight="1" x14ac:dyDescent="0.45">
      <c r="A3596" s="1" t="s">
        <v>119</v>
      </c>
      <c r="B3596" s="1">
        <v>1185732</v>
      </c>
      <c r="C3596" s="2">
        <v>44905</v>
      </c>
      <c r="D3596" s="1" t="s">
        <v>11</v>
      </c>
      <c r="E3596" s="1" t="s">
        <v>113</v>
      </c>
      <c r="F3596" s="1" t="s">
        <v>114</v>
      </c>
      <c r="G3596" s="1" t="s">
        <v>13</v>
      </c>
      <c r="H3596" s="1">
        <v>24</v>
      </c>
      <c r="I3596" s="1" t="s">
        <v>126</v>
      </c>
      <c r="J3596" s="3">
        <v>0.70000000000000007</v>
      </c>
      <c r="K3596" s="4">
        <v>6000</v>
      </c>
      <c r="L3596" s="5">
        <f t="shared" si="28"/>
        <v>4200</v>
      </c>
      <c r="M3596" s="5">
        <f t="shared" si="29"/>
        <v>1890</v>
      </c>
      <c r="N3596" s="6">
        <v>0.45</v>
      </c>
    </row>
    <row r="3597" spans="1:14" ht="15.75" customHeight="1" x14ac:dyDescent="0.45">
      <c r="A3597" s="1" t="s">
        <v>119</v>
      </c>
      <c r="B3597" s="1">
        <v>1185732</v>
      </c>
      <c r="C3597" s="2">
        <v>44905</v>
      </c>
      <c r="D3597" s="1" t="s">
        <v>11</v>
      </c>
      <c r="E3597" s="1" t="s">
        <v>113</v>
      </c>
      <c r="F3597" s="1" t="s">
        <v>114</v>
      </c>
      <c r="G3597" s="1" t="s">
        <v>14</v>
      </c>
      <c r="H3597" s="1">
        <v>55</v>
      </c>
      <c r="I3597" s="1" t="s">
        <v>124</v>
      </c>
      <c r="J3597" s="3">
        <v>0.60000000000000009</v>
      </c>
      <c r="K3597" s="4">
        <v>4000</v>
      </c>
      <c r="L3597" s="5">
        <f t="shared" si="28"/>
        <v>2400.0000000000005</v>
      </c>
      <c r="M3597" s="5">
        <f t="shared" si="29"/>
        <v>1080.0000000000002</v>
      </c>
      <c r="N3597" s="6">
        <v>0.45</v>
      </c>
    </row>
    <row r="3598" spans="1:14" ht="15.75" customHeight="1" x14ac:dyDescent="0.45">
      <c r="A3598" s="1" t="s">
        <v>119</v>
      </c>
      <c r="B3598" s="1">
        <v>1185732</v>
      </c>
      <c r="C3598" s="2">
        <v>44905</v>
      </c>
      <c r="D3598" s="1" t="s">
        <v>11</v>
      </c>
      <c r="E3598" s="1" t="s">
        <v>113</v>
      </c>
      <c r="F3598" s="1" t="s">
        <v>114</v>
      </c>
      <c r="G3598" s="1" t="s">
        <v>15</v>
      </c>
      <c r="H3598" s="1">
        <v>35</v>
      </c>
      <c r="I3598" s="1" t="s">
        <v>124</v>
      </c>
      <c r="J3598" s="3">
        <v>0.60000000000000009</v>
      </c>
      <c r="K3598" s="4">
        <v>3750</v>
      </c>
      <c r="L3598" s="5">
        <f t="shared" si="28"/>
        <v>2250.0000000000005</v>
      </c>
      <c r="M3598" s="5">
        <f t="shared" si="29"/>
        <v>787.50000000000011</v>
      </c>
      <c r="N3598" s="6">
        <v>0.35</v>
      </c>
    </row>
    <row r="3599" spans="1:14" ht="15.75" customHeight="1" x14ac:dyDescent="0.45">
      <c r="A3599" s="1" t="s">
        <v>119</v>
      </c>
      <c r="B3599" s="1">
        <v>1185732</v>
      </c>
      <c r="C3599" s="2">
        <v>44905</v>
      </c>
      <c r="D3599" s="1" t="s">
        <v>11</v>
      </c>
      <c r="E3599" s="1" t="s">
        <v>113</v>
      </c>
      <c r="F3599" s="1" t="s">
        <v>114</v>
      </c>
      <c r="G3599" s="1" t="s">
        <v>16</v>
      </c>
      <c r="H3599" s="1">
        <v>59</v>
      </c>
      <c r="I3599" s="1" t="s">
        <v>124</v>
      </c>
      <c r="J3599" s="3">
        <v>0.60000000000000009</v>
      </c>
      <c r="K3599" s="4">
        <v>3250</v>
      </c>
      <c r="L3599" s="5">
        <f t="shared" si="28"/>
        <v>1950.0000000000002</v>
      </c>
      <c r="M3599" s="5">
        <f t="shared" si="29"/>
        <v>682.5</v>
      </c>
      <c r="N3599" s="6">
        <v>0.35</v>
      </c>
    </row>
    <row r="3600" spans="1:14" ht="15.75" customHeight="1" x14ac:dyDescent="0.45">
      <c r="A3600" s="1" t="s">
        <v>119</v>
      </c>
      <c r="B3600" s="1">
        <v>1185732</v>
      </c>
      <c r="C3600" s="2">
        <v>44905</v>
      </c>
      <c r="D3600" s="1" t="s">
        <v>11</v>
      </c>
      <c r="E3600" s="1" t="s">
        <v>113</v>
      </c>
      <c r="F3600" s="1" t="s">
        <v>114</v>
      </c>
      <c r="G3600" s="1" t="s">
        <v>17</v>
      </c>
      <c r="H3600" s="1">
        <v>48</v>
      </c>
      <c r="I3600" s="1" t="s">
        <v>126</v>
      </c>
      <c r="J3600" s="3">
        <v>0.70000000000000007</v>
      </c>
      <c r="K3600" s="4">
        <v>3250</v>
      </c>
      <c r="L3600" s="5">
        <f t="shared" si="28"/>
        <v>2275</v>
      </c>
      <c r="M3600" s="5">
        <f t="shared" si="29"/>
        <v>796.25</v>
      </c>
      <c r="N3600" s="6">
        <v>0.35</v>
      </c>
    </row>
    <row r="3601" spans="1:14" ht="15.75" customHeight="1" x14ac:dyDescent="0.45">
      <c r="A3601" s="1" t="s">
        <v>119</v>
      </c>
      <c r="B3601" s="1">
        <v>1185732</v>
      </c>
      <c r="C3601" s="2">
        <v>44905</v>
      </c>
      <c r="D3601" s="1" t="s">
        <v>11</v>
      </c>
      <c r="E3601" s="1" t="s">
        <v>113</v>
      </c>
      <c r="F3601" s="1" t="s">
        <v>114</v>
      </c>
      <c r="G3601" s="1" t="s">
        <v>18</v>
      </c>
      <c r="H3601" s="1">
        <v>24</v>
      </c>
      <c r="I3601" s="1" t="s">
        <v>124</v>
      </c>
      <c r="J3601" s="3">
        <v>0.75</v>
      </c>
      <c r="K3601" s="4">
        <v>4250</v>
      </c>
      <c r="L3601" s="5">
        <f t="shared" si="28"/>
        <v>3187.5</v>
      </c>
      <c r="M3601" s="5">
        <f t="shared" si="29"/>
        <v>1275</v>
      </c>
      <c r="N3601" s="6">
        <v>0.39999999999999997</v>
      </c>
    </row>
    <row r="3602" spans="1:14" ht="15.75" customHeight="1" x14ac:dyDescent="0.45">
      <c r="A3602" s="1" t="s">
        <v>119</v>
      </c>
      <c r="B3602" s="1">
        <v>1185732</v>
      </c>
      <c r="C3602" s="2">
        <v>44582</v>
      </c>
      <c r="D3602" s="1" t="s">
        <v>11</v>
      </c>
      <c r="E3602" s="1" t="s">
        <v>115</v>
      </c>
      <c r="F3602" s="1" t="s">
        <v>116</v>
      </c>
      <c r="G3602" s="1" t="s">
        <v>13</v>
      </c>
      <c r="H3602" s="1">
        <v>15</v>
      </c>
      <c r="I3602" s="1" t="s">
        <v>125</v>
      </c>
      <c r="J3602" s="3">
        <v>0.5</v>
      </c>
      <c r="K3602" s="4">
        <v>5250</v>
      </c>
      <c r="L3602" s="5">
        <f t="shared" si="28"/>
        <v>2625</v>
      </c>
      <c r="M3602" s="5">
        <f t="shared" si="29"/>
        <v>1050</v>
      </c>
      <c r="N3602" s="6">
        <v>0.4</v>
      </c>
    </row>
    <row r="3603" spans="1:14" ht="15.75" customHeight="1" x14ac:dyDescent="0.45">
      <c r="A3603" s="1" t="s">
        <v>119</v>
      </c>
      <c r="B3603" s="1">
        <v>1185732</v>
      </c>
      <c r="C3603" s="2">
        <v>44582</v>
      </c>
      <c r="D3603" s="1" t="s">
        <v>11</v>
      </c>
      <c r="E3603" s="1" t="s">
        <v>115</v>
      </c>
      <c r="F3603" s="1" t="s">
        <v>116</v>
      </c>
      <c r="G3603" s="1" t="s">
        <v>14</v>
      </c>
      <c r="H3603" s="1">
        <v>41</v>
      </c>
      <c r="I3603" s="1" t="s">
        <v>126</v>
      </c>
      <c r="J3603" s="3">
        <v>0.5</v>
      </c>
      <c r="K3603" s="4">
        <v>3250</v>
      </c>
      <c r="L3603" s="5">
        <f t="shared" si="28"/>
        <v>1625</v>
      </c>
      <c r="M3603" s="5">
        <f t="shared" si="29"/>
        <v>650</v>
      </c>
      <c r="N3603" s="6">
        <v>0.4</v>
      </c>
    </row>
    <row r="3604" spans="1:14" ht="15.75" customHeight="1" x14ac:dyDescent="0.45">
      <c r="A3604" s="1" t="s">
        <v>119</v>
      </c>
      <c r="B3604" s="1">
        <v>1185732</v>
      </c>
      <c r="C3604" s="2">
        <v>44582</v>
      </c>
      <c r="D3604" s="1" t="s">
        <v>11</v>
      </c>
      <c r="E3604" s="1" t="s">
        <v>115</v>
      </c>
      <c r="F3604" s="1" t="s">
        <v>116</v>
      </c>
      <c r="G3604" s="1" t="s">
        <v>15</v>
      </c>
      <c r="H3604" s="1">
        <v>59</v>
      </c>
      <c r="I3604" s="1" t="s">
        <v>124</v>
      </c>
      <c r="J3604" s="3">
        <v>0.4</v>
      </c>
      <c r="K3604" s="4">
        <v>3250</v>
      </c>
      <c r="L3604" s="5">
        <f t="shared" si="28"/>
        <v>1300</v>
      </c>
      <c r="M3604" s="5">
        <f t="shared" si="29"/>
        <v>390</v>
      </c>
      <c r="N3604" s="6">
        <v>0.3</v>
      </c>
    </row>
    <row r="3605" spans="1:14" ht="15.75" customHeight="1" x14ac:dyDescent="0.45">
      <c r="A3605" s="1" t="s">
        <v>119</v>
      </c>
      <c r="B3605" s="1">
        <v>1185732</v>
      </c>
      <c r="C3605" s="2">
        <v>44582</v>
      </c>
      <c r="D3605" s="1" t="s">
        <v>11</v>
      </c>
      <c r="E3605" s="1" t="s">
        <v>115</v>
      </c>
      <c r="F3605" s="1" t="s">
        <v>116</v>
      </c>
      <c r="G3605" s="1" t="s">
        <v>16</v>
      </c>
      <c r="H3605" s="1">
        <v>60</v>
      </c>
      <c r="I3605" s="1" t="s">
        <v>123</v>
      </c>
      <c r="J3605" s="3">
        <v>0.44999999999999996</v>
      </c>
      <c r="K3605" s="4">
        <v>1750</v>
      </c>
      <c r="L3605" s="5">
        <f t="shared" si="28"/>
        <v>787.49999999999989</v>
      </c>
      <c r="M3605" s="5">
        <f t="shared" si="29"/>
        <v>236.24999999999994</v>
      </c>
      <c r="N3605" s="6">
        <v>0.3</v>
      </c>
    </row>
    <row r="3606" spans="1:14" ht="15.75" customHeight="1" x14ac:dyDescent="0.45">
      <c r="A3606" s="1" t="s">
        <v>119</v>
      </c>
      <c r="B3606" s="1">
        <v>1185732</v>
      </c>
      <c r="C3606" s="2">
        <v>44582</v>
      </c>
      <c r="D3606" s="1" t="s">
        <v>11</v>
      </c>
      <c r="E3606" s="1" t="s">
        <v>115</v>
      </c>
      <c r="F3606" s="1" t="s">
        <v>116</v>
      </c>
      <c r="G3606" s="1" t="s">
        <v>17</v>
      </c>
      <c r="H3606" s="1">
        <v>57</v>
      </c>
      <c r="I3606" s="1" t="s">
        <v>124</v>
      </c>
      <c r="J3606" s="3">
        <v>0.60000000000000009</v>
      </c>
      <c r="K3606" s="4">
        <v>2250</v>
      </c>
      <c r="L3606" s="5">
        <f t="shared" si="28"/>
        <v>1350.0000000000002</v>
      </c>
      <c r="M3606" s="5">
        <f t="shared" si="29"/>
        <v>405.00000000000006</v>
      </c>
      <c r="N3606" s="6">
        <v>0.3</v>
      </c>
    </row>
    <row r="3607" spans="1:14" ht="15.75" customHeight="1" x14ac:dyDescent="0.45">
      <c r="A3607" s="1" t="s">
        <v>119</v>
      </c>
      <c r="B3607" s="1">
        <v>1185732</v>
      </c>
      <c r="C3607" s="2">
        <v>44582</v>
      </c>
      <c r="D3607" s="1" t="s">
        <v>11</v>
      </c>
      <c r="E3607" s="1" t="s">
        <v>115</v>
      </c>
      <c r="F3607" s="1" t="s">
        <v>116</v>
      </c>
      <c r="G3607" s="1" t="s">
        <v>18</v>
      </c>
      <c r="H3607" s="1">
        <v>24</v>
      </c>
      <c r="I3607" s="1" t="s">
        <v>124</v>
      </c>
      <c r="J3607" s="3">
        <v>0.5</v>
      </c>
      <c r="K3607" s="4">
        <v>3250</v>
      </c>
      <c r="L3607" s="5">
        <f t="shared" si="28"/>
        <v>1625</v>
      </c>
      <c r="M3607" s="5">
        <f t="shared" si="29"/>
        <v>568.75</v>
      </c>
      <c r="N3607" s="6">
        <v>0.35</v>
      </c>
    </row>
    <row r="3608" spans="1:14" ht="15.75" customHeight="1" x14ac:dyDescent="0.45">
      <c r="A3608" s="1" t="s">
        <v>119</v>
      </c>
      <c r="B3608" s="1">
        <v>1185732</v>
      </c>
      <c r="C3608" s="2">
        <v>44611</v>
      </c>
      <c r="D3608" s="1" t="s">
        <v>11</v>
      </c>
      <c r="E3608" s="1" t="s">
        <v>115</v>
      </c>
      <c r="F3608" s="1" t="s">
        <v>116</v>
      </c>
      <c r="G3608" s="1" t="s">
        <v>13</v>
      </c>
      <c r="H3608" s="1">
        <v>31</v>
      </c>
      <c r="I3608" s="1" t="s">
        <v>125</v>
      </c>
      <c r="J3608" s="3">
        <v>0.5</v>
      </c>
      <c r="K3608" s="4">
        <v>6000</v>
      </c>
      <c r="L3608" s="5">
        <f t="shared" si="28"/>
        <v>3000</v>
      </c>
      <c r="M3608" s="5">
        <f t="shared" si="29"/>
        <v>1200</v>
      </c>
      <c r="N3608" s="6">
        <v>0.4</v>
      </c>
    </row>
    <row r="3609" spans="1:14" ht="15.75" customHeight="1" x14ac:dyDescent="0.45">
      <c r="A3609" s="1" t="s">
        <v>119</v>
      </c>
      <c r="B3609" s="1">
        <v>1185732</v>
      </c>
      <c r="C3609" s="2">
        <v>44611</v>
      </c>
      <c r="D3609" s="1" t="s">
        <v>11</v>
      </c>
      <c r="E3609" s="1" t="s">
        <v>115</v>
      </c>
      <c r="F3609" s="1" t="s">
        <v>116</v>
      </c>
      <c r="G3609" s="1" t="s">
        <v>14</v>
      </c>
      <c r="H3609" s="1">
        <v>56</v>
      </c>
      <c r="I3609" s="1" t="s">
        <v>125</v>
      </c>
      <c r="J3609" s="3">
        <v>0.5</v>
      </c>
      <c r="K3609" s="4">
        <v>2500</v>
      </c>
      <c r="L3609" s="5">
        <f t="shared" si="28"/>
        <v>1250</v>
      </c>
      <c r="M3609" s="5">
        <f t="shared" si="29"/>
        <v>500</v>
      </c>
      <c r="N3609" s="6">
        <v>0.4</v>
      </c>
    </row>
    <row r="3610" spans="1:14" ht="15.75" customHeight="1" x14ac:dyDescent="0.45">
      <c r="A3610" s="1" t="s">
        <v>119</v>
      </c>
      <c r="B3610" s="1">
        <v>1185732</v>
      </c>
      <c r="C3610" s="2">
        <v>44611</v>
      </c>
      <c r="D3610" s="1" t="s">
        <v>11</v>
      </c>
      <c r="E3610" s="1" t="s">
        <v>115</v>
      </c>
      <c r="F3610" s="1" t="s">
        <v>116</v>
      </c>
      <c r="G3610" s="1" t="s">
        <v>15</v>
      </c>
      <c r="H3610" s="1">
        <v>32</v>
      </c>
      <c r="I3610" s="1" t="s">
        <v>126</v>
      </c>
      <c r="J3610" s="3">
        <v>0.4</v>
      </c>
      <c r="K3610" s="4">
        <v>3000</v>
      </c>
      <c r="L3610" s="5">
        <f t="shared" si="28"/>
        <v>1200</v>
      </c>
      <c r="M3610" s="5">
        <f t="shared" si="29"/>
        <v>360</v>
      </c>
      <c r="N3610" s="6">
        <v>0.3</v>
      </c>
    </row>
    <row r="3611" spans="1:14" ht="15.75" customHeight="1" x14ac:dyDescent="0.45">
      <c r="A3611" s="1" t="s">
        <v>119</v>
      </c>
      <c r="B3611" s="1">
        <v>1185732</v>
      </c>
      <c r="C3611" s="2">
        <v>44611</v>
      </c>
      <c r="D3611" s="1" t="s">
        <v>11</v>
      </c>
      <c r="E3611" s="1" t="s">
        <v>115</v>
      </c>
      <c r="F3611" s="1" t="s">
        <v>116</v>
      </c>
      <c r="G3611" s="1" t="s">
        <v>16</v>
      </c>
      <c r="H3611" s="1">
        <v>20</v>
      </c>
      <c r="I3611" s="1" t="s">
        <v>124</v>
      </c>
      <c r="J3611" s="3">
        <v>0.44999999999999996</v>
      </c>
      <c r="K3611" s="4">
        <v>2000</v>
      </c>
      <c r="L3611" s="5">
        <f t="shared" si="28"/>
        <v>899.99999999999989</v>
      </c>
      <c r="M3611" s="5">
        <f t="shared" si="29"/>
        <v>269.99999999999994</v>
      </c>
      <c r="N3611" s="6">
        <v>0.3</v>
      </c>
    </row>
    <row r="3612" spans="1:14" ht="15.75" customHeight="1" x14ac:dyDescent="0.45">
      <c r="A3612" s="1" t="s">
        <v>119</v>
      </c>
      <c r="B3612" s="1">
        <v>1185732</v>
      </c>
      <c r="C3612" s="2">
        <v>44611</v>
      </c>
      <c r="D3612" s="1" t="s">
        <v>11</v>
      </c>
      <c r="E3612" s="1" t="s">
        <v>115</v>
      </c>
      <c r="F3612" s="1" t="s">
        <v>116</v>
      </c>
      <c r="G3612" s="1" t="s">
        <v>17</v>
      </c>
      <c r="H3612" s="1">
        <v>49</v>
      </c>
      <c r="I3612" s="1" t="s">
        <v>126</v>
      </c>
      <c r="J3612" s="3">
        <v>0.60000000000000009</v>
      </c>
      <c r="K3612" s="4">
        <v>2750</v>
      </c>
      <c r="L3612" s="5">
        <f t="shared" si="28"/>
        <v>1650.0000000000002</v>
      </c>
      <c r="M3612" s="5">
        <f t="shared" si="29"/>
        <v>495.00000000000006</v>
      </c>
      <c r="N3612" s="6">
        <v>0.3</v>
      </c>
    </row>
    <row r="3613" spans="1:14" ht="15.75" customHeight="1" x14ac:dyDescent="0.45">
      <c r="A3613" s="1" t="s">
        <v>119</v>
      </c>
      <c r="B3613" s="1">
        <v>1185732</v>
      </c>
      <c r="C3613" s="2">
        <v>44611</v>
      </c>
      <c r="D3613" s="1" t="s">
        <v>11</v>
      </c>
      <c r="E3613" s="1" t="s">
        <v>115</v>
      </c>
      <c r="F3613" s="1" t="s">
        <v>116</v>
      </c>
      <c r="G3613" s="1" t="s">
        <v>18</v>
      </c>
      <c r="H3613" s="1">
        <v>23</v>
      </c>
      <c r="I3613" s="1" t="s">
        <v>125</v>
      </c>
      <c r="J3613" s="3">
        <v>0.5</v>
      </c>
      <c r="K3613" s="4">
        <v>3750</v>
      </c>
      <c r="L3613" s="5">
        <f t="shared" si="28"/>
        <v>1875</v>
      </c>
      <c r="M3613" s="5">
        <f t="shared" si="29"/>
        <v>656.25</v>
      </c>
      <c r="N3613" s="6">
        <v>0.35</v>
      </c>
    </row>
    <row r="3614" spans="1:14" ht="15.75" customHeight="1" x14ac:dyDescent="0.45">
      <c r="A3614" s="1" t="s">
        <v>119</v>
      </c>
      <c r="B3614" s="1">
        <v>1185732</v>
      </c>
      <c r="C3614" s="2">
        <v>44637</v>
      </c>
      <c r="D3614" s="1" t="s">
        <v>11</v>
      </c>
      <c r="E3614" s="1" t="s">
        <v>115</v>
      </c>
      <c r="F3614" s="1" t="s">
        <v>116</v>
      </c>
      <c r="G3614" s="1" t="s">
        <v>13</v>
      </c>
      <c r="H3614" s="1">
        <v>23</v>
      </c>
      <c r="I3614" s="1" t="s">
        <v>126</v>
      </c>
      <c r="J3614" s="3">
        <v>0.5</v>
      </c>
      <c r="K3614" s="4">
        <v>5700</v>
      </c>
      <c r="L3614" s="5">
        <f t="shared" si="28"/>
        <v>2850</v>
      </c>
      <c r="M3614" s="5">
        <f t="shared" si="29"/>
        <v>1140</v>
      </c>
      <c r="N3614" s="6">
        <v>0.4</v>
      </c>
    </row>
    <row r="3615" spans="1:14" ht="15.75" customHeight="1" x14ac:dyDescent="0.45">
      <c r="A3615" s="1" t="s">
        <v>119</v>
      </c>
      <c r="B3615" s="1">
        <v>1185732</v>
      </c>
      <c r="C3615" s="2">
        <v>44637</v>
      </c>
      <c r="D3615" s="1" t="s">
        <v>11</v>
      </c>
      <c r="E3615" s="1" t="s">
        <v>115</v>
      </c>
      <c r="F3615" s="1" t="s">
        <v>116</v>
      </c>
      <c r="G3615" s="1" t="s">
        <v>14</v>
      </c>
      <c r="H3615" s="1">
        <v>50</v>
      </c>
      <c r="I3615" s="1" t="s">
        <v>125</v>
      </c>
      <c r="J3615" s="3">
        <v>0.5</v>
      </c>
      <c r="K3615" s="4">
        <v>2750</v>
      </c>
      <c r="L3615" s="5">
        <f t="shared" si="28"/>
        <v>1375</v>
      </c>
      <c r="M3615" s="5">
        <f t="shared" si="29"/>
        <v>550</v>
      </c>
      <c r="N3615" s="6">
        <v>0.4</v>
      </c>
    </row>
    <row r="3616" spans="1:14" ht="15.75" customHeight="1" x14ac:dyDescent="0.45">
      <c r="A3616" s="1" t="s">
        <v>119</v>
      </c>
      <c r="B3616" s="1">
        <v>1185732</v>
      </c>
      <c r="C3616" s="2">
        <v>44637</v>
      </c>
      <c r="D3616" s="1" t="s">
        <v>11</v>
      </c>
      <c r="E3616" s="1" t="s">
        <v>115</v>
      </c>
      <c r="F3616" s="1" t="s">
        <v>116</v>
      </c>
      <c r="G3616" s="1" t="s">
        <v>15</v>
      </c>
      <c r="H3616" s="1">
        <v>15</v>
      </c>
      <c r="I3616" s="1" t="s">
        <v>123</v>
      </c>
      <c r="J3616" s="3">
        <v>0.4</v>
      </c>
      <c r="K3616" s="4">
        <v>3000</v>
      </c>
      <c r="L3616" s="5">
        <f t="shared" si="28"/>
        <v>1200</v>
      </c>
      <c r="M3616" s="5">
        <f t="shared" si="29"/>
        <v>360</v>
      </c>
      <c r="N3616" s="6">
        <v>0.3</v>
      </c>
    </row>
    <row r="3617" spans="1:14" ht="15.75" customHeight="1" x14ac:dyDescent="0.45">
      <c r="A3617" s="1" t="s">
        <v>119</v>
      </c>
      <c r="B3617" s="1">
        <v>1185732</v>
      </c>
      <c r="C3617" s="2">
        <v>44637</v>
      </c>
      <c r="D3617" s="1" t="s">
        <v>11</v>
      </c>
      <c r="E3617" s="1" t="s">
        <v>115</v>
      </c>
      <c r="F3617" s="1" t="s">
        <v>116</v>
      </c>
      <c r="G3617" s="1" t="s">
        <v>16</v>
      </c>
      <c r="H3617" s="1">
        <v>48</v>
      </c>
      <c r="I3617" s="1" t="s">
        <v>123</v>
      </c>
      <c r="J3617" s="3">
        <v>0.44999999999999996</v>
      </c>
      <c r="K3617" s="4">
        <v>1500</v>
      </c>
      <c r="L3617" s="5">
        <f t="shared" si="28"/>
        <v>674.99999999999989</v>
      </c>
      <c r="M3617" s="5">
        <f t="shared" si="29"/>
        <v>202.49999999999997</v>
      </c>
      <c r="N3617" s="6">
        <v>0.3</v>
      </c>
    </row>
    <row r="3618" spans="1:14" ht="15.75" customHeight="1" x14ac:dyDescent="0.45">
      <c r="A3618" s="1" t="s">
        <v>119</v>
      </c>
      <c r="B3618" s="1">
        <v>1185732</v>
      </c>
      <c r="C3618" s="2">
        <v>44637</v>
      </c>
      <c r="D3618" s="1" t="s">
        <v>11</v>
      </c>
      <c r="E3618" s="1" t="s">
        <v>115</v>
      </c>
      <c r="F3618" s="1" t="s">
        <v>116</v>
      </c>
      <c r="G3618" s="1" t="s">
        <v>17</v>
      </c>
      <c r="H3618" s="1">
        <v>55</v>
      </c>
      <c r="I3618" s="1" t="s">
        <v>123</v>
      </c>
      <c r="J3618" s="3">
        <v>0.60000000000000009</v>
      </c>
      <c r="K3618" s="4">
        <v>2000</v>
      </c>
      <c r="L3618" s="5">
        <f t="shared" si="28"/>
        <v>1200.0000000000002</v>
      </c>
      <c r="M3618" s="5">
        <f t="shared" si="29"/>
        <v>360.00000000000006</v>
      </c>
      <c r="N3618" s="6">
        <v>0.3</v>
      </c>
    </row>
    <row r="3619" spans="1:14" ht="15.75" customHeight="1" x14ac:dyDescent="0.45">
      <c r="A3619" s="1" t="s">
        <v>119</v>
      </c>
      <c r="B3619" s="1">
        <v>1185732</v>
      </c>
      <c r="C3619" s="2">
        <v>44637</v>
      </c>
      <c r="D3619" s="1" t="s">
        <v>11</v>
      </c>
      <c r="E3619" s="1" t="s">
        <v>115</v>
      </c>
      <c r="F3619" s="1" t="s">
        <v>116</v>
      </c>
      <c r="G3619" s="1" t="s">
        <v>18</v>
      </c>
      <c r="H3619" s="1">
        <v>60</v>
      </c>
      <c r="I3619" s="1" t="s">
        <v>124</v>
      </c>
      <c r="J3619" s="3">
        <v>0.5</v>
      </c>
      <c r="K3619" s="4">
        <v>3000</v>
      </c>
      <c r="L3619" s="5">
        <f t="shared" si="28"/>
        <v>1500</v>
      </c>
      <c r="M3619" s="5">
        <f t="shared" si="29"/>
        <v>525</v>
      </c>
      <c r="N3619" s="6">
        <v>0.35</v>
      </c>
    </row>
    <row r="3620" spans="1:14" ht="15.75" customHeight="1" x14ac:dyDescent="0.45">
      <c r="A3620" s="1" t="s">
        <v>119</v>
      </c>
      <c r="B3620" s="1">
        <v>1185732</v>
      </c>
      <c r="C3620" s="2">
        <v>44669</v>
      </c>
      <c r="D3620" s="1" t="s">
        <v>11</v>
      </c>
      <c r="E3620" s="1" t="s">
        <v>115</v>
      </c>
      <c r="F3620" s="1" t="s">
        <v>116</v>
      </c>
      <c r="G3620" s="1" t="s">
        <v>13</v>
      </c>
      <c r="H3620" s="1">
        <v>21</v>
      </c>
      <c r="I3620" s="1" t="s">
        <v>125</v>
      </c>
      <c r="J3620" s="3">
        <v>0.5</v>
      </c>
      <c r="K3620" s="4">
        <v>5500</v>
      </c>
      <c r="L3620" s="5">
        <f t="shared" si="28"/>
        <v>2750</v>
      </c>
      <c r="M3620" s="5">
        <f t="shared" si="29"/>
        <v>1100</v>
      </c>
      <c r="N3620" s="6">
        <v>0.4</v>
      </c>
    </row>
    <row r="3621" spans="1:14" ht="15.75" customHeight="1" x14ac:dyDescent="0.45">
      <c r="A3621" s="1" t="s">
        <v>119</v>
      </c>
      <c r="B3621" s="1">
        <v>1185732</v>
      </c>
      <c r="C3621" s="2">
        <v>44669</v>
      </c>
      <c r="D3621" s="1" t="s">
        <v>11</v>
      </c>
      <c r="E3621" s="1" t="s">
        <v>115</v>
      </c>
      <c r="F3621" s="1" t="s">
        <v>116</v>
      </c>
      <c r="G3621" s="1" t="s">
        <v>14</v>
      </c>
      <c r="H3621" s="1">
        <v>28</v>
      </c>
      <c r="I3621" s="1" t="s">
        <v>125</v>
      </c>
      <c r="J3621" s="3">
        <v>0.5</v>
      </c>
      <c r="K3621" s="4">
        <v>2500</v>
      </c>
      <c r="L3621" s="5">
        <f t="shared" si="28"/>
        <v>1250</v>
      </c>
      <c r="M3621" s="5">
        <f t="shared" si="29"/>
        <v>500</v>
      </c>
      <c r="N3621" s="6">
        <v>0.4</v>
      </c>
    </row>
    <row r="3622" spans="1:14" ht="15.75" customHeight="1" x14ac:dyDescent="0.45">
      <c r="A3622" s="1" t="s">
        <v>119</v>
      </c>
      <c r="B3622" s="1">
        <v>1185732</v>
      </c>
      <c r="C3622" s="2">
        <v>44669</v>
      </c>
      <c r="D3622" s="1" t="s">
        <v>11</v>
      </c>
      <c r="E3622" s="1" t="s">
        <v>115</v>
      </c>
      <c r="F3622" s="1" t="s">
        <v>116</v>
      </c>
      <c r="G3622" s="1" t="s">
        <v>15</v>
      </c>
      <c r="H3622" s="1">
        <v>37</v>
      </c>
      <c r="I3622" s="1" t="s">
        <v>125</v>
      </c>
      <c r="J3622" s="3">
        <v>0.4</v>
      </c>
      <c r="K3622" s="4">
        <v>2500</v>
      </c>
      <c r="L3622" s="5">
        <f t="shared" si="28"/>
        <v>1000</v>
      </c>
      <c r="M3622" s="5">
        <f t="shared" si="29"/>
        <v>300</v>
      </c>
      <c r="N3622" s="6">
        <v>0.3</v>
      </c>
    </row>
    <row r="3623" spans="1:14" ht="15.75" customHeight="1" x14ac:dyDescent="0.45">
      <c r="A3623" s="1" t="s">
        <v>119</v>
      </c>
      <c r="B3623" s="1">
        <v>1185732</v>
      </c>
      <c r="C3623" s="2">
        <v>44669</v>
      </c>
      <c r="D3623" s="1" t="s">
        <v>11</v>
      </c>
      <c r="E3623" s="1" t="s">
        <v>115</v>
      </c>
      <c r="F3623" s="1" t="s">
        <v>116</v>
      </c>
      <c r="G3623" s="1" t="s">
        <v>16</v>
      </c>
      <c r="H3623" s="1">
        <v>33</v>
      </c>
      <c r="I3623" s="1" t="s">
        <v>125</v>
      </c>
      <c r="J3623" s="3">
        <v>0.44999999999999996</v>
      </c>
      <c r="K3623" s="4">
        <v>1750</v>
      </c>
      <c r="L3623" s="5">
        <f t="shared" si="28"/>
        <v>787.49999999999989</v>
      </c>
      <c r="M3623" s="5">
        <f t="shared" si="29"/>
        <v>236.24999999999994</v>
      </c>
      <c r="N3623" s="6">
        <v>0.3</v>
      </c>
    </row>
    <row r="3624" spans="1:14" ht="15.75" customHeight="1" x14ac:dyDescent="0.45">
      <c r="A3624" s="1" t="s">
        <v>119</v>
      </c>
      <c r="B3624" s="1">
        <v>1185732</v>
      </c>
      <c r="C3624" s="2">
        <v>44669</v>
      </c>
      <c r="D3624" s="1" t="s">
        <v>11</v>
      </c>
      <c r="E3624" s="1" t="s">
        <v>115</v>
      </c>
      <c r="F3624" s="1" t="s">
        <v>116</v>
      </c>
      <c r="G3624" s="1" t="s">
        <v>17</v>
      </c>
      <c r="H3624" s="1">
        <v>39</v>
      </c>
      <c r="I3624" s="1" t="s">
        <v>123</v>
      </c>
      <c r="J3624" s="3">
        <v>0.60000000000000009</v>
      </c>
      <c r="K3624" s="4">
        <v>1750</v>
      </c>
      <c r="L3624" s="5">
        <f t="shared" si="28"/>
        <v>1050.0000000000002</v>
      </c>
      <c r="M3624" s="5">
        <f t="shared" si="29"/>
        <v>315.00000000000006</v>
      </c>
      <c r="N3624" s="6">
        <v>0.3</v>
      </c>
    </row>
    <row r="3625" spans="1:14" ht="15.75" customHeight="1" x14ac:dyDescent="0.45">
      <c r="A3625" s="1" t="s">
        <v>119</v>
      </c>
      <c r="B3625" s="1">
        <v>1185732</v>
      </c>
      <c r="C3625" s="2">
        <v>44669</v>
      </c>
      <c r="D3625" s="1" t="s">
        <v>11</v>
      </c>
      <c r="E3625" s="1" t="s">
        <v>115</v>
      </c>
      <c r="F3625" s="1" t="s">
        <v>116</v>
      </c>
      <c r="G3625" s="1" t="s">
        <v>18</v>
      </c>
      <c r="H3625" s="1">
        <v>37</v>
      </c>
      <c r="I3625" s="1" t="s">
        <v>124</v>
      </c>
      <c r="J3625" s="3">
        <v>0.5</v>
      </c>
      <c r="K3625" s="4">
        <v>3250</v>
      </c>
      <c r="L3625" s="5">
        <f t="shared" si="28"/>
        <v>1625</v>
      </c>
      <c r="M3625" s="5">
        <f t="shared" si="29"/>
        <v>568.75</v>
      </c>
      <c r="N3625" s="6">
        <v>0.35</v>
      </c>
    </row>
    <row r="3626" spans="1:14" ht="15.75" customHeight="1" x14ac:dyDescent="0.45">
      <c r="A3626" s="1" t="s">
        <v>119</v>
      </c>
      <c r="B3626" s="1">
        <v>1185732</v>
      </c>
      <c r="C3626" s="2">
        <v>44698</v>
      </c>
      <c r="D3626" s="1" t="s">
        <v>11</v>
      </c>
      <c r="E3626" s="1" t="s">
        <v>115</v>
      </c>
      <c r="F3626" s="1" t="s">
        <v>116</v>
      </c>
      <c r="G3626" s="1" t="s">
        <v>13</v>
      </c>
      <c r="H3626" s="1">
        <v>37</v>
      </c>
      <c r="I3626" s="1" t="s">
        <v>123</v>
      </c>
      <c r="J3626" s="3">
        <v>0.65</v>
      </c>
      <c r="K3626" s="4">
        <v>5950</v>
      </c>
      <c r="L3626" s="5">
        <f t="shared" si="28"/>
        <v>3867.5</v>
      </c>
      <c r="M3626" s="5">
        <f t="shared" si="29"/>
        <v>1547</v>
      </c>
      <c r="N3626" s="6">
        <v>0.4</v>
      </c>
    </row>
    <row r="3627" spans="1:14" ht="15.75" customHeight="1" x14ac:dyDescent="0.45">
      <c r="A3627" s="1" t="s">
        <v>119</v>
      </c>
      <c r="B3627" s="1">
        <v>1185732</v>
      </c>
      <c r="C3627" s="2">
        <v>44698</v>
      </c>
      <c r="D3627" s="1" t="s">
        <v>11</v>
      </c>
      <c r="E3627" s="1" t="s">
        <v>115</v>
      </c>
      <c r="F3627" s="1" t="s">
        <v>116</v>
      </c>
      <c r="G3627" s="1" t="s">
        <v>14</v>
      </c>
      <c r="H3627" s="1">
        <v>39</v>
      </c>
      <c r="I3627" s="1" t="s">
        <v>126</v>
      </c>
      <c r="J3627" s="3">
        <v>0.60000000000000009</v>
      </c>
      <c r="K3627" s="4">
        <v>3000</v>
      </c>
      <c r="L3627" s="5">
        <f t="shared" si="28"/>
        <v>1800.0000000000002</v>
      </c>
      <c r="M3627" s="5">
        <f t="shared" si="29"/>
        <v>720.00000000000011</v>
      </c>
      <c r="N3627" s="6">
        <v>0.4</v>
      </c>
    </row>
    <row r="3628" spans="1:14" ht="15.75" customHeight="1" x14ac:dyDescent="0.45">
      <c r="A3628" s="1" t="s">
        <v>119</v>
      </c>
      <c r="B3628" s="1">
        <v>1185732</v>
      </c>
      <c r="C3628" s="2">
        <v>44698</v>
      </c>
      <c r="D3628" s="1" t="s">
        <v>11</v>
      </c>
      <c r="E3628" s="1" t="s">
        <v>115</v>
      </c>
      <c r="F3628" s="1" t="s">
        <v>116</v>
      </c>
      <c r="G3628" s="1" t="s">
        <v>15</v>
      </c>
      <c r="H3628" s="1">
        <v>55</v>
      </c>
      <c r="I3628" s="1" t="s">
        <v>124</v>
      </c>
      <c r="J3628" s="3">
        <v>0.55000000000000004</v>
      </c>
      <c r="K3628" s="4">
        <v>3250</v>
      </c>
      <c r="L3628" s="5">
        <f t="shared" si="28"/>
        <v>1787.5000000000002</v>
      </c>
      <c r="M3628" s="5">
        <f t="shared" si="29"/>
        <v>536.25</v>
      </c>
      <c r="N3628" s="6">
        <v>0.3</v>
      </c>
    </row>
    <row r="3629" spans="1:14" ht="15.75" customHeight="1" x14ac:dyDescent="0.45">
      <c r="A3629" s="1" t="s">
        <v>119</v>
      </c>
      <c r="B3629" s="1">
        <v>1185732</v>
      </c>
      <c r="C3629" s="2">
        <v>44698</v>
      </c>
      <c r="D3629" s="1" t="s">
        <v>11</v>
      </c>
      <c r="E3629" s="1" t="s">
        <v>115</v>
      </c>
      <c r="F3629" s="1" t="s">
        <v>116</v>
      </c>
      <c r="G3629" s="1" t="s">
        <v>16</v>
      </c>
      <c r="H3629" s="1">
        <v>39</v>
      </c>
      <c r="I3629" s="1" t="s">
        <v>123</v>
      </c>
      <c r="J3629" s="3">
        <v>0.55000000000000004</v>
      </c>
      <c r="K3629" s="4">
        <v>2750</v>
      </c>
      <c r="L3629" s="5">
        <f t="shared" si="28"/>
        <v>1512.5000000000002</v>
      </c>
      <c r="M3629" s="5">
        <f t="shared" si="29"/>
        <v>453.75000000000006</v>
      </c>
      <c r="N3629" s="6">
        <v>0.3</v>
      </c>
    </row>
    <row r="3630" spans="1:14" ht="15.75" customHeight="1" x14ac:dyDescent="0.45">
      <c r="A3630" s="1" t="s">
        <v>119</v>
      </c>
      <c r="B3630" s="1">
        <v>1185732</v>
      </c>
      <c r="C3630" s="2">
        <v>44698</v>
      </c>
      <c r="D3630" s="1" t="s">
        <v>11</v>
      </c>
      <c r="E3630" s="1" t="s">
        <v>115</v>
      </c>
      <c r="F3630" s="1" t="s">
        <v>116</v>
      </c>
      <c r="G3630" s="1" t="s">
        <v>17</v>
      </c>
      <c r="H3630" s="1">
        <v>33</v>
      </c>
      <c r="I3630" s="1" t="s">
        <v>123</v>
      </c>
      <c r="J3630" s="3">
        <v>0.65</v>
      </c>
      <c r="K3630" s="4">
        <v>3000</v>
      </c>
      <c r="L3630" s="5">
        <f t="shared" si="28"/>
        <v>1950</v>
      </c>
      <c r="M3630" s="5">
        <f t="shared" si="29"/>
        <v>585</v>
      </c>
      <c r="N3630" s="6">
        <v>0.3</v>
      </c>
    </row>
    <row r="3631" spans="1:14" ht="15.75" customHeight="1" x14ac:dyDescent="0.45">
      <c r="A3631" s="1" t="s">
        <v>119</v>
      </c>
      <c r="B3631" s="1">
        <v>1185732</v>
      </c>
      <c r="C3631" s="2">
        <v>44698</v>
      </c>
      <c r="D3631" s="1" t="s">
        <v>11</v>
      </c>
      <c r="E3631" s="1" t="s">
        <v>115</v>
      </c>
      <c r="F3631" s="1" t="s">
        <v>116</v>
      </c>
      <c r="G3631" s="1" t="s">
        <v>18</v>
      </c>
      <c r="H3631" s="1">
        <v>37</v>
      </c>
      <c r="I3631" s="1" t="s">
        <v>125</v>
      </c>
      <c r="J3631" s="3">
        <v>0.70000000000000007</v>
      </c>
      <c r="K3631" s="4">
        <v>4250</v>
      </c>
      <c r="L3631" s="5">
        <f t="shared" si="28"/>
        <v>2975.0000000000005</v>
      </c>
      <c r="M3631" s="5">
        <f t="shared" si="29"/>
        <v>1041.25</v>
      </c>
      <c r="N3631" s="6">
        <v>0.35</v>
      </c>
    </row>
    <row r="3632" spans="1:14" ht="15.75" customHeight="1" x14ac:dyDescent="0.45">
      <c r="A3632" s="1" t="s">
        <v>119</v>
      </c>
      <c r="B3632" s="1">
        <v>1185732</v>
      </c>
      <c r="C3632" s="2">
        <v>44731</v>
      </c>
      <c r="D3632" s="1" t="s">
        <v>11</v>
      </c>
      <c r="E3632" s="1" t="s">
        <v>115</v>
      </c>
      <c r="F3632" s="1" t="s">
        <v>116</v>
      </c>
      <c r="G3632" s="1" t="s">
        <v>13</v>
      </c>
      <c r="H3632" s="1">
        <v>58</v>
      </c>
      <c r="I3632" s="1" t="s">
        <v>125</v>
      </c>
      <c r="J3632" s="3">
        <v>0.65</v>
      </c>
      <c r="K3632" s="4">
        <v>6750</v>
      </c>
      <c r="L3632" s="5">
        <f t="shared" si="28"/>
        <v>4387.5</v>
      </c>
      <c r="M3632" s="5">
        <f t="shared" si="29"/>
        <v>1755</v>
      </c>
      <c r="N3632" s="6">
        <v>0.4</v>
      </c>
    </row>
    <row r="3633" spans="1:14" ht="15.75" customHeight="1" x14ac:dyDescent="0.45">
      <c r="A3633" s="1" t="s">
        <v>119</v>
      </c>
      <c r="B3633" s="1">
        <v>1185732</v>
      </c>
      <c r="C3633" s="2">
        <v>44731</v>
      </c>
      <c r="D3633" s="1" t="s">
        <v>11</v>
      </c>
      <c r="E3633" s="1" t="s">
        <v>115</v>
      </c>
      <c r="F3633" s="1" t="s">
        <v>116</v>
      </c>
      <c r="G3633" s="1" t="s">
        <v>14</v>
      </c>
      <c r="H3633" s="1">
        <v>49</v>
      </c>
      <c r="I3633" s="1" t="s">
        <v>126</v>
      </c>
      <c r="J3633" s="3">
        <v>0.60000000000000009</v>
      </c>
      <c r="K3633" s="4">
        <v>4250</v>
      </c>
      <c r="L3633" s="5">
        <f t="shared" si="28"/>
        <v>2550.0000000000005</v>
      </c>
      <c r="M3633" s="5">
        <f t="shared" si="29"/>
        <v>1020.0000000000002</v>
      </c>
      <c r="N3633" s="6">
        <v>0.4</v>
      </c>
    </row>
    <row r="3634" spans="1:14" ht="15.75" customHeight="1" x14ac:dyDescent="0.45">
      <c r="A3634" s="1" t="s">
        <v>119</v>
      </c>
      <c r="B3634" s="1">
        <v>1185732</v>
      </c>
      <c r="C3634" s="2">
        <v>44731</v>
      </c>
      <c r="D3634" s="1" t="s">
        <v>11</v>
      </c>
      <c r="E3634" s="1" t="s">
        <v>115</v>
      </c>
      <c r="F3634" s="1" t="s">
        <v>116</v>
      </c>
      <c r="G3634" s="1" t="s">
        <v>15</v>
      </c>
      <c r="H3634" s="1">
        <v>42</v>
      </c>
      <c r="I3634" s="1" t="s">
        <v>126</v>
      </c>
      <c r="J3634" s="3">
        <v>0.55000000000000004</v>
      </c>
      <c r="K3634" s="4">
        <v>3500</v>
      </c>
      <c r="L3634" s="5">
        <f t="shared" si="28"/>
        <v>1925.0000000000002</v>
      </c>
      <c r="M3634" s="5">
        <f t="shared" si="29"/>
        <v>577.5</v>
      </c>
      <c r="N3634" s="6">
        <v>0.3</v>
      </c>
    </row>
    <row r="3635" spans="1:14" ht="15.75" customHeight="1" x14ac:dyDescent="0.45">
      <c r="A3635" s="1" t="s">
        <v>119</v>
      </c>
      <c r="B3635" s="1">
        <v>1185732</v>
      </c>
      <c r="C3635" s="2">
        <v>44731</v>
      </c>
      <c r="D3635" s="1" t="s">
        <v>11</v>
      </c>
      <c r="E3635" s="1" t="s">
        <v>115</v>
      </c>
      <c r="F3635" s="1" t="s">
        <v>116</v>
      </c>
      <c r="G3635" s="1" t="s">
        <v>16</v>
      </c>
      <c r="H3635" s="1">
        <v>20</v>
      </c>
      <c r="I3635" s="1" t="s">
        <v>124</v>
      </c>
      <c r="J3635" s="3">
        <v>0.55000000000000004</v>
      </c>
      <c r="K3635" s="4">
        <v>3250</v>
      </c>
      <c r="L3635" s="5">
        <f t="shared" si="28"/>
        <v>1787.5000000000002</v>
      </c>
      <c r="M3635" s="5">
        <f t="shared" si="29"/>
        <v>536.25</v>
      </c>
      <c r="N3635" s="6">
        <v>0.3</v>
      </c>
    </row>
    <row r="3636" spans="1:14" ht="15.75" customHeight="1" x14ac:dyDescent="0.45">
      <c r="A3636" s="1" t="s">
        <v>119</v>
      </c>
      <c r="B3636" s="1">
        <v>1185732</v>
      </c>
      <c r="C3636" s="2">
        <v>44731</v>
      </c>
      <c r="D3636" s="1" t="s">
        <v>11</v>
      </c>
      <c r="E3636" s="1" t="s">
        <v>115</v>
      </c>
      <c r="F3636" s="1" t="s">
        <v>116</v>
      </c>
      <c r="G3636" s="1" t="s">
        <v>17</v>
      </c>
      <c r="H3636" s="1">
        <v>43</v>
      </c>
      <c r="I3636" s="1" t="s">
        <v>124</v>
      </c>
      <c r="J3636" s="3">
        <v>0.65</v>
      </c>
      <c r="K3636" s="4">
        <v>3250</v>
      </c>
      <c r="L3636" s="5">
        <f t="shared" si="28"/>
        <v>2112.5</v>
      </c>
      <c r="M3636" s="5">
        <f t="shared" si="29"/>
        <v>633.75</v>
      </c>
      <c r="N3636" s="6">
        <v>0.3</v>
      </c>
    </row>
    <row r="3637" spans="1:14" ht="15.75" customHeight="1" x14ac:dyDescent="0.45">
      <c r="A3637" s="1" t="s">
        <v>119</v>
      </c>
      <c r="B3637" s="1">
        <v>1185732</v>
      </c>
      <c r="C3637" s="2">
        <v>44731</v>
      </c>
      <c r="D3637" s="1" t="s">
        <v>11</v>
      </c>
      <c r="E3637" s="1" t="s">
        <v>115</v>
      </c>
      <c r="F3637" s="1" t="s">
        <v>116</v>
      </c>
      <c r="G3637" s="1" t="s">
        <v>18</v>
      </c>
      <c r="H3637" s="1">
        <v>32</v>
      </c>
      <c r="I3637" s="1" t="s">
        <v>125</v>
      </c>
      <c r="J3637" s="3">
        <v>0.70000000000000007</v>
      </c>
      <c r="K3637" s="4">
        <v>4750</v>
      </c>
      <c r="L3637" s="5">
        <f t="shared" si="28"/>
        <v>3325.0000000000005</v>
      </c>
      <c r="M3637" s="5">
        <f t="shared" si="29"/>
        <v>1163.75</v>
      </c>
      <c r="N3637" s="6">
        <v>0.35</v>
      </c>
    </row>
    <row r="3638" spans="1:14" ht="15.75" customHeight="1" x14ac:dyDescent="0.45">
      <c r="A3638" s="1" t="s">
        <v>119</v>
      </c>
      <c r="B3638" s="1">
        <v>1185732</v>
      </c>
      <c r="C3638" s="2">
        <v>44759</v>
      </c>
      <c r="D3638" s="1" t="s">
        <v>11</v>
      </c>
      <c r="E3638" s="1" t="s">
        <v>115</v>
      </c>
      <c r="F3638" s="1" t="s">
        <v>116</v>
      </c>
      <c r="G3638" s="1" t="s">
        <v>13</v>
      </c>
      <c r="H3638" s="1">
        <v>21</v>
      </c>
      <c r="I3638" s="1" t="s">
        <v>126</v>
      </c>
      <c r="J3638" s="3">
        <v>0.65</v>
      </c>
      <c r="K3638" s="4">
        <v>7000</v>
      </c>
      <c r="L3638" s="5">
        <f t="shared" si="28"/>
        <v>4550</v>
      </c>
      <c r="M3638" s="5">
        <f t="shared" si="29"/>
        <v>1820</v>
      </c>
      <c r="N3638" s="6">
        <v>0.4</v>
      </c>
    </row>
    <row r="3639" spans="1:14" ht="15.75" customHeight="1" x14ac:dyDescent="0.45">
      <c r="A3639" s="1" t="s">
        <v>119</v>
      </c>
      <c r="B3639" s="1">
        <v>1185732</v>
      </c>
      <c r="C3639" s="2">
        <v>44759</v>
      </c>
      <c r="D3639" s="1" t="s">
        <v>11</v>
      </c>
      <c r="E3639" s="1" t="s">
        <v>115</v>
      </c>
      <c r="F3639" s="1" t="s">
        <v>116</v>
      </c>
      <c r="G3639" s="1" t="s">
        <v>14</v>
      </c>
      <c r="H3639" s="1">
        <v>21</v>
      </c>
      <c r="I3639" s="1" t="s">
        <v>126</v>
      </c>
      <c r="J3639" s="3">
        <v>0.60000000000000009</v>
      </c>
      <c r="K3639" s="4">
        <v>4500</v>
      </c>
      <c r="L3639" s="5">
        <f t="shared" si="28"/>
        <v>2700.0000000000005</v>
      </c>
      <c r="M3639" s="5">
        <f t="shared" si="29"/>
        <v>1080.0000000000002</v>
      </c>
      <c r="N3639" s="6">
        <v>0.4</v>
      </c>
    </row>
    <row r="3640" spans="1:14" ht="15.75" customHeight="1" x14ac:dyDescent="0.45">
      <c r="A3640" s="1" t="s">
        <v>119</v>
      </c>
      <c r="B3640" s="1">
        <v>1185732</v>
      </c>
      <c r="C3640" s="2">
        <v>44759</v>
      </c>
      <c r="D3640" s="1" t="s">
        <v>11</v>
      </c>
      <c r="E3640" s="1" t="s">
        <v>115</v>
      </c>
      <c r="F3640" s="1" t="s">
        <v>116</v>
      </c>
      <c r="G3640" s="1" t="s">
        <v>15</v>
      </c>
      <c r="H3640" s="1">
        <v>47</v>
      </c>
      <c r="I3640" s="1" t="s">
        <v>124</v>
      </c>
      <c r="J3640" s="3">
        <v>0.55000000000000004</v>
      </c>
      <c r="K3640" s="4">
        <v>3750</v>
      </c>
      <c r="L3640" s="5">
        <f t="shared" si="28"/>
        <v>2062.5</v>
      </c>
      <c r="M3640" s="5">
        <f t="shared" si="29"/>
        <v>618.75</v>
      </c>
      <c r="N3640" s="6">
        <v>0.3</v>
      </c>
    </row>
    <row r="3641" spans="1:14" ht="15.75" customHeight="1" x14ac:dyDescent="0.45">
      <c r="A3641" s="1" t="s">
        <v>119</v>
      </c>
      <c r="B3641" s="1">
        <v>1185732</v>
      </c>
      <c r="C3641" s="2">
        <v>44759</v>
      </c>
      <c r="D3641" s="1" t="s">
        <v>11</v>
      </c>
      <c r="E3641" s="1" t="s">
        <v>115</v>
      </c>
      <c r="F3641" s="1" t="s">
        <v>116</v>
      </c>
      <c r="G3641" s="1" t="s">
        <v>16</v>
      </c>
      <c r="H3641" s="1">
        <v>60</v>
      </c>
      <c r="I3641" s="1" t="s">
        <v>125</v>
      </c>
      <c r="J3641" s="3">
        <v>0.55000000000000004</v>
      </c>
      <c r="K3641" s="4">
        <v>3250</v>
      </c>
      <c r="L3641" s="5">
        <f t="shared" si="28"/>
        <v>1787.5000000000002</v>
      </c>
      <c r="M3641" s="5">
        <f t="shared" si="29"/>
        <v>536.25</v>
      </c>
      <c r="N3641" s="6">
        <v>0.3</v>
      </c>
    </row>
    <row r="3642" spans="1:14" ht="15.75" customHeight="1" x14ac:dyDescent="0.45">
      <c r="A3642" s="1" t="s">
        <v>119</v>
      </c>
      <c r="B3642" s="1">
        <v>1185732</v>
      </c>
      <c r="C3642" s="2">
        <v>44759</v>
      </c>
      <c r="D3642" s="1" t="s">
        <v>11</v>
      </c>
      <c r="E3642" s="1" t="s">
        <v>115</v>
      </c>
      <c r="F3642" s="1" t="s">
        <v>116</v>
      </c>
      <c r="G3642" s="1" t="s">
        <v>17</v>
      </c>
      <c r="H3642" s="1">
        <v>48</v>
      </c>
      <c r="I3642" s="1" t="s">
        <v>126</v>
      </c>
      <c r="J3642" s="3">
        <v>0.65</v>
      </c>
      <c r="K3642" s="4">
        <v>3500</v>
      </c>
      <c r="L3642" s="5">
        <f t="shared" si="28"/>
        <v>2275</v>
      </c>
      <c r="M3642" s="5">
        <f t="shared" si="29"/>
        <v>682.5</v>
      </c>
      <c r="N3642" s="6">
        <v>0.3</v>
      </c>
    </row>
    <row r="3643" spans="1:14" ht="15.75" customHeight="1" x14ac:dyDescent="0.45">
      <c r="A3643" s="1" t="s">
        <v>119</v>
      </c>
      <c r="B3643" s="1">
        <v>1185732</v>
      </c>
      <c r="C3643" s="2">
        <v>44759</v>
      </c>
      <c r="D3643" s="1" t="s">
        <v>11</v>
      </c>
      <c r="E3643" s="1" t="s">
        <v>115</v>
      </c>
      <c r="F3643" s="1" t="s">
        <v>116</v>
      </c>
      <c r="G3643" s="1" t="s">
        <v>18</v>
      </c>
      <c r="H3643" s="1">
        <v>47</v>
      </c>
      <c r="I3643" s="1" t="s">
        <v>126</v>
      </c>
      <c r="J3643" s="3">
        <v>0.70000000000000007</v>
      </c>
      <c r="K3643" s="4">
        <v>5250</v>
      </c>
      <c r="L3643" s="5">
        <f t="shared" si="28"/>
        <v>3675.0000000000005</v>
      </c>
      <c r="M3643" s="5">
        <f t="shared" si="29"/>
        <v>1286.25</v>
      </c>
      <c r="N3643" s="6">
        <v>0.35</v>
      </c>
    </row>
    <row r="3644" spans="1:14" ht="15.75" customHeight="1" x14ac:dyDescent="0.45">
      <c r="A3644" s="1" t="s">
        <v>119</v>
      </c>
      <c r="B3644" s="1">
        <v>1185732</v>
      </c>
      <c r="C3644" s="2">
        <v>44791</v>
      </c>
      <c r="D3644" s="1" t="s">
        <v>11</v>
      </c>
      <c r="E3644" s="1" t="s">
        <v>115</v>
      </c>
      <c r="F3644" s="1" t="s">
        <v>116</v>
      </c>
      <c r="G3644" s="1" t="s">
        <v>13</v>
      </c>
      <c r="H3644" s="1">
        <v>21</v>
      </c>
      <c r="I3644" s="1" t="s">
        <v>124</v>
      </c>
      <c r="J3644" s="3">
        <v>0.65</v>
      </c>
      <c r="K3644" s="4">
        <v>6750</v>
      </c>
      <c r="L3644" s="5">
        <f t="shared" si="28"/>
        <v>4387.5</v>
      </c>
      <c r="M3644" s="5">
        <f t="shared" si="29"/>
        <v>1755</v>
      </c>
      <c r="N3644" s="6">
        <v>0.4</v>
      </c>
    </row>
    <row r="3645" spans="1:14" ht="15.75" customHeight="1" x14ac:dyDescent="0.45">
      <c r="A3645" s="1" t="s">
        <v>119</v>
      </c>
      <c r="B3645" s="1">
        <v>1185732</v>
      </c>
      <c r="C3645" s="2">
        <v>44791</v>
      </c>
      <c r="D3645" s="1" t="s">
        <v>11</v>
      </c>
      <c r="E3645" s="1" t="s">
        <v>115</v>
      </c>
      <c r="F3645" s="1" t="s">
        <v>116</v>
      </c>
      <c r="G3645" s="1" t="s">
        <v>14</v>
      </c>
      <c r="H3645" s="1">
        <v>59</v>
      </c>
      <c r="I3645" s="1" t="s">
        <v>125</v>
      </c>
      <c r="J3645" s="3">
        <v>0.60000000000000009</v>
      </c>
      <c r="K3645" s="4">
        <v>4500</v>
      </c>
      <c r="L3645" s="5">
        <f t="shared" si="28"/>
        <v>2700.0000000000005</v>
      </c>
      <c r="M3645" s="5">
        <f t="shared" si="29"/>
        <v>1080.0000000000002</v>
      </c>
      <c r="N3645" s="6">
        <v>0.4</v>
      </c>
    </row>
    <row r="3646" spans="1:14" ht="15.75" customHeight="1" x14ac:dyDescent="0.45">
      <c r="A3646" s="1" t="s">
        <v>119</v>
      </c>
      <c r="B3646" s="1">
        <v>1185732</v>
      </c>
      <c r="C3646" s="2">
        <v>44791</v>
      </c>
      <c r="D3646" s="1" t="s">
        <v>11</v>
      </c>
      <c r="E3646" s="1" t="s">
        <v>115</v>
      </c>
      <c r="F3646" s="1" t="s">
        <v>116</v>
      </c>
      <c r="G3646" s="1" t="s">
        <v>15</v>
      </c>
      <c r="H3646" s="1">
        <v>35</v>
      </c>
      <c r="I3646" s="1" t="s">
        <v>126</v>
      </c>
      <c r="J3646" s="3">
        <v>0.55000000000000004</v>
      </c>
      <c r="K3646" s="4">
        <v>3750</v>
      </c>
      <c r="L3646" s="5">
        <f t="shared" si="28"/>
        <v>2062.5</v>
      </c>
      <c r="M3646" s="5">
        <f t="shared" si="29"/>
        <v>618.75</v>
      </c>
      <c r="N3646" s="6">
        <v>0.3</v>
      </c>
    </row>
    <row r="3647" spans="1:14" ht="15.75" customHeight="1" x14ac:dyDescent="0.45">
      <c r="A3647" s="1" t="s">
        <v>119</v>
      </c>
      <c r="B3647" s="1">
        <v>1185732</v>
      </c>
      <c r="C3647" s="2">
        <v>44791</v>
      </c>
      <c r="D3647" s="1" t="s">
        <v>11</v>
      </c>
      <c r="E3647" s="1" t="s">
        <v>115</v>
      </c>
      <c r="F3647" s="1" t="s">
        <v>116</v>
      </c>
      <c r="G3647" s="1" t="s">
        <v>16</v>
      </c>
      <c r="H3647" s="1">
        <v>49</v>
      </c>
      <c r="I3647" s="1" t="s">
        <v>123</v>
      </c>
      <c r="J3647" s="3">
        <v>0.55000000000000004</v>
      </c>
      <c r="K3647" s="4">
        <v>2750</v>
      </c>
      <c r="L3647" s="5">
        <f t="shared" si="28"/>
        <v>1512.5000000000002</v>
      </c>
      <c r="M3647" s="5">
        <f t="shared" si="29"/>
        <v>453.75000000000006</v>
      </c>
      <c r="N3647" s="6">
        <v>0.3</v>
      </c>
    </row>
    <row r="3648" spans="1:14" ht="15.75" customHeight="1" x14ac:dyDescent="0.45">
      <c r="A3648" s="1" t="s">
        <v>119</v>
      </c>
      <c r="B3648" s="1">
        <v>1185732</v>
      </c>
      <c r="C3648" s="2">
        <v>44791</v>
      </c>
      <c r="D3648" s="1" t="s">
        <v>11</v>
      </c>
      <c r="E3648" s="1" t="s">
        <v>115</v>
      </c>
      <c r="F3648" s="1" t="s">
        <v>116</v>
      </c>
      <c r="G3648" s="1" t="s">
        <v>17</v>
      </c>
      <c r="H3648" s="1">
        <v>57</v>
      </c>
      <c r="I3648" s="1" t="s">
        <v>126</v>
      </c>
      <c r="J3648" s="3">
        <v>0.65</v>
      </c>
      <c r="K3648" s="4">
        <v>2500</v>
      </c>
      <c r="L3648" s="5">
        <f t="shared" si="28"/>
        <v>1625</v>
      </c>
      <c r="M3648" s="5">
        <f t="shared" si="29"/>
        <v>487.5</v>
      </c>
      <c r="N3648" s="6">
        <v>0.3</v>
      </c>
    </row>
    <row r="3649" spans="1:14" ht="15.75" customHeight="1" x14ac:dyDescent="0.45">
      <c r="A3649" s="1" t="s">
        <v>119</v>
      </c>
      <c r="B3649" s="1">
        <v>1185732</v>
      </c>
      <c r="C3649" s="2">
        <v>44791</v>
      </c>
      <c r="D3649" s="1" t="s">
        <v>11</v>
      </c>
      <c r="E3649" s="1" t="s">
        <v>115</v>
      </c>
      <c r="F3649" s="1" t="s">
        <v>116</v>
      </c>
      <c r="G3649" s="1" t="s">
        <v>18</v>
      </c>
      <c r="H3649" s="1">
        <v>27</v>
      </c>
      <c r="I3649" s="1" t="s">
        <v>124</v>
      </c>
      <c r="J3649" s="3">
        <v>0.70000000000000007</v>
      </c>
      <c r="K3649" s="4">
        <v>4250</v>
      </c>
      <c r="L3649" s="5">
        <f t="shared" si="28"/>
        <v>2975.0000000000005</v>
      </c>
      <c r="M3649" s="5">
        <f t="shared" si="29"/>
        <v>1041.25</v>
      </c>
      <c r="N3649" s="6">
        <v>0.35</v>
      </c>
    </row>
    <row r="3650" spans="1:14" ht="15.75" customHeight="1" x14ac:dyDescent="0.45">
      <c r="A3650" s="1" t="s">
        <v>119</v>
      </c>
      <c r="B3650" s="1">
        <v>1185732</v>
      </c>
      <c r="C3650" s="2">
        <v>44821</v>
      </c>
      <c r="D3650" s="1" t="s">
        <v>11</v>
      </c>
      <c r="E3650" s="1" t="s">
        <v>115</v>
      </c>
      <c r="F3650" s="1" t="s">
        <v>116</v>
      </c>
      <c r="G3650" s="1" t="s">
        <v>13</v>
      </c>
      <c r="H3650" s="1">
        <v>21</v>
      </c>
      <c r="I3650" s="1" t="s">
        <v>126</v>
      </c>
      <c r="J3650" s="3">
        <v>0.65</v>
      </c>
      <c r="K3650" s="4">
        <v>5500</v>
      </c>
      <c r="L3650" s="5">
        <f t="shared" si="28"/>
        <v>3575</v>
      </c>
      <c r="M3650" s="5">
        <f t="shared" si="29"/>
        <v>1430</v>
      </c>
      <c r="N3650" s="6">
        <v>0.4</v>
      </c>
    </row>
    <row r="3651" spans="1:14" ht="15.75" customHeight="1" x14ac:dyDescent="0.45">
      <c r="A3651" s="1" t="s">
        <v>119</v>
      </c>
      <c r="B3651" s="1">
        <v>1185732</v>
      </c>
      <c r="C3651" s="2">
        <v>44821</v>
      </c>
      <c r="D3651" s="1" t="s">
        <v>11</v>
      </c>
      <c r="E3651" s="1" t="s">
        <v>115</v>
      </c>
      <c r="F3651" s="1" t="s">
        <v>116</v>
      </c>
      <c r="G3651" s="1" t="s">
        <v>14</v>
      </c>
      <c r="H3651" s="1">
        <v>45</v>
      </c>
      <c r="I3651" s="1" t="s">
        <v>124</v>
      </c>
      <c r="J3651" s="3">
        <v>0.60000000000000009</v>
      </c>
      <c r="K3651" s="4">
        <v>3500</v>
      </c>
      <c r="L3651" s="5">
        <f t="shared" si="28"/>
        <v>2100.0000000000005</v>
      </c>
      <c r="M3651" s="5">
        <f t="shared" si="29"/>
        <v>840.00000000000023</v>
      </c>
      <c r="N3651" s="6">
        <v>0.4</v>
      </c>
    </row>
    <row r="3652" spans="1:14" ht="15.75" customHeight="1" x14ac:dyDescent="0.45">
      <c r="A3652" s="1" t="s">
        <v>119</v>
      </c>
      <c r="B3652" s="1">
        <v>1185732</v>
      </c>
      <c r="C3652" s="2">
        <v>44821</v>
      </c>
      <c r="D3652" s="1" t="s">
        <v>11</v>
      </c>
      <c r="E3652" s="1" t="s">
        <v>115</v>
      </c>
      <c r="F3652" s="1" t="s">
        <v>116</v>
      </c>
      <c r="G3652" s="1" t="s">
        <v>15</v>
      </c>
      <c r="H3652" s="1">
        <v>44</v>
      </c>
      <c r="I3652" s="1" t="s">
        <v>126</v>
      </c>
      <c r="J3652" s="3">
        <v>0.55000000000000004</v>
      </c>
      <c r="K3652" s="4">
        <v>2500</v>
      </c>
      <c r="L3652" s="5">
        <f t="shared" si="28"/>
        <v>1375</v>
      </c>
      <c r="M3652" s="5">
        <f t="shared" si="29"/>
        <v>412.5</v>
      </c>
      <c r="N3652" s="6">
        <v>0.3</v>
      </c>
    </row>
    <row r="3653" spans="1:14" ht="15.75" customHeight="1" x14ac:dyDescent="0.45">
      <c r="A3653" s="1" t="s">
        <v>119</v>
      </c>
      <c r="B3653" s="1">
        <v>1185732</v>
      </c>
      <c r="C3653" s="2">
        <v>44821</v>
      </c>
      <c r="D3653" s="1" t="s">
        <v>11</v>
      </c>
      <c r="E3653" s="1" t="s">
        <v>115</v>
      </c>
      <c r="F3653" s="1" t="s">
        <v>116</v>
      </c>
      <c r="G3653" s="1" t="s">
        <v>16</v>
      </c>
      <c r="H3653" s="1">
        <v>44</v>
      </c>
      <c r="I3653" s="1" t="s">
        <v>124</v>
      </c>
      <c r="J3653" s="3">
        <v>0.55000000000000004</v>
      </c>
      <c r="K3653" s="4">
        <v>2250</v>
      </c>
      <c r="L3653" s="5">
        <f t="shared" si="28"/>
        <v>1237.5</v>
      </c>
      <c r="M3653" s="5">
        <f t="shared" si="29"/>
        <v>371.25</v>
      </c>
      <c r="N3653" s="6">
        <v>0.3</v>
      </c>
    </row>
    <row r="3654" spans="1:14" ht="15.75" customHeight="1" x14ac:dyDescent="0.45">
      <c r="A3654" s="1" t="s">
        <v>119</v>
      </c>
      <c r="B3654" s="1">
        <v>1185732</v>
      </c>
      <c r="C3654" s="2">
        <v>44821</v>
      </c>
      <c r="D3654" s="1" t="s">
        <v>11</v>
      </c>
      <c r="E3654" s="1" t="s">
        <v>115</v>
      </c>
      <c r="F3654" s="1" t="s">
        <v>116</v>
      </c>
      <c r="G3654" s="1" t="s">
        <v>17</v>
      </c>
      <c r="H3654" s="1">
        <v>38</v>
      </c>
      <c r="I3654" s="1" t="s">
        <v>123</v>
      </c>
      <c r="J3654" s="3">
        <v>0.65</v>
      </c>
      <c r="K3654" s="4">
        <v>2250</v>
      </c>
      <c r="L3654" s="5">
        <f t="shared" si="28"/>
        <v>1462.5</v>
      </c>
      <c r="M3654" s="5">
        <f t="shared" si="29"/>
        <v>438.75</v>
      </c>
      <c r="N3654" s="6">
        <v>0.3</v>
      </c>
    </row>
    <row r="3655" spans="1:14" ht="15.75" customHeight="1" x14ac:dyDescent="0.45">
      <c r="A3655" s="1" t="s">
        <v>119</v>
      </c>
      <c r="B3655" s="1">
        <v>1185732</v>
      </c>
      <c r="C3655" s="2">
        <v>44821</v>
      </c>
      <c r="D3655" s="1" t="s">
        <v>11</v>
      </c>
      <c r="E3655" s="1" t="s">
        <v>115</v>
      </c>
      <c r="F3655" s="1" t="s">
        <v>116</v>
      </c>
      <c r="G3655" s="1" t="s">
        <v>18</v>
      </c>
      <c r="H3655" s="1">
        <v>18</v>
      </c>
      <c r="I3655" s="1" t="s">
        <v>123</v>
      </c>
      <c r="J3655" s="3">
        <v>0.70000000000000007</v>
      </c>
      <c r="K3655" s="4">
        <v>3250</v>
      </c>
      <c r="L3655" s="5">
        <f t="shared" si="28"/>
        <v>2275</v>
      </c>
      <c r="M3655" s="5">
        <f t="shared" si="29"/>
        <v>796.25</v>
      </c>
      <c r="N3655" s="6">
        <v>0.35</v>
      </c>
    </row>
    <row r="3656" spans="1:14" ht="15.75" customHeight="1" x14ac:dyDescent="0.45">
      <c r="A3656" s="1" t="s">
        <v>119</v>
      </c>
      <c r="B3656" s="1">
        <v>1185732</v>
      </c>
      <c r="C3656" s="2">
        <v>44853</v>
      </c>
      <c r="D3656" s="1" t="s">
        <v>11</v>
      </c>
      <c r="E3656" s="1" t="s">
        <v>115</v>
      </c>
      <c r="F3656" s="1" t="s">
        <v>116</v>
      </c>
      <c r="G3656" s="1" t="s">
        <v>13</v>
      </c>
      <c r="H3656" s="1">
        <v>49</v>
      </c>
      <c r="I3656" s="1" t="s">
        <v>125</v>
      </c>
      <c r="J3656" s="3">
        <v>0.70000000000000007</v>
      </c>
      <c r="K3656" s="4">
        <v>4750</v>
      </c>
      <c r="L3656" s="5">
        <f t="shared" si="28"/>
        <v>3325.0000000000005</v>
      </c>
      <c r="M3656" s="5">
        <f t="shared" si="29"/>
        <v>1330.0000000000002</v>
      </c>
      <c r="N3656" s="6">
        <v>0.4</v>
      </c>
    </row>
    <row r="3657" spans="1:14" ht="15.75" customHeight="1" x14ac:dyDescent="0.45">
      <c r="A3657" s="1" t="s">
        <v>119</v>
      </c>
      <c r="B3657" s="1">
        <v>1185732</v>
      </c>
      <c r="C3657" s="2">
        <v>44853</v>
      </c>
      <c r="D3657" s="1" t="s">
        <v>11</v>
      </c>
      <c r="E3657" s="1" t="s">
        <v>115</v>
      </c>
      <c r="F3657" s="1" t="s">
        <v>116</v>
      </c>
      <c r="G3657" s="1" t="s">
        <v>14</v>
      </c>
      <c r="H3657" s="1">
        <v>27</v>
      </c>
      <c r="I3657" s="1" t="s">
        <v>125</v>
      </c>
      <c r="J3657" s="3">
        <v>0.65000000000000013</v>
      </c>
      <c r="K3657" s="4">
        <v>3000</v>
      </c>
      <c r="L3657" s="5">
        <f t="shared" si="28"/>
        <v>1950.0000000000005</v>
      </c>
      <c r="M3657" s="5">
        <f t="shared" si="29"/>
        <v>780.00000000000023</v>
      </c>
      <c r="N3657" s="6">
        <v>0.4</v>
      </c>
    </row>
    <row r="3658" spans="1:14" ht="15.75" customHeight="1" x14ac:dyDescent="0.45">
      <c r="A3658" s="1" t="s">
        <v>119</v>
      </c>
      <c r="B3658" s="1">
        <v>1185732</v>
      </c>
      <c r="C3658" s="2">
        <v>44853</v>
      </c>
      <c r="D3658" s="1" t="s">
        <v>11</v>
      </c>
      <c r="E3658" s="1" t="s">
        <v>115</v>
      </c>
      <c r="F3658" s="1" t="s">
        <v>116</v>
      </c>
      <c r="G3658" s="1" t="s">
        <v>15</v>
      </c>
      <c r="H3658" s="1">
        <v>58</v>
      </c>
      <c r="I3658" s="1" t="s">
        <v>125</v>
      </c>
      <c r="J3658" s="3">
        <v>0.65000000000000013</v>
      </c>
      <c r="K3658" s="4">
        <v>2000</v>
      </c>
      <c r="L3658" s="5">
        <f t="shared" si="28"/>
        <v>1300.0000000000002</v>
      </c>
      <c r="M3658" s="5">
        <f t="shared" si="29"/>
        <v>390.00000000000006</v>
      </c>
      <c r="N3658" s="6">
        <v>0.3</v>
      </c>
    </row>
    <row r="3659" spans="1:14" ht="15.75" customHeight="1" x14ac:dyDescent="0.45">
      <c r="A3659" s="1" t="s">
        <v>119</v>
      </c>
      <c r="B3659" s="1">
        <v>1185732</v>
      </c>
      <c r="C3659" s="2">
        <v>44853</v>
      </c>
      <c r="D3659" s="1" t="s">
        <v>11</v>
      </c>
      <c r="E3659" s="1" t="s">
        <v>115</v>
      </c>
      <c r="F3659" s="1" t="s">
        <v>116</v>
      </c>
      <c r="G3659" s="1" t="s">
        <v>16</v>
      </c>
      <c r="H3659" s="1">
        <v>33</v>
      </c>
      <c r="I3659" s="1" t="s">
        <v>123</v>
      </c>
      <c r="J3659" s="3">
        <v>0.65000000000000013</v>
      </c>
      <c r="K3659" s="4">
        <v>1750</v>
      </c>
      <c r="L3659" s="5">
        <f t="shared" si="28"/>
        <v>1137.5000000000002</v>
      </c>
      <c r="M3659" s="5">
        <f t="shared" si="29"/>
        <v>341.25000000000006</v>
      </c>
      <c r="N3659" s="6">
        <v>0.3</v>
      </c>
    </row>
    <row r="3660" spans="1:14" ht="15.75" customHeight="1" x14ac:dyDescent="0.45">
      <c r="A3660" s="1" t="s">
        <v>119</v>
      </c>
      <c r="B3660" s="1">
        <v>1185732</v>
      </c>
      <c r="C3660" s="2">
        <v>44853</v>
      </c>
      <c r="D3660" s="1" t="s">
        <v>11</v>
      </c>
      <c r="E3660" s="1" t="s">
        <v>115</v>
      </c>
      <c r="F3660" s="1" t="s">
        <v>116</v>
      </c>
      <c r="G3660" s="1" t="s">
        <v>17</v>
      </c>
      <c r="H3660" s="1">
        <v>53</v>
      </c>
      <c r="I3660" s="1" t="s">
        <v>123</v>
      </c>
      <c r="J3660" s="3">
        <v>0.75000000000000011</v>
      </c>
      <c r="K3660" s="4">
        <v>1750</v>
      </c>
      <c r="L3660" s="5">
        <f t="shared" si="28"/>
        <v>1312.5000000000002</v>
      </c>
      <c r="M3660" s="5">
        <f t="shared" si="29"/>
        <v>393.75000000000006</v>
      </c>
      <c r="N3660" s="6">
        <v>0.3</v>
      </c>
    </row>
    <row r="3661" spans="1:14" ht="15.75" customHeight="1" x14ac:dyDescent="0.45">
      <c r="A3661" s="1" t="s">
        <v>119</v>
      </c>
      <c r="B3661" s="1">
        <v>1185732</v>
      </c>
      <c r="C3661" s="2">
        <v>44853</v>
      </c>
      <c r="D3661" s="1" t="s">
        <v>11</v>
      </c>
      <c r="E3661" s="1" t="s">
        <v>115</v>
      </c>
      <c r="F3661" s="1" t="s">
        <v>116</v>
      </c>
      <c r="G3661" s="1" t="s">
        <v>18</v>
      </c>
      <c r="H3661" s="1">
        <v>16</v>
      </c>
      <c r="I3661" s="1" t="s">
        <v>123</v>
      </c>
      <c r="J3661" s="3">
        <v>0.8</v>
      </c>
      <c r="K3661" s="4">
        <v>3000</v>
      </c>
      <c r="L3661" s="5">
        <f t="shared" si="28"/>
        <v>2400</v>
      </c>
      <c r="M3661" s="5">
        <f t="shared" si="29"/>
        <v>840</v>
      </c>
      <c r="N3661" s="6">
        <v>0.35</v>
      </c>
    </row>
    <row r="3662" spans="1:14" ht="15.75" customHeight="1" x14ac:dyDescent="0.45">
      <c r="A3662" s="1" t="s">
        <v>119</v>
      </c>
      <c r="B3662" s="1">
        <v>1185732</v>
      </c>
      <c r="C3662" s="2">
        <v>44883</v>
      </c>
      <c r="D3662" s="1" t="s">
        <v>11</v>
      </c>
      <c r="E3662" s="1" t="s">
        <v>115</v>
      </c>
      <c r="F3662" s="1" t="s">
        <v>116</v>
      </c>
      <c r="G3662" s="1" t="s">
        <v>13</v>
      </c>
      <c r="H3662" s="1">
        <v>16</v>
      </c>
      <c r="I3662" s="1" t="s">
        <v>123</v>
      </c>
      <c r="J3662" s="3">
        <v>0.75000000000000011</v>
      </c>
      <c r="K3662" s="4">
        <v>4500</v>
      </c>
      <c r="L3662" s="5">
        <f t="shared" si="28"/>
        <v>3375.0000000000005</v>
      </c>
      <c r="M3662" s="5">
        <f t="shared" si="29"/>
        <v>1350.0000000000002</v>
      </c>
      <c r="N3662" s="6">
        <v>0.4</v>
      </c>
    </row>
    <row r="3663" spans="1:14" ht="15.75" customHeight="1" x14ac:dyDescent="0.45">
      <c r="A3663" s="1" t="s">
        <v>119</v>
      </c>
      <c r="B3663" s="1">
        <v>1185732</v>
      </c>
      <c r="C3663" s="2">
        <v>44883</v>
      </c>
      <c r="D3663" s="1" t="s">
        <v>11</v>
      </c>
      <c r="E3663" s="1" t="s">
        <v>115</v>
      </c>
      <c r="F3663" s="1" t="s">
        <v>116</v>
      </c>
      <c r="G3663" s="1" t="s">
        <v>14</v>
      </c>
      <c r="H3663" s="1">
        <v>51</v>
      </c>
      <c r="I3663" s="1" t="s">
        <v>123</v>
      </c>
      <c r="J3663" s="3">
        <v>0.65000000000000013</v>
      </c>
      <c r="K3663" s="4">
        <v>3250</v>
      </c>
      <c r="L3663" s="5">
        <f t="shared" si="28"/>
        <v>2112.5000000000005</v>
      </c>
      <c r="M3663" s="5">
        <f t="shared" si="29"/>
        <v>845.00000000000023</v>
      </c>
      <c r="N3663" s="6">
        <v>0.4</v>
      </c>
    </row>
    <row r="3664" spans="1:14" ht="15.75" customHeight="1" x14ac:dyDescent="0.45">
      <c r="A3664" s="1" t="s">
        <v>119</v>
      </c>
      <c r="B3664" s="1">
        <v>1185732</v>
      </c>
      <c r="C3664" s="2">
        <v>44883</v>
      </c>
      <c r="D3664" s="1" t="s">
        <v>11</v>
      </c>
      <c r="E3664" s="1" t="s">
        <v>115</v>
      </c>
      <c r="F3664" s="1" t="s">
        <v>116</v>
      </c>
      <c r="G3664" s="1" t="s">
        <v>15</v>
      </c>
      <c r="H3664" s="1">
        <v>54</v>
      </c>
      <c r="I3664" s="1" t="s">
        <v>126</v>
      </c>
      <c r="J3664" s="3">
        <v>0.65000000000000013</v>
      </c>
      <c r="K3664" s="4">
        <v>3450</v>
      </c>
      <c r="L3664" s="5">
        <f t="shared" si="28"/>
        <v>2242.5000000000005</v>
      </c>
      <c r="M3664" s="5">
        <f t="shared" si="29"/>
        <v>672.75000000000011</v>
      </c>
      <c r="N3664" s="6">
        <v>0.3</v>
      </c>
    </row>
    <row r="3665" spans="1:14" ht="15.75" customHeight="1" x14ac:dyDescent="0.45">
      <c r="A3665" s="1" t="s">
        <v>119</v>
      </c>
      <c r="B3665" s="1">
        <v>1185732</v>
      </c>
      <c r="C3665" s="2">
        <v>44883</v>
      </c>
      <c r="D3665" s="1" t="s">
        <v>11</v>
      </c>
      <c r="E3665" s="1" t="s">
        <v>115</v>
      </c>
      <c r="F3665" s="1" t="s">
        <v>116</v>
      </c>
      <c r="G3665" s="1" t="s">
        <v>16</v>
      </c>
      <c r="H3665" s="1">
        <v>18</v>
      </c>
      <c r="I3665" s="1" t="s">
        <v>126</v>
      </c>
      <c r="J3665" s="3">
        <v>0.65000000000000013</v>
      </c>
      <c r="K3665" s="4">
        <v>3250</v>
      </c>
      <c r="L3665" s="5">
        <f t="shared" si="28"/>
        <v>2112.5000000000005</v>
      </c>
      <c r="M3665" s="5">
        <f t="shared" si="29"/>
        <v>633.75000000000011</v>
      </c>
      <c r="N3665" s="6">
        <v>0.3</v>
      </c>
    </row>
    <row r="3666" spans="1:14" ht="15.75" customHeight="1" x14ac:dyDescent="0.45">
      <c r="A3666" s="1" t="s">
        <v>119</v>
      </c>
      <c r="B3666" s="1">
        <v>1185732</v>
      </c>
      <c r="C3666" s="2">
        <v>44883</v>
      </c>
      <c r="D3666" s="1" t="s">
        <v>11</v>
      </c>
      <c r="E3666" s="1" t="s">
        <v>115</v>
      </c>
      <c r="F3666" s="1" t="s">
        <v>116</v>
      </c>
      <c r="G3666" s="1" t="s">
        <v>17</v>
      </c>
      <c r="H3666" s="1">
        <v>40</v>
      </c>
      <c r="I3666" s="1" t="s">
        <v>125</v>
      </c>
      <c r="J3666" s="3">
        <v>0.75000000000000011</v>
      </c>
      <c r="K3666" s="4">
        <v>3000</v>
      </c>
      <c r="L3666" s="5">
        <f t="shared" si="28"/>
        <v>2250.0000000000005</v>
      </c>
      <c r="M3666" s="5">
        <f t="shared" si="29"/>
        <v>675.00000000000011</v>
      </c>
      <c r="N3666" s="6">
        <v>0.3</v>
      </c>
    </row>
    <row r="3667" spans="1:14" ht="15.75" customHeight="1" x14ac:dyDescent="0.45">
      <c r="A3667" s="1" t="s">
        <v>119</v>
      </c>
      <c r="B3667" s="1">
        <v>1185732</v>
      </c>
      <c r="C3667" s="2">
        <v>44883</v>
      </c>
      <c r="D3667" s="1" t="s">
        <v>11</v>
      </c>
      <c r="E3667" s="1" t="s">
        <v>115</v>
      </c>
      <c r="F3667" s="1" t="s">
        <v>116</v>
      </c>
      <c r="G3667" s="1" t="s">
        <v>18</v>
      </c>
      <c r="H3667" s="1">
        <v>18</v>
      </c>
      <c r="I3667" s="1" t="s">
        <v>125</v>
      </c>
      <c r="J3667" s="3">
        <v>0.8</v>
      </c>
      <c r="K3667" s="4">
        <v>4000</v>
      </c>
      <c r="L3667" s="5">
        <f t="shared" si="28"/>
        <v>3200</v>
      </c>
      <c r="M3667" s="5">
        <f t="shared" si="29"/>
        <v>1120</v>
      </c>
      <c r="N3667" s="6">
        <v>0.35</v>
      </c>
    </row>
    <row r="3668" spans="1:14" ht="15.75" customHeight="1" x14ac:dyDescent="0.45">
      <c r="A3668" s="1" t="s">
        <v>119</v>
      </c>
      <c r="B3668" s="1">
        <v>1185732</v>
      </c>
      <c r="C3668" s="2">
        <v>44912</v>
      </c>
      <c r="D3668" s="1" t="s">
        <v>11</v>
      </c>
      <c r="E3668" s="1" t="s">
        <v>115</v>
      </c>
      <c r="F3668" s="1" t="s">
        <v>116</v>
      </c>
      <c r="G3668" s="1" t="s">
        <v>13</v>
      </c>
      <c r="H3668" s="1">
        <v>50</v>
      </c>
      <c r="I3668" s="1" t="s">
        <v>123</v>
      </c>
      <c r="J3668" s="3">
        <v>0.75000000000000011</v>
      </c>
      <c r="K3668" s="4">
        <v>6250</v>
      </c>
      <c r="L3668" s="5">
        <f t="shared" si="28"/>
        <v>4687.5000000000009</v>
      </c>
      <c r="M3668" s="5">
        <f t="shared" si="29"/>
        <v>1875.0000000000005</v>
      </c>
      <c r="N3668" s="6">
        <v>0.4</v>
      </c>
    </row>
    <row r="3669" spans="1:14" ht="15.75" customHeight="1" x14ac:dyDescent="0.45">
      <c r="A3669" s="1" t="s">
        <v>119</v>
      </c>
      <c r="B3669" s="1">
        <v>1185732</v>
      </c>
      <c r="C3669" s="2">
        <v>44912</v>
      </c>
      <c r="D3669" s="1" t="s">
        <v>11</v>
      </c>
      <c r="E3669" s="1" t="s">
        <v>115</v>
      </c>
      <c r="F3669" s="1" t="s">
        <v>116</v>
      </c>
      <c r="G3669" s="1" t="s">
        <v>14</v>
      </c>
      <c r="H3669" s="1">
        <v>20</v>
      </c>
      <c r="I3669" s="1" t="s">
        <v>123</v>
      </c>
      <c r="J3669" s="3">
        <v>0.65000000000000013</v>
      </c>
      <c r="K3669" s="4">
        <v>4250</v>
      </c>
      <c r="L3669" s="5">
        <f t="shared" si="28"/>
        <v>2762.5000000000005</v>
      </c>
      <c r="M3669" s="5">
        <f t="shared" si="29"/>
        <v>1105.0000000000002</v>
      </c>
      <c r="N3669" s="6">
        <v>0.4</v>
      </c>
    </row>
    <row r="3670" spans="1:14" ht="15.75" customHeight="1" x14ac:dyDescent="0.45">
      <c r="A3670" s="1" t="s">
        <v>119</v>
      </c>
      <c r="B3670" s="1">
        <v>1185732</v>
      </c>
      <c r="C3670" s="2">
        <v>44912</v>
      </c>
      <c r="D3670" s="1" t="s">
        <v>11</v>
      </c>
      <c r="E3670" s="1" t="s">
        <v>115</v>
      </c>
      <c r="F3670" s="1" t="s">
        <v>116</v>
      </c>
      <c r="G3670" s="1" t="s">
        <v>15</v>
      </c>
      <c r="H3670" s="1">
        <v>40</v>
      </c>
      <c r="I3670" s="1" t="s">
        <v>123</v>
      </c>
      <c r="J3670" s="3">
        <v>0.65000000000000013</v>
      </c>
      <c r="K3670" s="4">
        <v>4000</v>
      </c>
      <c r="L3670" s="5">
        <f t="shared" si="28"/>
        <v>2600.0000000000005</v>
      </c>
      <c r="M3670" s="5">
        <f t="shared" si="29"/>
        <v>780.00000000000011</v>
      </c>
      <c r="N3670" s="6">
        <v>0.3</v>
      </c>
    </row>
    <row r="3671" spans="1:14" ht="15.75" customHeight="1" x14ac:dyDescent="0.45">
      <c r="A3671" s="1" t="s">
        <v>119</v>
      </c>
      <c r="B3671" s="1">
        <v>1185732</v>
      </c>
      <c r="C3671" s="2">
        <v>44912</v>
      </c>
      <c r="D3671" s="1" t="s">
        <v>11</v>
      </c>
      <c r="E3671" s="1" t="s">
        <v>115</v>
      </c>
      <c r="F3671" s="1" t="s">
        <v>116</v>
      </c>
      <c r="G3671" s="1" t="s">
        <v>16</v>
      </c>
      <c r="H3671" s="1">
        <v>29</v>
      </c>
      <c r="I3671" s="1" t="s">
        <v>125</v>
      </c>
      <c r="J3671" s="3">
        <v>0.65000000000000013</v>
      </c>
      <c r="K3671" s="4">
        <v>3500</v>
      </c>
      <c r="L3671" s="5">
        <f t="shared" si="28"/>
        <v>2275.0000000000005</v>
      </c>
      <c r="M3671" s="5">
        <f t="shared" si="29"/>
        <v>682.50000000000011</v>
      </c>
      <c r="N3671" s="6">
        <v>0.3</v>
      </c>
    </row>
    <row r="3672" spans="1:14" ht="15.75" customHeight="1" x14ac:dyDescent="0.45">
      <c r="A3672" s="1" t="s">
        <v>119</v>
      </c>
      <c r="B3672" s="1">
        <v>1185732</v>
      </c>
      <c r="C3672" s="2">
        <v>44912</v>
      </c>
      <c r="D3672" s="1" t="s">
        <v>11</v>
      </c>
      <c r="E3672" s="1" t="s">
        <v>115</v>
      </c>
      <c r="F3672" s="1" t="s">
        <v>116</v>
      </c>
      <c r="G3672" s="1" t="s">
        <v>17</v>
      </c>
      <c r="H3672" s="1">
        <v>35</v>
      </c>
      <c r="I3672" s="1" t="s">
        <v>126</v>
      </c>
      <c r="J3672" s="3">
        <v>0.75000000000000011</v>
      </c>
      <c r="K3672" s="4">
        <v>3500</v>
      </c>
      <c r="L3672" s="5">
        <f t="shared" si="28"/>
        <v>2625.0000000000005</v>
      </c>
      <c r="M3672" s="5">
        <f t="shared" si="29"/>
        <v>787.50000000000011</v>
      </c>
      <c r="N3672" s="6">
        <v>0.3</v>
      </c>
    </row>
    <row r="3673" spans="1:14" ht="15.75" customHeight="1" x14ac:dyDescent="0.45">
      <c r="A3673" s="1" t="s">
        <v>119</v>
      </c>
      <c r="B3673" s="1">
        <v>1185732</v>
      </c>
      <c r="C3673" s="2">
        <v>44912</v>
      </c>
      <c r="D3673" s="1" t="s">
        <v>11</v>
      </c>
      <c r="E3673" s="1" t="s">
        <v>115</v>
      </c>
      <c r="F3673" s="1" t="s">
        <v>116</v>
      </c>
      <c r="G3673" s="1" t="s">
        <v>18</v>
      </c>
      <c r="H3673" s="1">
        <v>38</v>
      </c>
      <c r="I3673" s="1" t="s">
        <v>125</v>
      </c>
      <c r="J3673" s="3">
        <v>0.8</v>
      </c>
      <c r="K3673" s="4">
        <v>4500</v>
      </c>
      <c r="L3673" s="5">
        <f t="shared" si="28"/>
        <v>3600</v>
      </c>
      <c r="M3673" s="5">
        <f t="shared" si="29"/>
        <v>1260</v>
      </c>
      <c r="N3673" s="6">
        <v>0.35</v>
      </c>
    </row>
    <row r="3674" spans="1:14" ht="15.75" customHeight="1" x14ac:dyDescent="0.45">
      <c r="A3674" s="1" t="s">
        <v>119</v>
      </c>
      <c r="B3674" s="1">
        <v>1185732</v>
      </c>
      <c r="C3674" s="2">
        <v>44585</v>
      </c>
      <c r="D3674" s="1" t="s">
        <v>11</v>
      </c>
      <c r="E3674" s="1" t="s">
        <v>117</v>
      </c>
      <c r="F3674" s="1" t="s">
        <v>118</v>
      </c>
      <c r="G3674" s="1" t="s">
        <v>13</v>
      </c>
      <c r="H3674" s="1">
        <v>56</v>
      </c>
      <c r="I3674" s="1" t="s">
        <v>125</v>
      </c>
      <c r="J3674" s="3">
        <v>0.55000000000000004</v>
      </c>
      <c r="K3674" s="4">
        <v>5000</v>
      </c>
      <c r="L3674" s="5">
        <f t="shared" si="28"/>
        <v>2750</v>
      </c>
      <c r="M3674" s="5">
        <f t="shared" si="29"/>
        <v>962.50000000000011</v>
      </c>
      <c r="N3674" s="6">
        <v>0.35000000000000003</v>
      </c>
    </row>
    <row r="3675" spans="1:14" ht="15.75" customHeight="1" x14ac:dyDescent="0.45">
      <c r="A3675" s="1" t="s">
        <v>119</v>
      </c>
      <c r="B3675" s="1">
        <v>1185732</v>
      </c>
      <c r="C3675" s="2">
        <v>44585</v>
      </c>
      <c r="D3675" s="1" t="s">
        <v>11</v>
      </c>
      <c r="E3675" s="1" t="s">
        <v>117</v>
      </c>
      <c r="F3675" s="1" t="s">
        <v>118</v>
      </c>
      <c r="G3675" s="1" t="s">
        <v>14</v>
      </c>
      <c r="H3675" s="1">
        <v>48</v>
      </c>
      <c r="I3675" s="1" t="s">
        <v>125</v>
      </c>
      <c r="J3675" s="3">
        <v>0.55000000000000004</v>
      </c>
      <c r="K3675" s="4">
        <v>3000</v>
      </c>
      <c r="L3675" s="5">
        <f t="shared" si="28"/>
        <v>1650.0000000000002</v>
      </c>
      <c r="M3675" s="5">
        <f t="shared" si="29"/>
        <v>577.50000000000011</v>
      </c>
      <c r="N3675" s="6">
        <v>0.35000000000000003</v>
      </c>
    </row>
    <row r="3676" spans="1:14" ht="15.75" customHeight="1" x14ac:dyDescent="0.45">
      <c r="A3676" s="1" t="s">
        <v>119</v>
      </c>
      <c r="B3676" s="1">
        <v>1185732</v>
      </c>
      <c r="C3676" s="2">
        <v>44585</v>
      </c>
      <c r="D3676" s="1" t="s">
        <v>11</v>
      </c>
      <c r="E3676" s="1" t="s">
        <v>117</v>
      </c>
      <c r="F3676" s="1" t="s">
        <v>118</v>
      </c>
      <c r="G3676" s="1" t="s">
        <v>15</v>
      </c>
      <c r="H3676" s="1">
        <v>19</v>
      </c>
      <c r="I3676" s="1" t="s">
        <v>125</v>
      </c>
      <c r="J3676" s="3">
        <v>0.45</v>
      </c>
      <c r="K3676" s="4">
        <v>3000</v>
      </c>
      <c r="L3676" s="5">
        <f t="shared" si="28"/>
        <v>1350</v>
      </c>
      <c r="M3676" s="5">
        <f t="shared" si="29"/>
        <v>337.5</v>
      </c>
      <c r="N3676" s="6">
        <v>0.25</v>
      </c>
    </row>
    <row r="3677" spans="1:14" ht="15.75" customHeight="1" x14ac:dyDescent="0.45">
      <c r="A3677" s="1" t="s">
        <v>119</v>
      </c>
      <c r="B3677" s="1">
        <v>1185732</v>
      </c>
      <c r="C3677" s="2">
        <v>44585</v>
      </c>
      <c r="D3677" s="1" t="s">
        <v>11</v>
      </c>
      <c r="E3677" s="1" t="s">
        <v>117</v>
      </c>
      <c r="F3677" s="1" t="s">
        <v>118</v>
      </c>
      <c r="G3677" s="1" t="s">
        <v>16</v>
      </c>
      <c r="H3677" s="1">
        <v>53</v>
      </c>
      <c r="I3677" s="1" t="s">
        <v>123</v>
      </c>
      <c r="J3677" s="3">
        <v>0.49999999999999994</v>
      </c>
      <c r="K3677" s="4">
        <v>1500</v>
      </c>
      <c r="L3677" s="5">
        <f t="shared" si="28"/>
        <v>749.99999999999989</v>
      </c>
      <c r="M3677" s="5">
        <f t="shared" si="29"/>
        <v>187.49999999999997</v>
      </c>
      <c r="N3677" s="6">
        <v>0.25</v>
      </c>
    </row>
    <row r="3678" spans="1:14" ht="15.75" customHeight="1" x14ac:dyDescent="0.45">
      <c r="A3678" s="1" t="s">
        <v>119</v>
      </c>
      <c r="B3678" s="1">
        <v>1185732</v>
      </c>
      <c r="C3678" s="2">
        <v>44585</v>
      </c>
      <c r="D3678" s="1" t="s">
        <v>11</v>
      </c>
      <c r="E3678" s="1" t="s">
        <v>117</v>
      </c>
      <c r="F3678" s="1" t="s">
        <v>118</v>
      </c>
      <c r="G3678" s="1" t="s">
        <v>17</v>
      </c>
      <c r="H3678" s="1">
        <v>28</v>
      </c>
      <c r="I3678" s="1" t="s">
        <v>125</v>
      </c>
      <c r="J3678" s="3">
        <v>0.65000000000000013</v>
      </c>
      <c r="K3678" s="4">
        <v>2000</v>
      </c>
      <c r="L3678" s="5">
        <f t="shared" si="28"/>
        <v>1300.0000000000002</v>
      </c>
      <c r="M3678" s="5">
        <f t="shared" si="29"/>
        <v>325.00000000000006</v>
      </c>
      <c r="N3678" s="6">
        <v>0.25</v>
      </c>
    </row>
    <row r="3679" spans="1:14" ht="15.75" customHeight="1" x14ac:dyDescent="0.45">
      <c r="A3679" s="1" t="s">
        <v>119</v>
      </c>
      <c r="B3679" s="1">
        <v>1185732</v>
      </c>
      <c r="C3679" s="2">
        <v>44585</v>
      </c>
      <c r="D3679" s="1" t="s">
        <v>11</v>
      </c>
      <c r="E3679" s="1" t="s">
        <v>117</v>
      </c>
      <c r="F3679" s="1" t="s">
        <v>118</v>
      </c>
      <c r="G3679" s="1" t="s">
        <v>18</v>
      </c>
      <c r="H3679" s="1">
        <v>58</v>
      </c>
      <c r="I3679" s="1" t="s">
        <v>123</v>
      </c>
      <c r="J3679" s="3">
        <v>0.55000000000000004</v>
      </c>
      <c r="K3679" s="4">
        <v>3000</v>
      </c>
      <c r="L3679" s="5">
        <f t="shared" si="28"/>
        <v>1650.0000000000002</v>
      </c>
      <c r="M3679" s="5">
        <f t="shared" si="29"/>
        <v>495.00000000000006</v>
      </c>
      <c r="N3679" s="6">
        <v>0.3</v>
      </c>
    </row>
    <row r="3680" spans="1:14" ht="15.75" customHeight="1" x14ac:dyDescent="0.45">
      <c r="A3680" s="1" t="s">
        <v>119</v>
      </c>
      <c r="B3680" s="1">
        <v>1185732</v>
      </c>
      <c r="C3680" s="2">
        <v>44614</v>
      </c>
      <c r="D3680" s="1" t="s">
        <v>11</v>
      </c>
      <c r="E3680" s="1" t="s">
        <v>117</v>
      </c>
      <c r="F3680" s="1" t="s">
        <v>118</v>
      </c>
      <c r="G3680" s="1" t="s">
        <v>13</v>
      </c>
      <c r="H3680" s="1">
        <v>28</v>
      </c>
      <c r="I3680" s="1" t="s">
        <v>123</v>
      </c>
      <c r="J3680" s="3">
        <v>0.55000000000000004</v>
      </c>
      <c r="K3680" s="4">
        <v>5750</v>
      </c>
      <c r="L3680" s="5">
        <f t="shared" si="28"/>
        <v>3162.5000000000005</v>
      </c>
      <c r="M3680" s="5">
        <f t="shared" si="29"/>
        <v>1106.8750000000002</v>
      </c>
      <c r="N3680" s="6">
        <v>0.35000000000000003</v>
      </c>
    </row>
    <row r="3681" spans="1:14" ht="15.75" customHeight="1" x14ac:dyDescent="0.45">
      <c r="A3681" s="1" t="s">
        <v>119</v>
      </c>
      <c r="B3681" s="1">
        <v>1185732</v>
      </c>
      <c r="C3681" s="2">
        <v>44614</v>
      </c>
      <c r="D3681" s="1" t="s">
        <v>11</v>
      </c>
      <c r="E3681" s="1" t="s">
        <v>117</v>
      </c>
      <c r="F3681" s="1" t="s">
        <v>118</v>
      </c>
      <c r="G3681" s="1" t="s">
        <v>14</v>
      </c>
      <c r="H3681" s="1">
        <v>37</v>
      </c>
      <c r="I3681" s="1" t="s">
        <v>126</v>
      </c>
      <c r="J3681" s="3">
        <v>0.55000000000000004</v>
      </c>
      <c r="K3681" s="4">
        <v>2250</v>
      </c>
      <c r="L3681" s="5">
        <f t="shared" si="28"/>
        <v>1237.5</v>
      </c>
      <c r="M3681" s="5">
        <f t="shared" si="29"/>
        <v>433.12500000000006</v>
      </c>
      <c r="N3681" s="6">
        <v>0.35000000000000003</v>
      </c>
    </row>
    <row r="3682" spans="1:14" ht="15.75" customHeight="1" x14ac:dyDescent="0.45">
      <c r="A3682" s="1" t="s">
        <v>119</v>
      </c>
      <c r="B3682" s="1">
        <v>1185732</v>
      </c>
      <c r="C3682" s="2">
        <v>44614</v>
      </c>
      <c r="D3682" s="1" t="s">
        <v>11</v>
      </c>
      <c r="E3682" s="1" t="s">
        <v>117</v>
      </c>
      <c r="F3682" s="1" t="s">
        <v>118</v>
      </c>
      <c r="G3682" s="1" t="s">
        <v>15</v>
      </c>
      <c r="H3682" s="1">
        <v>47</v>
      </c>
      <c r="I3682" s="1" t="s">
        <v>124</v>
      </c>
      <c r="J3682" s="3">
        <v>0.45</v>
      </c>
      <c r="K3682" s="4">
        <v>2750</v>
      </c>
      <c r="L3682" s="5">
        <f t="shared" si="28"/>
        <v>1237.5</v>
      </c>
      <c r="M3682" s="5">
        <f t="shared" si="29"/>
        <v>309.375</v>
      </c>
      <c r="N3682" s="6">
        <v>0.25</v>
      </c>
    </row>
    <row r="3683" spans="1:14" ht="15.75" customHeight="1" x14ac:dyDescent="0.45">
      <c r="A3683" s="1" t="s">
        <v>119</v>
      </c>
      <c r="B3683" s="1">
        <v>1185732</v>
      </c>
      <c r="C3683" s="2">
        <v>44614</v>
      </c>
      <c r="D3683" s="1" t="s">
        <v>11</v>
      </c>
      <c r="E3683" s="1" t="s">
        <v>117</v>
      </c>
      <c r="F3683" s="1" t="s">
        <v>118</v>
      </c>
      <c r="G3683" s="1" t="s">
        <v>16</v>
      </c>
      <c r="H3683" s="1">
        <v>44</v>
      </c>
      <c r="I3683" s="1" t="s">
        <v>123</v>
      </c>
      <c r="J3683" s="3">
        <v>0.49999999999999994</v>
      </c>
      <c r="K3683" s="4">
        <v>1750</v>
      </c>
      <c r="L3683" s="5">
        <f t="shared" ref="L3683:L3745" si="30">J3683*K3683</f>
        <v>874.99999999999989</v>
      </c>
      <c r="M3683" s="5">
        <f t="shared" ref="M3683:M3745" si="31">L3683*N3683</f>
        <v>218.74999999999997</v>
      </c>
      <c r="N3683" s="6">
        <v>0.25</v>
      </c>
    </row>
    <row r="3684" spans="1:14" ht="15.75" customHeight="1" x14ac:dyDescent="0.45">
      <c r="A3684" s="1" t="s">
        <v>119</v>
      </c>
      <c r="B3684" s="1">
        <v>1185732</v>
      </c>
      <c r="C3684" s="2">
        <v>44614</v>
      </c>
      <c r="D3684" s="1" t="s">
        <v>11</v>
      </c>
      <c r="E3684" s="1" t="s">
        <v>117</v>
      </c>
      <c r="F3684" s="1" t="s">
        <v>118</v>
      </c>
      <c r="G3684" s="1" t="s">
        <v>17</v>
      </c>
      <c r="H3684" s="1">
        <v>59</v>
      </c>
      <c r="I3684" s="1" t="s">
        <v>123</v>
      </c>
      <c r="J3684" s="3">
        <v>0.65000000000000013</v>
      </c>
      <c r="K3684" s="4">
        <v>2500</v>
      </c>
      <c r="L3684" s="5">
        <f t="shared" si="30"/>
        <v>1625.0000000000002</v>
      </c>
      <c r="M3684" s="5">
        <f t="shared" si="31"/>
        <v>406.25000000000006</v>
      </c>
      <c r="N3684" s="6">
        <v>0.25</v>
      </c>
    </row>
    <row r="3685" spans="1:14" ht="15.75" customHeight="1" x14ac:dyDescent="0.45">
      <c r="A3685" s="1" t="s">
        <v>119</v>
      </c>
      <c r="B3685" s="1">
        <v>1185732</v>
      </c>
      <c r="C3685" s="2">
        <v>44614</v>
      </c>
      <c r="D3685" s="1" t="s">
        <v>11</v>
      </c>
      <c r="E3685" s="1" t="s">
        <v>117</v>
      </c>
      <c r="F3685" s="1" t="s">
        <v>118</v>
      </c>
      <c r="G3685" s="1" t="s">
        <v>18</v>
      </c>
      <c r="H3685" s="1">
        <v>44</v>
      </c>
      <c r="I3685" s="1" t="s">
        <v>125</v>
      </c>
      <c r="J3685" s="3">
        <v>0.55000000000000004</v>
      </c>
      <c r="K3685" s="4">
        <v>3500</v>
      </c>
      <c r="L3685" s="5">
        <f t="shared" si="30"/>
        <v>1925.0000000000002</v>
      </c>
      <c r="M3685" s="5">
        <f t="shared" si="31"/>
        <v>577.5</v>
      </c>
      <c r="N3685" s="6">
        <v>0.3</v>
      </c>
    </row>
    <row r="3686" spans="1:14" ht="15.75" customHeight="1" x14ac:dyDescent="0.45">
      <c r="A3686" s="1" t="s">
        <v>119</v>
      </c>
      <c r="B3686" s="1">
        <v>1185732</v>
      </c>
      <c r="C3686" s="2">
        <v>44640</v>
      </c>
      <c r="D3686" s="1" t="s">
        <v>11</v>
      </c>
      <c r="E3686" s="1" t="s">
        <v>117</v>
      </c>
      <c r="F3686" s="1" t="s">
        <v>118</v>
      </c>
      <c r="G3686" s="1" t="s">
        <v>13</v>
      </c>
      <c r="H3686" s="1">
        <v>30</v>
      </c>
      <c r="I3686" s="1" t="s">
        <v>123</v>
      </c>
      <c r="J3686" s="3">
        <v>0.55000000000000004</v>
      </c>
      <c r="K3686" s="4">
        <v>5450</v>
      </c>
      <c r="L3686" s="5">
        <f t="shared" si="30"/>
        <v>2997.5000000000005</v>
      </c>
      <c r="M3686" s="5">
        <f t="shared" si="31"/>
        <v>1049.1250000000002</v>
      </c>
      <c r="N3686" s="6">
        <v>0.35000000000000003</v>
      </c>
    </row>
    <row r="3687" spans="1:14" ht="15.75" customHeight="1" x14ac:dyDescent="0.45">
      <c r="A3687" s="1" t="s">
        <v>119</v>
      </c>
      <c r="B3687" s="1">
        <v>1185732</v>
      </c>
      <c r="C3687" s="2">
        <v>44640</v>
      </c>
      <c r="D3687" s="1" t="s">
        <v>11</v>
      </c>
      <c r="E3687" s="1" t="s">
        <v>117</v>
      </c>
      <c r="F3687" s="1" t="s">
        <v>118</v>
      </c>
      <c r="G3687" s="1" t="s">
        <v>14</v>
      </c>
      <c r="H3687" s="1">
        <v>41</v>
      </c>
      <c r="I3687" s="1" t="s">
        <v>125</v>
      </c>
      <c r="J3687" s="3">
        <v>0.55000000000000004</v>
      </c>
      <c r="K3687" s="4">
        <v>2500</v>
      </c>
      <c r="L3687" s="5">
        <f t="shared" si="30"/>
        <v>1375</v>
      </c>
      <c r="M3687" s="5">
        <f t="shared" si="31"/>
        <v>481.25000000000006</v>
      </c>
      <c r="N3687" s="6">
        <v>0.35000000000000003</v>
      </c>
    </row>
    <row r="3688" spans="1:14" ht="15.75" customHeight="1" x14ac:dyDescent="0.45">
      <c r="A3688" s="1" t="s">
        <v>119</v>
      </c>
      <c r="B3688" s="1">
        <v>1185732</v>
      </c>
      <c r="C3688" s="2">
        <v>44640</v>
      </c>
      <c r="D3688" s="1" t="s">
        <v>11</v>
      </c>
      <c r="E3688" s="1" t="s">
        <v>117</v>
      </c>
      <c r="F3688" s="1" t="s">
        <v>118</v>
      </c>
      <c r="G3688" s="1" t="s">
        <v>15</v>
      </c>
      <c r="H3688" s="1">
        <v>33</v>
      </c>
      <c r="I3688" s="1" t="s">
        <v>125</v>
      </c>
      <c r="J3688" s="3">
        <v>0.45</v>
      </c>
      <c r="K3688" s="4">
        <v>2750</v>
      </c>
      <c r="L3688" s="5">
        <f t="shared" si="30"/>
        <v>1237.5</v>
      </c>
      <c r="M3688" s="5">
        <f t="shared" si="31"/>
        <v>309.375</v>
      </c>
      <c r="N3688" s="6">
        <v>0.25</v>
      </c>
    </row>
    <row r="3689" spans="1:14" ht="15.75" customHeight="1" x14ac:dyDescent="0.45">
      <c r="A3689" s="1" t="s">
        <v>119</v>
      </c>
      <c r="B3689" s="1">
        <v>1185732</v>
      </c>
      <c r="C3689" s="2">
        <v>44640</v>
      </c>
      <c r="D3689" s="1" t="s">
        <v>11</v>
      </c>
      <c r="E3689" s="1" t="s">
        <v>117</v>
      </c>
      <c r="F3689" s="1" t="s">
        <v>118</v>
      </c>
      <c r="G3689" s="1" t="s">
        <v>16</v>
      </c>
      <c r="H3689" s="1">
        <v>35</v>
      </c>
      <c r="I3689" s="1" t="s">
        <v>125</v>
      </c>
      <c r="J3689" s="3">
        <v>0.49999999999999994</v>
      </c>
      <c r="K3689" s="4">
        <v>1250</v>
      </c>
      <c r="L3689" s="5">
        <f t="shared" si="30"/>
        <v>624.99999999999989</v>
      </c>
      <c r="M3689" s="5">
        <f t="shared" si="31"/>
        <v>156.24999999999997</v>
      </c>
      <c r="N3689" s="6">
        <v>0.25</v>
      </c>
    </row>
    <row r="3690" spans="1:14" ht="15.75" customHeight="1" x14ac:dyDescent="0.45">
      <c r="A3690" s="1" t="s">
        <v>119</v>
      </c>
      <c r="B3690" s="1">
        <v>1185732</v>
      </c>
      <c r="C3690" s="2">
        <v>44640</v>
      </c>
      <c r="D3690" s="1" t="s">
        <v>11</v>
      </c>
      <c r="E3690" s="1" t="s">
        <v>117</v>
      </c>
      <c r="F3690" s="1" t="s">
        <v>118</v>
      </c>
      <c r="G3690" s="1" t="s">
        <v>17</v>
      </c>
      <c r="H3690" s="1">
        <v>42</v>
      </c>
      <c r="I3690" s="1" t="s">
        <v>125</v>
      </c>
      <c r="J3690" s="3">
        <v>0.65000000000000013</v>
      </c>
      <c r="K3690" s="4">
        <v>1750</v>
      </c>
      <c r="L3690" s="5">
        <f t="shared" si="30"/>
        <v>1137.5000000000002</v>
      </c>
      <c r="M3690" s="5">
        <f t="shared" si="31"/>
        <v>284.37500000000006</v>
      </c>
      <c r="N3690" s="6">
        <v>0.25</v>
      </c>
    </row>
    <row r="3691" spans="1:14" ht="15.75" customHeight="1" x14ac:dyDescent="0.45">
      <c r="A3691" s="1" t="s">
        <v>119</v>
      </c>
      <c r="B3691" s="1">
        <v>1185732</v>
      </c>
      <c r="C3691" s="2">
        <v>44640</v>
      </c>
      <c r="D3691" s="1" t="s">
        <v>11</v>
      </c>
      <c r="E3691" s="1" t="s">
        <v>117</v>
      </c>
      <c r="F3691" s="1" t="s">
        <v>118</v>
      </c>
      <c r="G3691" s="1" t="s">
        <v>18</v>
      </c>
      <c r="H3691" s="1">
        <v>17</v>
      </c>
      <c r="I3691" s="1" t="s">
        <v>123</v>
      </c>
      <c r="J3691" s="3">
        <v>0.55000000000000004</v>
      </c>
      <c r="K3691" s="4">
        <v>2750</v>
      </c>
      <c r="L3691" s="5">
        <f t="shared" si="30"/>
        <v>1512.5000000000002</v>
      </c>
      <c r="M3691" s="5">
        <f t="shared" si="31"/>
        <v>453.75000000000006</v>
      </c>
      <c r="N3691" s="6">
        <v>0.3</v>
      </c>
    </row>
    <row r="3692" spans="1:14" ht="15.75" customHeight="1" x14ac:dyDescent="0.45">
      <c r="A3692" s="1" t="s">
        <v>119</v>
      </c>
      <c r="B3692" s="1">
        <v>1185732</v>
      </c>
      <c r="C3692" s="2">
        <v>44672</v>
      </c>
      <c r="D3692" s="1" t="s">
        <v>11</v>
      </c>
      <c r="E3692" s="1" t="s">
        <v>117</v>
      </c>
      <c r="F3692" s="1" t="s">
        <v>118</v>
      </c>
      <c r="G3692" s="1" t="s">
        <v>13</v>
      </c>
      <c r="H3692" s="1">
        <v>58</v>
      </c>
      <c r="I3692" s="1" t="s">
        <v>124</v>
      </c>
      <c r="J3692" s="3">
        <v>0.55000000000000004</v>
      </c>
      <c r="K3692" s="4">
        <v>5250</v>
      </c>
      <c r="L3692" s="5">
        <f t="shared" si="30"/>
        <v>2887.5000000000005</v>
      </c>
      <c r="M3692" s="5">
        <f t="shared" si="31"/>
        <v>1010.6250000000002</v>
      </c>
      <c r="N3692" s="6">
        <v>0.35000000000000003</v>
      </c>
    </row>
    <row r="3693" spans="1:14" ht="15.75" customHeight="1" x14ac:dyDescent="0.45">
      <c r="A3693" s="1" t="s">
        <v>119</v>
      </c>
      <c r="B3693" s="1">
        <v>1185732</v>
      </c>
      <c r="C3693" s="2">
        <v>44672</v>
      </c>
      <c r="D3693" s="1" t="s">
        <v>11</v>
      </c>
      <c r="E3693" s="1" t="s">
        <v>117</v>
      </c>
      <c r="F3693" s="1" t="s">
        <v>118</v>
      </c>
      <c r="G3693" s="1" t="s">
        <v>14</v>
      </c>
      <c r="H3693" s="1">
        <v>40</v>
      </c>
      <c r="I3693" s="1" t="s">
        <v>125</v>
      </c>
      <c r="J3693" s="3">
        <v>0.55000000000000004</v>
      </c>
      <c r="K3693" s="4">
        <v>2250</v>
      </c>
      <c r="L3693" s="5">
        <f t="shared" si="30"/>
        <v>1237.5</v>
      </c>
      <c r="M3693" s="5">
        <f t="shared" si="31"/>
        <v>433.12500000000006</v>
      </c>
      <c r="N3693" s="6">
        <v>0.35000000000000003</v>
      </c>
    </row>
    <row r="3694" spans="1:14" ht="15.75" customHeight="1" x14ac:dyDescent="0.45">
      <c r="A3694" s="1" t="s">
        <v>119</v>
      </c>
      <c r="B3694" s="1">
        <v>1185732</v>
      </c>
      <c r="C3694" s="2">
        <v>44672</v>
      </c>
      <c r="D3694" s="1" t="s">
        <v>11</v>
      </c>
      <c r="E3694" s="1" t="s">
        <v>117</v>
      </c>
      <c r="F3694" s="1" t="s">
        <v>118</v>
      </c>
      <c r="G3694" s="1" t="s">
        <v>15</v>
      </c>
      <c r="H3694" s="1">
        <v>26</v>
      </c>
      <c r="I3694" s="1" t="s">
        <v>125</v>
      </c>
      <c r="J3694" s="3">
        <v>0.45</v>
      </c>
      <c r="K3694" s="4">
        <v>2250</v>
      </c>
      <c r="L3694" s="5">
        <f t="shared" si="30"/>
        <v>1012.5</v>
      </c>
      <c r="M3694" s="5">
        <f t="shared" si="31"/>
        <v>253.125</v>
      </c>
      <c r="N3694" s="6">
        <v>0.25</v>
      </c>
    </row>
    <row r="3695" spans="1:14" ht="15.75" customHeight="1" x14ac:dyDescent="0.45">
      <c r="A3695" s="1" t="s">
        <v>119</v>
      </c>
      <c r="B3695" s="1">
        <v>1185732</v>
      </c>
      <c r="C3695" s="2">
        <v>44672</v>
      </c>
      <c r="D3695" s="1" t="s">
        <v>11</v>
      </c>
      <c r="E3695" s="1" t="s">
        <v>117</v>
      </c>
      <c r="F3695" s="1" t="s">
        <v>118</v>
      </c>
      <c r="G3695" s="1" t="s">
        <v>16</v>
      </c>
      <c r="H3695" s="1">
        <v>59</v>
      </c>
      <c r="I3695" s="1" t="s">
        <v>126</v>
      </c>
      <c r="J3695" s="3">
        <v>0.49999999999999994</v>
      </c>
      <c r="K3695" s="4">
        <v>1500</v>
      </c>
      <c r="L3695" s="5">
        <f t="shared" si="30"/>
        <v>749.99999999999989</v>
      </c>
      <c r="M3695" s="5">
        <f t="shared" si="31"/>
        <v>187.49999999999997</v>
      </c>
      <c r="N3695" s="6">
        <v>0.25</v>
      </c>
    </row>
    <row r="3696" spans="1:14" ht="15.75" customHeight="1" x14ac:dyDescent="0.45">
      <c r="A3696" s="1" t="s">
        <v>119</v>
      </c>
      <c r="B3696" s="1">
        <v>1185732</v>
      </c>
      <c r="C3696" s="2">
        <v>44672</v>
      </c>
      <c r="D3696" s="1" t="s">
        <v>11</v>
      </c>
      <c r="E3696" s="1" t="s">
        <v>117</v>
      </c>
      <c r="F3696" s="1" t="s">
        <v>118</v>
      </c>
      <c r="G3696" s="1" t="s">
        <v>17</v>
      </c>
      <c r="H3696" s="1">
        <v>28</v>
      </c>
      <c r="I3696" s="1" t="s">
        <v>124</v>
      </c>
      <c r="J3696" s="3">
        <v>0.60000000000000009</v>
      </c>
      <c r="K3696" s="4">
        <v>1500</v>
      </c>
      <c r="L3696" s="5">
        <f t="shared" si="30"/>
        <v>900.00000000000011</v>
      </c>
      <c r="M3696" s="5">
        <f t="shared" si="31"/>
        <v>225.00000000000003</v>
      </c>
      <c r="N3696" s="6">
        <v>0.25</v>
      </c>
    </row>
    <row r="3697" spans="1:14" ht="15.75" customHeight="1" x14ac:dyDescent="0.45">
      <c r="A3697" s="1" t="s">
        <v>119</v>
      </c>
      <c r="B3697" s="1">
        <v>1185732</v>
      </c>
      <c r="C3697" s="2">
        <v>44672</v>
      </c>
      <c r="D3697" s="1" t="s">
        <v>11</v>
      </c>
      <c r="E3697" s="1" t="s">
        <v>117</v>
      </c>
      <c r="F3697" s="1" t="s">
        <v>118</v>
      </c>
      <c r="G3697" s="1" t="s">
        <v>18</v>
      </c>
      <c r="H3697" s="1">
        <v>32</v>
      </c>
      <c r="I3697" s="1" t="s">
        <v>125</v>
      </c>
      <c r="J3697" s="3">
        <v>0.5</v>
      </c>
      <c r="K3697" s="4">
        <v>3000</v>
      </c>
      <c r="L3697" s="5">
        <f t="shared" si="30"/>
        <v>1500</v>
      </c>
      <c r="M3697" s="5">
        <f t="shared" si="31"/>
        <v>450</v>
      </c>
      <c r="N3697" s="6">
        <v>0.3</v>
      </c>
    </row>
    <row r="3698" spans="1:14" ht="15.75" customHeight="1" x14ac:dyDescent="0.45">
      <c r="A3698" s="1" t="s">
        <v>119</v>
      </c>
      <c r="B3698" s="1">
        <v>1185732</v>
      </c>
      <c r="C3698" s="2">
        <v>44701</v>
      </c>
      <c r="D3698" s="1" t="s">
        <v>11</v>
      </c>
      <c r="E3698" s="1" t="s">
        <v>117</v>
      </c>
      <c r="F3698" s="1" t="s">
        <v>118</v>
      </c>
      <c r="G3698" s="1" t="s">
        <v>13</v>
      </c>
      <c r="H3698" s="1">
        <v>23</v>
      </c>
      <c r="I3698" s="1" t="s">
        <v>124</v>
      </c>
      <c r="J3698" s="3">
        <v>0.65</v>
      </c>
      <c r="K3698" s="4">
        <v>5700</v>
      </c>
      <c r="L3698" s="5">
        <f t="shared" si="30"/>
        <v>3705</v>
      </c>
      <c r="M3698" s="5">
        <f t="shared" si="31"/>
        <v>1296.7500000000002</v>
      </c>
      <c r="N3698" s="6">
        <v>0.35000000000000003</v>
      </c>
    </row>
    <row r="3699" spans="1:14" ht="15.75" customHeight="1" x14ac:dyDescent="0.45">
      <c r="A3699" s="1" t="s">
        <v>119</v>
      </c>
      <c r="B3699" s="1">
        <v>1185732</v>
      </c>
      <c r="C3699" s="2">
        <v>44701</v>
      </c>
      <c r="D3699" s="1" t="s">
        <v>11</v>
      </c>
      <c r="E3699" s="1" t="s">
        <v>117</v>
      </c>
      <c r="F3699" s="1" t="s">
        <v>118</v>
      </c>
      <c r="G3699" s="1" t="s">
        <v>14</v>
      </c>
      <c r="H3699" s="1">
        <v>44</v>
      </c>
      <c r="I3699" s="1" t="s">
        <v>123</v>
      </c>
      <c r="J3699" s="3">
        <v>0.60000000000000009</v>
      </c>
      <c r="K3699" s="4">
        <v>2750</v>
      </c>
      <c r="L3699" s="5">
        <f t="shared" si="30"/>
        <v>1650.0000000000002</v>
      </c>
      <c r="M3699" s="5">
        <f t="shared" si="31"/>
        <v>577.50000000000011</v>
      </c>
      <c r="N3699" s="6">
        <v>0.35000000000000003</v>
      </c>
    </row>
    <row r="3700" spans="1:14" ht="15.75" customHeight="1" x14ac:dyDescent="0.45">
      <c r="A3700" s="1" t="s">
        <v>119</v>
      </c>
      <c r="B3700" s="1">
        <v>1185732</v>
      </c>
      <c r="C3700" s="2">
        <v>44701</v>
      </c>
      <c r="D3700" s="1" t="s">
        <v>11</v>
      </c>
      <c r="E3700" s="1" t="s">
        <v>117</v>
      </c>
      <c r="F3700" s="1" t="s">
        <v>118</v>
      </c>
      <c r="G3700" s="1" t="s">
        <v>15</v>
      </c>
      <c r="H3700" s="1">
        <v>29</v>
      </c>
      <c r="I3700" s="1" t="s">
        <v>126</v>
      </c>
      <c r="J3700" s="3">
        <v>0.55000000000000004</v>
      </c>
      <c r="K3700" s="4">
        <v>3000</v>
      </c>
      <c r="L3700" s="5">
        <f t="shared" si="30"/>
        <v>1650.0000000000002</v>
      </c>
      <c r="M3700" s="5">
        <f t="shared" si="31"/>
        <v>412.50000000000006</v>
      </c>
      <c r="N3700" s="6">
        <v>0.25</v>
      </c>
    </row>
    <row r="3701" spans="1:14" ht="15.75" customHeight="1" x14ac:dyDescent="0.45">
      <c r="A3701" s="1" t="s">
        <v>119</v>
      </c>
      <c r="B3701" s="1">
        <v>1185732</v>
      </c>
      <c r="C3701" s="2">
        <v>44701</v>
      </c>
      <c r="D3701" s="1" t="s">
        <v>11</v>
      </c>
      <c r="E3701" s="1" t="s">
        <v>117</v>
      </c>
      <c r="F3701" s="1" t="s">
        <v>118</v>
      </c>
      <c r="G3701" s="1" t="s">
        <v>16</v>
      </c>
      <c r="H3701" s="1">
        <v>56</v>
      </c>
      <c r="I3701" s="1" t="s">
        <v>123</v>
      </c>
      <c r="J3701" s="3">
        <v>0.55000000000000004</v>
      </c>
      <c r="K3701" s="4">
        <v>2500</v>
      </c>
      <c r="L3701" s="5">
        <f t="shared" si="30"/>
        <v>1375</v>
      </c>
      <c r="M3701" s="5">
        <f t="shared" si="31"/>
        <v>343.75</v>
      </c>
      <c r="N3701" s="6">
        <v>0.25</v>
      </c>
    </row>
    <row r="3702" spans="1:14" ht="15.75" customHeight="1" x14ac:dyDescent="0.45">
      <c r="A3702" s="1" t="s">
        <v>119</v>
      </c>
      <c r="B3702" s="1">
        <v>1185732</v>
      </c>
      <c r="C3702" s="2">
        <v>44701</v>
      </c>
      <c r="D3702" s="1" t="s">
        <v>11</v>
      </c>
      <c r="E3702" s="1" t="s">
        <v>117</v>
      </c>
      <c r="F3702" s="1" t="s">
        <v>118</v>
      </c>
      <c r="G3702" s="1" t="s">
        <v>17</v>
      </c>
      <c r="H3702" s="1">
        <v>30</v>
      </c>
      <c r="I3702" s="1" t="s">
        <v>124</v>
      </c>
      <c r="J3702" s="3">
        <v>0.65</v>
      </c>
      <c r="K3702" s="4">
        <v>2750</v>
      </c>
      <c r="L3702" s="5">
        <f t="shared" si="30"/>
        <v>1787.5</v>
      </c>
      <c r="M3702" s="5">
        <f t="shared" si="31"/>
        <v>446.875</v>
      </c>
      <c r="N3702" s="6">
        <v>0.25</v>
      </c>
    </row>
    <row r="3703" spans="1:14" ht="15.75" customHeight="1" x14ac:dyDescent="0.45">
      <c r="A3703" s="1" t="s">
        <v>119</v>
      </c>
      <c r="B3703" s="1">
        <v>1185732</v>
      </c>
      <c r="C3703" s="2">
        <v>44701</v>
      </c>
      <c r="D3703" s="1" t="s">
        <v>11</v>
      </c>
      <c r="E3703" s="1" t="s">
        <v>117</v>
      </c>
      <c r="F3703" s="1" t="s">
        <v>118</v>
      </c>
      <c r="G3703" s="1" t="s">
        <v>18</v>
      </c>
      <c r="H3703" s="1">
        <v>48</v>
      </c>
      <c r="I3703" s="1" t="s">
        <v>125</v>
      </c>
      <c r="J3703" s="3">
        <v>0.70000000000000007</v>
      </c>
      <c r="K3703" s="4">
        <v>4000</v>
      </c>
      <c r="L3703" s="5">
        <f t="shared" si="30"/>
        <v>2800.0000000000005</v>
      </c>
      <c r="M3703" s="5">
        <f t="shared" si="31"/>
        <v>840.00000000000011</v>
      </c>
      <c r="N3703" s="6">
        <v>0.3</v>
      </c>
    </row>
    <row r="3704" spans="1:14" ht="15.75" customHeight="1" x14ac:dyDescent="0.45">
      <c r="A3704" s="1" t="s">
        <v>119</v>
      </c>
      <c r="B3704" s="1">
        <v>1185732</v>
      </c>
      <c r="C3704" s="2">
        <v>44734</v>
      </c>
      <c r="D3704" s="1" t="s">
        <v>11</v>
      </c>
      <c r="E3704" s="1" t="s">
        <v>117</v>
      </c>
      <c r="F3704" s="1" t="s">
        <v>118</v>
      </c>
      <c r="G3704" s="1" t="s">
        <v>13</v>
      </c>
      <c r="H3704" s="1">
        <v>23</v>
      </c>
      <c r="I3704" s="1" t="s">
        <v>124</v>
      </c>
      <c r="J3704" s="3">
        <v>0.65</v>
      </c>
      <c r="K3704" s="4">
        <v>6500</v>
      </c>
      <c r="L3704" s="5">
        <f t="shared" si="30"/>
        <v>4225</v>
      </c>
      <c r="M3704" s="5">
        <f t="shared" si="31"/>
        <v>1478.7500000000002</v>
      </c>
      <c r="N3704" s="6">
        <v>0.35000000000000003</v>
      </c>
    </row>
    <row r="3705" spans="1:14" ht="15.75" customHeight="1" x14ac:dyDescent="0.45">
      <c r="A3705" s="1" t="s">
        <v>119</v>
      </c>
      <c r="B3705" s="1">
        <v>1185732</v>
      </c>
      <c r="C3705" s="2">
        <v>44734</v>
      </c>
      <c r="D3705" s="1" t="s">
        <v>11</v>
      </c>
      <c r="E3705" s="1" t="s">
        <v>117</v>
      </c>
      <c r="F3705" s="1" t="s">
        <v>118</v>
      </c>
      <c r="G3705" s="1" t="s">
        <v>14</v>
      </c>
      <c r="H3705" s="1">
        <v>59</v>
      </c>
      <c r="I3705" s="1" t="s">
        <v>126</v>
      </c>
      <c r="J3705" s="3">
        <v>0.60000000000000009</v>
      </c>
      <c r="K3705" s="4">
        <v>4000</v>
      </c>
      <c r="L3705" s="5">
        <f t="shared" si="30"/>
        <v>2400.0000000000005</v>
      </c>
      <c r="M3705" s="5">
        <f t="shared" si="31"/>
        <v>840.00000000000023</v>
      </c>
      <c r="N3705" s="6">
        <v>0.35000000000000003</v>
      </c>
    </row>
    <row r="3706" spans="1:14" ht="15.75" customHeight="1" x14ac:dyDescent="0.45">
      <c r="A3706" s="1" t="s">
        <v>119</v>
      </c>
      <c r="B3706" s="1">
        <v>1185732</v>
      </c>
      <c r="C3706" s="2">
        <v>44734</v>
      </c>
      <c r="D3706" s="1" t="s">
        <v>11</v>
      </c>
      <c r="E3706" s="1" t="s">
        <v>117</v>
      </c>
      <c r="F3706" s="1" t="s">
        <v>118</v>
      </c>
      <c r="G3706" s="1" t="s">
        <v>15</v>
      </c>
      <c r="H3706" s="1">
        <v>42</v>
      </c>
      <c r="I3706" s="1" t="s">
        <v>124</v>
      </c>
      <c r="J3706" s="3">
        <v>0.55000000000000004</v>
      </c>
      <c r="K3706" s="4">
        <v>3250</v>
      </c>
      <c r="L3706" s="5">
        <f t="shared" si="30"/>
        <v>1787.5000000000002</v>
      </c>
      <c r="M3706" s="5">
        <f t="shared" si="31"/>
        <v>446.87500000000006</v>
      </c>
      <c r="N3706" s="6">
        <v>0.25</v>
      </c>
    </row>
    <row r="3707" spans="1:14" ht="15.75" customHeight="1" x14ac:dyDescent="0.45">
      <c r="A3707" s="1" t="s">
        <v>119</v>
      </c>
      <c r="B3707" s="1">
        <v>1185732</v>
      </c>
      <c r="C3707" s="2">
        <v>44734</v>
      </c>
      <c r="D3707" s="1" t="s">
        <v>11</v>
      </c>
      <c r="E3707" s="1" t="s">
        <v>117</v>
      </c>
      <c r="F3707" s="1" t="s">
        <v>118</v>
      </c>
      <c r="G3707" s="1" t="s">
        <v>16</v>
      </c>
      <c r="H3707" s="1">
        <v>36</v>
      </c>
      <c r="I3707" s="1" t="s">
        <v>123</v>
      </c>
      <c r="J3707" s="3">
        <v>0.55000000000000004</v>
      </c>
      <c r="K3707" s="4">
        <v>3000</v>
      </c>
      <c r="L3707" s="5">
        <f t="shared" si="30"/>
        <v>1650.0000000000002</v>
      </c>
      <c r="M3707" s="5">
        <f t="shared" si="31"/>
        <v>412.50000000000006</v>
      </c>
      <c r="N3707" s="6">
        <v>0.25</v>
      </c>
    </row>
    <row r="3708" spans="1:14" ht="15.75" customHeight="1" x14ac:dyDescent="0.45">
      <c r="A3708" s="1" t="s">
        <v>119</v>
      </c>
      <c r="B3708" s="1">
        <v>1185732</v>
      </c>
      <c r="C3708" s="2">
        <v>44734</v>
      </c>
      <c r="D3708" s="1" t="s">
        <v>11</v>
      </c>
      <c r="E3708" s="1" t="s">
        <v>117</v>
      </c>
      <c r="F3708" s="1" t="s">
        <v>118</v>
      </c>
      <c r="G3708" s="1" t="s">
        <v>17</v>
      </c>
      <c r="H3708" s="1">
        <v>18</v>
      </c>
      <c r="I3708" s="1" t="s">
        <v>126</v>
      </c>
      <c r="J3708" s="3">
        <v>0.65</v>
      </c>
      <c r="K3708" s="4">
        <v>3000</v>
      </c>
      <c r="L3708" s="5">
        <f t="shared" si="30"/>
        <v>1950</v>
      </c>
      <c r="M3708" s="5">
        <f t="shared" si="31"/>
        <v>487.5</v>
      </c>
      <c r="N3708" s="6">
        <v>0.25</v>
      </c>
    </row>
    <row r="3709" spans="1:14" ht="15.75" customHeight="1" x14ac:dyDescent="0.45">
      <c r="A3709" s="1" t="s">
        <v>119</v>
      </c>
      <c r="B3709" s="1">
        <v>1185732</v>
      </c>
      <c r="C3709" s="2">
        <v>44734</v>
      </c>
      <c r="D3709" s="1" t="s">
        <v>11</v>
      </c>
      <c r="E3709" s="1" t="s">
        <v>117</v>
      </c>
      <c r="F3709" s="1" t="s">
        <v>118</v>
      </c>
      <c r="G3709" s="1" t="s">
        <v>18</v>
      </c>
      <c r="H3709" s="1">
        <v>22</v>
      </c>
      <c r="I3709" s="1" t="s">
        <v>123</v>
      </c>
      <c r="J3709" s="3">
        <v>0.70000000000000007</v>
      </c>
      <c r="K3709" s="4">
        <v>4500</v>
      </c>
      <c r="L3709" s="5">
        <f t="shared" si="30"/>
        <v>3150.0000000000005</v>
      </c>
      <c r="M3709" s="5">
        <f t="shared" si="31"/>
        <v>945.00000000000011</v>
      </c>
      <c r="N3709" s="6">
        <v>0.3</v>
      </c>
    </row>
    <row r="3710" spans="1:14" ht="15.75" customHeight="1" x14ac:dyDescent="0.45">
      <c r="A3710" s="1" t="s">
        <v>119</v>
      </c>
      <c r="B3710" s="1">
        <v>1185732</v>
      </c>
      <c r="C3710" s="2">
        <v>44762</v>
      </c>
      <c r="D3710" s="1" t="s">
        <v>11</v>
      </c>
      <c r="E3710" s="1" t="s">
        <v>117</v>
      </c>
      <c r="F3710" s="1" t="s">
        <v>118</v>
      </c>
      <c r="G3710" s="1" t="s">
        <v>13</v>
      </c>
      <c r="H3710" s="1">
        <v>23</v>
      </c>
      <c r="I3710" s="1" t="s">
        <v>126</v>
      </c>
      <c r="J3710" s="3">
        <v>0.65</v>
      </c>
      <c r="K3710" s="4">
        <v>6750</v>
      </c>
      <c r="L3710" s="5">
        <f t="shared" si="30"/>
        <v>4387.5</v>
      </c>
      <c r="M3710" s="5">
        <f t="shared" si="31"/>
        <v>1535.6250000000002</v>
      </c>
      <c r="N3710" s="6">
        <v>0.35000000000000003</v>
      </c>
    </row>
    <row r="3711" spans="1:14" ht="15.75" customHeight="1" x14ac:dyDescent="0.45">
      <c r="A3711" s="1" t="s">
        <v>119</v>
      </c>
      <c r="B3711" s="1">
        <v>1185732</v>
      </c>
      <c r="C3711" s="2">
        <v>44762</v>
      </c>
      <c r="D3711" s="1" t="s">
        <v>11</v>
      </c>
      <c r="E3711" s="1" t="s">
        <v>117</v>
      </c>
      <c r="F3711" s="1" t="s">
        <v>118</v>
      </c>
      <c r="G3711" s="1" t="s">
        <v>14</v>
      </c>
      <c r="H3711" s="1">
        <v>17</v>
      </c>
      <c r="I3711" s="1" t="s">
        <v>126</v>
      </c>
      <c r="J3711" s="3">
        <v>0.60000000000000009</v>
      </c>
      <c r="K3711" s="4">
        <v>4250</v>
      </c>
      <c r="L3711" s="5">
        <f t="shared" si="30"/>
        <v>2550.0000000000005</v>
      </c>
      <c r="M3711" s="5">
        <f t="shared" si="31"/>
        <v>892.50000000000023</v>
      </c>
      <c r="N3711" s="6">
        <v>0.35000000000000003</v>
      </c>
    </row>
    <row r="3712" spans="1:14" ht="15.75" customHeight="1" x14ac:dyDescent="0.45">
      <c r="A3712" s="1" t="s">
        <v>119</v>
      </c>
      <c r="B3712" s="1">
        <v>1185732</v>
      </c>
      <c r="C3712" s="2">
        <v>44762</v>
      </c>
      <c r="D3712" s="1" t="s">
        <v>11</v>
      </c>
      <c r="E3712" s="1" t="s">
        <v>117</v>
      </c>
      <c r="F3712" s="1" t="s">
        <v>118</v>
      </c>
      <c r="G3712" s="1" t="s">
        <v>15</v>
      </c>
      <c r="H3712" s="1">
        <v>59</v>
      </c>
      <c r="I3712" s="1" t="s">
        <v>125</v>
      </c>
      <c r="J3712" s="3">
        <v>0.55000000000000004</v>
      </c>
      <c r="K3712" s="4">
        <v>3500</v>
      </c>
      <c r="L3712" s="5">
        <f t="shared" si="30"/>
        <v>1925.0000000000002</v>
      </c>
      <c r="M3712" s="5">
        <f t="shared" si="31"/>
        <v>481.25000000000006</v>
      </c>
      <c r="N3712" s="6">
        <v>0.25</v>
      </c>
    </row>
    <row r="3713" spans="1:14" ht="15.75" customHeight="1" x14ac:dyDescent="0.45">
      <c r="A3713" s="1" t="s">
        <v>119</v>
      </c>
      <c r="B3713" s="1">
        <v>1185732</v>
      </c>
      <c r="C3713" s="2">
        <v>44762</v>
      </c>
      <c r="D3713" s="1" t="s">
        <v>11</v>
      </c>
      <c r="E3713" s="1" t="s">
        <v>117</v>
      </c>
      <c r="F3713" s="1" t="s">
        <v>118</v>
      </c>
      <c r="G3713" s="1" t="s">
        <v>16</v>
      </c>
      <c r="H3713" s="1">
        <v>40</v>
      </c>
      <c r="I3713" s="1" t="s">
        <v>125</v>
      </c>
      <c r="J3713" s="3">
        <v>0.55000000000000004</v>
      </c>
      <c r="K3713" s="4">
        <v>3000</v>
      </c>
      <c r="L3713" s="5">
        <f t="shared" si="30"/>
        <v>1650.0000000000002</v>
      </c>
      <c r="M3713" s="5">
        <f t="shared" si="31"/>
        <v>412.50000000000006</v>
      </c>
      <c r="N3713" s="6">
        <v>0.25</v>
      </c>
    </row>
    <row r="3714" spans="1:14" ht="15.75" customHeight="1" x14ac:dyDescent="0.45">
      <c r="A3714" s="1" t="s">
        <v>119</v>
      </c>
      <c r="B3714" s="1">
        <v>1185732</v>
      </c>
      <c r="C3714" s="2">
        <v>44762</v>
      </c>
      <c r="D3714" s="1" t="s">
        <v>11</v>
      </c>
      <c r="E3714" s="1" t="s">
        <v>117</v>
      </c>
      <c r="F3714" s="1" t="s">
        <v>118</v>
      </c>
      <c r="G3714" s="1" t="s">
        <v>17</v>
      </c>
      <c r="H3714" s="1">
        <v>29</v>
      </c>
      <c r="I3714" s="1" t="s">
        <v>126</v>
      </c>
      <c r="J3714" s="3">
        <v>0.65</v>
      </c>
      <c r="K3714" s="4">
        <v>3250</v>
      </c>
      <c r="L3714" s="5">
        <f t="shared" si="30"/>
        <v>2112.5</v>
      </c>
      <c r="M3714" s="5">
        <f t="shared" si="31"/>
        <v>528.125</v>
      </c>
      <c r="N3714" s="6">
        <v>0.25</v>
      </c>
    </row>
    <row r="3715" spans="1:14" ht="15.75" customHeight="1" x14ac:dyDescent="0.45">
      <c r="A3715" s="1" t="s">
        <v>119</v>
      </c>
      <c r="B3715" s="1">
        <v>1185732</v>
      </c>
      <c r="C3715" s="2">
        <v>44762</v>
      </c>
      <c r="D3715" s="1" t="s">
        <v>11</v>
      </c>
      <c r="E3715" s="1" t="s">
        <v>117</v>
      </c>
      <c r="F3715" s="1" t="s">
        <v>118</v>
      </c>
      <c r="G3715" s="1" t="s">
        <v>18</v>
      </c>
      <c r="H3715" s="1">
        <v>30</v>
      </c>
      <c r="I3715" s="1" t="s">
        <v>126</v>
      </c>
      <c r="J3715" s="3">
        <v>0.70000000000000007</v>
      </c>
      <c r="K3715" s="4">
        <v>5000</v>
      </c>
      <c r="L3715" s="5">
        <f t="shared" si="30"/>
        <v>3500.0000000000005</v>
      </c>
      <c r="M3715" s="5">
        <f t="shared" si="31"/>
        <v>1050</v>
      </c>
      <c r="N3715" s="6">
        <v>0.3</v>
      </c>
    </row>
    <row r="3716" spans="1:14" ht="15.75" customHeight="1" x14ac:dyDescent="0.45">
      <c r="A3716" s="1" t="s">
        <v>119</v>
      </c>
      <c r="B3716" s="1">
        <v>1185732</v>
      </c>
      <c r="C3716" s="2">
        <v>44794</v>
      </c>
      <c r="D3716" s="1" t="s">
        <v>11</v>
      </c>
      <c r="E3716" s="1" t="s">
        <v>117</v>
      </c>
      <c r="F3716" s="1" t="s">
        <v>118</v>
      </c>
      <c r="G3716" s="1" t="s">
        <v>13</v>
      </c>
      <c r="H3716" s="1">
        <v>18</v>
      </c>
      <c r="I3716" s="1" t="s">
        <v>125</v>
      </c>
      <c r="J3716" s="3">
        <v>0.65</v>
      </c>
      <c r="K3716" s="4">
        <v>6500</v>
      </c>
      <c r="L3716" s="5">
        <f t="shared" si="30"/>
        <v>4225</v>
      </c>
      <c r="M3716" s="5">
        <f t="shared" si="31"/>
        <v>1478.7500000000002</v>
      </c>
      <c r="N3716" s="6">
        <v>0.35000000000000003</v>
      </c>
    </row>
    <row r="3717" spans="1:14" ht="15.75" customHeight="1" x14ac:dyDescent="0.45">
      <c r="A3717" s="1" t="s">
        <v>119</v>
      </c>
      <c r="B3717" s="1">
        <v>1185732</v>
      </c>
      <c r="C3717" s="2">
        <v>44794</v>
      </c>
      <c r="D3717" s="1" t="s">
        <v>11</v>
      </c>
      <c r="E3717" s="1" t="s">
        <v>117</v>
      </c>
      <c r="F3717" s="1" t="s">
        <v>118</v>
      </c>
      <c r="G3717" s="1" t="s">
        <v>14</v>
      </c>
      <c r="H3717" s="1">
        <v>26</v>
      </c>
      <c r="I3717" s="1" t="s">
        <v>125</v>
      </c>
      <c r="J3717" s="3">
        <v>0.60000000000000009</v>
      </c>
      <c r="K3717" s="4">
        <v>4250</v>
      </c>
      <c r="L3717" s="5">
        <f t="shared" si="30"/>
        <v>2550.0000000000005</v>
      </c>
      <c r="M3717" s="5">
        <f t="shared" si="31"/>
        <v>892.50000000000023</v>
      </c>
      <c r="N3717" s="6">
        <v>0.35000000000000003</v>
      </c>
    </row>
    <row r="3718" spans="1:14" ht="15.75" customHeight="1" x14ac:dyDescent="0.45">
      <c r="A3718" s="1" t="s">
        <v>119</v>
      </c>
      <c r="B3718" s="1">
        <v>1185732</v>
      </c>
      <c r="C3718" s="2">
        <v>44794</v>
      </c>
      <c r="D3718" s="1" t="s">
        <v>11</v>
      </c>
      <c r="E3718" s="1" t="s">
        <v>117</v>
      </c>
      <c r="F3718" s="1" t="s">
        <v>118</v>
      </c>
      <c r="G3718" s="1" t="s">
        <v>15</v>
      </c>
      <c r="H3718" s="1">
        <v>46</v>
      </c>
      <c r="I3718" s="1" t="s">
        <v>124</v>
      </c>
      <c r="J3718" s="3">
        <v>0.55000000000000004</v>
      </c>
      <c r="K3718" s="4">
        <v>3500</v>
      </c>
      <c r="L3718" s="5">
        <f t="shared" si="30"/>
        <v>1925.0000000000002</v>
      </c>
      <c r="M3718" s="5">
        <f t="shared" si="31"/>
        <v>481.25000000000006</v>
      </c>
      <c r="N3718" s="6">
        <v>0.25</v>
      </c>
    </row>
    <row r="3719" spans="1:14" ht="15.75" customHeight="1" x14ac:dyDescent="0.45">
      <c r="A3719" s="1" t="s">
        <v>119</v>
      </c>
      <c r="B3719" s="1">
        <v>1185732</v>
      </c>
      <c r="C3719" s="2">
        <v>44794</v>
      </c>
      <c r="D3719" s="1" t="s">
        <v>11</v>
      </c>
      <c r="E3719" s="1" t="s">
        <v>117</v>
      </c>
      <c r="F3719" s="1" t="s">
        <v>118</v>
      </c>
      <c r="G3719" s="1" t="s">
        <v>16</v>
      </c>
      <c r="H3719" s="1">
        <v>55</v>
      </c>
      <c r="I3719" s="1" t="s">
        <v>123</v>
      </c>
      <c r="J3719" s="3">
        <v>0.55000000000000004</v>
      </c>
      <c r="K3719" s="4">
        <v>2500</v>
      </c>
      <c r="L3719" s="5">
        <f t="shared" si="30"/>
        <v>1375</v>
      </c>
      <c r="M3719" s="5">
        <f t="shared" si="31"/>
        <v>343.75</v>
      </c>
      <c r="N3719" s="6">
        <v>0.25</v>
      </c>
    </row>
    <row r="3720" spans="1:14" ht="15.75" customHeight="1" x14ac:dyDescent="0.45">
      <c r="A3720" s="1" t="s">
        <v>119</v>
      </c>
      <c r="B3720" s="1">
        <v>1185732</v>
      </c>
      <c r="C3720" s="2">
        <v>44794</v>
      </c>
      <c r="D3720" s="1" t="s">
        <v>11</v>
      </c>
      <c r="E3720" s="1" t="s">
        <v>117</v>
      </c>
      <c r="F3720" s="1" t="s">
        <v>118</v>
      </c>
      <c r="G3720" s="1" t="s">
        <v>17</v>
      </c>
      <c r="H3720" s="1">
        <v>21</v>
      </c>
      <c r="I3720" s="1" t="s">
        <v>123</v>
      </c>
      <c r="J3720" s="3">
        <v>0.65</v>
      </c>
      <c r="K3720" s="4">
        <v>2250</v>
      </c>
      <c r="L3720" s="5">
        <f t="shared" si="30"/>
        <v>1462.5</v>
      </c>
      <c r="M3720" s="5">
        <f t="shared" si="31"/>
        <v>365.625</v>
      </c>
      <c r="N3720" s="6">
        <v>0.25</v>
      </c>
    </row>
    <row r="3721" spans="1:14" ht="15.75" customHeight="1" x14ac:dyDescent="0.45">
      <c r="A3721" s="1" t="s">
        <v>119</v>
      </c>
      <c r="B3721" s="1">
        <v>1185732</v>
      </c>
      <c r="C3721" s="2">
        <v>44794</v>
      </c>
      <c r="D3721" s="1" t="s">
        <v>11</v>
      </c>
      <c r="E3721" s="1" t="s">
        <v>117</v>
      </c>
      <c r="F3721" s="1" t="s">
        <v>118</v>
      </c>
      <c r="G3721" s="1" t="s">
        <v>18</v>
      </c>
      <c r="H3721" s="1">
        <v>46</v>
      </c>
      <c r="I3721" s="1" t="s">
        <v>125</v>
      </c>
      <c r="J3721" s="3">
        <v>0.70000000000000007</v>
      </c>
      <c r="K3721" s="4">
        <v>4000</v>
      </c>
      <c r="L3721" s="5">
        <f t="shared" si="30"/>
        <v>2800.0000000000005</v>
      </c>
      <c r="M3721" s="5">
        <f t="shared" si="31"/>
        <v>840.00000000000011</v>
      </c>
      <c r="N3721" s="6">
        <v>0.3</v>
      </c>
    </row>
    <row r="3722" spans="1:14" ht="15.75" customHeight="1" x14ac:dyDescent="0.45">
      <c r="A3722" s="1" t="s">
        <v>119</v>
      </c>
      <c r="B3722" s="1">
        <v>1185732</v>
      </c>
      <c r="C3722" s="2">
        <v>44824</v>
      </c>
      <c r="D3722" s="1" t="s">
        <v>11</v>
      </c>
      <c r="E3722" s="1" t="s">
        <v>117</v>
      </c>
      <c r="F3722" s="1" t="s">
        <v>118</v>
      </c>
      <c r="G3722" s="1" t="s">
        <v>13</v>
      </c>
      <c r="H3722" s="1">
        <v>47</v>
      </c>
      <c r="I3722" s="1" t="s">
        <v>123</v>
      </c>
      <c r="J3722" s="3">
        <v>0.65</v>
      </c>
      <c r="K3722" s="4">
        <v>5250</v>
      </c>
      <c r="L3722" s="5">
        <f t="shared" si="30"/>
        <v>3412.5</v>
      </c>
      <c r="M3722" s="5">
        <f t="shared" si="31"/>
        <v>1194.375</v>
      </c>
      <c r="N3722" s="6">
        <v>0.35000000000000003</v>
      </c>
    </row>
    <row r="3723" spans="1:14" ht="15.75" customHeight="1" x14ac:dyDescent="0.45">
      <c r="A3723" s="1" t="s">
        <v>119</v>
      </c>
      <c r="B3723" s="1">
        <v>1185732</v>
      </c>
      <c r="C3723" s="2">
        <v>44824</v>
      </c>
      <c r="D3723" s="1" t="s">
        <v>11</v>
      </c>
      <c r="E3723" s="1" t="s">
        <v>117</v>
      </c>
      <c r="F3723" s="1" t="s">
        <v>118</v>
      </c>
      <c r="G3723" s="1" t="s">
        <v>14</v>
      </c>
      <c r="H3723" s="1">
        <v>32</v>
      </c>
      <c r="I3723" s="1" t="s">
        <v>125</v>
      </c>
      <c r="J3723" s="3">
        <v>0.60000000000000009</v>
      </c>
      <c r="K3723" s="4">
        <v>3250</v>
      </c>
      <c r="L3723" s="5">
        <f t="shared" si="30"/>
        <v>1950.0000000000002</v>
      </c>
      <c r="M3723" s="5">
        <f t="shared" si="31"/>
        <v>682.50000000000011</v>
      </c>
      <c r="N3723" s="6">
        <v>0.35000000000000003</v>
      </c>
    </row>
    <row r="3724" spans="1:14" ht="15.75" customHeight="1" x14ac:dyDescent="0.45">
      <c r="A3724" s="1" t="s">
        <v>119</v>
      </c>
      <c r="B3724" s="1">
        <v>1185732</v>
      </c>
      <c r="C3724" s="2">
        <v>44824</v>
      </c>
      <c r="D3724" s="1" t="s">
        <v>11</v>
      </c>
      <c r="E3724" s="1" t="s">
        <v>117</v>
      </c>
      <c r="F3724" s="1" t="s">
        <v>118</v>
      </c>
      <c r="G3724" s="1" t="s">
        <v>15</v>
      </c>
      <c r="H3724" s="1">
        <v>37</v>
      </c>
      <c r="I3724" s="1" t="s">
        <v>123</v>
      </c>
      <c r="J3724" s="3">
        <v>0.55000000000000004</v>
      </c>
      <c r="K3724" s="4">
        <v>2250</v>
      </c>
      <c r="L3724" s="5">
        <f t="shared" si="30"/>
        <v>1237.5</v>
      </c>
      <c r="M3724" s="5">
        <f t="shared" si="31"/>
        <v>309.375</v>
      </c>
      <c r="N3724" s="6">
        <v>0.25</v>
      </c>
    </row>
    <row r="3725" spans="1:14" ht="15.75" customHeight="1" x14ac:dyDescent="0.45">
      <c r="A3725" s="1" t="s">
        <v>119</v>
      </c>
      <c r="B3725" s="1">
        <v>1185732</v>
      </c>
      <c r="C3725" s="2">
        <v>44824</v>
      </c>
      <c r="D3725" s="1" t="s">
        <v>11</v>
      </c>
      <c r="E3725" s="1" t="s">
        <v>117</v>
      </c>
      <c r="F3725" s="1" t="s">
        <v>118</v>
      </c>
      <c r="G3725" s="1" t="s">
        <v>16</v>
      </c>
      <c r="H3725" s="1">
        <v>56</v>
      </c>
      <c r="I3725" s="1" t="s">
        <v>125</v>
      </c>
      <c r="J3725" s="3">
        <v>0.55000000000000004</v>
      </c>
      <c r="K3725" s="4">
        <v>2000</v>
      </c>
      <c r="L3725" s="5">
        <f t="shared" si="30"/>
        <v>1100</v>
      </c>
      <c r="M3725" s="5">
        <f t="shared" si="31"/>
        <v>275</v>
      </c>
      <c r="N3725" s="6">
        <v>0.25</v>
      </c>
    </row>
    <row r="3726" spans="1:14" ht="15.75" customHeight="1" x14ac:dyDescent="0.45">
      <c r="A3726" s="1" t="s">
        <v>119</v>
      </c>
      <c r="B3726" s="1">
        <v>1185732</v>
      </c>
      <c r="C3726" s="2">
        <v>44824</v>
      </c>
      <c r="D3726" s="1" t="s">
        <v>11</v>
      </c>
      <c r="E3726" s="1" t="s">
        <v>117</v>
      </c>
      <c r="F3726" s="1" t="s">
        <v>118</v>
      </c>
      <c r="G3726" s="1" t="s">
        <v>17</v>
      </c>
      <c r="H3726" s="1">
        <v>42</v>
      </c>
      <c r="I3726" s="1" t="s">
        <v>123</v>
      </c>
      <c r="J3726" s="3">
        <v>0.65</v>
      </c>
      <c r="K3726" s="4">
        <v>2000</v>
      </c>
      <c r="L3726" s="5">
        <f t="shared" si="30"/>
        <v>1300</v>
      </c>
      <c r="M3726" s="5">
        <f t="shared" si="31"/>
        <v>325</v>
      </c>
      <c r="N3726" s="6">
        <v>0.25</v>
      </c>
    </row>
    <row r="3727" spans="1:14" ht="15.75" customHeight="1" x14ac:dyDescent="0.45">
      <c r="A3727" s="1" t="s">
        <v>119</v>
      </c>
      <c r="B3727" s="1">
        <v>1185732</v>
      </c>
      <c r="C3727" s="2">
        <v>44824</v>
      </c>
      <c r="D3727" s="1" t="s">
        <v>11</v>
      </c>
      <c r="E3727" s="1" t="s">
        <v>117</v>
      </c>
      <c r="F3727" s="1" t="s">
        <v>118</v>
      </c>
      <c r="G3727" s="1" t="s">
        <v>18</v>
      </c>
      <c r="H3727" s="1">
        <v>37</v>
      </c>
      <c r="I3727" s="1" t="s">
        <v>124</v>
      </c>
      <c r="J3727" s="3">
        <v>0.70000000000000007</v>
      </c>
      <c r="K3727" s="4">
        <v>3000</v>
      </c>
      <c r="L3727" s="5">
        <f t="shared" si="30"/>
        <v>2100</v>
      </c>
      <c r="M3727" s="5">
        <f t="shared" si="31"/>
        <v>630</v>
      </c>
      <c r="N3727" s="6">
        <v>0.3</v>
      </c>
    </row>
    <row r="3728" spans="1:14" ht="15.75" customHeight="1" x14ac:dyDescent="0.45">
      <c r="A3728" s="1" t="s">
        <v>119</v>
      </c>
      <c r="B3728" s="1">
        <v>1185732</v>
      </c>
      <c r="C3728" s="2">
        <v>44856</v>
      </c>
      <c r="D3728" s="1" t="s">
        <v>11</v>
      </c>
      <c r="E3728" s="1" t="s">
        <v>117</v>
      </c>
      <c r="F3728" s="1" t="s">
        <v>118</v>
      </c>
      <c r="G3728" s="1" t="s">
        <v>13</v>
      </c>
      <c r="H3728" s="1">
        <v>29</v>
      </c>
      <c r="I3728" s="1" t="s">
        <v>124</v>
      </c>
      <c r="J3728" s="3">
        <v>0.70000000000000007</v>
      </c>
      <c r="K3728" s="4">
        <v>4500</v>
      </c>
      <c r="L3728" s="5">
        <f t="shared" si="30"/>
        <v>3150.0000000000005</v>
      </c>
      <c r="M3728" s="5">
        <f t="shared" si="31"/>
        <v>1102.5000000000002</v>
      </c>
      <c r="N3728" s="6">
        <v>0.35000000000000003</v>
      </c>
    </row>
    <row r="3729" spans="1:14" ht="15.75" customHeight="1" x14ac:dyDescent="0.45">
      <c r="A3729" s="1" t="s">
        <v>119</v>
      </c>
      <c r="B3729" s="1">
        <v>1185732</v>
      </c>
      <c r="C3729" s="2">
        <v>44856</v>
      </c>
      <c r="D3729" s="1" t="s">
        <v>11</v>
      </c>
      <c r="E3729" s="1" t="s">
        <v>117</v>
      </c>
      <c r="F3729" s="1" t="s">
        <v>118</v>
      </c>
      <c r="G3729" s="1" t="s">
        <v>14</v>
      </c>
      <c r="H3729" s="1">
        <v>45</v>
      </c>
      <c r="I3729" s="1" t="s">
        <v>126</v>
      </c>
      <c r="J3729" s="3">
        <v>0.65000000000000013</v>
      </c>
      <c r="K3729" s="4">
        <v>2750</v>
      </c>
      <c r="L3729" s="5">
        <f t="shared" si="30"/>
        <v>1787.5000000000005</v>
      </c>
      <c r="M3729" s="5">
        <f t="shared" si="31"/>
        <v>625.62500000000023</v>
      </c>
      <c r="N3729" s="6">
        <v>0.35000000000000003</v>
      </c>
    </row>
    <row r="3730" spans="1:14" ht="15.75" customHeight="1" x14ac:dyDescent="0.45">
      <c r="A3730" s="1" t="s">
        <v>119</v>
      </c>
      <c r="B3730" s="1">
        <v>1185732</v>
      </c>
      <c r="C3730" s="2">
        <v>44856</v>
      </c>
      <c r="D3730" s="1" t="s">
        <v>11</v>
      </c>
      <c r="E3730" s="1" t="s">
        <v>117</v>
      </c>
      <c r="F3730" s="1" t="s">
        <v>118</v>
      </c>
      <c r="G3730" s="1" t="s">
        <v>15</v>
      </c>
      <c r="H3730" s="1">
        <v>30</v>
      </c>
      <c r="I3730" s="1" t="s">
        <v>123</v>
      </c>
      <c r="J3730" s="3">
        <v>0.65000000000000013</v>
      </c>
      <c r="K3730" s="4">
        <v>1750</v>
      </c>
      <c r="L3730" s="5">
        <f t="shared" si="30"/>
        <v>1137.5000000000002</v>
      </c>
      <c r="M3730" s="5">
        <f t="shared" si="31"/>
        <v>284.37500000000006</v>
      </c>
      <c r="N3730" s="6">
        <v>0.25</v>
      </c>
    </row>
    <row r="3731" spans="1:14" ht="15.75" customHeight="1" x14ac:dyDescent="0.45">
      <c r="A3731" s="1" t="s">
        <v>119</v>
      </c>
      <c r="B3731" s="1">
        <v>1185732</v>
      </c>
      <c r="C3731" s="2">
        <v>44856</v>
      </c>
      <c r="D3731" s="1" t="s">
        <v>11</v>
      </c>
      <c r="E3731" s="1" t="s">
        <v>117</v>
      </c>
      <c r="F3731" s="1" t="s">
        <v>118</v>
      </c>
      <c r="G3731" s="1" t="s">
        <v>16</v>
      </c>
      <c r="H3731" s="1">
        <v>16</v>
      </c>
      <c r="I3731" s="1" t="s">
        <v>124</v>
      </c>
      <c r="J3731" s="3">
        <v>0.65000000000000013</v>
      </c>
      <c r="K3731" s="4">
        <v>1500</v>
      </c>
      <c r="L3731" s="5">
        <f t="shared" si="30"/>
        <v>975.00000000000023</v>
      </c>
      <c r="M3731" s="5">
        <f t="shared" si="31"/>
        <v>243.75000000000006</v>
      </c>
      <c r="N3731" s="6">
        <v>0.25</v>
      </c>
    </row>
    <row r="3732" spans="1:14" ht="15.75" customHeight="1" x14ac:dyDescent="0.45">
      <c r="A3732" s="1" t="s">
        <v>119</v>
      </c>
      <c r="B3732" s="1">
        <v>1185732</v>
      </c>
      <c r="C3732" s="2">
        <v>44856</v>
      </c>
      <c r="D3732" s="1" t="s">
        <v>11</v>
      </c>
      <c r="E3732" s="1" t="s">
        <v>117</v>
      </c>
      <c r="F3732" s="1" t="s">
        <v>118</v>
      </c>
      <c r="G3732" s="1" t="s">
        <v>17</v>
      </c>
      <c r="H3732" s="1">
        <v>20</v>
      </c>
      <c r="I3732" s="1" t="s">
        <v>124</v>
      </c>
      <c r="J3732" s="3">
        <v>0.75000000000000011</v>
      </c>
      <c r="K3732" s="4">
        <v>1500</v>
      </c>
      <c r="L3732" s="5">
        <f t="shared" si="30"/>
        <v>1125.0000000000002</v>
      </c>
      <c r="M3732" s="5">
        <f t="shared" si="31"/>
        <v>281.25000000000006</v>
      </c>
      <c r="N3732" s="6">
        <v>0.25</v>
      </c>
    </row>
    <row r="3733" spans="1:14" ht="15.75" customHeight="1" x14ac:dyDescent="0.45">
      <c r="A3733" s="1" t="s">
        <v>119</v>
      </c>
      <c r="B3733" s="1">
        <v>1185732</v>
      </c>
      <c r="C3733" s="2">
        <v>44856</v>
      </c>
      <c r="D3733" s="1" t="s">
        <v>11</v>
      </c>
      <c r="E3733" s="1" t="s">
        <v>117</v>
      </c>
      <c r="F3733" s="1" t="s">
        <v>118</v>
      </c>
      <c r="G3733" s="1" t="s">
        <v>18</v>
      </c>
      <c r="H3733" s="1">
        <v>19</v>
      </c>
      <c r="I3733" s="1" t="s">
        <v>123</v>
      </c>
      <c r="J3733" s="3">
        <v>0.8</v>
      </c>
      <c r="K3733" s="4">
        <v>2750</v>
      </c>
      <c r="L3733" s="5">
        <f t="shared" si="30"/>
        <v>2200</v>
      </c>
      <c r="M3733" s="5">
        <f t="shared" si="31"/>
        <v>660</v>
      </c>
      <c r="N3733" s="6">
        <v>0.3</v>
      </c>
    </row>
    <row r="3734" spans="1:14" ht="15.75" customHeight="1" x14ac:dyDescent="0.45">
      <c r="A3734" s="1" t="s">
        <v>119</v>
      </c>
      <c r="B3734" s="1">
        <v>1185732</v>
      </c>
      <c r="C3734" s="2">
        <v>44886</v>
      </c>
      <c r="D3734" s="1" t="s">
        <v>11</v>
      </c>
      <c r="E3734" s="1" t="s">
        <v>117</v>
      </c>
      <c r="F3734" s="1" t="s">
        <v>118</v>
      </c>
      <c r="G3734" s="1" t="s">
        <v>13</v>
      </c>
      <c r="H3734" s="1">
        <v>58</v>
      </c>
      <c r="I3734" s="1" t="s">
        <v>125</v>
      </c>
      <c r="J3734" s="3">
        <v>0.75000000000000011</v>
      </c>
      <c r="K3734" s="4">
        <v>4250</v>
      </c>
      <c r="L3734" s="5">
        <f t="shared" si="30"/>
        <v>3187.5000000000005</v>
      </c>
      <c r="M3734" s="5">
        <f t="shared" si="31"/>
        <v>1115.6250000000002</v>
      </c>
      <c r="N3734" s="6">
        <v>0.35000000000000003</v>
      </c>
    </row>
    <row r="3735" spans="1:14" ht="15.75" customHeight="1" x14ac:dyDescent="0.45">
      <c r="A3735" s="1" t="s">
        <v>119</v>
      </c>
      <c r="B3735" s="1">
        <v>1185732</v>
      </c>
      <c r="C3735" s="2">
        <v>44886</v>
      </c>
      <c r="D3735" s="1" t="s">
        <v>11</v>
      </c>
      <c r="E3735" s="1" t="s">
        <v>117</v>
      </c>
      <c r="F3735" s="1" t="s">
        <v>118</v>
      </c>
      <c r="G3735" s="1" t="s">
        <v>14</v>
      </c>
      <c r="H3735" s="1">
        <v>20</v>
      </c>
      <c r="I3735" s="1" t="s">
        <v>124</v>
      </c>
      <c r="J3735" s="3">
        <v>0.65000000000000013</v>
      </c>
      <c r="K3735" s="4">
        <v>3000</v>
      </c>
      <c r="L3735" s="5">
        <f t="shared" si="30"/>
        <v>1950.0000000000005</v>
      </c>
      <c r="M3735" s="5">
        <f t="shared" si="31"/>
        <v>682.50000000000023</v>
      </c>
      <c r="N3735" s="6">
        <v>0.35000000000000003</v>
      </c>
    </row>
    <row r="3736" spans="1:14" ht="15.75" customHeight="1" x14ac:dyDescent="0.45">
      <c r="A3736" s="1" t="s">
        <v>119</v>
      </c>
      <c r="B3736" s="1">
        <v>1185732</v>
      </c>
      <c r="C3736" s="2">
        <v>44886</v>
      </c>
      <c r="D3736" s="1" t="s">
        <v>11</v>
      </c>
      <c r="E3736" s="1" t="s">
        <v>117</v>
      </c>
      <c r="F3736" s="1" t="s">
        <v>118</v>
      </c>
      <c r="G3736" s="1" t="s">
        <v>15</v>
      </c>
      <c r="H3736" s="1">
        <v>45</v>
      </c>
      <c r="I3736" s="1" t="s">
        <v>123</v>
      </c>
      <c r="J3736" s="3">
        <v>0.65000000000000013</v>
      </c>
      <c r="K3736" s="4">
        <v>3200</v>
      </c>
      <c r="L3736" s="5">
        <f t="shared" si="30"/>
        <v>2080.0000000000005</v>
      </c>
      <c r="M3736" s="5">
        <f t="shared" si="31"/>
        <v>520.00000000000011</v>
      </c>
      <c r="N3736" s="6">
        <v>0.25</v>
      </c>
    </row>
    <row r="3737" spans="1:14" ht="15.75" customHeight="1" x14ac:dyDescent="0.45">
      <c r="A3737" s="1" t="s">
        <v>119</v>
      </c>
      <c r="B3737" s="1">
        <v>1185732</v>
      </c>
      <c r="C3737" s="2">
        <v>44886</v>
      </c>
      <c r="D3737" s="1" t="s">
        <v>11</v>
      </c>
      <c r="E3737" s="1" t="s">
        <v>117</v>
      </c>
      <c r="F3737" s="1" t="s">
        <v>118</v>
      </c>
      <c r="G3737" s="1" t="s">
        <v>16</v>
      </c>
      <c r="H3737" s="1">
        <v>43</v>
      </c>
      <c r="I3737" s="1" t="s">
        <v>124</v>
      </c>
      <c r="J3737" s="3">
        <v>0.65000000000000013</v>
      </c>
      <c r="K3737" s="4">
        <v>3000</v>
      </c>
      <c r="L3737" s="5">
        <f t="shared" si="30"/>
        <v>1950.0000000000005</v>
      </c>
      <c r="M3737" s="5">
        <f t="shared" si="31"/>
        <v>487.50000000000011</v>
      </c>
      <c r="N3737" s="6">
        <v>0.25</v>
      </c>
    </row>
    <row r="3738" spans="1:14" ht="15.75" customHeight="1" x14ac:dyDescent="0.45">
      <c r="A3738" s="1" t="s">
        <v>119</v>
      </c>
      <c r="B3738" s="1">
        <v>1185732</v>
      </c>
      <c r="C3738" s="2">
        <v>44886</v>
      </c>
      <c r="D3738" s="1" t="s">
        <v>11</v>
      </c>
      <c r="E3738" s="1" t="s">
        <v>117</v>
      </c>
      <c r="F3738" s="1" t="s">
        <v>118</v>
      </c>
      <c r="G3738" s="1" t="s">
        <v>17</v>
      </c>
      <c r="H3738" s="1">
        <v>35</v>
      </c>
      <c r="I3738" s="1" t="s">
        <v>125</v>
      </c>
      <c r="J3738" s="3">
        <v>0.75000000000000011</v>
      </c>
      <c r="K3738" s="4">
        <v>2750</v>
      </c>
      <c r="L3738" s="5">
        <f t="shared" si="30"/>
        <v>2062.5000000000005</v>
      </c>
      <c r="M3738" s="5">
        <f t="shared" si="31"/>
        <v>515.62500000000011</v>
      </c>
      <c r="N3738" s="6">
        <v>0.25</v>
      </c>
    </row>
    <row r="3739" spans="1:14" ht="15.75" customHeight="1" x14ac:dyDescent="0.45">
      <c r="A3739" s="1" t="s">
        <v>119</v>
      </c>
      <c r="B3739" s="1">
        <v>1185732</v>
      </c>
      <c r="C3739" s="2">
        <v>44886</v>
      </c>
      <c r="D3739" s="1" t="s">
        <v>11</v>
      </c>
      <c r="E3739" s="1" t="s">
        <v>117</v>
      </c>
      <c r="F3739" s="1" t="s">
        <v>118</v>
      </c>
      <c r="G3739" s="1" t="s">
        <v>18</v>
      </c>
      <c r="H3739" s="1">
        <v>50</v>
      </c>
      <c r="I3739" s="1" t="s">
        <v>123</v>
      </c>
      <c r="J3739" s="3">
        <v>0.8</v>
      </c>
      <c r="K3739" s="4">
        <v>3750</v>
      </c>
      <c r="L3739" s="5">
        <f t="shared" si="30"/>
        <v>3000</v>
      </c>
      <c r="M3739" s="5">
        <f t="shared" si="31"/>
        <v>900</v>
      </c>
      <c r="N3739" s="6">
        <v>0.3</v>
      </c>
    </row>
    <row r="3740" spans="1:14" ht="15.75" customHeight="1" x14ac:dyDescent="0.45">
      <c r="A3740" s="1" t="s">
        <v>119</v>
      </c>
      <c r="B3740" s="1">
        <v>1185732</v>
      </c>
      <c r="C3740" s="2">
        <v>44915</v>
      </c>
      <c r="D3740" s="1" t="s">
        <v>11</v>
      </c>
      <c r="E3740" s="1" t="s">
        <v>117</v>
      </c>
      <c r="F3740" s="1" t="s">
        <v>118</v>
      </c>
      <c r="G3740" s="1" t="s">
        <v>13</v>
      </c>
      <c r="H3740" s="1">
        <v>21</v>
      </c>
      <c r="I3740" s="1" t="s">
        <v>124</v>
      </c>
      <c r="J3740" s="3">
        <v>0.75000000000000011</v>
      </c>
      <c r="K3740" s="4">
        <v>6000</v>
      </c>
      <c r="L3740" s="5">
        <f t="shared" si="30"/>
        <v>4500.0000000000009</v>
      </c>
      <c r="M3740" s="5">
        <f t="shared" si="31"/>
        <v>1575.0000000000005</v>
      </c>
      <c r="N3740" s="6">
        <v>0.35000000000000003</v>
      </c>
    </row>
    <row r="3741" spans="1:14" ht="15.75" customHeight="1" x14ac:dyDescent="0.45">
      <c r="A3741" s="1" t="s">
        <v>119</v>
      </c>
      <c r="B3741" s="1">
        <v>1185732</v>
      </c>
      <c r="C3741" s="2">
        <v>44915</v>
      </c>
      <c r="D3741" s="1" t="s">
        <v>11</v>
      </c>
      <c r="E3741" s="1" t="s">
        <v>117</v>
      </c>
      <c r="F3741" s="1" t="s">
        <v>118</v>
      </c>
      <c r="G3741" s="1" t="s">
        <v>14</v>
      </c>
      <c r="H3741" s="1">
        <v>26</v>
      </c>
      <c r="I3741" s="1" t="s">
        <v>123</v>
      </c>
      <c r="J3741" s="3">
        <v>0.65000000000000013</v>
      </c>
      <c r="K3741" s="4">
        <v>4000</v>
      </c>
      <c r="L3741" s="5">
        <f t="shared" si="30"/>
        <v>2600.0000000000005</v>
      </c>
      <c r="M3741" s="5">
        <f t="shared" si="31"/>
        <v>910.00000000000023</v>
      </c>
      <c r="N3741" s="6">
        <v>0.35000000000000003</v>
      </c>
    </row>
    <row r="3742" spans="1:14" ht="15.75" customHeight="1" x14ac:dyDescent="0.45">
      <c r="A3742" s="1" t="s">
        <v>119</v>
      </c>
      <c r="B3742" s="1">
        <v>1185732</v>
      </c>
      <c r="C3742" s="2">
        <v>44915</v>
      </c>
      <c r="D3742" s="1" t="s">
        <v>11</v>
      </c>
      <c r="E3742" s="1" t="s">
        <v>117</v>
      </c>
      <c r="F3742" s="1" t="s">
        <v>118</v>
      </c>
      <c r="G3742" s="1" t="s">
        <v>15</v>
      </c>
      <c r="H3742" s="1">
        <v>36</v>
      </c>
      <c r="I3742" s="1" t="s">
        <v>125</v>
      </c>
      <c r="J3742" s="3">
        <v>0.65000000000000013</v>
      </c>
      <c r="K3742" s="4">
        <v>3750</v>
      </c>
      <c r="L3742" s="5">
        <f t="shared" si="30"/>
        <v>2437.5000000000005</v>
      </c>
      <c r="M3742" s="5">
        <f t="shared" si="31"/>
        <v>609.37500000000011</v>
      </c>
      <c r="N3742" s="6">
        <v>0.25</v>
      </c>
    </row>
    <row r="3743" spans="1:14" ht="15.75" customHeight="1" x14ac:dyDescent="0.45">
      <c r="A3743" s="1" t="s">
        <v>119</v>
      </c>
      <c r="B3743" s="1">
        <v>1185732</v>
      </c>
      <c r="C3743" s="2">
        <v>44915</v>
      </c>
      <c r="D3743" s="1" t="s">
        <v>11</v>
      </c>
      <c r="E3743" s="1" t="s">
        <v>117</v>
      </c>
      <c r="F3743" s="1" t="s">
        <v>118</v>
      </c>
      <c r="G3743" s="1" t="s">
        <v>16</v>
      </c>
      <c r="H3743" s="1">
        <v>47</v>
      </c>
      <c r="I3743" s="1" t="s">
        <v>124</v>
      </c>
      <c r="J3743" s="3">
        <v>0.65000000000000013</v>
      </c>
      <c r="K3743" s="4">
        <v>3250</v>
      </c>
      <c r="L3743" s="5">
        <f t="shared" si="30"/>
        <v>2112.5000000000005</v>
      </c>
      <c r="M3743" s="5">
        <f t="shared" si="31"/>
        <v>528.12500000000011</v>
      </c>
      <c r="N3743" s="6">
        <v>0.25</v>
      </c>
    </row>
    <row r="3744" spans="1:14" ht="15.75" customHeight="1" x14ac:dyDescent="0.45">
      <c r="A3744" s="1" t="s">
        <v>119</v>
      </c>
      <c r="B3744" s="1">
        <v>1185732</v>
      </c>
      <c r="C3744" s="2">
        <v>44915</v>
      </c>
      <c r="D3744" s="1" t="s">
        <v>11</v>
      </c>
      <c r="E3744" s="1" t="s">
        <v>117</v>
      </c>
      <c r="F3744" s="1" t="s">
        <v>118</v>
      </c>
      <c r="G3744" s="1" t="s">
        <v>17</v>
      </c>
      <c r="H3744" s="1">
        <v>17</v>
      </c>
      <c r="I3744" s="1" t="s">
        <v>125</v>
      </c>
      <c r="J3744" s="3">
        <v>0.75000000000000011</v>
      </c>
      <c r="K3744" s="4">
        <v>3250</v>
      </c>
      <c r="L3744" s="5">
        <f t="shared" si="30"/>
        <v>2437.5000000000005</v>
      </c>
      <c r="M3744" s="5">
        <f t="shared" si="31"/>
        <v>609.37500000000011</v>
      </c>
      <c r="N3744" s="6">
        <v>0.25</v>
      </c>
    </row>
    <row r="3745" spans="1:14" ht="15.75" customHeight="1" x14ac:dyDescent="0.45">
      <c r="A3745" s="1" t="s">
        <v>119</v>
      </c>
      <c r="B3745" s="1">
        <v>1185732</v>
      </c>
      <c r="C3745" s="2">
        <v>44915</v>
      </c>
      <c r="D3745" s="1" t="s">
        <v>11</v>
      </c>
      <c r="E3745" s="1" t="s">
        <v>117</v>
      </c>
      <c r="F3745" s="1" t="s">
        <v>118</v>
      </c>
      <c r="G3745" s="1" t="s">
        <v>18</v>
      </c>
      <c r="H3745" s="1">
        <v>15</v>
      </c>
      <c r="I3745" s="1" t="s">
        <v>123</v>
      </c>
      <c r="J3745" s="3">
        <v>0.8</v>
      </c>
      <c r="K3745" s="4">
        <v>4250</v>
      </c>
      <c r="L3745" s="5">
        <f t="shared" si="30"/>
        <v>3400</v>
      </c>
      <c r="M3745" s="5">
        <f t="shared" si="31"/>
        <v>1020</v>
      </c>
      <c r="N3745" s="6">
        <v>0.3</v>
      </c>
    </row>
  </sheetData>
  <pageMargins left="0.7" right="0.7" top="0.75" bottom="0.75" header="0" footer="0"/>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8CFFE-50F5-4E6A-9745-CC8FD24F3DCE}">
  <dimension ref="J1:M14"/>
  <sheetViews>
    <sheetView showGridLines="0" tabSelected="1" zoomScale="85" zoomScaleNormal="85" workbookViewId="0">
      <selection activeCell="O6" sqref="O6"/>
    </sheetView>
  </sheetViews>
  <sheetFormatPr defaultRowHeight="14.25" x14ac:dyDescent="0.45"/>
  <cols>
    <col min="1" max="1" width="25.59765625" customWidth="1"/>
    <col min="9" max="9" width="8.73046875" customWidth="1"/>
    <col min="10" max="10" width="14.86328125" customWidth="1"/>
    <col min="11" max="11" width="22.265625" customWidth="1"/>
    <col min="12" max="12" width="23.33203125" customWidth="1"/>
    <col min="13" max="13" width="18.33203125" customWidth="1"/>
  </cols>
  <sheetData>
    <row r="1" spans="10:13" ht="16.149999999999999" customHeight="1" x14ac:dyDescent="0.45"/>
    <row r="2" spans="10:13" ht="6.75" customHeight="1" x14ac:dyDescent="0.45"/>
    <row r="3" spans="10:13" hidden="1" x14ac:dyDescent="0.45"/>
    <row r="4" spans="10:13" ht="45.85" customHeight="1" x14ac:dyDescent="0.45">
      <c r="J4" s="18" t="str">
        <f>pivots!G19</f>
        <v>States</v>
      </c>
      <c r="K4" s="18" t="str">
        <f>pivots!H19</f>
        <v>Sum of Total Sales</v>
      </c>
      <c r="L4" s="18" t="str">
        <f>pivots!I19</f>
        <v>Sum of Operating Profit</v>
      </c>
      <c r="M4" s="18" t="str">
        <f>pivots!J19</f>
        <v>Sum of Units Sold</v>
      </c>
    </row>
    <row r="5" spans="10:13" x14ac:dyDescent="0.45">
      <c r="J5" s="17" t="str">
        <f>pivots!G20</f>
        <v>New York</v>
      </c>
      <c r="K5" s="17">
        <f>pivots!H20</f>
        <v>582675</v>
      </c>
      <c r="L5" s="17">
        <f>pivots!I20</f>
        <v>203082.5</v>
      </c>
      <c r="M5" s="17">
        <f>pivots!J20</f>
        <v>1125200</v>
      </c>
    </row>
    <row r="6" spans="10:13" x14ac:dyDescent="0.45">
      <c r="J6" s="17" t="str">
        <f>pivots!G21</f>
        <v>California</v>
      </c>
      <c r="K6" s="17">
        <f>pivots!H21</f>
        <v>582400</v>
      </c>
      <c r="L6" s="17">
        <f>pivots!I21</f>
        <v>183895.625</v>
      </c>
      <c r="M6" s="17">
        <f>pivots!J21</f>
        <v>1037250</v>
      </c>
    </row>
    <row r="7" spans="10:13" x14ac:dyDescent="0.45">
      <c r="J7" s="17" t="str">
        <f>pivots!G22</f>
        <v>Florida</v>
      </c>
      <c r="K7" s="17">
        <f>pivots!H22</f>
        <v>561850</v>
      </c>
      <c r="L7" s="17">
        <f>pivots!I22</f>
        <v>214731.25</v>
      </c>
      <c r="M7" s="17">
        <f>pivots!J22</f>
        <v>1051700</v>
      </c>
    </row>
    <row r="8" spans="10:13" x14ac:dyDescent="0.45">
      <c r="J8" s="17" t="str">
        <f>pivots!G23</f>
        <v>Texas</v>
      </c>
      <c r="K8" s="17">
        <f>pivots!H23</f>
        <v>440987.5</v>
      </c>
      <c r="L8" s="17">
        <f>pivots!I23</f>
        <v>176324.375</v>
      </c>
      <c r="M8" s="17">
        <f>pivots!J23</f>
        <v>1014250</v>
      </c>
    </row>
    <row r="9" spans="10:13" x14ac:dyDescent="0.45">
      <c r="J9" s="17" t="str">
        <f>pivots!G24</f>
        <v>Georgia</v>
      </c>
      <c r="K9" s="17">
        <f>pivots!H24</f>
        <v>292210</v>
      </c>
      <c r="L9" s="17">
        <f>pivots!I24</f>
        <v>111621.5</v>
      </c>
      <c r="M9" s="17">
        <f>pivots!J24</f>
        <v>579350</v>
      </c>
    </row>
    <row r="10" spans="10:13" x14ac:dyDescent="0.45">
      <c r="J10" s="17" t="str">
        <f>pivots!G25</f>
        <v>Washington</v>
      </c>
      <c r="K10" s="17">
        <f>pivots!H25</f>
        <v>250237.5</v>
      </c>
      <c r="L10" s="17">
        <f>pivots!I25</f>
        <v>64440.625</v>
      </c>
      <c r="M10" s="17">
        <f>pivots!J25</f>
        <v>348750</v>
      </c>
    </row>
    <row r="11" spans="10:13" x14ac:dyDescent="0.45">
      <c r="J11" s="17" t="str">
        <f>pivots!G26</f>
        <v>South Carolina</v>
      </c>
      <c r="K11" s="17">
        <f>pivots!H26</f>
        <v>238055</v>
      </c>
      <c r="L11" s="17">
        <f>pivots!I26</f>
        <v>96130.125</v>
      </c>
      <c r="M11" s="17">
        <f>pivots!J26</f>
        <v>507350</v>
      </c>
    </row>
    <row r="12" spans="10:13" x14ac:dyDescent="0.45">
      <c r="J12" s="17" t="str">
        <f>pivots!G27</f>
        <v>Oregon</v>
      </c>
      <c r="K12" s="17">
        <f>pivots!H27</f>
        <v>226300</v>
      </c>
      <c r="L12" s="17">
        <f>pivots!I27</f>
        <v>89835</v>
      </c>
      <c r="M12" s="17">
        <f>pivots!J27</f>
        <v>346750</v>
      </c>
    </row>
    <row r="13" spans="10:13" x14ac:dyDescent="0.45">
      <c r="J13" s="17" t="str">
        <f>pivots!G28</f>
        <v>Colorado</v>
      </c>
      <c r="K13" s="17">
        <f>pivots!H28</f>
        <v>202725</v>
      </c>
      <c r="L13" s="17">
        <f>pivots!I28</f>
        <v>74185.625</v>
      </c>
      <c r="M13" s="17">
        <f>pivots!J28</f>
        <v>324250</v>
      </c>
    </row>
    <row r="14" spans="10:13" x14ac:dyDescent="0.45">
      <c r="J14" s="17" t="str">
        <f>pivots!G29</f>
        <v>Utah</v>
      </c>
      <c r="K14" s="17">
        <f>pivots!H29</f>
        <v>199937.5</v>
      </c>
      <c r="L14" s="17">
        <f>pivots!I29</f>
        <v>69359.375</v>
      </c>
      <c r="M14" s="17">
        <f>pivots!J29</f>
        <v>310750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pivots</vt:lpstr>
      <vt:lpstr>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Quach</dc:creator>
  <cp:lastModifiedBy>Lakshmipriya Bodhanapu</cp:lastModifiedBy>
  <dcterms:created xsi:type="dcterms:W3CDTF">2022-04-21T14:05:43Z</dcterms:created>
  <dcterms:modified xsi:type="dcterms:W3CDTF">2026-02-22T01:24:57Z</dcterms:modified>
</cp:coreProperties>
</file>