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user files dec 2025 copy\Downloads\"/>
    </mc:Choice>
  </mc:AlternateContent>
  <xr:revisionPtr revIDLastSave="0" documentId="13_ncr:1_{470C29E1-4B8A-40EF-BC08-10BC363CDE4A}" xr6:coauthVersionLast="47" xr6:coauthVersionMax="47" xr10:uidLastSave="{00000000-0000-0000-0000-000000000000}"/>
  <bookViews>
    <workbookView xWindow="-98" yWindow="-98" windowWidth="24196" windowHeight="14476" activeTab="1" xr2:uid="{346724B3-1C49-40AE-AA36-C77CF5D6DD09}"/>
  </bookViews>
  <sheets>
    <sheet name="Pivots" sheetId="5" r:id="rId1"/>
    <sheet name="DashBoard" sheetId="6" r:id="rId2"/>
    <sheet name="matrix" sheetId="7" r:id="rId3"/>
    <sheet name="Data" sheetId="1" r:id="rId4"/>
    <sheet name="Questions &amp; KPIs" sheetId="2" r:id="rId5"/>
  </sheets>
  <definedNames>
    <definedName name="_xlchart.v5.0" hidden="1">Pivots!$J$82:$K$82</definedName>
    <definedName name="_xlchart.v5.1" hidden="1">Pivots!$J$83:$K$140</definedName>
    <definedName name="_xlchart.v5.2" hidden="1">Pivots!$L$82</definedName>
    <definedName name="_xlchart.v5.3" hidden="1">Pivots!$L$83:$L$140</definedName>
    <definedName name="_xlchart.v5.4" hidden="1">Pivots!$F$82:$G$82</definedName>
    <definedName name="_xlchart.v5.5" hidden="1">Pivots!$F$83:$G$140</definedName>
    <definedName name="_xlchart.v5.6" hidden="1">Pivots!$H$82</definedName>
    <definedName name="_xlchart.v5.7" hidden="1">Pivots!$H$83:$H$140</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 i="7" l="1"/>
  <c r="K4" i="7"/>
  <c r="L4" i="7"/>
  <c r="I4" i="7"/>
  <c r="I5" i="7"/>
  <c r="J5" i="7"/>
  <c r="K5" i="7"/>
  <c r="L5" i="7"/>
  <c r="I6" i="7"/>
  <c r="J6" i="7"/>
  <c r="K6" i="7"/>
  <c r="L6" i="7"/>
  <c r="I7" i="7"/>
  <c r="J7" i="7"/>
  <c r="K7" i="7"/>
  <c r="L7" i="7"/>
  <c r="I8" i="7"/>
  <c r="J8" i="7"/>
  <c r="K8" i="7"/>
  <c r="L8" i="7"/>
  <c r="I9" i="7"/>
  <c r="J9" i="7"/>
  <c r="K9" i="7"/>
  <c r="L9" i="7"/>
  <c r="H6" i="7"/>
  <c r="H7" i="7"/>
  <c r="H8" i="7"/>
  <c r="H9" i="7"/>
  <c r="H5" i="7"/>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N2" i="1"/>
  <c r="M2" i="1"/>
  <c r="N2401" i="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H5" i="5"/>
  <c r="G5" i="5"/>
  <c r="K5" i="5"/>
  <c r="J5" i="5"/>
  <c r="I5" i="5"/>
</calcChain>
</file>

<file path=xl/sharedStrings.xml><?xml version="1.0" encoding="utf-8"?>
<sst xmlns="http://schemas.openxmlformats.org/spreadsheetml/2006/main" count="14866" uniqueCount="2543">
  <si>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</si>
  <si>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</si>
  <si>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</si>
  <si>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</si>
  <si>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</si>
  <si>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</si>
  <si>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</si>
  <si>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</si>
  <si>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</si>
  <si>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</si>
  <si>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</si>
  <si>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</si>
  <si>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</si>
  <si>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</si>
  <si>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</si>
  <si>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</si>
  <si>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</si>
  <si>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</si>
  <si>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</si>
  <si>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</si>
  <si>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</si>
  <si>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</si>
  <si>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</si>
  <si>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</si>
  <si>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</si>
  <si>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</si>
  <si>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</si>
  <si>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</si>
  <si>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</si>
  <si>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</si>
  <si>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</si>
  <si>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</si>
  <si>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</si>
  <si>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</si>
  <si>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</si>
  <si>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</si>
  <si>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</si>
  <si>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</si>
  <si>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</si>
  <si>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</si>
  <si>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</si>
  <si>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</si>
  <si>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</si>
  <si>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</si>
  <si>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</si>
  <si>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</si>
  <si>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</si>
  <si>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</si>
  <si>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</si>
  <si>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</si>
  <si>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</si>
  <si>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</si>
  <si>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</si>
  <si>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</si>
  <si>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</si>
  <si>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</si>
  <si>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</si>
  <si>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</si>
  <si>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</si>
  <si>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</si>
  <si>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</si>
  <si>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</si>
  <si>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</si>
  <si>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</si>
  <si>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</si>
  <si>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</si>
  <si>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</si>
  <si>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</si>
  <si>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</si>
  <si>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</si>
  <si>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</si>
  <si>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</si>
  <si>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</si>
  <si>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</si>
  <si>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</si>
  <si>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</si>
  <si>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</si>
  <si>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</si>
  <si>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</si>
  <si>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</si>
  <si>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</si>
  <si>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</si>
  <si>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</si>
  <si>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</si>
  <si>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</si>
  <si>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</si>
  <si>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</si>
  <si>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</si>
  <si>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</si>
  <si>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</si>
  <si>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</si>
  <si>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</si>
  <si>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</si>
  <si>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</si>
  <si>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</si>
  <si>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</si>
  <si>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</si>
  <si>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</si>
  <si>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</si>
  <si>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</si>
  <si>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</si>
  <si>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</si>
  <si>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</si>
  <si>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</si>
  <si>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</si>
  <si>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</si>
  <si>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</si>
  <si>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</si>
  <si>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</si>
  <si>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</si>
  <si>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</si>
  <si>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</si>
  <si>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</si>
  <si>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</si>
  <si>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</si>
  <si>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</si>
  <si>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</si>
  <si>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</si>
  <si>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</si>
  <si>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</si>
  <si>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</si>
  <si>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</si>
  <si>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</si>
  <si>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</si>
  <si>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</si>
  <si>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</si>
  <si>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</si>
  <si>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</si>
  <si>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</si>
  <si>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</si>
  <si>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</si>
  <si>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</si>
  <si>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</si>
  <si>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</si>
  <si>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</si>
  <si>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</si>
  <si>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</si>
  <si>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</si>
  <si>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</si>
  <si>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</si>
  <si>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</si>
  <si>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</si>
  <si>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</si>
  <si>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</si>
  <si>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</si>
  <si>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</si>
  <si>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</si>
  <si>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</si>
  <si>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</si>
  <si>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</si>
  <si>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</si>
  <si>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</si>
  <si>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</si>
  <si>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</si>
  <si>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</si>
  <si>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</si>
  <si>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</si>
  <si>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</si>
  <si>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</si>
  <si>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</si>
  <si>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</si>
  <si>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</si>
  <si>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</si>
  <si>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</si>
  <si>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</si>
  <si>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</si>
  <si>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</si>
  <si>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</si>
  <si>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</si>
  <si>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</si>
  <si>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</si>
  <si>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</si>
  <si>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</si>
  <si>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</si>
  <si>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</si>
  <si>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</si>
  <si>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</si>
  <si>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</si>
  <si>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</si>
  <si>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</si>
  <si>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</si>
  <si>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</si>
  <si>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</si>
  <si>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</si>
  <si>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</si>
  <si>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</si>
  <si>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</si>
  <si>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</si>
  <si>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</si>
  <si>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</si>
  <si>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</si>
  <si>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</si>
  <si>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</si>
  <si>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</si>
  <si>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</si>
  <si>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</si>
  <si>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</si>
  <si>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</si>
  <si>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</si>
  <si>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</si>
  <si>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</si>
  <si>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</si>
  <si>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</si>
  <si>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</si>
  <si>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</si>
  <si>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</si>
  <si>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</si>
  <si>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</si>
  <si>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</si>
  <si>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</si>
  <si>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</si>
  <si>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</si>
  <si>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</si>
  <si>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</si>
  <si>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</si>
  <si>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</si>
  <si>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</si>
  <si>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</si>
  <si>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</si>
  <si>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</si>
  <si>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</si>
  <si>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</si>
  <si>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</si>
  <si>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</si>
  <si>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</si>
  <si>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</si>
  <si>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</si>
  <si>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</si>
  <si>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</si>
  <si>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</si>
  <si>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</si>
  <si>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</si>
  <si>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</si>
  <si>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</si>
  <si>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</si>
  <si>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</si>
  <si>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</si>
  <si>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</si>
  <si>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</si>
  <si>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</si>
  <si>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</si>
  <si>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</si>
  <si>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</si>
  <si>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</si>
  <si>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</si>
  <si>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</si>
  <si>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</si>
  <si>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</si>
  <si>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</si>
  <si>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</si>
  <si>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</si>
  <si>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</si>
  <si>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</si>
  <si>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</si>
  <si>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</si>
  <si>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</si>
  <si>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</si>
  <si>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</si>
  <si>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</si>
  <si>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</si>
  <si>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</si>
  <si>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</si>
  <si>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</si>
  <si>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</si>
  <si>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</si>
  <si>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</si>
  <si>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</si>
  <si>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</si>
  <si>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</si>
  <si>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</si>
  <si>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</si>
  <si>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</si>
  <si>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</si>
  <si>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</si>
  <si>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</si>
  <si>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</si>
  <si>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</si>
  <si>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</si>
  <si>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</si>
  <si>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</si>
  <si>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</si>
  <si>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</si>
  <si>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</si>
  <si>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</si>
  <si>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</si>
  <si>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</si>
  <si>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</si>
  <si>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</si>
  <si>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</si>
  <si>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</si>
  <si>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</si>
  <si>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</si>
  <si>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</si>
  <si>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</si>
  <si>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</si>
  <si>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</si>
  <si>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</si>
  <si>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</si>
  <si>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</si>
  <si>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</si>
  <si>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</si>
  <si>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</si>
  <si>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</si>
  <si>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</si>
  <si>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</si>
  <si>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</si>
  <si>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</si>
  <si>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</si>
  <si>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</si>
  <si>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</si>
  <si>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</si>
  <si>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</si>
  <si>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</si>
  <si>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</si>
  <si>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</si>
  <si>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</si>
  <si>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</si>
  <si>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</si>
  <si>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</si>
  <si>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</si>
  <si>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</si>
  <si>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</si>
  <si>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</si>
  <si>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</si>
  <si>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</si>
  <si>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</si>
  <si>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</si>
  <si>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</si>
  <si>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</si>
  <si>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</si>
  <si>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</si>
  <si>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</si>
  <si>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</si>
  <si>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</si>
  <si>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</si>
  <si>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</si>
  <si>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</si>
  <si>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</si>
  <si>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</si>
  <si>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</si>
  <si>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</si>
  <si>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</si>
  <si>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</si>
  <si>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</si>
  <si>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</si>
  <si>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</si>
  <si>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</si>
  <si>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</si>
  <si>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</si>
  <si>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</si>
  <si>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</si>
  <si>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</si>
  <si>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</si>
  <si>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</si>
  <si>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</si>
  <si>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</si>
  <si>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</si>
  <si>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</si>
  <si>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</si>
  <si>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</si>
  <si>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</si>
  <si>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</si>
  <si>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</si>
  <si>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</si>
  <si>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</si>
  <si>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</si>
  <si>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</si>
  <si>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</si>
  <si>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</si>
  <si>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</si>
  <si>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</si>
  <si>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</si>
  <si>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</si>
  <si>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</si>
  <si>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</si>
  <si>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</si>
  <si>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</si>
  <si>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</si>
  <si>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</si>
  <si>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</si>
  <si>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</si>
  <si>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</si>
  <si>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</si>
  <si>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</si>
  <si>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</si>
  <si>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</si>
  <si>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</si>
  <si>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</si>
  <si>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</si>
  <si>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</si>
  <si>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</si>
  <si>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</si>
  <si>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</si>
  <si>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</si>
  <si>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</si>
  <si>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</si>
  <si>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</si>
  <si>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</si>
  <si>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</si>
  <si>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</si>
  <si>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</si>
  <si>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</si>
  <si>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</si>
  <si>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</si>
  <si>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</si>
  <si>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</si>
  <si>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</si>
  <si>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</si>
  <si>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</si>
  <si>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</si>
  <si>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</si>
  <si>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</si>
  <si>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</si>
  <si>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</si>
  <si>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</si>
  <si>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</si>
  <si>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</si>
  <si>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</si>
  <si>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</si>
  <si>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</si>
  <si>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</si>
  <si>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</si>
  <si>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</si>
  <si>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</si>
  <si>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</si>
  <si>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</si>
  <si>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</si>
  <si>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</si>
  <si>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</si>
  <si>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</si>
  <si>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</si>
  <si>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</si>
  <si>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</si>
  <si>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</si>
  <si>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</si>
  <si>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</si>
  <si>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</si>
  <si>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</si>
  <si>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</si>
  <si>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</si>
  <si>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</si>
  <si>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</si>
  <si>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</si>
  <si>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</si>
  <si>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</si>
  <si>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</si>
  <si>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</si>
  <si>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</si>
  <si>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</si>
  <si>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</si>
  <si>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</si>
  <si>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</si>
  <si>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</si>
  <si>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</si>
  <si>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</si>
  <si>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</si>
  <si>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</si>
  <si>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</si>
  <si>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</si>
  <si>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</si>
  <si>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</si>
  <si>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</si>
  <si>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</si>
  <si>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</si>
  <si>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</si>
  <si>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</si>
  <si>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</si>
  <si>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</si>
  <si>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</si>
  <si>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</si>
  <si>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</si>
  <si>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</si>
  <si>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</si>
  <si>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</si>
  <si>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</si>
  <si>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</si>
  <si>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</si>
  <si>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</si>
  <si>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</si>
  <si>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</si>
  <si>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</si>
  <si>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</si>
  <si>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</si>
  <si>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</si>
  <si>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</si>
  <si>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</si>
  <si>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</si>
  <si>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</si>
  <si>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</si>
  <si>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</si>
  <si>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</si>
  <si>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</si>
  <si>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</si>
  <si>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</si>
  <si>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</si>
  <si>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</si>
  <si>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</si>
  <si>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</si>
  <si>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</si>
  <si>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</si>
  <si>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</si>
  <si>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</si>
  <si>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</si>
  <si>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</si>
  <si>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</si>
  <si>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</si>
  <si>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</si>
  <si>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</si>
  <si>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</si>
  <si>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</si>
  <si>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</si>
  <si>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</si>
  <si>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</si>
  <si>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</si>
  <si>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</si>
  <si>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</si>
  <si>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</si>
  <si>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</si>
  <si>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</si>
  <si>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</si>
  <si>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</si>
  <si>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</si>
  <si>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</si>
  <si>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</si>
  <si>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</si>
  <si>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</si>
  <si>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</si>
  <si>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</si>
  <si>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</si>
  <si>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</si>
  <si>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</si>
  <si>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</si>
  <si>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</si>
  <si>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</si>
  <si>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</si>
  <si>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</si>
  <si>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</si>
  <si>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</si>
  <si>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</si>
  <si>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</si>
  <si>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</si>
  <si>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</si>
  <si>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</si>
  <si>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</si>
  <si>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</si>
  <si>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</si>
  <si>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</si>
  <si>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</si>
  <si>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</si>
  <si>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</si>
  <si>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</si>
  <si>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</si>
  <si>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</si>
  <si>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</si>
  <si>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</si>
  <si>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</si>
  <si>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</si>
  <si>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</si>
  <si>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</si>
  <si>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</si>
  <si>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</si>
  <si>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</si>
  <si>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</si>
  <si>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</si>
  <si>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</si>
  <si>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</si>
  <si>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</si>
  <si>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</si>
  <si>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</si>
  <si>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</si>
  <si>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</si>
  <si>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</si>
  <si>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</si>
  <si>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</si>
  <si>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</si>
  <si>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</si>
  <si>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</si>
  <si>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</si>
  <si>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</si>
  <si>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</si>
  <si>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</si>
  <si>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</si>
  <si>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</si>
  <si>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</si>
  <si>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</si>
  <si>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</si>
  <si>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</si>
  <si>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</si>
  <si>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</si>
  <si>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</si>
  <si>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</si>
  <si>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</si>
  <si>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</si>
  <si>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</si>
  <si>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</si>
  <si>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</si>
  <si>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</si>
  <si>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</si>
  <si>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</si>
  <si>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</si>
  <si>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</si>
  <si>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</si>
  <si>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</si>
  <si>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</si>
  <si>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</si>
  <si>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</si>
  <si>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</si>
  <si>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</si>
  <si>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</si>
  <si>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</si>
  <si>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</si>
  <si>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</si>
  <si>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</si>
  <si>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</si>
  <si>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</si>
  <si>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</si>
  <si>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</si>
  <si>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</si>
  <si>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</si>
  <si>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</si>
  <si>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</si>
  <si>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</si>
  <si>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</si>
  <si>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</si>
  <si>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</si>
  <si>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</si>
  <si>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</si>
  <si>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</si>
  <si>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</si>
  <si>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</si>
  <si>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</si>
  <si>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</si>
  <si>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</si>
  <si>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</si>
  <si>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</si>
  <si>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</si>
  <si>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</si>
  <si>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</si>
  <si>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</si>
  <si>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</si>
  <si>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</si>
  <si>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</si>
  <si>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</si>
  <si>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</si>
  <si>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</si>
  <si>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</si>
  <si>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</si>
  <si>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</si>
  <si>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</si>
  <si>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</si>
  <si>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</si>
  <si>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</si>
  <si>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</si>
  <si>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</si>
  <si>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</si>
  <si>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</si>
  <si>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</si>
  <si>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</si>
  <si>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</si>
  <si>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</si>
  <si>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</si>
  <si>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</si>
  <si>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</si>
  <si>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</si>
  <si>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</si>
  <si>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</si>
  <si>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</si>
  <si>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</si>
  <si>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</si>
  <si>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</si>
  <si>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</si>
  <si>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</si>
  <si>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</si>
  <si>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</si>
  <si>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</si>
  <si>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</si>
  <si>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</si>
  <si>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</si>
  <si>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</si>
  <si>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</si>
  <si>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</si>
  <si>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</si>
  <si>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</si>
  <si>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</si>
  <si>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</si>
  <si>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</si>
  <si>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</si>
  <si>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</si>
  <si>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</si>
  <si>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</si>
  <si>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</si>
  <si>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</si>
  <si>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</si>
  <si>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</si>
  <si>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</si>
  <si>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</si>
  <si>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</si>
  <si>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</si>
  <si>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</si>
  <si>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</si>
  <si>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</si>
  <si>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</si>
  <si>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</si>
  <si>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</si>
  <si>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</si>
  <si>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</si>
  <si>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</si>
  <si>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</si>
  <si>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</si>
  <si>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</si>
  <si>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</si>
  <si>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</si>
  <si>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</si>
  <si>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</si>
  <si>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</si>
  <si>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</si>
  <si>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</si>
  <si>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</si>
  <si>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</si>
  <si>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</si>
  <si>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</si>
  <si>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</si>
  <si>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</si>
  <si>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</si>
  <si>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</si>
  <si>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</si>
  <si>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</si>
  <si>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</si>
  <si>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</si>
  <si>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</si>
  <si>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</si>
  <si>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</si>
  <si>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</si>
  <si>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</si>
  <si>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</si>
  <si>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</si>
  <si>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</si>
  <si>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</si>
  <si>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</si>
  <si>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</si>
  <si>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</si>
  <si>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</si>
  <si>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</si>
  <si>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</si>
  <si>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</si>
  <si>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</si>
  <si>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</si>
  <si>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</si>
  <si>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</si>
  <si>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</si>
  <si>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</si>
  <si>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</si>
  <si>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</si>
  <si>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</si>
  <si>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</si>
  <si>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</si>
  <si>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</si>
  <si>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</si>
  <si>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</si>
  <si>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</si>
  <si>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</si>
  <si>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</si>
  <si>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</si>
  <si>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</si>
  <si>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</si>
  <si>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</si>
  <si>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</si>
  <si>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</si>
  <si>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</si>
  <si>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</si>
  <si>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</si>
  <si>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</si>
  <si>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</si>
  <si>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</si>
  <si>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</si>
  <si>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</si>
  <si>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</si>
  <si>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</si>
  <si>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</si>
  <si>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</si>
  <si>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</si>
  <si>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</si>
  <si>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</si>
  <si>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</si>
  <si>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</si>
  <si>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</si>
  <si>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</si>
  <si>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</si>
  <si>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</si>
  <si>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</si>
  <si>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</si>
  <si>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</si>
  <si>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</si>
  <si>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</si>
  <si>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</si>
  <si>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</si>
  <si>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</si>
  <si>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</si>
  <si>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</si>
  <si>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</si>
  <si>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</si>
  <si>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</si>
  <si>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</si>
  <si>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</si>
  <si>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</si>
  <si>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</si>
  <si>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</si>
  <si>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</si>
  <si>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</si>
  <si>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</si>
  <si>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</si>
  <si>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</si>
  <si>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</si>
  <si>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</si>
  <si>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</si>
  <si>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</si>
  <si>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</si>
  <si>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</si>
  <si>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</si>
  <si>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</si>
  <si>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</si>
  <si>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</si>
  <si>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</si>
  <si>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</si>
  <si>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</si>
  <si>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</si>
  <si>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</si>
  <si>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</si>
  <si>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</si>
  <si>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</si>
  <si>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</si>
  <si>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</si>
  <si>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</si>
  <si>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</si>
  <si>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</si>
  <si>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</si>
  <si>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</si>
  <si>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</si>
  <si>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</si>
  <si>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</si>
  <si>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</si>
  <si>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</si>
  <si>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</si>
  <si>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</si>
  <si>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</si>
  <si>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</si>
  <si>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</si>
  <si>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</si>
  <si>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</si>
  <si>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</si>
  <si>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</si>
  <si>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</si>
  <si>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</si>
  <si>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</si>
  <si>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</si>
  <si>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</si>
  <si>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</si>
  <si>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</si>
  <si>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</si>
  <si>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</si>
  <si>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</si>
  <si>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</si>
  <si>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</si>
  <si>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</si>
  <si>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</si>
  <si>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</si>
  <si>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</si>
  <si>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</si>
  <si>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</si>
  <si>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</si>
  <si>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</si>
  <si>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</si>
  <si>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</si>
  <si>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</si>
  <si>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</si>
  <si>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</si>
  <si>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</si>
  <si>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</si>
  <si>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</si>
  <si>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</si>
  <si>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</si>
  <si>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</si>
  <si>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</si>
  <si>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</si>
  <si>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</si>
  <si>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</si>
  <si>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</si>
  <si>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</si>
  <si>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</si>
  <si>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</si>
  <si>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</si>
  <si>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</si>
  <si>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</si>
  <si>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</si>
  <si>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</si>
  <si>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</si>
  <si>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</si>
  <si>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</si>
  <si>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</si>
  <si>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</si>
  <si>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</si>
  <si>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</si>
  <si>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</si>
  <si>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</si>
  <si>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</si>
  <si>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</si>
  <si>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</si>
  <si>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</si>
  <si>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</si>
  <si>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</si>
  <si>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</si>
  <si>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</si>
  <si>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</si>
  <si>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</si>
  <si>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</si>
  <si>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</si>
  <si>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</si>
  <si>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</si>
  <si>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</si>
  <si>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</si>
  <si>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</si>
  <si>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</si>
  <si>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</si>
  <si>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</si>
  <si>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</si>
  <si>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</si>
  <si>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</si>
  <si>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</si>
  <si>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</si>
  <si>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</si>
  <si>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</si>
  <si>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</si>
  <si>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</si>
  <si>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</si>
  <si>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</si>
  <si>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</si>
  <si>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</si>
  <si>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</si>
  <si>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</si>
  <si>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</si>
  <si>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</si>
  <si>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</si>
  <si>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</si>
  <si>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</si>
  <si>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</si>
  <si>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</si>
  <si>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</si>
  <si>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</si>
  <si>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</si>
  <si>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</si>
  <si>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</si>
  <si>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</si>
  <si>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</si>
  <si>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</si>
  <si>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</si>
  <si>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</si>
  <si>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</si>
  <si>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</si>
  <si>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</si>
  <si>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</si>
  <si>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</si>
  <si>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</si>
  <si>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</si>
  <si>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</si>
  <si>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</si>
  <si>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</si>
  <si>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</si>
  <si>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</si>
  <si>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</si>
  <si>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</si>
  <si>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</si>
  <si>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</si>
  <si>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</si>
  <si>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</si>
  <si>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</si>
  <si>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</si>
  <si>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</si>
  <si>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</si>
  <si>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</si>
  <si>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</si>
  <si>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</si>
  <si>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</si>
  <si>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</si>
  <si>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</si>
  <si>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</si>
  <si>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</si>
  <si>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</si>
  <si>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</si>
  <si>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</si>
  <si>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</si>
  <si>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</si>
  <si>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</si>
  <si>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</si>
  <si>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</si>
  <si>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</si>
  <si>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</si>
  <si>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</si>
  <si>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</si>
  <si>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</si>
  <si>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</si>
  <si>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</si>
  <si>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</si>
  <si>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</si>
  <si>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</si>
  <si>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</si>
  <si>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</si>
  <si>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</si>
  <si>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</si>
  <si>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</si>
  <si>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</si>
  <si>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</si>
  <si>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</si>
  <si>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</si>
  <si>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</si>
  <si>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</si>
  <si>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</si>
  <si>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</si>
  <si>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</si>
  <si>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</si>
  <si>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</si>
  <si>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</si>
  <si>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</si>
  <si>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</si>
  <si>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</si>
  <si>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</si>
  <si>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</si>
  <si>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</si>
  <si>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</si>
  <si>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</si>
  <si>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</si>
  <si>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</si>
  <si>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</si>
  <si>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</si>
  <si>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</si>
  <si>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</si>
  <si>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</si>
  <si>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</si>
  <si>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</si>
  <si>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</si>
  <si>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</si>
  <si>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</si>
  <si>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</si>
  <si>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</si>
  <si>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</si>
  <si>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</si>
  <si>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</si>
  <si>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</si>
  <si>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</si>
  <si>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</si>
  <si>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</si>
  <si>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</si>
  <si>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</si>
  <si>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</si>
  <si>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</si>
  <si>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</si>
  <si>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</si>
  <si>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</si>
  <si>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</si>
  <si>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</si>
  <si>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</si>
  <si>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</si>
  <si>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</si>
  <si>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</si>
  <si>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</si>
  <si>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</si>
  <si>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</si>
  <si>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</si>
  <si>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</si>
  <si>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</si>
  <si>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</si>
  <si>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</si>
  <si>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</si>
  <si>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</si>
  <si>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</si>
  <si>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</si>
  <si>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</si>
  <si>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</si>
  <si>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</si>
  <si>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</si>
  <si>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</si>
  <si>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</si>
  <si>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</si>
  <si>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</si>
  <si>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</si>
  <si>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</si>
  <si>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</si>
  <si>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</si>
  <si>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</si>
  <si>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</si>
  <si>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</si>
  <si>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</si>
  <si>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</si>
  <si>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</si>
  <si>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</si>
  <si>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</si>
  <si>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</si>
  <si>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</si>
  <si>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</si>
  <si>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</si>
  <si>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</si>
  <si>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</si>
  <si>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</si>
  <si>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</si>
  <si>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</si>
  <si>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</si>
  <si>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</si>
  <si>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</si>
  <si>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</si>
  <si>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</si>
  <si>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</si>
  <si>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</si>
  <si>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</si>
  <si>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</si>
  <si>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</si>
  <si>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</si>
  <si>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</si>
  <si>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</si>
  <si>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</si>
  <si>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</si>
  <si>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</si>
  <si>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</si>
  <si>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</si>
  <si>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</si>
  <si>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</si>
  <si>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</si>
  <si>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</si>
  <si>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</si>
  <si>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</si>
  <si>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</si>
  <si>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</si>
  <si>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</si>
  <si>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</si>
  <si>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</si>
  <si>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</si>
  <si>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</si>
  <si>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</si>
  <si>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</si>
  <si>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</si>
  <si>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</si>
  <si>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</si>
  <si>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</si>
  <si>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</si>
  <si>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</si>
  <si>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</si>
  <si>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</si>
  <si>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</si>
  <si>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</si>
  <si>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</si>
  <si>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</si>
  <si>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</si>
  <si>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</si>
  <si>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</si>
  <si>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</si>
  <si>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</si>
  <si>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</si>
  <si>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</si>
  <si>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</si>
  <si>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</si>
  <si>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</si>
  <si>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</si>
  <si>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</si>
  <si>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</si>
  <si>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</si>
  <si>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</si>
  <si>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</si>
  <si>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</si>
  <si>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</si>
  <si>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</si>
  <si>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</si>
  <si>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</si>
  <si>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</si>
  <si>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</si>
  <si>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</si>
  <si>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</si>
  <si>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</si>
  <si>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</si>
  <si>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</si>
  <si>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</si>
  <si>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</si>
  <si>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</si>
  <si>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</si>
  <si>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</si>
  <si>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</si>
  <si>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</si>
  <si>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</si>
  <si>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</si>
  <si>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</si>
  <si>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</si>
  <si>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</si>
  <si>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</si>
  <si>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</si>
  <si>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</si>
  <si>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</si>
  <si>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</si>
  <si>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</si>
  <si>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</si>
  <si>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</si>
  <si>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</si>
  <si>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</si>
  <si>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</si>
  <si>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</si>
  <si>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</si>
  <si>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</si>
  <si>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</si>
  <si>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</si>
  <si>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</si>
  <si>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</si>
  <si>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</si>
  <si>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</si>
  <si>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</si>
  <si>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</si>
  <si>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</si>
  <si>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</si>
  <si>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</si>
  <si>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</si>
  <si>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</si>
  <si>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</si>
  <si>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</si>
  <si>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</si>
  <si>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</si>
  <si>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</si>
  <si>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</si>
  <si>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</si>
  <si>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</si>
  <si>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</si>
  <si>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</si>
  <si>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</si>
  <si>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</si>
  <si>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</si>
  <si>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</si>
  <si>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</si>
  <si>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</si>
  <si>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</si>
  <si>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</si>
  <si>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</si>
  <si>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</si>
  <si>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</si>
  <si>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</si>
  <si>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</si>
  <si>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</si>
  <si>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</si>
  <si>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</si>
  <si>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</si>
  <si>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</si>
  <si>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</si>
  <si>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</si>
  <si>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</si>
  <si>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</si>
  <si>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</si>
  <si>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</si>
  <si>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</si>
  <si>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</si>
  <si>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</si>
  <si>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</si>
  <si>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</si>
  <si>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</si>
  <si>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</si>
  <si>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</si>
  <si>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</si>
  <si>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</si>
  <si>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</si>
  <si>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</si>
  <si>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</si>
  <si>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</si>
  <si>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</si>
  <si>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</si>
  <si>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</si>
  <si>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</si>
  <si>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</si>
  <si>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</si>
  <si>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</si>
  <si>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</si>
  <si>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</si>
  <si>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</si>
  <si>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</si>
  <si>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</si>
  <si>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</si>
  <si>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</si>
  <si>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</si>
  <si>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</si>
  <si>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</si>
  <si>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</si>
  <si>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</si>
  <si>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</si>
  <si>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</si>
  <si>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</si>
  <si>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</si>
  <si>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</si>
  <si>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</si>
  <si>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</si>
  <si>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</si>
  <si>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</si>
  <si>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</si>
  <si>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</si>
  <si>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</si>
  <si>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</si>
  <si>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</si>
  <si>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</si>
  <si>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</si>
  <si>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</si>
  <si>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</si>
  <si>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</si>
  <si>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</si>
  <si>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</si>
  <si>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</si>
  <si>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</si>
  <si>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</si>
  <si>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</si>
  <si>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</si>
  <si>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</si>
  <si>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</si>
  <si>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</si>
  <si>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</si>
  <si>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</si>
  <si>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</si>
  <si>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</si>
  <si>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</si>
  <si>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</si>
  <si>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</si>
  <si>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</si>
  <si>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</si>
  <si>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</si>
  <si>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</si>
  <si>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</si>
  <si>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</si>
  <si>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</si>
  <si>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</si>
  <si>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</si>
  <si>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</si>
  <si>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</si>
  <si>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</si>
  <si>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</si>
  <si>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</si>
  <si>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</si>
  <si>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</si>
  <si>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</si>
  <si>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</si>
  <si>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</si>
  <si>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</si>
  <si>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</si>
  <si>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</si>
  <si>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</si>
  <si>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</si>
  <si>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</si>
  <si>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</si>
  <si>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</si>
  <si>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</si>
  <si>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</si>
  <si>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</si>
  <si>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</si>
  <si>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</si>
  <si>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</si>
  <si>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</si>
  <si>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</si>
  <si>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</si>
  <si>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</si>
  <si>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</si>
  <si>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</si>
  <si>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</si>
  <si>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</si>
  <si>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</si>
  <si>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</si>
  <si>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</si>
  <si>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</si>
  <si>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</si>
  <si>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</si>
  <si>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</si>
  <si>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</si>
  <si>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</si>
  <si>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</si>
  <si>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</si>
  <si>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</si>
  <si>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</si>
  <si>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</si>
  <si>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</si>
  <si>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</si>
  <si>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</si>
  <si>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</si>
  <si>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</si>
  <si>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</si>
  <si>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</si>
  <si>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</si>
  <si>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</si>
  <si>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</si>
  <si>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</si>
  <si>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</si>
  <si>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</si>
  <si>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</si>
  <si>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</si>
  <si>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</si>
  <si>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</si>
  <si>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</si>
  <si>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</si>
  <si>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</si>
  <si>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</si>
  <si>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</si>
  <si>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</si>
  <si>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</si>
  <si>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</si>
  <si>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</si>
  <si>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</si>
  <si>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</si>
  <si>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</si>
  <si>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</si>
  <si>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</si>
  <si>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</si>
  <si>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</si>
  <si>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</si>
  <si>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</si>
  <si>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</si>
  <si>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</si>
  <si>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</si>
  <si>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</si>
  <si>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</si>
  <si>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</si>
  <si>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</si>
  <si>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</si>
  <si>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</si>
  <si>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</si>
  <si>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</si>
  <si>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</si>
  <si>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</si>
  <si>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</si>
  <si>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</si>
  <si>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</si>
  <si>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</si>
  <si>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</si>
  <si>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</si>
  <si>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</si>
  <si>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</si>
  <si>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</si>
  <si>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</si>
  <si>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</si>
  <si>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</si>
  <si>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</si>
  <si>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</si>
  <si>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</si>
  <si>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</si>
  <si>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</si>
  <si>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</si>
  <si>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</si>
  <si>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</si>
  <si>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</si>
  <si>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</si>
  <si>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</si>
  <si>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</si>
  <si>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</si>
  <si>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</si>
  <si>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</si>
  <si>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</si>
  <si>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</si>
  <si>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</si>
  <si>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</si>
  <si>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</si>
  <si>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</si>
  <si>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</si>
  <si>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</si>
  <si>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</si>
  <si>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</si>
  <si>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</si>
  <si>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</si>
  <si>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</si>
  <si>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</si>
  <si>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</si>
  <si>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</si>
  <si>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</si>
  <si>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</si>
  <si>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</si>
  <si>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</si>
  <si>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</si>
  <si>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</si>
  <si>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</si>
  <si>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</si>
  <si>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</si>
  <si>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</si>
  <si>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</si>
  <si>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</si>
  <si>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</si>
  <si>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</si>
  <si>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</si>
  <si>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</si>
  <si>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</si>
  <si>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</si>
  <si>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</si>
  <si>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</si>
  <si>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</si>
  <si>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</si>
  <si>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</si>
  <si>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</si>
  <si>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</si>
  <si>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</si>
  <si>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</si>
  <si>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</si>
  <si>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</si>
  <si>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</si>
  <si>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</si>
  <si>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</si>
  <si>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</si>
  <si>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</si>
  <si>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</si>
  <si>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</si>
  <si>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</si>
  <si>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</si>
  <si>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</si>
  <si>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</si>
  <si>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</si>
  <si>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</si>
  <si>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</si>
  <si>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</si>
  <si>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</si>
  <si>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</si>
  <si>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</si>
  <si>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</si>
  <si>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</si>
  <si>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</si>
  <si>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</si>
  <si>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</si>
  <si>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</si>
  <si>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</si>
  <si>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</si>
  <si>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</si>
  <si>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</si>
  <si>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</si>
  <si>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</si>
  <si>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</si>
  <si>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</si>
  <si>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</si>
  <si>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</si>
  <si>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</si>
  <si>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</si>
  <si>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</si>
  <si>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</si>
  <si>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</si>
  <si>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</si>
  <si>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</si>
  <si>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</si>
  <si>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</si>
  <si>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</si>
  <si>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</si>
  <si>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</si>
  <si>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</si>
  <si>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</si>
  <si>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</si>
  <si>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</si>
  <si>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</si>
  <si>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</si>
  <si>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</si>
  <si>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</si>
  <si>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</si>
  <si>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</si>
  <si>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</si>
  <si>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</si>
  <si>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</si>
  <si>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</si>
  <si>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</si>
  <si>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</si>
  <si>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</si>
  <si>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</si>
  <si>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</si>
  <si>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</si>
  <si>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</si>
  <si>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</si>
  <si>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</si>
  <si>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</si>
  <si>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</si>
  <si>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</si>
  <si>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</si>
  <si>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</si>
  <si>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</si>
  <si>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</si>
  <si>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</si>
  <si>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</si>
  <si>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</si>
  <si>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</si>
  <si>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</si>
  <si>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</si>
  <si>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</si>
  <si>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</si>
  <si>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</si>
  <si>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</si>
  <si>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</si>
  <si>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</si>
  <si>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</si>
  <si>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</si>
  <si>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</si>
  <si>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</si>
  <si>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</si>
  <si>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</si>
  <si>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</si>
  <si>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</si>
  <si>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</si>
  <si>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</si>
  <si>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</si>
  <si>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</si>
  <si>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</si>
  <si>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</si>
  <si>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</si>
  <si>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</si>
  <si>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</si>
  <si>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</si>
  <si>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</si>
  <si>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</si>
  <si>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</si>
  <si>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</si>
  <si>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</si>
  <si>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</si>
  <si>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</si>
  <si>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</si>
  <si>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</si>
  <si>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</si>
  <si>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</si>
  <si>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</si>
  <si>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</si>
  <si>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</si>
  <si>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</si>
  <si>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</si>
  <si>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</si>
  <si>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</si>
  <si>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</si>
  <si>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</si>
  <si>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</si>
  <si>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</si>
  <si>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</si>
  <si>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</si>
  <si>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</si>
  <si>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</si>
  <si>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</si>
  <si>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</si>
  <si>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</si>
  <si>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</si>
  <si>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</si>
  <si>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</si>
  <si>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</si>
  <si>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</si>
  <si>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</si>
  <si>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</si>
  <si>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</si>
  <si>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</si>
  <si>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</si>
  <si>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</si>
  <si>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</si>
  <si>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</si>
  <si>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</si>
  <si>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</si>
  <si>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</si>
  <si>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</si>
  <si>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</si>
  <si>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</si>
  <si>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</si>
  <si>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</si>
  <si>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</si>
  <si>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</si>
  <si>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</si>
  <si>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</si>
  <si>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</si>
  <si>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</si>
  <si>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</si>
  <si>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</si>
  <si>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</si>
  <si>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</si>
  <si>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</si>
  <si>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</si>
  <si>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</si>
  <si>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</si>
  <si>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</si>
  <si>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</si>
  <si>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</si>
  <si>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</si>
  <si>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</si>
  <si>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</si>
  <si>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</si>
  <si>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</si>
  <si>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</si>
  <si>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</si>
  <si>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</si>
  <si>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</si>
  <si>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</si>
  <si>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</si>
  <si>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</si>
  <si>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</si>
  <si>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</si>
  <si>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</si>
  <si>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</si>
  <si>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</si>
  <si>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</si>
  <si>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</si>
  <si>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</si>
  <si>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</si>
  <si>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</si>
  <si>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</si>
  <si>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</si>
  <si>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</si>
  <si>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</si>
  <si>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</si>
  <si>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</si>
  <si>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</si>
  <si>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</si>
  <si>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</si>
  <si>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</si>
  <si>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</si>
  <si>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</si>
  <si>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</si>
  <si>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</si>
  <si>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</si>
  <si>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</si>
  <si>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</si>
  <si>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</si>
  <si>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</si>
  <si>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</si>
  <si>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</si>
  <si>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</si>
  <si>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</si>
  <si>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</si>
  <si>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</si>
  <si>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</si>
  <si>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</si>
  <si>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</si>
  <si>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</si>
  <si>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</si>
  <si>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</si>
  <si>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</si>
  <si>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</si>
  <si>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</si>
  <si>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</si>
  <si>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</si>
  <si>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</si>
  <si>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</si>
  <si>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</si>
  <si>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</si>
  <si>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</si>
  <si>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</si>
  <si>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</si>
  <si>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</si>
  <si>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</si>
  <si>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</si>
  <si>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</si>
  <si>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</si>
  <si>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</si>
  <si>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</si>
  <si>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</si>
  <si>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</si>
  <si>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</si>
  <si>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</si>
  <si>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</si>
  <si>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</si>
  <si>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</si>
  <si>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</si>
  <si>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</si>
  <si>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</si>
  <si>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</si>
  <si>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</si>
  <si>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</si>
  <si>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</si>
  <si>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</si>
  <si>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</si>
  <si>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</si>
  <si>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</si>
  <si>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</si>
  <si>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</si>
  <si>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</si>
  <si>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</si>
  <si>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</si>
  <si>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</si>
  <si>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</si>
  <si>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</si>
  <si>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</si>
  <si>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</si>
  <si>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</si>
  <si>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</si>
  <si>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</si>
  <si>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</si>
  <si>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</si>
  <si>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</si>
  <si>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</si>
  <si>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</si>
  <si>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</si>
  <si>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</si>
  <si>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</si>
  <si>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</si>
  <si>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</si>
  <si>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</si>
  <si>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</si>
  <si>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</si>
  <si>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</si>
  <si>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</si>
  <si>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</si>
  <si>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</si>
  <si>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</si>
  <si>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</si>
  <si>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</si>
  <si>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</si>
  <si>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</si>
  <si>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</si>
  <si>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</si>
  <si>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</si>
  <si>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</si>
  <si>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</si>
  <si>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</si>
  <si>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</si>
  <si>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</si>
  <si>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</si>
  <si>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</si>
  <si>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</si>
  <si>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</si>
  <si>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</si>
  <si>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</si>
  <si>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</si>
  <si>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</si>
  <si>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</si>
  <si>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</si>
  <si>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</si>
  <si>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</si>
  <si>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</si>
  <si>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</si>
  <si>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</si>
  <si>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</si>
  <si>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</si>
  <si>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</si>
  <si>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</si>
  <si>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</si>
  <si>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</si>
  <si>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</si>
  <si>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</si>
  <si>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</si>
  <si>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</si>
  <si>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</si>
  <si>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</si>
  <si>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</si>
  <si>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</si>
  <si>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</si>
  <si>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</si>
  <si>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</si>
  <si>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</si>
  <si>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</si>
  <si>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</si>
  <si>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</si>
  <si>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</si>
  <si>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</si>
  <si>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</si>
  <si>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</si>
  <si>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</si>
  <si>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</si>
  <si>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</si>
  <si>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</si>
  <si>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</si>
  <si>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</si>
  <si>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</si>
  <si>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</si>
  <si>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</si>
  <si>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</si>
  <si>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</si>
  <si>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</si>
  <si>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</si>
  <si>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</si>
  <si>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</si>
  <si>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</si>
  <si>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</si>
  <si>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</si>
  <si>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</si>
  <si>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</si>
  <si>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</si>
  <si>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</si>
  <si>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</si>
  <si>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</si>
  <si>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</si>
  <si>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</si>
  <si>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</si>
  <si>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</si>
  <si>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</si>
  <si>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</si>
  <si>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</si>
  <si>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</si>
  <si>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</si>
  <si>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</si>
  <si>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</si>
  <si>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</si>
  <si>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</si>
  <si>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</si>
  <si>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</si>
  <si>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</si>
  <si>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</si>
  <si>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</si>
  <si>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</si>
  <si>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</si>
  <si>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</si>
  <si>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</si>
  <si>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</si>
  <si>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</si>
  <si>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</si>
  <si>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</si>
  <si>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</si>
  <si>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</si>
  <si>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</si>
  <si>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</si>
  <si>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</si>
  <si>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</si>
  <si>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</si>
  <si>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</si>
  <si>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</si>
  <si>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</si>
  <si>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</si>
  <si>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</si>
  <si>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</si>
  <si>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</si>
  <si>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</si>
  <si>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</si>
  <si>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</si>
  <si>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</si>
  <si>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</si>
  <si>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</si>
  <si>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</si>
  <si>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</si>
  <si>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</si>
  <si>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</si>
  <si>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</si>
  <si>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</si>
  <si>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</si>
  <si>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</si>
  <si>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</si>
  <si>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</si>
  <si>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</si>
  <si>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</si>
  <si>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</si>
  <si>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</si>
  <si>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</si>
  <si>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</si>
  <si>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</si>
  <si>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</si>
  <si>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</si>
  <si>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</si>
  <si>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</si>
  <si>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</si>
  <si>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</si>
  <si>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</si>
  <si>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</si>
  <si>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</si>
  <si>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</si>
  <si>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</si>
  <si>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</si>
  <si>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</si>
  <si>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</si>
  <si>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</si>
  <si>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</si>
  <si>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</si>
  <si>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</si>
  <si>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</si>
  <si>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</si>
  <si>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</si>
  <si>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</si>
  <si>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</si>
  <si>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</si>
  <si>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</si>
  <si>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</si>
  <si>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</si>
  <si>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</si>
  <si>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</si>
  <si>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</si>
  <si>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</si>
  <si>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</si>
  <si>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</si>
  <si>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</si>
  <si>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</si>
  <si>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</si>
  <si>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</si>
  <si>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</si>
  <si>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</si>
  <si>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</si>
  <si>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</si>
  <si>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</si>
  <si>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</si>
  <si>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</si>
  <si>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</si>
  <si>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</si>
  <si>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</si>
  <si>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</si>
  <si>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</si>
  <si>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</si>
  <si>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</si>
  <si>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</si>
  <si>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</si>
  <si>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</si>
  <si>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</si>
  <si>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</si>
  <si>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</si>
  <si>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</si>
  <si>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</si>
  <si>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</si>
  <si>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</si>
  <si>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</si>
  <si>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</si>
  <si>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</si>
  <si>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</si>
  <si>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</si>
  <si>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</si>
  <si>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</si>
  <si>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</si>
  <si>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</si>
  <si>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</si>
  <si>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</si>
  <si>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</si>
  <si>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</si>
  <si>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</si>
  <si>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</si>
  <si>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</si>
  <si>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</si>
  <si>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</si>
  <si>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</si>
  <si>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</si>
  <si>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</si>
  <si>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</si>
  <si>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</si>
  <si>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</si>
  <si>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</si>
  <si>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</si>
  <si>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</si>
  <si>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</si>
  <si>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</si>
  <si>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</si>
  <si>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</si>
  <si>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</si>
  <si>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</si>
  <si>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</si>
  <si>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</si>
  <si>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</si>
  <si>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</si>
  <si>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</si>
  <si>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</si>
  <si>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</si>
  <si>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</si>
  <si>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</si>
  <si>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</si>
  <si>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</si>
  <si>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</si>
  <si>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</si>
  <si>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</si>
  <si>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</si>
  <si>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</si>
  <si>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</si>
  <si>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</si>
  <si>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</si>
  <si>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</si>
  <si>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</si>
  <si>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</si>
  <si>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</si>
  <si>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</si>
  <si>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</si>
  <si>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</si>
  <si>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</si>
  <si>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</si>
  <si>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</si>
  <si>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</si>
  <si>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</si>
  <si>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</si>
  <si>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</si>
  <si>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</si>
  <si>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</si>
  <si>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</si>
  <si>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</si>
  <si>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</si>
  <si>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</si>
  <si>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</si>
  <si>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</si>
  <si>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</si>
  <si>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</si>
  <si>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</si>
  <si>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</si>
  <si>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</si>
  <si>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</si>
  <si>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</si>
  <si>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</si>
  <si>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</si>
  <si>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</si>
  <si>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</si>
  <si>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</si>
  <si>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</si>
  <si>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</si>
  <si>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</si>
  <si>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</si>
  <si>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</si>
  <si>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</si>
  <si>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</si>
  <si>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</si>
  <si>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</si>
  <si>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</si>
  <si>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</si>
  <si>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</si>
  <si>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</si>
  <si>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</si>
  <si>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</si>
  <si>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</si>
  <si>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</si>
  <si>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</si>
  <si>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</si>
  <si>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</si>
  <si>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</si>
  <si>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</si>
  <si>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</si>
  <si>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</si>
  <si>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</si>
  <si>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</si>
  <si>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</si>
  <si>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</si>
  <si>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</si>
  <si>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</si>
  <si>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</si>
  <si>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</si>
  <si>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</si>
  <si>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</si>
  <si>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</si>
  <si>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</si>
  <si>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</si>
  <si>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</si>
  <si>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</si>
  <si>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</si>
  <si>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</si>
  <si>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</si>
  <si>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</si>
  <si>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</si>
  <si>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</si>
  <si>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</si>
  <si>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</si>
  <si>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</si>
  <si>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</si>
  <si>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</si>
  <si>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</si>
  <si>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</si>
  <si>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</si>
  <si>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</si>
  <si>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</si>
  <si>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</si>
  <si>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</si>
  <si>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</si>
  <si>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</si>
  <si>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</si>
  <si>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</si>
  <si>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</si>
  <si>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</si>
  <si>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</si>
  <si>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</si>
  <si>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</si>
  <si>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</si>
  <si>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</si>
  <si>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</si>
  <si>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</si>
  <si>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</si>
  <si>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</si>
  <si>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</si>
  <si>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</si>
  <si>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</si>
  <si>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</si>
  <si>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</si>
  <si>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</si>
  <si>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</si>
  <si>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</si>
  <si>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</si>
  <si>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</si>
  <si>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</si>
  <si>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</si>
  <si>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</si>
  <si>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</si>
  <si>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</si>
  <si>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</si>
  <si>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</si>
  <si>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</si>
  <si>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</si>
  <si>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</si>
  <si>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</si>
  <si>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</si>
  <si>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</si>
  <si>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</si>
  <si>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</si>
  <si>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</si>
  <si>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</si>
  <si>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</si>
  <si>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</si>
  <si>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</si>
  <si>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</si>
  <si>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</si>
  <si>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</si>
  <si>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</si>
  <si>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</si>
  <si>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</si>
  <si>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</si>
  <si>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</si>
  <si>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</si>
  <si>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</si>
  <si>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</si>
  <si>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</si>
  <si>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</si>
  <si>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</si>
  <si>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</si>
  <si>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</si>
  <si>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</si>
  <si>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</si>
  <si>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</si>
  <si>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</si>
  <si>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</si>
  <si>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</si>
  <si>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</si>
  <si>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</si>
  <si>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</si>
  <si>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</si>
  <si>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</si>
  <si>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</si>
  <si>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</si>
  <si>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</si>
  <si>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</si>
  <si>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</si>
  <si>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</si>
  <si>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</si>
  <si>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</si>
  <si>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</si>
  <si>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</si>
  <si>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</si>
  <si>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</si>
  <si>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</si>
  <si>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</si>
  <si>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</si>
  <si>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</si>
  <si>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</si>
  <si>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</si>
  <si>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</si>
  <si>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</si>
  <si>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</si>
  <si>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</si>
  <si>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</si>
  <si>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</si>
  <si>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</si>
  <si>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</si>
  <si>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</si>
  <si>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</si>
  <si>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</si>
  <si>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</si>
  <si>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</si>
  <si>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</si>
  <si>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</si>
  <si>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</si>
  <si>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</si>
  <si>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</si>
  <si>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</si>
  <si>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</si>
  <si>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</si>
  <si>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</si>
  <si>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</si>
  <si>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</si>
  <si>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</si>
  <si>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</si>
  <si>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</si>
  <si>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</si>
  <si>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</si>
  <si>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</si>
  <si>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</si>
  <si>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</si>
  <si>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</si>
  <si>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</si>
  <si>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</si>
  <si>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</si>
  <si>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</si>
  <si>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</si>
  <si>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</si>
  <si>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</si>
  <si>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</si>
  <si>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</si>
  <si>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</si>
  <si>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</si>
  <si>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</si>
  <si>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</si>
  <si>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</si>
  <si>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</si>
  <si>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</si>
  <si>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</si>
  <si>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</si>
  <si>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</si>
  <si>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</si>
  <si>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</si>
  <si>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</si>
  <si>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</si>
  <si>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</si>
  <si>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</si>
  <si>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</si>
  <si>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</si>
  <si>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</si>
  <si>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</si>
  <si>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</si>
  <si>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</si>
  <si>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</si>
  <si>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</si>
  <si>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</si>
  <si>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</si>
  <si>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</si>
  <si>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</si>
  <si>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</si>
  <si>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</si>
  <si>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</si>
  <si>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</si>
  <si>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</si>
  <si>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</si>
  <si>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</si>
  <si>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</si>
  <si>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</si>
  <si>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</si>
  <si>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</si>
  <si>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</si>
  <si>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</si>
  <si>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</si>
  <si>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</si>
  <si>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</si>
  <si>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</si>
  <si>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</si>
  <si>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</si>
  <si>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</si>
  <si>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</si>
  <si>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</si>
  <si>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</si>
  <si>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</si>
  <si>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</si>
  <si>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</si>
  <si>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</si>
  <si>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</si>
  <si>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</si>
  <si>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</si>
  <si>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</si>
  <si>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</si>
  <si>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</si>
  <si>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</si>
  <si>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</si>
  <si>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</si>
  <si>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</si>
  <si>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</si>
  <si>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</si>
  <si>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</si>
  <si>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</si>
  <si>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</si>
  <si>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</si>
  <si>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</si>
  <si>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</si>
  <si>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</si>
  <si>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</si>
  <si>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</si>
  <si>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</si>
  <si>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</si>
  <si>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</si>
  <si>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</si>
  <si>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</si>
  <si>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</si>
  <si>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</si>
  <si>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</si>
  <si>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</si>
  <si>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</si>
  <si>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</si>
  <si>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</si>
  <si>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</si>
  <si>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</si>
  <si>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</si>
  <si>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</si>
  <si>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</si>
  <si>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</si>
  <si>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</si>
  <si>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</si>
  <si>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</si>
  <si>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</si>
  <si>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</si>
  <si>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</si>
  <si>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</si>
  <si>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</si>
  <si>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</si>
  <si>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</si>
  <si>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</si>
  <si>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</si>
  <si>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</si>
  <si>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</si>
  <si>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</si>
  <si>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</si>
  <si>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</si>
  <si>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</si>
  <si>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</si>
  <si>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</si>
  <si>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</si>
  <si>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</si>
  <si>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</si>
  <si>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</si>
  <si>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</si>
  <si>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</si>
  <si>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</si>
  <si>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</si>
  <si>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</si>
  <si>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</si>
  <si>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</si>
  <si>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</si>
  <si>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</si>
  <si>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</si>
  <si>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</si>
  <si>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</si>
  <si>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</si>
  <si>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</si>
  <si>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</si>
  <si>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</si>
  <si>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</si>
  <si>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</si>
  <si>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</si>
  <si>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</si>
  <si>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</si>
  <si>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</si>
  <si>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</si>
  <si>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</si>
  <si>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</si>
  <si>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</si>
  <si>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</si>
  <si>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</si>
  <si>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</si>
  <si>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</si>
  <si>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</si>
  <si>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</si>
  <si>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</si>
  <si>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</si>
  <si>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</si>
  <si>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</si>
  <si>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</si>
  <si>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</si>
  <si>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</si>
  <si>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</si>
  <si>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</si>
  <si>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</si>
  <si>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</si>
  <si>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</si>
  <si>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</si>
  <si>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</si>
  <si>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</si>
  <si>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</si>
  <si>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</si>
  <si>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</si>
  <si>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</si>
  <si>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</si>
  <si>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</si>
  <si>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</si>
  <si>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</si>
  <si>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</si>
  <si>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</si>
  <si>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</si>
  <si>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</si>
  <si>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</si>
  <si>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</si>
  <si>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</si>
  <si>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</si>
  <si>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</si>
  <si>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</si>
  <si>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</si>
  <si>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</si>
  <si>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</si>
  <si>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</si>
  <si>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</si>
  <si>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</si>
  <si>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</si>
  <si>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</si>
  <si>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</si>
  <si>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</si>
  <si>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</si>
  <si>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</si>
  <si>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</si>
  <si>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</si>
  <si>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</si>
  <si>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</si>
  <si>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</si>
  <si>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</si>
  <si>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</si>
  <si>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</si>
  <si>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</si>
  <si>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</si>
  <si>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</si>
  <si>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</si>
  <si>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</si>
  <si>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</si>
  <si>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</si>
  <si>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</si>
  <si>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</si>
  <si>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</si>
  <si>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</si>
  <si>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</si>
  <si>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</si>
  <si>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</si>
  <si>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</si>
  <si>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</si>
  <si>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</si>
  <si>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</si>
  <si>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</si>
  <si>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</si>
  <si>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</si>
  <si>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</si>
  <si>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</si>
  <si>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</si>
  <si>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</si>
  <si>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</si>
  <si>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</si>
  <si>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</si>
  <si>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</si>
  <si>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</si>
  <si>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</si>
  <si>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</si>
  <si>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</si>
  <si>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</si>
  <si>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</si>
  <si>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</si>
  <si>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</si>
  <si>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</si>
  <si>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</si>
  <si>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</si>
  <si>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</si>
  <si>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</si>
  <si>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</si>
  <si>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</si>
  <si>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</si>
  <si>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</si>
  <si>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</si>
  <si>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</si>
  <si>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</si>
  <si>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</si>
  <si>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</si>
  <si>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</si>
  <si>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</si>
  <si>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</si>
  <si>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</si>
  <si>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</si>
  <si>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</si>
  <si>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</si>
  <si>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to Display</t>
  </si>
  <si>
    <t>Qty</t>
  </si>
  <si>
    <t>Avg.Rating</t>
  </si>
  <si>
    <t>Avg.Days</t>
  </si>
  <si>
    <t>Row Labels</t>
  </si>
  <si>
    <t>Grand Total</t>
  </si>
  <si>
    <t>Column Labels</t>
  </si>
  <si>
    <t>Female</t>
  </si>
  <si>
    <t>Male</t>
  </si>
  <si>
    <t>Other</t>
  </si>
  <si>
    <t>Unknown</t>
  </si>
  <si>
    <t>for matrix</t>
  </si>
  <si>
    <t>6 to 10</t>
  </si>
  <si>
    <t>more than 10</t>
  </si>
  <si>
    <t>map chart  for qty</t>
  </si>
  <si>
    <t>map chart for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</si>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</sst>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9" tint="0.39997558519241921"/>
        <bgColor theme="9" tint="0.39997558519241921"/>
      </patternFill>
    </fill>
    <fill>
      <patternFill patternType="solid">
        <fgColor theme="5" tint="0.79998168889431442"/>
        <bgColor indexed="64"/>
      </patternFill>
    </fill>
  </fills>
  <borders count="7">
    <border>
      <left/>
      <right/>
      <top/>
      <bottom/>
      <diagonal/>
    </border>
    <border>
      <left/>
      <right/>
      <top style="thin">
        <color theme="9" tint="0.39997558519241921"/>
      </top>
      <bottom style="thin">
        <color theme="9" tint="0.39997558519241921"/>
      </bottom>
      <diagonal/>
    </border>
    <border>
      <left/>
      <right/>
      <top style="thin">
        <color theme="9" tint="0.79998168889431442"/>
      </top>
      <bottom/>
      <diagonal/>
    </border>
    <border>
      <left/>
      <right/>
      <top style="thin">
        <color theme="9" tint="0.79998168889431442"/>
      </top>
      <bottom style="thin">
        <color theme="9" tint="0.79998168889431442"/>
      </bottom>
      <diagonal/>
    </border>
    <border>
      <left style="thick">
        <color theme="0"/>
      </left>
      <right style="thick">
        <color theme="0"/>
      </right>
      <top style="thick">
        <color theme="0"/>
      </top>
      <bottom style="thick">
        <color theme="0"/>
      </bottom>
      <diagonal/>
    </border>
    <border>
      <left/>
      <right/>
      <top style="thin">
        <color theme="9" tint="0.79998168889431442"/>
      </top>
      <bottom style="thin">
        <color theme="9" tint="0.39997558519241921"/>
      </bottom>
      <diagonal/>
    </border>
    <border>
      <left/>
      <right/>
      <top style="thin">
        <color theme="9" tint="0.39997558519241921"/>
      </top>
      <bottom style="thin">
        <color theme="9" tint="0.79998168889431442"/>
      </bottom>
      <diagonal/>
    </border>
  </borders>
  <cellStyleXfs count="1">
    <xf numFmtId="0" fontId="0" fillId="0" borderId="0"/>
  </cellStyleXfs>
  <cellXfs count="17">
    <xf numFmtId="0" fontId="0" fillId="0" borderId="0" xfId="0"/>
    <xf numFmtId="15" fontId="0" fillId="0" borderId="0" xfId="0" applyNumberFormat="1"/>
    <xf numFmtId="0" fontId="0" fillId="2" borderId="0" xfId="0"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4" xfId="0" applyNumberFormat="1" applyBorder="1"/>
    <xf numFmtId="0" fontId="0" fillId="0" borderId="3" xfId="0" applyBorder="1"/>
    <xf numFmtId="0" fontId="0" fillId="0" borderId="2" xfId="0" applyBorder="1"/>
    <xf numFmtId="0" fontId="2" fillId="3" borderId="5" xfId="0" applyFont="1" applyFill="1" applyBorder="1"/>
    <xf numFmtId="0" fontId="2" fillId="3" borderId="1" xfId="0" applyFont="1" applyFill="1" applyBorder="1"/>
    <xf numFmtId="0" fontId="2" fillId="3" borderId="6" xfId="0" applyFont="1" applyFill="1" applyBorder="1"/>
    <xf numFmtId="0" fontId="3" fillId="4" borderId="0" xfId="0" applyFont="1" applyFill="1"/>
    <xf numFmtId="0" fontId="1" fillId="4" borderId="0" xfId="0" applyFont="1" applyFill="1"/>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dashboard.xlsx]Pivots!PivotTable2</c:name>
    <c:fmtId val="8"/>
  </c:pivotSource>
  <c:chart>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Pivots!$B$21</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Pivots!$A$22:$A$35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Pivots!$B$22:$B$35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D5EB-44B0-B7E4-F7F23DD81127}"/>
            </c:ext>
          </c:extLst>
        </c:ser>
        <c:dLbls>
          <c:showLegendKey val="0"/>
          <c:showVal val="0"/>
          <c:showCatName val="0"/>
          <c:showSerName val="0"/>
          <c:showPercent val="0"/>
          <c:showBubbleSize val="0"/>
        </c:dLbls>
        <c:marker val="1"/>
        <c:smooth val="0"/>
        <c:axId val="1234454191"/>
        <c:axId val="1234446991"/>
      </c:lineChart>
      <c:lineChart>
        <c:grouping val="standard"/>
        <c:varyColors val="0"/>
        <c:ser>
          <c:idx val="1"/>
          <c:order val="1"/>
          <c:tx>
            <c:strRef>
              <c:f>Pivots!$C$21</c:f>
              <c:strCache>
                <c:ptCount val="1"/>
                <c:pt idx="0">
                  <c:v>Sum of Amount</c:v>
                </c:pt>
              </c:strCache>
            </c:strRef>
          </c:tx>
          <c:spPr>
            <a:ln w="28575" cap="rnd">
              <a:solidFill>
                <a:schemeClr val="accent5"/>
              </a:solidFill>
              <a:round/>
            </a:ln>
            <a:effectLst/>
          </c:spPr>
          <c:marker>
            <c:symbol val="none"/>
          </c:marker>
          <c:cat>
            <c:strRef>
              <c:f>Pivots!$A$22:$A$35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Pivots!$C$22:$C$35</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D5EB-44B0-B7E4-F7F23DD81127}"/>
            </c:ext>
          </c:extLst>
        </c:ser>
        <c:dLbls>
          <c:showLegendKey val="0"/>
          <c:showVal val="0"/>
          <c:showCatName val="0"/>
          <c:showSerName val="0"/>
          <c:showPercent val="0"/>
          <c:showBubbleSize val="0"/>
        </c:dLbls>
        <c:marker val="1"/>
        <c:smooth val="0"/>
        <c:axId val="1234486831"/>
        <c:axId val="1234483471"/>
      </c:lineChart>
      <c:catAx>
        <c:axId val="123445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46991"/>
        <c:crosses val="autoZero"/>
        <c:auto val="1"/>
        <c:lblAlgn val="ctr"/>
        <c:lblOffset val="100"/>
        <c:noMultiLvlLbl val="0"/>
      </c:catAx>
      <c:valAx>
        <c:axId val="123444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54191"/>
        <c:crosses val="autoZero"/>
        <c:crossBetween val="between"/>
      </c:valAx>
      <c:valAx>
        <c:axId val="1234483471"/>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86831"/>
        <c:crosses val="max"/>
        <c:crossBetween val="between"/>
      </c:valAx>
      <c:catAx>
        <c:axId val="1234486831"/>
        <c:scaling>
          <c:orientation val="minMax"/>
        </c:scaling>
        <c:delete val="1"/>
        <c:axPos val="b"/>
        <c:numFmt formatCode="General" sourceLinked="1"/>
        <c:majorTickMark val="out"/>
        <c:minorTickMark val="none"/>
        <c:tickLblPos val="nextTo"/>
        <c:crossAx val="12344834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6">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Pivots!$B$40</c:f>
              <c:strCache>
                <c:ptCount val="1"/>
                <c:pt idx="0">
                  <c:v>Total</c:v>
                </c:pt>
              </c:strCache>
            </c:strRef>
          </c:tx>
          <c:spPr>
            <a:solidFill>
              <a:schemeClr val="accent1"/>
            </a:solidFill>
            <a:ln>
              <a:solidFill>
                <a:schemeClr val="accent6">
                  <a:lumMod val="20000"/>
                  <a:lumOff val="80000"/>
                </a:schemeClr>
              </a:solidFill>
            </a:ln>
            <a:effectLst/>
          </c:spPr>
          <c:invertIfNegative val="0"/>
          <c:cat>
            <c:strRef>
              <c:f>Pivots!$A$41:$A$48</c:f>
              <c:strCache>
                <c:ptCount val="7"/>
                <c:pt idx="0">
                  <c:v>1</c:v>
                </c:pt>
                <c:pt idx="1">
                  <c:v>2</c:v>
                </c:pt>
                <c:pt idx="2">
                  <c:v>3</c:v>
                </c:pt>
                <c:pt idx="3">
                  <c:v>4</c:v>
                </c:pt>
                <c:pt idx="4">
                  <c:v>5</c:v>
                </c:pt>
                <c:pt idx="5">
                  <c:v>6 to 10</c:v>
                </c:pt>
                <c:pt idx="6">
                  <c:v>more than 10</c:v>
                </c:pt>
              </c:strCache>
            </c:strRef>
          </c:cat>
          <c:val>
            <c:numRef>
              <c:f>Pivots!$B$41:$B$48</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DFD1-4598-B1B3-48277C35BF55}"/>
            </c:ext>
          </c:extLst>
        </c:ser>
        <c:dLbls>
          <c:showLegendKey val="0"/>
          <c:showVal val="0"/>
          <c:showCatName val="0"/>
          <c:showSerName val="0"/>
          <c:showPercent val="0"/>
          <c:showBubbleSize val="0"/>
        </c:dLbls>
        <c:gapWidth val="0"/>
        <c:overlap val="-27"/>
        <c:axId val="1234506991"/>
        <c:axId val="1234507471"/>
      </c:barChart>
      <c:catAx>
        <c:axId val="123450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507471"/>
        <c:crosses val="autoZero"/>
        <c:auto val="1"/>
        <c:lblAlgn val="ctr"/>
        <c:lblOffset val="100"/>
        <c:noMultiLvlLbl val="0"/>
      </c:catAx>
      <c:valAx>
        <c:axId val="1234507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50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dashboard.xlsx]Pivots!PivotTable5</c:name>
    <c:fmtId val="4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Pivots!$B$51:$B$52</c:f>
              <c:strCache>
                <c:ptCount val="1"/>
                <c:pt idx="0">
                  <c:v>Female</c:v>
                </c:pt>
              </c:strCache>
            </c:strRef>
          </c:tx>
          <c:spPr>
            <a:solidFill>
              <a:schemeClr val="accent1"/>
            </a:solidFill>
            <a:ln>
              <a:noFill/>
            </a:ln>
            <a:effectLst/>
          </c:spPr>
          <c:invertIfNegative val="0"/>
          <c:cat>
            <c:strRef>
              <c:f>Pivots!$A$53:$A$73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Pivots!$B$53:$B$73</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AA02-42C4-8DEF-18FD50150DC6}"/>
            </c:ext>
          </c:extLst>
        </c:ser>
        <c:ser>
          <c:idx val="1"/>
          <c:order val="1"/>
          <c:tx>
            <c:strRef>
              <c:f>Pivots!$C$51:$C$52</c:f>
              <c:strCache>
                <c:ptCount val="1"/>
                <c:pt idx="0">
                  <c:v>Male</c:v>
                </c:pt>
              </c:strCache>
            </c:strRef>
          </c:tx>
          <c:spPr>
            <a:solidFill>
              <a:schemeClr val="accent2"/>
            </a:solidFill>
            <a:ln>
              <a:noFill/>
            </a:ln>
            <a:effectLst/>
          </c:spPr>
          <c:invertIfNegative val="0"/>
          <c:cat>
            <c:strRef>
              <c:f>Pivots!$A$53:$A$73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Pivots!$C$53:$C$73</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0-4A23-4998-9C53-0745DBBA105F}"/>
            </c:ext>
          </c:extLst>
        </c:ser>
        <c:ser>
          <c:idx val="2"/>
          <c:order val="2"/>
          <c:tx>
            <c:strRef>
              <c:f>Pivots!$D$51:$D$52</c:f>
              <c:strCache>
                <c:ptCount val="1"/>
                <c:pt idx="0">
                  <c:v>Other</c:v>
                </c:pt>
              </c:strCache>
            </c:strRef>
          </c:tx>
          <c:spPr>
            <a:solidFill>
              <a:schemeClr val="accent3"/>
            </a:solidFill>
            <a:ln>
              <a:noFill/>
            </a:ln>
            <a:effectLst/>
          </c:spPr>
          <c:invertIfNegative val="0"/>
          <c:cat>
            <c:strRef>
              <c:f>Pivots!$A$53:$A$73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Pivots!$D$53:$D$73</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4A23-4998-9C53-0745DBBA105F}"/>
            </c:ext>
          </c:extLst>
        </c:ser>
        <c:ser>
          <c:idx val="3"/>
          <c:order val="3"/>
          <c:tx>
            <c:strRef>
              <c:f>Pivots!$E$51:$E$52</c:f>
              <c:strCache>
                <c:ptCount val="1"/>
                <c:pt idx="0">
                  <c:v>Unknown</c:v>
                </c:pt>
              </c:strCache>
            </c:strRef>
          </c:tx>
          <c:spPr>
            <a:solidFill>
              <a:schemeClr val="accent4"/>
            </a:solidFill>
            <a:ln>
              <a:noFill/>
            </a:ln>
            <a:effectLst/>
          </c:spPr>
          <c:invertIfNegative val="0"/>
          <c:cat>
            <c:strRef>
              <c:f>Pivots!$A$53:$A$73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Pivots!$E$53:$E$73</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4A23-4998-9C53-0745DBBA105F}"/>
            </c:ext>
          </c:extLst>
        </c:ser>
        <c:dLbls>
          <c:showLegendKey val="0"/>
          <c:showVal val="0"/>
          <c:showCatName val="0"/>
          <c:showSerName val="0"/>
          <c:showPercent val="0"/>
          <c:showBubbleSize val="0"/>
        </c:dLbls>
        <c:gapWidth val="150"/>
        <c:overlap val="100"/>
        <c:axId val="1234552591"/>
        <c:axId val="1234539631"/>
      </c:barChart>
      <c:catAx>
        <c:axId val="123455259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539631"/>
        <c:crosses val="autoZero"/>
        <c:auto val="1"/>
        <c:lblAlgn val="ctr"/>
        <c:lblOffset val="100"/>
        <c:noMultiLvlLbl val="0"/>
      </c:catAx>
      <c:valAx>
        <c:axId val="1234539631"/>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55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dashboard.xlsx]Pivots!PivotTable6</c:name>
    <c:fmtId val="5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solidFill>
                <a:sysClr val="window" lastClr="FFFFFF">
                  <a:lumMod val="95000"/>
                </a:sysClr>
              </a:solidFill>
            </a:ln>
            <a:effectLst/>
          </c:spPr>
          <c:txPr>
            <a:bodyPr rot="0" spcFirstLastPara="1" vertOverflow="clip" horzOverflow="clip" vert="horz" wrap="square" lIns="0" tIns="0" rIns="0" bIns="0" numCol="1"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1.9383266187189441E-2"/>
              <c:y val="0.281829960929663"/>
            </c:manualLayout>
          </c:layout>
          <c:spPr>
            <a:noFill/>
            <a:ln>
              <a:solidFill>
                <a:sysClr val="window" lastClr="FFFFFF">
                  <a:lumMod val="95000"/>
                </a:sysClr>
              </a:solidFill>
            </a:ln>
            <a:effectLst/>
          </c:spPr>
          <c:txPr>
            <a:bodyPr rot="0" spcFirstLastPara="1" vertOverflow="clip" horzOverflow="clip" vert="horz" wrap="square" lIns="0" tIns="0" rIns="0" bIns="0" numCol="1"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3.2305443645315735E-2"/>
              <c:y val="0.31058812020820004"/>
            </c:manualLayout>
          </c:layout>
          <c:spPr>
            <a:noFill/>
            <a:ln>
              <a:solidFill>
                <a:sysClr val="window" lastClr="FFFFFF">
                  <a:lumMod val="95000"/>
                </a:sysClr>
              </a:solidFill>
            </a:ln>
            <a:effectLst/>
          </c:spPr>
          <c:txPr>
            <a:bodyPr rot="0" spcFirstLastPara="1" vertOverflow="clip" horzOverflow="clip" vert="horz" wrap="square" lIns="0" tIns="0" rIns="0" bIns="0" numCol="1"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6490463789158908"/>
              <c:y val="-0.10928100525844076"/>
            </c:manualLayout>
          </c:layout>
          <c:spPr>
            <a:noFill/>
            <a:ln>
              <a:solidFill>
                <a:sysClr val="window" lastClr="FFFFFF">
                  <a:lumMod val="95000"/>
                </a:sysClr>
              </a:solidFill>
            </a:ln>
            <a:effectLst/>
          </c:spPr>
          <c:txPr>
            <a:bodyPr rot="0" spcFirstLastPara="1" vertOverflow="clip" horzOverflow="clip" vert="horz" wrap="square" lIns="0" tIns="0" rIns="0" bIns="0" numCol="1"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41027938866908181"/>
              <c:y val="-5.7516318557074092E-2"/>
            </c:manualLayout>
          </c:layout>
          <c:spPr>
            <a:noFill/>
            <a:ln>
              <a:solidFill>
                <a:sysClr val="window" lastClr="FFFFFF">
                  <a:lumMod val="95000"/>
                </a:sysClr>
              </a:solidFill>
            </a:ln>
            <a:effectLst/>
          </c:spPr>
          <c:txPr>
            <a:bodyPr rot="0" spcFirstLastPara="1" vertOverflow="clip" horzOverflow="clip" vert="horz" wrap="square" lIns="0" tIns="0" rIns="0" bIns="0" numCol="1"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7440243832331185"/>
                  <c:h val="0.19139619278201903"/>
                </c:manualLayout>
              </c15:layout>
            </c:ext>
          </c:extLst>
        </c:dLbl>
      </c:pivotFmt>
    </c:pivotFmts>
    <c:plotArea>
      <c:layout/>
      <c:doughnutChart>
        <c:varyColors val="1"/>
        <c:ser>
          <c:idx val="0"/>
          <c:order val="0"/>
          <c:tx>
            <c:strRef>
              <c:f>Pivots!$I$53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D3-4879-836F-878076C554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D3-4879-836F-878076C554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D3-4879-836F-878076C554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D3-4879-836F-878076C554FC}"/>
              </c:ext>
            </c:extLst>
          </c:dPt>
          <c:dLbls>
            <c:dLbl>
              <c:idx val="0"/>
              <c:layout>
                <c:manualLayout>
                  <c:x val="1.9383266187189441E-2"/>
                  <c:y val="0.281829960929663"/>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BD3-4879-836F-878076C554FC}"/>
                </c:ext>
              </c:extLst>
            </c:dLbl>
            <c:dLbl>
              <c:idx val="1"/>
              <c:layout>
                <c:manualLayout>
                  <c:x val="-3.2305443645315735E-2"/>
                  <c:y val="0.31058812020820004"/>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BD3-4879-836F-878076C554FC}"/>
                </c:ext>
              </c:extLst>
            </c:dLbl>
            <c:dLbl>
              <c:idx val="2"/>
              <c:layout>
                <c:manualLayout>
                  <c:x val="-0.26490463789158908"/>
                  <c:y val="-0.10928100525844076"/>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EBD3-4879-836F-878076C554FC}"/>
                </c:ext>
              </c:extLst>
            </c:dLbl>
            <c:dLbl>
              <c:idx val="3"/>
              <c:layout>
                <c:manualLayout>
                  <c:x val="0.41027938866908181"/>
                  <c:y val="-5.7516318557074092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7440243832331185"/>
                      <c:h val="0.19139619278201903"/>
                    </c:manualLayout>
                  </c15:layout>
                </c:ext>
                <c:ext xmlns:c16="http://schemas.microsoft.com/office/drawing/2014/chart" uri="{C3380CC4-5D6E-409C-BE32-E72D297353CC}">
                  <c16:uniqueId val="{00000007-EBD3-4879-836F-878076C554FC}"/>
                </c:ext>
              </c:extLst>
            </c:dLbl>
            <c:spPr>
              <a:noFill/>
              <a:ln>
                <a:solidFill>
                  <a:sysClr val="window" lastClr="FFFFFF">
                    <a:lumMod val="95000"/>
                  </a:sysClr>
                </a:solidFill>
              </a:ln>
              <a:effectLst/>
            </c:spPr>
            <c:txPr>
              <a:bodyPr rot="0" spcFirstLastPara="1" vertOverflow="clip" horzOverflow="clip" vert="horz" wrap="square" lIns="0" tIns="0" rIns="0" bIns="0" numCol="1"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Pivots!$H$54:$H$58</c:f>
              <c:strCache>
                <c:ptCount val="4"/>
                <c:pt idx="0">
                  <c:v>Female</c:v>
                </c:pt>
                <c:pt idx="1">
                  <c:v>Male</c:v>
                </c:pt>
                <c:pt idx="2">
                  <c:v>Other</c:v>
                </c:pt>
                <c:pt idx="3">
                  <c:v>Unknown</c:v>
                </c:pt>
              </c:strCache>
            </c:strRef>
          </c:cat>
          <c:val>
            <c:numRef>
              <c:f>Pivots!$I$54:$I$58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EBD3-4879-836F-878076C554FC}"/>
            </c:ext>
          </c:extLst>
        </c:ser>
        <c:dLbls>
          <c:showLegendKey val="0"/>
          <c:showVal val="1"/>
          <c:showCatName val="0"/>
          <c:showSerName val="0"/>
          <c:showPercent val="0"/>
          <c:showBubbleSize val="0"/>
          <c:showLeaderLines val="0"/>
        </c:dLbls>
        <c:firstSliceAng val="0"/>
        <c:holeSize val="52"/>
      </c:doughnutChart>
      <c:spPr>
        <a:noFill/>
        <a:ln>
          <a:noFill/>
        </a:ln>
        <a:effectLst>
          <a:glow>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dashboard.xlsx]Pivots!PivotTable8</c:name>
    <c:fmtId val="5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Pivots!$A$153:$A$168</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Pivots!$B$153:$B$168</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AC49-4DB6-B195-B519F9196BE5}"/>
            </c:ext>
          </c:extLst>
        </c:ser>
        <c:dLbls>
          <c:dLblPos val="outEnd"/>
          <c:showLegendKey val="0"/>
          <c:showVal val="1"/>
          <c:showCatName val="0"/>
          <c:showSerName val="0"/>
          <c:showPercent val="0"/>
          <c:showBubbleSize val="0"/>
        </c:dLbls>
        <c:gapWidth val="219"/>
        <c:overlap val="-27"/>
        <c:axId val="1425334639"/>
        <c:axId val="1425333679"/>
      </c:barChart>
      <c:catAx>
        <c:axId val="142533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333679"/>
        <c:crosses val="autoZero"/>
        <c:auto val="1"/>
        <c:lblAlgn val="ctr"/>
        <c:lblOffset val="100"/>
        <c:noMultiLvlLbl val="0"/>
      </c:catAx>
      <c:valAx>
        <c:axId val="142533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33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dashboard.xlsx]Pivots!PivotTable9</c:name>
    <c:fmtId val="8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Pivots!$B$179:$B$180</c:f>
              <c:strCache>
                <c:ptCount val="1"/>
                <c:pt idx="0">
                  <c:v>1</c:v>
                </c:pt>
              </c:strCache>
            </c:strRef>
          </c:tx>
          <c:spPr>
            <a:solidFill>
              <a:schemeClr val="accent1"/>
            </a:solidFill>
            <a:ln>
              <a:noFill/>
            </a:ln>
            <a:effectLst/>
            <a:sp3d/>
          </c:spPr>
          <c:invertIfNegative val="0"/>
          <c:cat>
            <c:strRef>
              <c:f>Pivots!$A$181:$A$184</c:f>
              <c:strCache>
                <c:ptCount val="3"/>
                <c:pt idx="0">
                  <c:v>Jan</c:v>
                </c:pt>
                <c:pt idx="1">
                  <c:v>Feb</c:v>
                </c:pt>
                <c:pt idx="2">
                  <c:v>Mar</c:v>
                </c:pt>
              </c:strCache>
            </c:strRef>
          </c:cat>
          <c:val>
            <c:numRef>
              <c:f>Pivots!$B$181:$B$184</c:f>
              <c:numCache>
                <c:formatCode>General</c:formatCode>
                <c:ptCount val="3"/>
                <c:pt idx="0">
                  <c:v>7</c:v>
                </c:pt>
                <c:pt idx="1">
                  <c:v>8</c:v>
                </c:pt>
                <c:pt idx="2">
                  <c:v>6</c:v>
                </c:pt>
              </c:numCache>
            </c:numRef>
          </c:val>
          <c:extLst>
            <c:ext xmlns:c16="http://schemas.microsoft.com/office/drawing/2014/chart" uri="{C3380CC4-5D6E-409C-BE32-E72D297353CC}">
              <c16:uniqueId val="{00000000-81CE-415C-B83D-72FD1D0CAA07}"/>
            </c:ext>
          </c:extLst>
        </c:ser>
        <c:ser>
          <c:idx val="1"/>
          <c:order val="1"/>
          <c:tx>
            <c:strRef>
              <c:f>Pivots!$C$179:$C$180</c:f>
              <c:strCache>
                <c:ptCount val="1"/>
                <c:pt idx="0">
                  <c:v>2</c:v>
                </c:pt>
              </c:strCache>
            </c:strRef>
          </c:tx>
          <c:spPr>
            <a:solidFill>
              <a:schemeClr val="accent2"/>
            </a:solidFill>
            <a:ln>
              <a:noFill/>
            </a:ln>
            <a:effectLst/>
            <a:sp3d/>
          </c:spPr>
          <c:invertIfNegative val="0"/>
          <c:cat>
            <c:strRef>
              <c:f>Pivots!$A$181:$A$184</c:f>
              <c:strCache>
                <c:ptCount val="3"/>
                <c:pt idx="0">
                  <c:v>Jan</c:v>
                </c:pt>
                <c:pt idx="1">
                  <c:v>Feb</c:v>
                </c:pt>
                <c:pt idx="2">
                  <c:v>Mar</c:v>
                </c:pt>
              </c:strCache>
            </c:strRef>
          </c:cat>
          <c:val>
            <c:numRef>
              <c:f>Pivots!$C$181:$C$184</c:f>
              <c:numCache>
                <c:formatCode>General</c:formatCode>
                <c:ptCount val="3"/>
                <c:pt idx="0">
                  <c:v>37</c:v>
                </c:pt>
                <c:pt idx="1">
                  <c:v>51</c:v>
                </c:pt>
                <c:pt idx="2">
                  <c:v>39</c:v>
                </c:pt>
              </c:numCache>
            </c:numRef>
          </c:val>
          <c:extLst>
            <c:ext xmlns:c16="http://schemas.microsoft.com/office/drawing/2014/chart" uri="{C3380CC4-5D6E-409C-BE32-E72D297353CC}">
              <c16:uniqueId val="{00000001-81CE-415C-B83D-72FD1D0CAA07}"/>
            </c:ext>
          </c:extLst>
        </c:ser>
        <c:ser>
          <c:idx val="2"/>
          <c:order val="2"/>
          <c:tx>
            <c:strRef>
              <c:f>Pivots!$D$179:$D$180</c:f>
              <c:strCache>
                <c:ptCount val="1"/>
                <c:pt idx="0">
                  <c:v>3</c:v>
                </c:pt>
              </c:strCache>
            </c:strRef>
          </c:tx>
          <c:spPr>
            <a:solidFill>
              <a:schemeClr val="accent3"/>
            </a:solidFill>
            <a:ln>
              <a:noFill/>
            </a:ln>
            <a:effectLst/>
            <a:sp3d/>
          </c:spPr>
          <c:invertIfNegative val="0"/>
          <c:cat>
            <c:strRef>
              <c:f>Pivots!$A$181:$A$184</c:f>
              <c:strCache>
                <c:ptCount val="3"/>
                <c:pt idx="0">
                  <c:v>Jan</c:v>
                </c:pt>
                <c:pt idx="1">
                  <c:v>Feb</c:v>
                </c:pt>
                <c:pt idx="2">
                  <c:v>Mar</c:v>
                </c:pt>
              </c:strCache>
            </c:strRef>
          </c:cat>
          <c:val>
            <c:numRef>
              <c:f>Pivots!$D$181:$D$184</c:f>
              <c:numCache>
                <c:formatCode>General</c:formatCode>
                <c:ptCount val="3"/>
                <c:pt idx="0">
                  <c:v>150</c:v>
                </c:pt>
                <c:pt idx="1">
                  <c:v>182</c:v>
                </c:pt>
                <c:pt idx="2">
                  <c:v>163</c:v>
                </c:pt>
              </c:numCache>
            </c:numRef>
          </c:val>
          <c:extLst>
            <c:ext xmlns:c16="http://schemas.microsoft.com/office/drawing/2014/chart" uri="{C3380CC4-5D6E-409C-BE32-E72D297353CC}">
              <c16:uniqueId val="{00000002-81CE-415C-B83D-72FD1D0CAA07}"/>
            </c:ext>
          </c:extLst>
        </c:ser>
        <c:ser>
          <c:idx val="3"/>
          <c:order val="3"/>
          <c:tx>
            <c:strRef>
              <c:f>Pivots!$E$179:$E$180</c:f>
              <c:strCache>
                <c:ptCount val="1"/>
                <c:pt idx="0">
                  <c:v>4</c:v>
                </c:pt>
              </c:strCache>
            </c:strRef>
          </c:tx>
          <c:spPr>
            <a:solidFill>
              <a:schemeClr val="accent4"/>
            </a:solidFill>
            <a:ln>
              <a:noFill/>
            </a:ln>
            <a:effectLst/>
            <a:sp3d/>
          </c:spPr>
          <c:invertIfNegative val="0"/>
          <c:cat>
            <c:strRef>
              <c:f>Pivots!$A$181:$A$184</c:f>
              <c:strCache>
                <c:ptCount val="3"/>
                <c:pt idx="0">
                  <c:v>Jan</c:v>
                </c:pt>
                <c:pt idx="1">
                  <c:v>Feb</c:v>
                </c:pt>
                <c:pt idx="2">
                  <c:v>Mar</c:v>
                </c:pt>
              </c:strCache>
            </c:strRef>
          </c:cat>
          <c:val>
            <c:numRef>
              <c:f>Pivots!$E$181:$E$184</c:f>
              <c:numCache>
                <c:formatCode>General</c:formatCode>
                <c:ptCount val="3"/>
                <c:pt idx="0">
                  <c:v>312</c:v>
                </c:pt>
                <c:pt idx="1">
                  <c:v>373</c:v>
                </c:pt>
                <c:pt idx="2">
                  <c:v>351</c:v>
                </c:pt>
              </c:numCache>
            </c:numRef>
          </c:val>
          <c:extLst>
            <c:ext xmlns:c16="http://schemas.microsoft.com/office/drawing/2014/chart" uri="{C3380CC4-5D6E-409C-BE32-E72D297353CC}">
              <c16:uniqueId val="{0000000C-81CE-415C-B83D-72FD1D0CAA07}"/>
            </c:ext>
          </c:extLst>
        </c:ser>
        <c:ser>
          <c:idx val="4"/>
          <c:order val="4"/>
          <c:tx>
            <c:strRef>
              <c:f>Pivots!$F$179:$F$180</c:f>
              <c:strCache>
                <c:ptCount val="1"/>
                <c:pt idx="0">
                  <c:v>5</c:v>
                </c:pt>
              </c:strCache>
            </c:strRef>
          </c:tx>
          <c:spPr>
            <a:solidFill>
              <a:schemeClr val="accent5"/>
            </a:solidFill>
            <a:ln>
              <a:noFill/>
            </a:ln>
            <a:effectLst/>
            <a:sp3d/>
          </c:spPr>
          <c:invertIfNegative val="0"/>
          <c:cat>
            <c:strRef>
              <c:f>Pivots!$A$181:$A$184</c:f>
              <c:strCache>
                <c:ptCount val="3"/>
                <c:pt idx="0">
                  <c:v>Jan</c:v>
                </c:pt>
                <c:pt idx="1">
                  <c:v>Feb</c:v>
                </c:pt>
                <c:pt idx="2">
                  <c:v>Mar</c:v>
                </c:pt>
              </c:strCache>
            </c:strRef>
          </c:cat>
          <c:val>
            <c:numRef>
              <c:f>Pivots!$F$181:$F$184</c:f>
              <c:numCache>
                <c:formatCode>General</c:formatCode>
                <c:ptCount val="3"/>
                <c:pt idx="0">
                  <c:v>224</c:v>
                </c:pt>
                <c:pt idx="1">
                  <c:v>247</c:v>
                </c:pt>
                <c:pt idx="2">
                  <c:v>250</c:v>
                </c:pt>
              </c:numCache>
            </c:numRef>
          </c:val>
          <c:extLst>
            <c:ext xmlns:c16="http://schemas.microsoft.com/office/drawing/2014/chart" uri="{C3380CC4-5D6E-409C-BE32-E72D297353CC}">
              <c16:uniqueId val="{00000000-3802-45EA-918D-E4D1E025F31C}"/>
            </c:ext>
          </c:extLst>
        </c:ser>
        <c:dLbls>
          <c:showLegendKey val="0"/>
          <c:showVal val="0"/>
          <c:showCatName val="0"/>
          <c:showSerName val="0"/>
          <c:showPercent val="0"/>
          <c:showBubbleSize val="0"/>
        </c:dLbls>
        <c:gapWidth val="150"/>
        <c:shape val="box"/>
        <c:axId val="1230209439"/>
        <c:axId val="1230211359"/>
        <c:axId val="0"/>
      </c:bar3DChart>
      <c:catAx>
        <c:axId val="123020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11359"/>
        <c:crosses val="autoZero"/>
        <c:auto val="1"/>
        <c:lblAlgn val="ctr"/>
        <c:lblOffset val="100"/>
        <c:noMultiLvlLbl val="0"/>
      </c:catAx>
      <c:valAx>
        <c:axId val="1230211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0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01F724E2-341C-472F-ADD7-6E511F140693}">
          <cx:spPr>
            <a:ln>
              <a:solidFill>
                <a:schemeClr val="tx1"/>
              </a:solidFill>
            </a:ln>
          </cx:spPr>
          <cx:dataId val="0"/>
          <cx:layoutPr>
            <cx:regionLabelLayout val="none"/>
            <cx:geography cultureLanguage="en-US" cultureRegion="IN" attribution="Powered by Bing">
              <cx:geoCache provider="{E9337A44-BEBE-4D9F-B70C-5C5E7DAFC167}">
                <cx:binary>7H1pc9u4svZfSeXzpQcLQQCnzpyqISnJq+zEWSb5wlJshfsGcP/1b8t2MhYlZ+i3RnXrqK5mpqYS
qqkmH6DR/XSj8e+77l93yXql3nRpkul/3XW/vw2qqvjXb7/pu2CdrvRJGt6pXOffq5O7PP0t//49
vFv/dq9WbZj5vxGEzd/ugpWq1t3b//wb7uav88v8blWFefauXqv+/VrXSaV/cW3vpTer+zTM3FBX
Kryr8O9vnVUSfs9VFq7ebl8jv7/9I1ml6/vVGyevs6p/+2adVWHVf+iL9e9vt+5D3r75bfxzO6q9
SUD7qr4HYcpPBDIFERaVDx/+9k2SZ/7TZQMTckI4MbkFd3781SWo8iqNHvRZ3d+rtdbwZA//373B
1mPA2/jj79/C3eZtbADwAYvf337Mwmp9/+a2WlVr/fZNqPOH16V6J9886sfbh3fz2zaE//n36C/g
bY3+5hnK41f7d5e2gfwbkJ0cnmaDsa4OgbQ4QVhISSl/RFrsIo2pKRjHcOU51K/Vaz/ee+8yAfS9
ckeHfFLrQ2AuTwiShFqYoYcPTOLx7EZIUEuabIz5VI1eQntLfhLOWxJHhvD7sFkrHd6vD2DC6YkU
iFFqPWKM8AhkzE8o54hgLrdBfpVS+3HevcUEqHeFjgztq5UKswMgzU8kNxln6Gmx3mPCGcXC4nJk
wicrtB/lbfEJCG8LHBm6fyRFmB1iIosTS1IGxtrcv0JjecLhwxg3tyfydI324zuSnwDwSOLIELbr
qjoEwPKEYUJN9BLABJ8wZloYE7Dhz12wyQrtx3dbfAK82wJHhu7tKgMH216pb6sHdxuCiH80pDJP
TII2Rhg/TmNYdbecLpjGlhTUxOB3PXy2sX61evsx33+bCdjvFzyyMXCT1BD6H2CJlieSWpwR+gT+
TjyNTqQpJANDvw37dI324z2SnwD0SOLIEAY6ZQU+90FAFidYWgQT8Kr3h1XoxBKbwMu0tkF+lVL7
cd69xQSod4WODO3bcK0OYsxhybYQBYLMfISajow5QSdwEcy9eAyxRwv3dL32oz2SnwD1SOLIcP4j
Xd3n6gB2W5xQIDkR4LwLMOeESIrkwwgYATxdof0Aj+QnADySODKA3XXyZpkD2/7PY2ziE85MAHND
g24+O2uzCXSZSYHrHpHdr1JqP867t5gA9a7QkaH9pf52GNoTm5gxLF9anyHOEtwSpgXm/HmcNVWf
/RhvSU+Ad+v7R4bsLHnj5gqM9T8/j6k44URa4GM/TmM5DrBgTYYcB4ZcxiMlOjLZr1JtP9K7t5gA
967QkWEOkeObyzrUb66/hbo4BPLshAhiYYigHr0xQHYrtAbkLcAcCJQR1f3/odp+5F+60QT8XxI9
slFwmes3f2T+OlkfIr42TxAjhAqTPU7+MQWOxQkxKfhy+NH2j+b+K5XbPwb23WQC/vvEjgz7OeT4
s0NMfOuEU2zBkv4yp8YFg3/wiFaZrtF+rEfyE2AeSRwZwotknR0itQVxNkHgsRFgTLZNOgGyRWBO
2cgpn6zJfmC3xSfgui3wXwDrr1XceuJNZcofP1zhPWVFr68qIpDHsIAB379ObyhwzAkHN/3RjP/4
7cfiIqCrfpZCPbrn+3Taj+tz2a1nfHzEX7+U/7qaoU/weuqDEF8QCwOtRdFL5UIAIZAiGFlolGt+
hUr7ERzfYA+KW38F9XFjkSND+bROv+XJffXPx1ImhErCwqa5a3fNE2xhioDd3DdFX6PSfph37rAF
6v4KwB2ZIwP6LC3WKlwl/zzQlEBMTAQzYco+fMZENmbAdDPwsIAF3XxGjvNrNNuP984dJuC9I3Ns
eGf9YbxlgQj4U/ypkGRMkECQBOuuZQkxst1nE/V5AeHn0lPQff79I0P2Yq0O4SYzKOV7KCB5KvYb
EyCwKm+qfDElQG4/Zzan6rMf2S3pCchuff/YkIVtAYdgNqwTAA1K7X8wGzuTFnxmuAa1QWNopyr0
ArZb4lPA3RI4MnQvV/EBUk8UpiWsvBxBGvHhs6cQW2KGLchKbM/bqfrsx3ZLegK0W98/OmS1Xh/A
JoMLDckmqOkhj9CisWe1IaXhsgklYWNsp2r0Erpb8pPw3ZI4MoSXq+IQ2URglCXYZTC8jwDv4Atb
pABexMSIoZqqz350t6QnYLv1/SND9mp1D6VcB4iKrBMo5AJqEWrqHz5jfwrmLrJgVxTwVNtzd7pG
+9EdyU/AdyRxdAirsMgPsgmKnwB+gLB4MtBjjMFnlpbJBYHl+eEzRnq6Zi9hPbrDJLRHMseG9zq7
z+/CgySL5AneBL6cPxnsMeCEQp0PtyjdVAA9D5KuXqPUC1jv3GIK2DtCR4e2uoOtuc4Bti9TZEkL
yi8fp+44HQz22xRQB4T5Y/0mDIVtwKfq9RLaW/KToN6SODKcb0Mdh31e//NIb4r3KAYb/mOj+jg8
ho3qFmyeYrBcb2P8Gp32o7xzhwk478gcGdJXOZjvg8BsSgTbI/DT3piddDA6YSYkF4Hi2oZ5skL7
Md4WnwDwtsDRoXuQhRkiKdi8+NNY7xTgbnKKRAgo2xx72/k0fV7C9pn0JGifff/IkL2FN5keIpIS
JyaVFgTKTzW3e6Jkjpllgi++PXGna7Qf3ZH8BHxHEseG8MP2RkfVwz9vninEy9zEJvphnnf8LXIC
eyigOlOOeEwoftx0NZmo1QtI795jCtq7UseH+Bsb8k0rdX+YgApKAaAUBAv6xF6P5zZ0mCBAgMlx
g4lNxevrFHsR+H33mQb+PskjGwBX0Dlordb9QSa8xS3OKXrJrOMTC6y6RccNol6j037Ud+4wAe8d
mSND+sM6WB1i+YYkBhR+WFBb/UKB7aYPGGxZh+YEjyzaKJCertd+rEfyE5AeSRwZzst1szpIvzfw
sC3Coa7vifAem3JoQYFgfwUEWKMFfLpG+xEeyU9AeCRxZAhfqxVskjiAxaZQ6AV7n4T1UhcZaPnH
YDerNS7xmq7RfoRH8hMQHkkcGcI3yepufZi9yhAibzB+qq7eN4f5ptCPPJKio2B6ul77cR7JT8B5
JHFkON+u7hT0xMyqQ5TyiRPGoSsUbHh7xBIyFtvbI/CJKTf/QFXY5jNal1+n236899xjAuZ7pI4O
9010A01HD4G7BUaabLpFPe1z26G7AXdEEJRuj9bpx5hrqlYvIb7zZJMQ35E6QsTdcO0fAnCoz8bQ
2g9qtEczHIJrbFEB0ffTUBjRZxBjT9bpZbi3bzER7W2hIwR7Dk7aXajv8h/vfM8+JCj6eW3LZQ4E
GYfi65/L87ZJJ5sGYpDroqOFezO1f2o0xXN8Ge7d20yEfFfwCGE/z1dlfagOnjDJTQIAP3z2uG5E
Qg2wlPvbCcEIeIVyL+M/vslE9Mdix4Z9sDpI721gV6BnJxhx+lJDEnICFh4JSG//sDSPOyFvJ2v0
Atbb8lNg3pY4NoRhAl1Bf/hDrOAPdWacQ2e/F1x1oNCIgNIkc8dJf4VSL+C881xToN4ROj60N0mn
5DB9PqGtNvSZgIr+l2qP8Ams8Ri4tFFPgqdc2FS1XkR859mmYb4jdmyo58nqWQL/sd7rn3DcNuUL
wLpssiEPH5jGY8cNmRIaAe7EZJM1egHrbfkpMG9LHBvC1SoLdbKqD7EPi8NuDQTtJqyXtuoAQ442
PWb4aPMkHDzyCq1eQHr3HlPQ3pU6MsQ/1GAtD8GWw647ijY5rZc7VRC5MeMMXPXnpaPTNdqP9Eh+
AsojiSND+HbTc/0QbDlUg1NCoFvvU2ZzzK9Axsva2PWdjNd0jfYjPJKfgPBI4sgQ/gCHYsCpVVOI
i9cxKpsmFrB3FgLrp6LRHZKcQNNt6C4EB+GMJvF0lfZjPH6mCSCPRY4N5TqH3uoHOR8Djj8RUGcE
M/UF/wtBFE0wFmTHVk/X6QWcx081BeixzJEh/SVPDhFGwykoHBpXwHwdu9ewBYBDYz9oS7M9i6cq
sh/aLekJsG59/38D0pePp/t50p+7qlazhzMCn51Q9+urDy8HzjYciT75PHvCpx8YnN3//pYB5fGM
Bt/cY8tZet6U69GJ+ktqDZzb728NjKHKcNPXEUH7ZQat/OCG7frxEoEjNTYFK+CYC2gqtuFPMugR
Hfz+1oR6U7ypKEebTmLQ2RlWd53Xm0vQ8QYOxRKwsQ94NXDWJf55fuNNnvR+nv18IU9/fpPV6U0e
ZpX+/S2G3ygev/agKmISSp9gg74F0R8FAhdGZ3G3er/phQDf/p9qoHlR1nW3zFoqZ03rBYWd04jH
Tszb5p1lsP486posniEUV1+q3Gw+xqbuSlvLrPz87O3t0wZWtLE2UG8J/SJgXxMc37iZEc+1MbO+
iGVQN0tSZnjpx0Pm2TXPrcDpmiqXdtOa9RfeFEZoq1RUpVNGKvZtb9DcdKC6ILuXVYWu4R5B7ZIk
wR8HZgi86C3mrXFv4G7+a40JVHnvaAylhLBNXjIOXaXQSOOQB4BtXy1px3zftboh+dhANE3nFe9z
Zjd9hyM35J6wB271od3HiC7SRvXYVU1e3Qed1tgJjYK5Gg7nbOwqDVBjc8Vif+bnUXAT1/I81TLQ
LtCw8pMOyos4aVk3C7VhXYUqaNLFr59qFwaos0DQWAl6hkOS7uGhnw0K3ht+axSJXmaVJz/lvsDE
NmMCQ6PI6u6m7ZS8LTyc/Pnrn92MtedjEbazwSmNnMIJE3AUGKEbtZ79LEOdbxbaz5aZGPASx0G9
zLRyQuEFn379SzB9dn5JQp6ZQ/cC2EYnRuOsyMx+KFWQL0WBzFXZ5ipZeJXoiR0XwQyVdTI4FPUi
dyLK2vTvBs1mUGw/KAwU6GRkwkka0Ixs/PPAxISBn6XhkpcxW6VRzVZxstGBDameWSrP7R4B9Is2
KVtil3HO11Ui9Vkre/Oys6hCDm2jPHYinqUfqSoIdQPR9+vCaAoXGUPKHSZzU50yag21/eu3t2k+
Otafb8wGnPQDZ6jCqrYNFLJqljHmGVe49tJVqCrt29iIq8y0ad9n/nkbhPE3X8jishvKYG7lZhc6
BDf8e8WHIXf6wOeOmUfNOlSU3zesCPj5r5U02Q7I1KQwiDbOM7DTjIP39Hw4WUqESAUVvYrMsvCk
cCsZDIuu6qicV01dO6or0bsm7VltB0HAHYWzhSaqWCRmQZw4KdP3RcLSzuZJ639uozQ/63VV2QUr
i4+WjoXrlZnn1HkUhXZY0ai1vUhny7Yw9HVpDHTm+1hGtjF4WeqQJkhPmVUl70nk3/h9Rjs7qXm5
rLzyQ0VSg7pWQ+BFhj0B22DWw2CjVkSXScDEFw/V5nlgCXw5+F0jnRYFZurAoAvPDKH61G57Mbi4
ZYY7RN1docvqtkYGD+w2rfjc02V9ZnqEfCgD3MYLjxs4tIcg9r4BE6waO8xK42ud8tQtCk3O4jwr
znApk/uwKSyY9zSNb0PpddxuStM/V56qnR7ewwKbRF6XbdrNzFaVc4w73MwSOI7Vd5rWF6XTkMCb
pZoqty7kdeAZPnIxzqtTWGpI62QosmxR8eTPLkXBBVGyuGW0YotaRgaZaysdVsLK1UyjLhrmTSz8
udF1aEV00n7XflEwZyAVqu3MJ40/76ooh8nRtrPeb2oxV7kXuElF09MMvmrDlnmVw4tOG25HOooM
h3stt3nOusE2q8RzaGVk6UJZ8cw36x69ayk24bxjhRI7gpFUzWnVSr3oKO8urXgYEu9d3ZZVmtp9
mPSZug+8gJDhi26NjqeBLRWY8vyO9GlUUQVHlNV1gZZVXKVxdy7Dclg0sq68s1SFYWFHJMlvETfo
WdRTWjs1YODZfYlkB3ClQriZ58F6WCVxW86suPWRo5IKe9dBiSyen8Y9bwO37xJZXVq6ojCiWi/H
unVqWAvnlhFE3nUDU8fynVIUAgYcjXU6z5JQSTspYfHyZl0TWo7hQSNUZvceykw43ddLUyeQdevN
24Qn6Ux74BXMWeangyMGBhYzI7FZO2mgjMRudO/rGx0aaTrL/VB8N+qGh8hFOakWoSlqsWSG53vn
GeUVZ5GTdboc+lMNG2FVMCv8gKczTzdDOZdKZ+G8T6y0P0Vap4XDSJ+EDu9YnyxUWIaGA7CSz0aR
DtiFE0Xj1IX/kHGdRMjQ8Mqz7HOUpjI9o0pWySwOKuv9UFeUziMjJ/giaAPNM5sHJKgWnmqK7BYW
Y3oe+QOJ53UBGszyKvGHmcDdIB0R9UV7lYoehrYBU0W5Hsb1uaKMJa7vUb92edYAnCHX4J9kQ0SH
dRLDTjNXgAKpS/s0KM8wCs1TP+Sx5ZA4Lqkb5qHnDrUXM9toVSFvIq+NTIeGZTTYaRENxgXyEnOO
C89noK7kxQz3wZCfBSFu/VkszaC1N9+zsQxlBsPHp6XTtaEx2FUXGl8VNK/rDTuEeUSWeMjCIbRF
Yxr0Q5+0pF5ahexzN5NldcXqDJYkX/MYBGRK4W15YYCzLwNOsuC87NOkm+uWDeEFrvzqgxkRtmKd
l3q2wDB453XWcTrT1hCC8jWOUjehZawd0XqzEIfll6RtwbOI/Ki51cxqvxUqoKcNb31vJmKGiJ0J
D+7Dkjzq5plq8HLoCmq+0xXDH3BlwDday9DCqXDPu1lD0ig8VR0h7VnGfU2uQ4PLTxkqN4Mzikq9
4IkO9E3Xm5VwUNkCNkGbgWK5BqN7ASuY/EQFgtGdgpVULuzB7/KzSkuP3ESqjuP3RGTSPOvMqK2v
qq7aOJ9B392w2LC6Wd6m8NN5PgyN3ZG0GhYo5puH36jegn0CvYoUL02WwVPUJYNXFcR5PDgybmDq
FIkfh+8yxWHKqxq8Ah+ugU0lVRZcl9jsVWbTIkAAd6u6+io1gkLbIarLbt7BVhc665uSbIwGTCYH
nggMSCfxxk+usvSTB0dPnIsmDIUtAhbDuOh9a9VmFNToVNS/p1WH9IUPbm50kRdZHN0KWC0WOkN4
WUq//AK1e1ZpB2YQkvNc+LK+8ILcb9xe8bIFB7eni4LAa3UQL/u7OInZTVdrlJ+WqG/iz62V+vo0
9Yz0ez/IjQ0JyyRwIQ4QdBaSPtDzwkrlZwN56TxtC7+0uQlmrldt8D7MK30h0zhiLiOK+GD24Fgc
uwmI/KQio/FnCclgmgyGR+WZmeW4XKdgkPtzaMMNc6PdWOxZxAx4o10zNDNYZNryAquaWI4nk6qB
lZY2CFzvMvqqZCM/GD246eeDrBS+r3TWazvFmDdnYUvgVl2Kg8ExW9/yzwqApXWMWFrzIW+a6qrr
eXIbNbq0BdenZto17HRoLQAnRlgPiyKJ8/wqszrz0qiQmc+CMkubC79vi8ARTKfBB/BE9D2SGZgR
MJ26seNAt9qWbSNKWAX68jbxSxz+ifOBisYewAPrPxYVNSTcTHtqFnAj9s8Nr2i/BT4yGifh2orP
Qonwu04b3rBQdanDWTjUMEhDUkX0pouTgS1Tq0gSuywaZF2ZODA7pwfvRs/aoADUWpGFvq0GnoLt
0DqZ4Y52ym0SItRiECWM/tjsfO72Xo+04xXaKj+3rMcfokDBWIOVTn6CsZ7qm0xmGAwsKWQ0F2lg
tXZXfyGibgW247jhHxnJytZtmV+ZV6aXiOZ96WmpYHGHET0rQgpoQuDQd5chreL8kqsioDekQ4l1
5nW5hOfqOsO/ipVRtG6qPbAZ4I3V1VWSeKC/krE/14GIA7ftEDrrSxPmfW9ZPLRNL+BXD17pE3dx
8+jkPwbgd3nRq9APqtEf//MhT+Hff29kfn7ngab4609X4Z3Kdf69+uW3Fut8U06jx1/aujP8+pN2
G/pi6w87VMoLZMn7ta6T6oWLLzMpP9uGbZgG6FlDGWSknjnxO3TKpk3rc/rlL5mfZAqDLCZ49Bz2
W3OKTIgQf5Ap0PyVA4EKZ2hAb2+MJATqT2QKhQoW2DUCwSyHNUoKEy79IFPYpk809FAyoYSFwT5u
8ioyxRoHdhaUs9ONDtBknFI2jmBpkBTYb3i1TGMrmOd5ErpdnppieNcTMDngD8jAG6yZGTQoyGZx
E7czhiuCZzklfdY6Zh/S5KIUYdlfR62A3IANk4EpZuPOKms7ZWCjFhiivgTbppmE+l1geFFDXPDW
8uzroKzavOF1LVUGdEHRmBcdY63uHGyUkV7xoVIQV1SWxzVyuk41Utu4CdQi0oW8Ah8yOPM7Zdll
25ofy7xwYhGCJahzcEnMGFZKXLbNBTRL6edEhNmSJ3H9HoMf+g1BSFicNVHgf2tM1c0TjdLL0Irz
WWLm3jIymDlvjCg4tUycxrZoaf8Omul7Z7rO26s44+0SR03lKq/4nrdCB7CEErUSYaidpDLBcgYe
I2cBi6oPpC1TB94guxNDIhdNkLSXfgVrcT6Ei8Qw6XsxoGTWUVhBkhp1JqzkurNZVRlncOB8v1RI
RfO4jvTcLHBR2OBW4tammH4DmKrT0kNDZONCYlfKgHylQzHcBMMQZXZMavINGDB2AbbTP+vjSP9J
maYuhmzdTVZI3x1EWl/XdXwHrzQ7K4GBu8U6RIkTISSuzDaUNuN5sOzT2Hf9noVLFmq9kDJRs2iQ
YjmUITtNyyxyZJ8qJ6B+f2daXXLJWk9/qtO8nmsZZY42QnJFKU4G2wp0PO+lV8BAKa13OM6NeVgy
fUNDWrhVjfILKLtvLrSOz70+HWa9MMS8ZH33vTWD5FQUqX/e5aEJukXcuAo9C52nUK2QO3kPa0FV
1dZl2YtsUfg1XpgtjKKOqQqiEiK980QZ1qdaGp9zFJBLYojiGtT35kacmlc6J+a8Ugpd90PQnSei
jc78MGtmuVFFV6Yu+veBEq3b6M1aH9bdzG8Gb65LrX33IPb3v82ybvbE/cqy/pHAOnG/GhvXR7Ef
xhUyxuam5ZSAYEnAeYHA+vwwrrBNlnIgncGoEUQxgUt/GVcJ1UEUWKBNAwVIOf9lXMHuQmN26P0K
Nhu28sDxgz/WkK2FEtj5pz9vM9U7rCScfga7PMFbg2AOWs6OSDvR+aWsRVBfR2FVnItEmlcq6y5E
lpQOq9UnK03dMqri0yznybAOcl0a7+q+h+h5CB0I3JJ3Migyu4r7d5Vvnuc6zedlokMbDz0wrjE2
FmHSmLZZBHM/boIzCOuR4xeeaYPj5QeObMpsnvIiqW97v/gigz63DVhebA6xVeQURJvnTWcM56zI
usBzetGH53USuz3xjNPKUN99mQ1A9iJv0eMcaCccy7Ok9ptPBVRrXBAwl1eCZsCqhLdFTYNiJtIe
zQssQrdRBnJ5IzM3pwN1kyQkNrEkOGJYXsRcVbPSxw6rSDVnXbEULGjshuZy3iRDZxteBcFakLWn
qtVLrLV0qqz8olr/ssftLEC9SzS5QqZ/0Q5VYFdRUdshOJl2JITT1rqeZYCw7XtGNYMf8797bW59
7Yeo8cCMlIENbBMQAYHGp1LV74OY3ooIZfVZYQVG9S7EWXkKfJGTlYF1CnZHZ7dWhaSyg9rjjU25
Zy4obpvIZh77Hnt1e7ZpybWoszh2hzS76SO9tMziPEuCZYnIhaiMea7bcyO13HwAJ67MbBQNDguL
+zYj78NKfvk/4/HgliHwY35u9thxy/5IijBbj20Hg2Q1/N2PLBccdGQSClvtN7uwwUY8sx3Qa5RD
6ouxx1wWGKoftkPAqeLwQYwyqEWyOHiHPxwzOLiWQNto2DkExyGCZXldlmuHC4YOawTyGRQIUtAT
b7o6POeCfcXbKKIiuTZw+cUPKwhW6+Qb7tlZgtPMjqzB0aqecZbaqOHzgfqXsi+XrUjBqWjT8iwN
y9SufcNRvCZzn6E5yultGzZkJnheO43fX6LKcy0jBy8PV59CQQonwcllwMrEaQx1msR6lVqdb9fY
vPcIuDWFkfqOz7qLTjT3cY1LR8QwEcEKz6y+AZ+vz4YZqo3EVSnrXIiLKofXsgY3EVlOlWf9PMv7
G9Iz5hI/uag7Rm2IjP6kwHK7ELDe58g6hwRI4ZZdVth+o2M79anNAkgKZFzeDBJ/brzBh1kexsCC
G62dcHCkIisKncEviJ2mvmdz74z61bznuWeXEDLapO0+DYF/VfHsovCKiwCeyc77UNkpIe/bMHYb
309ncUauPEw+eH1SgR2qUxs2hUKKSzfAoseGABeWnqa0Dx1PFJ8FU4YD3plf+w5rytC/rUhUfAWe
5lM/mO1FJfR1QSu9SHALZGypvnY+BONZvEiL1rLNmuW22YJNrqlH7MATV4FPPtFSU7sO22sD+n3M
4rgeXMIGfzZI4EF8JY2FkdfvqRHcs8TLF8AJORiYnovcWlXdCugwcBGtle5pvqgVWiS19meqaNP8
k8RBdpugpIjXoT/ct13wfqAIzGNd5NyOVSDESuFo6cH4PkNVhk67iuTXRHny2kw9fQ7+mmNKsKwt
t04r1Uc2ClDoBKbslzQaIAQN87RdAJv+uc1al4dpcEW7fA0RNjlFuS9LW1kiGOz/s3MPdo5B5Pey
nXs6bWnX0G3Efho6qOOAujtweOA4TshWQtLph5MEbd4Yl1COBV0mIHFvPTN05glwKmCAoMbHBA8G
cvY/DR00bYUUyWMvGvxw6RVOEjhbW4k5Bo3K4DBBsHYcs41ftm3mOmT4jVJZvRz62ClVbfua2aFI
HwcIEBIv+GJoxxeTnMGh4iakABGB06U3ijxL1WJgy0orMoslqpn8GAelYTkpT/rhFAw9U5BEyWrz
TGtvuI0IkKRQ/GJ+jgT3vxR5JM6V38sLzFNILEGiu7sJevqe9nkDmZne5/qigaiKfm0gkhE3rVc2
zTzCuek2ZhPaVmwk122UaDwLiyInwLomdeMIw/ciO9Re9mcY93LGxKAQ2MA7lpjtkptFcm3WqEgc
XMRJP8+9jjpJU9tGovPW5mGb02vUYBZfNkl0raq4BcI96yDlcQMtCdZMF/dZ6UMiDX3gTXkK5RIL
Zlj5giB4CqMIZ9L05jKdsS498/q+dGmchq5W2E368nsgwDYU5hKT4ntNm9sEg3VsTRV94XGuXenH
9ZXBC7UsgQg/T0J5Vcg0mQ0D0XZmGPS7CYnFUyCkEOTky2KWNl5ph4nBZqQVV7SSS53p1h2IaFw/
HMiiyvjHHht/JiQoXUglMwUhnE842EYSwLDw0hlwGOEMKlfgFhWZ49hSH5VZ0c61RBa8135jzGqO
1Ux2qPsTqIYe3iLJK1vHtXJNQ/VuxIb3pVWJ88DAePls7u3x9/dUVsDtgDKCw50gIQ7DenuIlb0q
fb8Taqln6apVNr4dbrlt2KVTnWanHrYD15+lCz5Ts8xm5+aczsip58R/M9ZHroN4iG2gzAZOZgaX
x8QCtrI9H+qsU23ta6gV8Ih/3idB58R+6dlFaxLgdmM5KxuPzhWxVGh7Al35XHnnGDCyYiApet4v
pYd6W5DhawWE5FwTILerqph7YvjKwdm1I88IoIal+1wmBbeJKnuH64i6XQvLGA6iFNbrbtZTuWhx
5kTe4JSm8OyBydOBYrsnZAHHr2C7rBQMCmk6TZqdRkB65NRUdo6KWQtuPvHiwI6zELtNEcKyHmkX
JvGy7SRdlH4U25r6H/02P8U0vao7gWyI4iGBAQONy9Kc1yi6/TXE20YE3iy0+7CgY/WmKw+FBrgj
IyIH0soi9dQSNWm0AEOQwMOjzDHCYMaAirDN0oeY9qdF3zeqNkn/v0ovdn9zhKbRNVw1sa+XkBj7
wjzldLWfu4PmwNHXVzkQP7ZvqcLmJQSVia5sBkVJl4OqA1sY7DIPxZ8oBFa/0cZ3LzbnRVlekdx6
h7zhjvnl17QNS7fMyuLiQfF/mjj+byMuYErBvP6J4G7skcJZ6+r/sfelvXHb7Nq/SA+onfqqZTYv
4y2xnS+CkzikqIUSRVGUfv25lJy0TprmQYHz4X2Bom2Qwp6xZ0a6l2vjX1vy9qjvLXk7zAAHWXjf
UVx8pN9b8hb75MGiuoXk/whbAC2GNwIeiU0+/a2P/7l64CyiEGaZAGlCUYw413/QkbH7/HDFhQTJ
sDgvFMomHAuKw3w3E9Xb+iH7cK3DpRzPpPEfUOzvPWCHbTDe1rYX6WwCfmIEKg03OIhlEXlb1+Wu
NNGcaTuVKRl63IDLPOXgbe9IsK4Z72M3nQMdpePq3moyQJ2V4Lk6gIpFI3r3mDDlpT1v7lXciXTt
JE1daa+cgci07USfzatxMseGZR7rWBSN8ZxU6Xm4Jl37ACA9vIrN2l0Kz9OpjLwBez/GXq+J98EI
yIEaOWcR5yxdVffAOwo8wkEfJGo8Dn2I0qZZMdYgd+OgfYUE6D3kE07aeOFB+s69s9ZuWg7j1box
pWvIPkIeKdIhnJZMybno1FG4ly7zPxv+ovxMJ+wgZcny2UyQQ62TwDtSN3nX2Dr31rEv+kW8zCtW
L6vV50nPJ1f3c5oQvCBlADErerOgv6ZLVzjr5aTdkw3oh1BER0lEkCZLSHKMPJeKqZuqtTYNDIUQ
0rpntMUmZWQqXErwkfjxmGrGxmOsApKijd55bA5uE4d/sl53O3YUnGjjN1nlcnfnDdJLx9i4Oz/C
etmXUhdNrURe1rObKkIvvYoflwm1LlQ8F7S7s/WINWCd3GLwoeKiIwCsKIG8BpV0KNigzT3TxM9K
N3lkjhSprPr9QMRprOOHIFlfXId1+3apU41VRBie5NLjddpDVpH2QX+YifGySA8nHOw04vMb9onf
iqwu3Y7c9IHu7mk54AerESuaPK+B+lTJWR4949zgAn9JZCVTJVh34rX7pAZzpSALyR0aQOc4+692
nl5NvCy7Uds+HUZaHqDU+NjiFk0lfpWsBsq1q+bpPvTYeNFScjJCPPdrcrEOLvAbyfdydgA2L8Dl
CSU7zdDtZV3OqRrHay1W3D7mgbPy48Bjeuh8aGOE096Xq7+RBtPj4MfHetDsQEN5AorUYDWN2h0d
u2PEwneKE34yuovSWqz3eM75cjChAVUuZaFR/rOvsgijoG9xk+3Ds/6SkaiMcrcMHkcpVGbWaQJr
0HWn0ZtsZp04TvlSgW4YG52tdpRPjJTs0HGubkQUJunsD7ntFndHp/Y9pgGRMs3BRAs3HT1Z4QPq
u6JsxARWvK5wt2vvOFaSp1JEPFfedCQrJceB8mPsls0+wu+SDpG/pCC3dErBpo5Cr6kcMCjq4SCc
KBdy1VAtaWCTjePiTgt0BtWETZeAx5g6MQIELnQv+IsThDeCJakczTvXiotQTSfpY3gJ1L2JMSiv
Y7sH11SnXVuuaVe718ZO7yoZdmmz8Js2mG5rNr+ntb0a2/VpLEHO11Dtpq0U76FsOwWWHJZxfNA0
ImCUOpISKf00aexlPQ5FTJTctQsdMQTYq1L5t3W3gMOZ3SL2+pM3TV26jNOXICw/VMw9Qz54DbXj
zSBi4CZm/FiWoU2nen1qODb+YKC0gLTjw9jGoHyXEpim1z9IDkbM6WVhGlw1kLcu9Xt/EuGhCqLO
38MG6xVcQpgVVvJf7uEbQ+ujpf19C/8h3uWvnXx78B+dfDtyCrp3qOKhL423w4n+6OQ+wnpjioHR
B1D4de/+jiLCP4OTrNCs/3zU91YO0yv42JAS10f0PuKd/0krx9b/ZnT82shBciAWFn4scM/kp0Ye
NmDvRKnW86ofB8zfE+6tN2/ML6bT7RneDKfbfoHnwEQMzSQ00BtR/XZUWPsy6iFwcs+jRTsmED5V
6Rh+Nubw+5/z4yuBk/unn/PT4C0dtx9UFbrnsDeZqy7n+PPvf8DG+vz2lWyj/xt8gLlD500cr8Tb
FKPBuzj5Ip0lS5xzMkF545FsNM/9dJiqGw1M0a1eBTgXduPJWzQgNvepHi6ikBW07FIGrZS4n1ue
26T9L2/FpkD47W+6qYjf/KZ+BWZkVtt74Rfl2kL08jiZKpNucJ5LbHQoeNXyJXYwd+CvNKqy379V
m736L78AzF3hdvQptrSfHQQdZa42JF7OixGVm7mJai5rYO06W3oIl7PkK4sCFuak7JiG03znNkA7
505CYbtxLmpjX7x+IgadkpzmBEer75v2yWv901wS1ELPEe47iy6/9+tEUKypOoUerlCROvbTknoG
IjO95EYve76eTVQVLQOeOzjpFEElZJOb1rspV7ErJxR2zEPjw8g23KFJVR3lpsMvgBEB8scsXpt0
EX1ehw9wlgx55GNIHBTeRDeb3OkyJgA++sMyPI1YbBfHh9Sgg4AwuBXiSth2bzpPvoPOAQ0RCmqZ
POggygOBNdkAOw8rFuRBNdCc0DYoZN08a6fHOruqNAnLMa9ZcPn7T8j/xQT/9sb/GewCX4/Gasf1
TPb+oTyul/rR39OjOkM6cQmxQKYKmifZsvOzkzq1O5nbZ+dY7/Se7GHQ2IlvIqK/hd9+2pv/cvtu
O+6bSzZoIBtvt0tW1keJfjznmNWG3UD+Szn61ZX5thz9VPBo1a4N5/g5Dlr8g/08sKwC9+DlUflf
bgL3x7f4W0V6exP8BPYkuGOUn1TemfuZuKltjplKQbk8FiLJ2Hn+by/tVxUQ/mn4TIDswJT1UwVs
o9bGceN7ABIBsK0fMdv+/qL5VQF8+wN+eu9IV0EAzDzvPJp8Cut0drLR/lds6lel482r+KnKJjaJ
1gXM1zkxmJ1POnrwog+/fx2/aklvX8dP5XFBr1Ygn7wzGL7MNnNKortEXCfcfrvY/q8Bjr9Vxv2/
K3rzcfH9fjz68zCBX8xHePT3+eirlxBRLVsai7/J1f6cjxCniMPRkY4M2CLepL5/sqwhvgK+Ag4Y
HA6H2QlT1ff5yP8PhWlto1lxGiSAuH80H8EA9MP1CIujixsqBDoAhQhUcBtI87YwJTZ0IJny+bUD
dXkemlYXdF38Y2SW4YNREL2jrUMIlEZYxuMM/j7wreU8jOLdImpRJGtkAHArL8iBoDFL0igm5tbO
VC4vYBhd7MjMYv/3UtsY4WG99GGStDlMToAp69gd1iM8coqNe907Db+nGlSvCjWogc6JSZSubBUP
rWzMu0Az4WUNCNd77lJIQT2BGaTvgbpD6j8eFg7hbRNO8fvONc6EpqYh02gTalM/7NclCzoI4TMH
uoOs9nt649emf/bbQTw7YR8ecNYTiFTXNOUZXBKjaUNFdbWOA4VHApMGy2iFQppI79gx0matL6Yr
OHba6zjqzF3rRbyA5NwLsq2UHCanDLOpGegHr2stFOM6kWtq1BTBn0SrMM6E28R3jkvlmq26rQ6N
itdPrQdfEWcB9BbZQoZQebspCUVfpoE/1fJIja/3ocIHMuaVdcyzrpTrQplYmiIQ7gSVovimWVy/
KRiX2V/X5JAwim9besX2MdHr7aiM+OAn3XibxGO8Ew18d9iFA/4AHfd14o/9fCMdvJs3HTgqUjCo
wtuMlXIajtyDj+xMK088183oPdhkgiYmjaYa+FhHquZA/E4D+6d9KY6Dq4Q9tXEVzK/RTNkrFATx
HmaOctdUXG4IOBiO0RmXtHVUnEPAOD5hFO0VPFlOkkXfx/b/69L1/x82C8XWbyrX1et25t9fK9b2
qO8Va8NmQ4+EbxQef2x07n+8YItzB2npfoVZ/9CFYG0DWruRLtuBPN7bihX9B5seihlkI2ANNpnv
PwBnvS2H8M3wjZ0ORuoIhyBjsYTdGC7tHyuW73gz7BF1fXZJoNUp0VVPssq0gfNIJRzQRRupdsmm
QQwQq9b55LXHVbUHezySUuy7TsJAAguLpu9hAwGdWZkHF6zLBbGN5E8lEzaNdFenC2QpGeTn56Wu
RR6KVh96LwRMOLd3sl7O1mlMCnb3pQTDm4WqvujJegN/AIf4Qr23DoSXoVx3E4Xwgsyfoz6+632J
J4A29cBsuIPZTR6AzkLbJr4YqbyiFW2UapdERT/r+l3J2htIY9dMk0VnNbBNKsvbuYWoNYLB7MBQ
ROEDoQcT9dB91POhjLznoAcaOstlKoxYm0zKwRRJGIgDLIFNkaiYArEro6Id+NME0C3vwr7esxrL
0toTYGe8a9LJ8R3cy5HmBz6WgLuH3o2xl8TOgkruNAfOwVLVmPL3o+s2F2To2B2QafsYGYyBMm7X
dLRVeIaqxsuYW7nXyxKcBht4N7yTMCyNUKpFQ6zhB4Ool0t4M1LQYGCUBH0sYWc6dJ6/5guH13Ex
LqAfW0OBIVzV3ZYoHhe0VwGcOskyMvwO3VCdgtiJAKXXo1PvvLmGlRsSwY/u4Af5NDlgiLCwcABj
U0lFrus25R1A7ICtOxK2t4FI1AyHjUS7UPVrIwFLjvWlJITlbQxRh67rLA7DKyhQrkbHw4UEvjjs
mzvLu1PvqWfPqS/FDLB18NoHn/G50Jx+CvrhxmPxNZoA1EBcx/VNKJbKK3zf+OK6DblYr9yQQAwH
cXndiyjzA0Dg9cKPU4s+aEvZpRYqhaJd2acV3rC0BBCX9gl4SdmC+wqTjmeBCj+FBIIeMCV1Zj09
5j5YyMnVedwu79imMFp0F+aVMSIDVutjVw6udTS3OSWhPDgMPZVQVtgK3ynwvNxNiniBv6UmG2gY
JjWMg4HZo9OanFhyHYczKWoVwiXf1+OJEH0RVdZkOmy8ompGJyWt9yGybg1AT97Psa0A3c9JVnZj
DJs0zJYVhccTwgig7vFrW7LPjaQN4Nkm02IBFuqIG5iXZ1wDXuGSKc6mcYFDET0l7eSc7CgufeIG
LO8IRI55GWpWpQ6T65xWIpb1qRu1fPhaNv/tH+S3/QO+S/361/axPeiP9gH+DvJhxCWQLewqejPw
QpJMNkYNHHIM8njLF/9fQHA79Cd0cWgfTtzc+LtNiPN94MU5MZiD0VPQkb65RP5B+wCG+HP7AK0H
OBJmD7CMwAa39vJmEze9HWGA5T4Au4AA9TfHeQmG3BW+D2XWsIOrY0qVXh5jD5LdkQWflE8vNUDn
PNw8bsJC9aoVv9CzJGlHuitHEJXStZ9yO5prODHGPEgURPhy+rgk3TOvWAHj5R1q5b5b9Mnzvbuh
B/knhmVKkx56EeV6l10LvwZz4ndjncisSdBu1rl8t0rxGMJaCyJmtVlk23PI/LM7R0UyyFPcDMc6
XP3jakCMY/SkmeEWtXyFVqT/Aln03TSz8NSxcg/v00daLWkyru8thNTwRbRe6sPGmkZB2+V+X2bE
QhgZ9/z97E4famuCjNf84E2oP/0YQyrIfahSQMRkVe9f1+1waurAT2elvgyGu6l1JKiUhp4rVKVs
ZsNZhKY/2VbDMlaBDoxbwB81VyxLCCuvx0iSHFzUCvtKsH6hnqmvTRB/Wiu8uX3Z8lsPhrSUj+qV
Q3p8JWRzDBMge6XXA/jqRnoeK9sWcTzjU5t4kCqYSrK6tTNMqsC4wNVE+2qDoSIFP19gY3ZLmO/u
116wdGBwyrQd8C7Yz2VatT4ryNKIg+/bpnCqytsLvgVLrIhJiCxsjCi7cEOWbu7aBcrCYKx2AenL
XTD7TaFaDRmP9Nui88UlOtLFqsW57tyjXtiaVy39AkQuSkUMHMwZKz9fpkUUbhkv+3piTUEEp3gj
3AV67SHZaxFB12nVtE88mAlbppAUARvuHdSHdD/1IS8gdBIHQsoyN6bxIQjxndsGxyql7YpXOtgo
SquIRDvKHJ2JZabpIllfODD3wq1XV6cQXNqeefxh8cabaSJdwR26pFL3H2UzwqrKIxjKhyQ49Qlw
SeZugSjr9hZVXvdhHkPxroOTOR150h2WCekvnmUybcoO+CwF3cx7zCgV3nc0VWc60BkaST4HYMfj
qfoMxVUMDXhcFoa1zoFosZvCpijLDvQbPI1o751K4X1vU7CV0H7BYpWrvm2yyIjodnXtrbDTHVpY
XYyecKus8ZprZCHoA+yyXzSAIg2z1E737pQ2sOtcVbA+Zr6N8kYN0TFa5vIycmKzB2wd3HnO9L5K
pHZyoidb7rlnXTetpv7TjN8qXh20MS6adKR82DvV8uA6s7uznEUZMcmpwwpYzPPipomZ4BLAQtMj
PQPWf1ZUXeecnIAcKt9/ZwBPZvAnPGD3PMWiu5njMXOc+GoMP2CcvJhkZJ7Al79iALu0geOkHWSp
OZ2n+XKC7/2QJBrSOQUFMKvJpYefxnt+YUzwZcAin7lrc0Vm4qYmid+vFCkflVgpVLzt5zFG9AeS
AY5SLLdIU7qcwgqxFNz4eddSua8rF1Zow8P86yRkKtCkCt/ejVBHx6Mf7pYFH6E7tOfJYfeNLT8Q
OT33AcoDJb3J41pdVLP7YusogqLAB+Y9SrZz4UFyK2DHdaAwmI4QGqxui4XTXI10fpxwoHYeO8FN
YmOayjbujjQM8Z2aCFCEjcl6LS8mQQ5wlHaZgXRPEDmcq0QvqUBqQOrYJNdWvY5lVKehqXKEOkTP
sCW0YSE7e9V5+pMM4mM3hU8wkobHqnVTodaPiL9AyIO0B7zoZsc9BFO07po3UXzNBapMIh0QnHNW
J45MjXQPzhAdlnnIhVchKqSabxHndNl4Iyj+qvmoaXKIO//aZf3eCYY9Q7gDPlNAcS7+P3zh8Mdl
YzV9Gav4BmkxujByOeo24MUUA50I6lsY8h30gilr/OWC6+a2TZzcrfhDg4QhHnWHeGq6fGqrh6bS
GdzQKu1KzFMt1JwlAkeqJqME7rkx8TIwN6/l1C0p+piz7EfqjRSCibrJWNTdYVxUxb+zEQFIhv9+
t1sjWezFvKqX8RfzER74x3yE9XrL/4TDyif4A/PJH+s1+Q9OW4C66SvxuTlbv89HPg5f2o5dIkjv
QfjQD7YLoIjbKAOmFdk+m5/rn6zXiCX7eT6i/jaE4ScRUJrY83+cjzpG0UgMlWdCGnboMTdwBtW/
8ueLKTYLfEXeeGknT+59soJ9t9NNJwK0yK79qCA2zQHjHKAuCIvEV0vG5shPRcCHDM15xTA/eznX
dNvFojV3ZtveDCx55OEKgYby/cyS9QIREpcqDA5UJmi5Dt8PS/9YUiazdaBXq1og2Jc1ALZGn1gr
ACMG4WkF+QHeMb4CePCOhfBC6YreJjMggE5V0FypFw/KQDj12XvThn06I9EJGSaxyWqzXkVd/GhL
RF24vv+UNPIxsuYiqV0wrc2DE7ZXms59hlSDd50qUWxcpNOU80W8BnddJ3Yuc569ymYMgmPIu2J4
U/rLPpZPAICvfd6KlId2byy2KFwUL7qBaKKzDU+dWBdVtHKYQJsm95WNEN8yLAWlHfZ3YxYEFLVn
NVtEazD/ILlXpdDrXM+bEpqts7sPa70T0QAZEra6sIbe1PHWG7+MPnm6f6inZQdrfpv6rLuxQbRb
eHuskHSRwk98E03xOz6UrOiD5SmqYBOp5rDPMcXXWdNVcudXy5h3XoyRd71Vtot3Lm9O1m1e+doi
KUF77yKuXCQ7eGUWyeQsTOxdN2V8sJTdD9cBP0bQfpGZXkSLEBkUzLsqNnB9DEgx0KsotK/NXk30
iUeYdiaw0Gkjqz08PnDutvJTHUcyFxpOC29wdw1FRgHBQK2XQwX6dVPFflTKf4X4/RUTOTuwIbje
8h2sGRgyuUxbiKUJ3vthjSgbUC8AZ8AVd8OpDaNjE7oITeE7RRmEQ8jTKRZrvcxj0bKnXz0hXTjp
YjbObdXPn5O1nlWGHVtkBCqsdQjGNIYuK3AGDwrf/pBEm/rH27BrGtMcnviDt4m7pLIvSHp5qIiE
Z7YtyOZSxKWL6yh5lIABMr7JxDD6DUWVMFvUMUheKGBitHIIy3SDfcEPm7vEILHOK/0UeWTHLoku
SzO6QH4gUGuYwH0RN1NBISjc+ZuQLcKdvnM2cRtBZMTF4gE6ge7N3wRwGko4uknitnSyYz/itXA9
IxJjhZ4pgAKLkfUsJe4UscnrYG28KaG34y0heb9J8CJo8Zou+qChzRvlbRUEfaog26O0LY82kte2
BPtkIO1LPPk5GBuA/xD9tUHbF3E91rljnTrvN23gHG6KyCFkOV+dPaRbYv3gbWJCdSnEEXL/opLQ
WA8lLgPTli/LpkL0luGq3HSJHQSKtg8OncsdzKr8vcPq13rCLeOBci8QIgXzNQxhm94xATmH3Ivm
ATlgX5JNFMksrjt/00nKjhUB4s9gDgDibNjQXTqeDa9cKCydqh2urUGuDpKvRBEna5nbTZI5laXM
mIJMk8/myqiaAsiAhLNJqnuucDWHAXOPqhG8CEp84kjbQWbdst7Kso/gY4UcfGzNmvXQivqDmjDh
48biKwTrziYphZmy3JlFi1wOOjhwfF6bALVGOBWcAcNtG/gXDTSqpCQP5SaBcj1zKjdRFFB/oC2j
VEqce+uqpzoJx7mIxi4S2TiJi2kCQJhp47ce1H1lBy9uNT7ThPH/JeT/xUsIkIq/Zwr3zWvX/WIe
wIP+mAdwNgeOrd5gEfitv6qk/pgHEBYNBzf+dcPQizdS8ruAKgFBCEgMvm8vIDgOGV/6Ey9BlgWe
C3+40Er/03wMPNOPcHsANTSBhMujMA99HUre4iVI0Ik9O9Hk7LUKg3borv1e+ZJ1t77Tca8IOSDy
D7ir1K2PpS86tabqstUkl5FILlUHxLBv6481wIplQMiYp9luCQKUyd5vbJspfz121h+KySS3NZ2/
bBkvWaygWp28vYO5mY1VzsJhTzBPU8zVtncODubsUGGRi4W8ZGK+rbdRPNIqZyo6xAReOyF6bJxz
hnUO4VmY4wFAXXsryattwJ+3UX8iy2HZhv/OcT8KbAMWotKjovETthmQBvMn2ImuKOQ94baRRs8J
yqze1gsA+69qoXm9LR5iW0HqbRlZHWdnIf5BcqB7GLCvmG1xmbcVpvYdVfTbWgOBA15tB2v4KNfH
FvsPsjORBritRGpbjjxsSTwA9OBPbKe2BcpVLC4EdiqK3QqV0+TDtm7Bj/7cYv+ahLgHpn5GghGQ
z7YMd+22rAGcOs7b+pZU2AVcpw1zMgcGyxXWvH5b+CZkvWVA5S577IJtWB9HzC8p98TnpTUUUDAW
R6TxvadN4GKAWF4gEQM567pftOecXGyds14uxbaGlttCar6uptuSKrd1ddkWV4sNdsUm2zrd/ITP
80KHH9YWIUVw06IOYwMSJwh17+dtJVYzbGS56yYDR+ntprXoqpqxFNlGkqNa6jpBFWZhfGxGGjjw
nPJ9RamyAEeG5ArsBD/BnmX20E/LI96XnhQBgdwa1tLkvsQymGTN4touHeQaHUy4BPseo2aTN5Nl
e3eRvElj0NmXMSQ7IJQieoD0nTz9uyJ9W5FQPv6+HCLcchpfflEP8ag39RC6B6g/A2QKA9fBfvKm
HsKNQSjCf8LgazjFm3qICoovwbcB6Sh2oT/rIRzrMJEjCwN+zm9ain+AH3ubwf3HehiD+kdF/uoM
pXCp/LgfweDFEBxXBud67ePluEayRQIN93V5RiiZ37bAgx3vQMttlZ/4/RJAlldHQY8peiKpW0ZV
iozYupgSHeRj2JIDwUWfU+sDwDXyxV1WlgGTeVmH0eatjxBhNUYXDS5wzD/iRgxI4mKlRjEZg9RQ
pIHRZQWslAB4hiO9RGBmbaBeak3BlW5yHumLCSk3qRtXj8aNbiu/20cNUmqkzTuz7qsBigtDWgJx
vbxdoQiXkTxiHoQRtZEIOtQO4FrkkwFwWl8SoW6jCOTjBLALUnDvxiO6uZqCVe4QAdjlXtlIpG8O
X/ySvUwClFfrxIVeXrHDhPkSDoVxfJY3bXdlveCx7xhMA1iuwIQicxWLJhKMenCBvsTeuaL6Zq6x
F/5aicJT6+tEy90kzYWbzEhVQkJGL/ejPxYKIaEAAEE9wd2dKeO/aqAf9Qzle0JSgPmXHdCRNZxh
qGQlQixiDddd9UA3KKVp+gOifQorxUMDrEXr7rZX5IIDg0E/QnId+EGDj3TaYBpiK9XtNYQbOxr1
JzdsP3YjB7Ebl5eAAS+RI9llwdduiN1d3boWEPEHoRrmFePX3umseun3rQtYhhGUF4RyJDKNTP3J
C33giQrclTd9Ska+i72EZTPFl6tpfsWGMGZitEnaGnvQC78OupIWWKSX3aD5l9kBFiTo8gwi/kGv
9tY17gdf9Sci1+fKQJoXIfmoiFnwufLsaSZs+dDwAYpZ3SPf18d+bMC3hgRuhFDdImTvgF7sXE7x
8LBUeFlIUoG1iNFzaUdEtPAV6v4wn7gG5lZHSaGjhRzW+IsrZIDISP3eaOQFtj00iA3yK2sG72Lo
VIijRbBv74bISTAqcyT/xOphzZppWXdIG+oBVrO954zPsPkeJG6brKOdTZHfCUh1XGH6QDoCUqyO
dg5KWF+cm6V0npQmpwhybEBz4l1YcqiRoVqA6QeWC8QJI+3u0MR1DDONPHUYhsHg9pAKgIHkUf1l
5Prct8GLGYEJN7B71Iu4ph656H0ks2C7vegQpJp64G0zAa+E4hWHkMDM+8EiJE9DspJ6Cc4Eq+nz
GsuibcIjGdmzD7HR/epE2PY5tEjwVL1Do7q3cHCRZH4aeFAde54cVztclIz2F6UcnyLAzxBB3DtR
dOQ+PTsJgsNI9NoH63XbqgPioqZsjZY1791uypFDfGcM4FtEN7Kp2ivBk6K2SQc9k40+jGY8oq9P
dyU1HNHBzQ4UyUWkx/pf9O+bZYJAL/q71tZphRP+JI7t/EWDw2PfNLjQhwsfKJ8LmSZ9CwB6/4E/
P9yMEd9Z0O8DP4WXAnxqEiIUBQcQvG1wMc5rBhSOoKVvxsjknwCA3sbd/tTgtnR1AH8Iwcc/G0D5
duBP2nhNOnirzo2pkAOdqUGSU2Pd4NSBixSZiFpI/xhwFOtcUkg04Clv0W9ElHMMtZjRxINl+qKm
9t4Qe7mUkFj0PEpSREQi67NaT0ml388tzOmtfwyrCMt3CcnEFhViLW7fKcos8luqFehBCwoKLTcB
WpVYLB7+F58ync1fo4OQGpAhT9IrVO0MaBVwPAtBUXkx4KN0Pi8RLERjEywFJvQ2J6p/CCKYwILJ
8YCUsczvV5Its4YEZDCZ6srHBvlx2otgahzHPKzmj5C0we09tHnoxp9gXKoyaO2fIsS1QukYHX1L
UT/AYSGU+CliwZ7G/ZqVs7/jqEmpP7YHLzJhbiQ9jBZxV0uAfQOE5MdFlh9bbc9E8gGlUz9XJKmy
Nqj3dW2PYM66nWtnlSsD1oGy/jODFyG3bvfUyxBg0Da/QwbzGpXeej3Wy0vVh+UFBgekoocepC0s
KpyOunceiNsceX48q+Dbh1vMwpU+1xduOBgs+0BdQX4ovUO2e7YGcQWYIpa7ZvFJ1iBiu6BQ+qQs
WRHS4nXj1UKozWsU7R2FjzEvG5hENDj9VI01B2eK3O+FVGXRkbG6AN7V7GnyP+ydx3Lk1pp1X6Xj
n0MBc+AG/ySB9Mlkkkk/QRRZLHhvDoCn7wXqSl1S694OzTXQoEIk0yEPPrP32rK76uYwP+FhjfxS
hZWbtpl6g8MPcI9M09eywW1Gq2K9MB3L72Ew1JfI0uO9ozXjqXYDZjZTVh5g2YLIUIRIToEsqgXl
PJ76Zs701ZyrwfvoxIrjS1Op94Wu3qWlq62jSFaPKuKjYRugKHtTEjf8IRzmZPmCx6KD6dcpxKwp
14nIWCBaw4LTahsgyfC1Ok7YEd5WjSG/hb8Fz9r1lLo/NwuaK1ggXShesbEt4C57QXgJWF5igXrV
uQruf8F8ae4RBni4ShcEWLHAwKwFCzaLVPPLBRWGQEfdlF/8MD2+2r8CxUCLlQtkjN3w8ORCEt9b
VNiraIGRKQ5YshY+2biAygBN+6MDuuyfPuXXPgXZx78/zP3P7L/OXPKff3GS84u/n+TGL3zpWcow
tfkC8P3UqghUK0S90cD8i4X1W6uy5MTgGEN5vaQwLLOb31sVoZEahe2ck9wyuAv8Pfoet5g/nOMC
bhYjDfiASMmF+LOyuwtAZWZzoV8KNptqGp/sMPWMYVr/9M5cfrW6/Qz50786nj9Y4FB7Lrcs9lZE
gBAT8McbBuEAKYv+VF5Mk3IMP5Mj1ubcg6JETVbqYQoY3WZ92ZW37tSf6rR6tPUGdDZuYw8tY4d+
TEuPQ2O6Pt8hcjKmjjGGWS0cr+ZFtlXl5U5Exb4oVKI2u1Y8oKdX2aVUY+obuwBqXOu174CU9gzE
FagfnGOdj4sTC2sw9GbfNS1UHWmxCaxhQ6hO5/eQtPw2HaknxbPi2Deu6N0VL/MlEjA02dVcmRXf
K/l4VhTz3MXqwB5jGTM57h7Y9FkGOTgTV0Om6WQrNRwGX18qwn7o7mBWb6Ton12n+UT79xbm02uz
bEzS3qbdmOKL2QRHy87jDVL/neUGzbaNGj6hpnksrXAXOyL08PIcEdS+FzJKN0OuVhwbkLeycqx8
BQrGCk4rt4luftPyfDm9k1vhcDBPGTT6yvBrK30DCPPYtOFNOeb9qtSme7vut1QTiEdDBS0PQQJS
GDHWZjIDIt28KhPInbyrHc9239yOZQVy/b7mLtX2Aj8de3qHfpvPL9mypvjhTKyNVMu8UYaeerdA
SlTTNWpgVHQJzXyiTZWRFm9SLbsAD082hiG3M5TRMAxC1K5i6w68t5FEDahY5uBXtftGCbJDdHVf
FvPkG3P7FFs4zUNA0is8bNdW9nvIP4PfGOqHSsjSKpTTUxbHJjEPMx5GrOJtlAwwr5vvWqZ/12VG
NzhquzJz97AkNFpDuUVzdZeTCjKSWHSyjbnwrKz4mJPqJbLbyMut8oGmLPFFbac72RtbhEaejm6d
yRhIay4x7OtCRmttjOpvRVKGzWZ2lG7yTGtkQKeOaYx6VcfesBOyLnzVlhvNkYt+ooGrmpl4p7HZ
qQErAmF8l6q7x+W5GWY2RgQPVcNTahqLykNq6oyVbum1Ri3200TfG6w8NART3bIPc+pvjBbutVT5
dFw+ppp2oeRqRNczUI+1HV556Zcy1fYMAlEoyeHkNHTqChWWGadIKtohXsiW8tVK7HY9htVNGKuB
11Yj44yFId8yJwQT17U7KbsXIlLYZriJNyQqqP3yJrX4yhpFeqHBOWaKsseLJqhDomg9jxPSuSH+
bkkcJYlMjNXYa/eEOmzHsvtMGTqAdUHlYlUvslkDtNhHSLLTTtlNlv2NmerbbALIglfVrqbsLRPX
QWL46PtDVYarTKHpLRpP37CbilzRsT8x1tIQu0EH9KNFNM9zNWwNO+k2qobiLRzEW8FQE76P9AMF
g4uQ1bbXituplK9NiccsnsRT14H/rRRCRB6W8ih0RBPsSj3Xsv/rGP1fdjrEkpqgK2fEzvhrEdD/
XHa3bWuIYLKmiwQltBLb4DBey5t90q2Ub8UzSus96pJVcKQx7n1cofv/fIwvssc/HuI8vIvbyER+
iF/6T6r6JujNQbH6+TLY36pg76rdyh3flPL/4pD91ePoKr5wXLM4n74oZT/JL92Oexb64PmixSdy
tFZZ9umGe2Clq//8ev549+MM4u3k/eQeyBIEf9Uic/jpcWqWsWavRerFMo+NBYOQ9Zx4/s+PIf7q
M/v5xfzpQfpIVVsdOuFl2LRPaKTXw0797vgOGJIbeNnh6r5Zo5nc6LvHs+Nnq/OAtfSpXQfru+Qg
VzuK+1Pn84N+ueG/9dN/fn76/3Kd8h4s3F0ypA0Go1+crJ/ehIw8IiZMqnZBWHoO7tS1eqM9hwed
Ha/X+9Pq8KptR+9cb+QOq2B+ZOZ2h+JuA1HS+3oq/+z/lgv43xeS6+y//LKBh/QXhSS/+FshCYYQ
5DLEIQN3zZ9GAtovsAbJ/IOtqtGTc4n9NhJwf6GGFL+vAJdJ+W87wEUutFhkTAg3yEn+niYILNMf
DofFcsPf4WRSBYAZJhR/us7rMMAmqA3wkET5JBcgygAZRaH0XdlJ21xIywKbws3yxRRV57lmVq86
W7EhnKBZbpWhOMwhWmfCARtudeKZFZbtN4wpvQrL4mYWyIPzJdeGoqjxOtGX6zpwB69eQC8JxBfy
gBgTjE7EeMB+dKHCcFcpNtYM6ceGGMOBEO4aGDJdPD4HkknbkFTXpowg8Sixu9PU8KOAQDMa6hHt
6xnmOR3bAqmBKq9tJlPDCATBJpPxdlqQNiVsG3Qjr0GnY9KtWvKG+qs6hNkmrMly6iVAFATB7xaj
h123YHMaso02bjl+WqX1iVEq8ZHE9n4LbccdjRcs8nhE+qyEm+x804foLloQPTzND7fIb1MT9aQx
2J4SWWX5NDL9XHP0bFMNwKkJzZRF4yYsUQIGaBwwYX5ambYeF/JpmVVbAQvVbuS9tNJwxxzBYTwM
iiGF+e4nsWKte2W8tSNprGL4qjGc1WEBrgpdK5H0OuWqWHCsCVzWbJDw9rs34PqECBigW3sGM/MC
c3XUiU0gAtzL2NIMV904o9/kluieIqX6MfeRicljSNZt0hM/NbKMFHM2bvMYZVYdJ+6+qqfozkj1
R7SM4HMWC5PuRDg8U+N1Vu1Vla9ct3/orSw8M4KvDrOaN2SjKOmOjetaJuq9hiKFIsNBYYM0ibVr
/LRIlpDl9s7KgE7vGyERapVVjb5ZEv2mKOUlTIJgZWET0i1YkAoDKZkAneppjDLrIPqCt5gBUZCM
z5UZf7eN/BQo8PUKra4Rt3f5ylb6byJvEaYI41XRszfKa2i/ob2dXIETJ0p2uorgyQYNOfbzRtEN
doyzs5mK1B8TG/BVeiLCgfw9hW5lmq75XPxQsbqscYFZK8ucULimIfGTSvKhWcqLqaO0jcb7LOpO
06A8oIN767hd0iS4q7pXjvXYnFUjeByL5DjJnE8r0J/CnBF+1AQPwWgf8c9AhNJDQIsVdWvquOdC
F6+BLR8hr8yrLMwSjDaU1OR8vbfCvZdNcg6rZqMHCzLMHm6lJu6NideSB/Fd02p7cPSegGwRAuvq
LXmsFPM9nLqnpV0JCxP1vnkbxfPOaPJVpUJXStvpxewdZ5uESr5KsXp6HHOQjWscuu6E2Sogu8wb
4ualafOD4Q43qUFohDo/9QVy+IFwIK825J497ZJIuBgDlOwe9fw7fjaktmnWrGbL2S5hOGv0sM46
6Mp2zewSc5TLykcgmUuqPCFhqvLGFpyTjj1gOXE5pbQSE9twKWFxrHTg8Zt+mO5CFZCVxg5E5S3g
TLozJusm6d0P02IxVdnWI87EG0PUiWf0qL0HLFJ+uRxxTTTDUVavultsMjtCtFa1+apF/eBqZrbL
UXpBYkW5l3eWZ3G99XN4xcn4buesoULduYFiH2zDECUB/fs9nrsGm0KqkQ1lv+sEj621IoPCbFXg
JYkIy2NdLAufTYqiuOnm4JrUc+JhCX4o4qGAXG3HH1WknC1CjtbQ10E9x88yGm4bN9rlpvNjpgRe
d4gZkeqrWCcw+nlxayosDNs5f87xpIQ3sx5OZJAM5ZoB9tF0mgd34TM1C6mJeMg3UjxcRISDAat/
fgkGSE320L5bnVJ7c99cRJydIxBQBiioESSUtrChjKI5ZLO+BgCSrfvOvAMFdUMkBaPVhSyVgJhy
QE2pCiPKZqFPEaahUsn3DwZgqjhgLg2oKhkgVqWQyXk284u7wKzq6Sk35V0lkwvXA28C2Ksc/NVs
MsrEHoYORS226Fl7GpjuWgDN0izca0C0hDo+FjrzZmFeLCBblSsKxq98qxf+lp3h3cYYyk3OYpIX
L5yuQoXlxRnry7jaFaC8moXpZectx44FNHvhfZkL+Qv8FwywKtnPCxVMSYkW++KELcQwjEH6Hh1F
7LsLT6xcyGKpCp8UvL62CkfGBAt/7J+q7Gu8J2g7/n1Vdi1Zwf1FSbb81m8lma79Qs1FwrcNLdn8
spH9JEOgonIMW1jGr2nOv5dk1F38KLUXc7wvs9rPJRk4Sxt25r+EDX/LBa05Szv4P/0aJZlt2wsF
gqUQDSMYhD/2N8LJk0b0+nQLtrG52MmU38daZb+UmdAP0zJSnzRCRB04RTdygh0wLKN3bRnC28s4
PlIZzNMexEfLLYO1rXQweeM6Wju1es6yyKVA0IITayd0XWPH7w8AtJmZcbyqJRMBxXEPo45Wsu2i
bqdVRvrBF7LYJoUM0NlivmyqdnzLIU4eyhrguVjuzXoBV7fl+PfIaXty9dqLMuPbFOT2oWfMuulK
RR4LxvZroJIw+jpw62NGPLTRs36I8d+6FsvqiLAdw+JrV7pG1ywZEh1k3yT5rEjGEPCoiBWZ5/CH
nVSv0Ug24RwMXpxWB+h6rjdS5+z12YUNKWz9Emrhi5pOh7g3mo2oijuzrNV1rHbKtrPCmdK1Nw7s
QOw1OtojoUztPu6E66tRJLZpVghSDPVgZ2kopmIzTA81bHtyjYa7ucGoTSjz4qY2Z0aa5jpJKbb0
0D2TUrz4k3l3lF6J7mPJuC6PNUBire74ky2rfR21h15P3urKRt+UdcUKMTl2sbA6RGE9d14w8IFh
QGpAeaYqk01tlwgUsAr2utEctrjuCCKd++rbUIbJzdiJTyXFcFerjA5z5DS+LDIvTcIr87y73A6N
VTqOW33InvREdu5J4K5fNXp2O9TapdSdJzVsbUwprKsVdYvDmByVGm1cxeNYVgp8YxDhTduaOIWK
/Nga2qdpLtFHlrwOEWyIFoMfXmJkZXmu3tqhS9tQbgfDPCUjAG2pbiOt19dzRi4K8EZ2+slmDuPb
fI475H35xhXEOzAKujGnyq9S5dFBFe3PozhaAQAKgjjfcr15N6RW+y7eawZ729KcHmuX4eIYVCCy
lhtyV+hTfibKuWwZ51n9B4Ff6EwMs4k2ASsl92u5xHQ2PWlfK6d+2T7htzbQxrORCpfd1D+H8ddh
bPxH28zCGlx9FnH3Fwfy8pu/H8gqB7LF5hy9C3928fX+fiBrv1gsONCL4ZH5Akz8fiBbv7Afg3a/
jIJ+zUf6rUW2fln8xkQmWSzWv8A8f0MWRnbSn89jNh8a+jNTp0fW4WP88Txu+8k0CWhVMMRDZs1o
7GIKqiKzCpqIrtyk9rRTWgEqK8rvkLi5S8GLB6UmYnPqSj9LOgSnGlnOSY+5wLI4JeQU+HVNyhZR
Y+/ENT+RqfpWqfXN1GP4JeH+hA+yWYuS06YyHkO3QVGUJ35IYPWoJ9Cwa+PDwhI52BaZjoZ656rQ
G6QTmNBgm2d1tH/gCBk3iayuuZ482lqureeUQ71X7JnVRv0ienzN3FlgHCtyk4QVuSTklBV12qMo
bcjeIDlYBCSEtH1+iGZbQkQIGMnO0kwUPxjFW5UNynSXyMEZNugIZG6wg8aRD6FDrdClLtZ9XNAY
nDHzV4utnyRiWPeL1b+ejPWwmP/ThQKw4ABcTqx8AQQAN//eQQwIFnRAsEAEjO4MJEhvSfIIFsSA
dHv2SFAH7AU/oMEhIIIAQaoLaGPC9Oe1yMisoG0PtVq813qUNLRpUamuacY0HMO50O/qlAVWEdmm
L6f0QY2GX60Z7YidZFTFS8FIBA9reVtRR5+AiE0eCbZrklpujbDaF1l5brV2m3OwZK59gN/8wkqR
cUNqTPvSwu5aCHWv9QuMgte9Njr8JwF73pWazYbH83lG8BAf8GHiZODtWzlaoCwKg/wWdv1D5mTD
Jq/otV3LPoo8RojVyTp+AoKhY0nOLFyYGokDsz7dqe2csqppsS4unWdTqdeQdieoSamdG+MWKxZJ
3fqubq07MuX2QTZv06HHdDC3zP1DQLD57egirx31RfI8eALpRwv7MUpM0spzvOp2+QDUGoWB85Qr
xNS4TbuD2P5QFfOpkfG1yfuXuNN2GkEBGDejyrNgHKELMbbjIE3G87a+Ge3pZBWlygwGWXHfJ5/J
iNix4bkpU2hCzpAszXTgJ7O9NWbzTW/Ini5URFh9djOHwX1OctV+ggVxMhRxRTr3XijEErQPTa9p
qBnduzBK/ApbdVHNh8bSnlQ3keB3k20bN3iLmLyXhnETt+lb3ocxUnRrU3WTvTLqyo+qMPY0hQyi
epLf3IAuUs0Jc7Dms1SH20h1nok0Ppatwnp/iQEy341KtXwINNc5jJa2+rluJElD2lNWq9pa1dHv
Ed9LlaKcA9XdJnlx7mleVviq34dA5GsDp7JL2uzKGLJjlvFjqApk13dMKPK9E/YnfPlHfnJej6Nh
HAhI71Yo6jOSImI2UtZMSvp9pGqmzpotfE0gkBQmnurGVH/MuPZYVb22rtxId2CfxFMwnDe6p5u8
R2kN3Ng3tN7rOmPXhNXLZDNl0XMWb1JYJ0fv7x2tznwkK5nXNMZL3Dd72TZepgzBqnTEnZGEexS/
d3qBzGWahxtzkBFlSrENisbZu021i1IbNXf6TP7IKVTbR7uo1BWDr/suEj773psIS32q9s9EFF6b
mM8ir4YPkfNVUzF2D/rtmOX9PpzweifxsMv0+li7+j0XyaHsM75hTXdLnuxmsJFp4H55QfLhz6x7
N0OrsgyXR8XVjoqh4lSSyl5MYqc2SxAi5qFZ7iRCHixgJ3rGbZfNd92QdjR6NYGOzXGsuGQdNrx5
mz1SCb+lMr7F0rTvGvHZCmq20tpDWnsa2vhqOu0DeKFsZVqYe0z40IPznqrVXst7NFJ5uQ/05gSs
BdGVzjdMkzdRmR7juXgbM+PqZpRqVDA4AGokJpa6JWZlU1TVrZmXx9h2fvxTm3zVJiqj7H/fKG4w
i/9Vo7j81m91CSG2BOoQhsb0/k/5tpC0XBSaOHQAxaJZp4f7bXZv/8K/kaRTUaLz+Brr/1aYmAQP
YeS1TftfZcvfkfPZ/1uv7qILpHBylnghECpLI/nTDiglddalf7PP6HUPYVcPxU0n9cnyknyoKjBM
cT9vHdm2Xh7lITWGuwQLlm4BTqBLotfRaK8E309+1BYpVpZ+ixDKZ2HLClstdI63zKINS94xUMdM
dMx4DZiOtGsyqanAOhbqymsJMgu+ybPsSy296wCMXGFP7Fw5koAQYHNn5BOqsXJOg8KRq3qoYWko
4etUddElCKLYukTZZF/MwmErL9B0G7DmMuomM8jV4sGyFZLuGWjJdTtqQQc2ro3ip56J7QC9Xz6n
uhtBc0nLXRwlycSstrmRiTjI3rw3Qe1h0C+e1Dl76AXmmzKqPojKJfos6tHoEUXZdAmDL+M9WuLK
G0WcrV7HITw+9bSinsHmQBkUX8mZFYWLi1ZUleY7E4kBbWGLtSaiZ0ybDoKCFF+jeeVYvsWcghxe
ib+Dyn7gjP1URRKv25w3xXS6O9ugnwpxse4kf5+esUrfpiUdl3Nlp9K9Uhuiycgz56HONH1TFim1
ptFR4CT6LgJkWAxD45Nusjcig4zGHIgMQfVgudS0WFMfZkyYpoNR6XeB3ufebERo04S+A26mebqT
SrJsR31PLYSapFe/q6XrO32be3ANA8ogqprC/RZGJTMEm2YPpX7s4PgxZvdqBxifXNLhx0D5brrz
JlPHPbFzZ/xZhKMHjV81GHDyYlHaER9M4w9jMobZhSfpQ0buiOCveOGS7pBUD/bOWnZEXF53Qqu7
VeeU544CkwVDcMlc9DYhPP4w0u6DSmG5yeh1pY6N6YGfaT2uNz8yy5c+0QnXCbtDxyfYtf0GDHO8
HU2M6ZZal+u5EPt8gOxWm89a253pfh+Srky9WG2f8jC6j0QU433tt1poKXume8ZqiJr7yQ4eoG3c
zXXPV0RDFckYgsonjidfa4JLH8y7KQsIMh6Vj6ZWIl8VENcmk2nmrLmZJ3uUoaHZoh5lyKKJaT6U
lX2bLJnNpWNKr+oLw8uHrIMOI0+YvL8TJsrEwiFnsI1vrKRCVKraR+I3ta3qkv47YRfR+AL4Qku+
NWoliRrubt1GvAxKpHp81YcVUyPLi3rjRz5x10mr8r6fK6/rbWwSAKpte2RsUwCn7FLqajkXO0Vw
dQbL7L/N4s9s0memqPaLKc2rjthlP5Qp8qRG37NPNHxIn6dogNZjCdREai7ERtbJbRxahC6m93k2
nGGkKaiDbNJRknQd5y6ktKLeWBmLJ1lJJEzNOK3qwnqgox9wXas/Al28qUb2QVu3r6XBQDhkDhEo
+qdolac2obfK8/wpJyJrrbv9dZo6bRtb+Ws5iaOplJM5LDYCgl9tMVrUJU5l02KpkzdFNZMD0lp1
k5i+JXykN+sbSxk7uiLWcMP83hj6a+24xs5VcSNUrn2Z+6HwHThvvmig7Vh4KFbEzH6QX9DuVZtR
W9GB46jUbDep5bTqbao8OEpvlSWuXd4R1UqW/QaeJlBo+Jl+UlUFcRbqecCAvk5N43OYJxdIHyuI
RB/8ISjtXZoWtJCKyFZuX2MGUVntAdX5QIOVexqN5k4NpHmOR8hsQ1uPaOP0yDf0+l4WTLonB+yA
NtPMxAUsVieGQ25MfgyXDvBbVN3Au9tPOcOUYsSEpFB+0n6Hq9Hgaq2a5MOyC9Z1QTKvzSLYhMKY
dlZBmVRWYpPCKPAj28o2jsOGkPNw3hZJ/dY45qZoFIAowbZkt0MOemyBIiRce2qlukJr5m7AJmKE
IX3nzir0amPX2p7cpxPCa8AKeeJsWaiSKoNnlfHXNB2ivv+eEqayiarOOOiVAQOhwsGejmGxi4pi
fpxlzmcjJ2VjgpBYKWyBVqGOe9rshr1BmBUtqIPzxByOYeYeAnc+KvEMEk9jERak812TBz4ErqtD
C3CaW1aCUQ+wgUXRpeqjh0JHoZYClt1UBgP7PlIaLzG6D6umN8oJbt6ODkrHSUO3TogIHW8WXboY
YWaAGzUt42FbVfMRB9mJGBofF8xlQEu9NpJaxUzFXja2m7NrJh8OjI2sDdhc2+4ycFNMBn8mmR/O
tEZdjD5pxmKrqvKJfvJbmSqXrImvKZkznoocZ500mrVqRPWZYdAJc5XK1hDYy2LBnwTn5MtMfa1i
1nRDH58Dt4f/oKmDL+sm8MogPRYOdrVkTMKnOsqIjgleGcKy4+Kra2f5D/hXr6ahkH3Wnasv2VyX
f5AA7641Fw0b8XhPfekgCo0RxemKcjerleorWXyjoV1nAJAeM3T3nuCeaioDB5imfY5OC+4mODlk
oG/VeDrgq3L9OlUwIxfP+dScx0JfeJh5zlRDAOptDnWrHc0s/65Uzg85sme0WLUXtbIL2uQTleim
7ctu29rVuq34v7JUntREPc3hMU9YavU2OIQUA3LyHrUcvgO2hqSx9xDMlqvGCb3Wag5zK1nxpXw8
OSvdBI3AOHM9x1TuG3Q5nwZxsyv0stc4CflhDvAhB83TZNpKkATKtNGJt1Rub1Rg+3gk2JpKhyGG
dZhNQLt9Fd9aNeR/Vz5rBn+8GkusEMkxRd6wNfLuQwBOCe0ATxZoAtXOwTMUT5rBDc8twq0ZMU2a
HPzSafzYSMnesiWpVKnqSxW7J/KtkduCDekVzGY2xm7ko/kWDBILTD1ZWwxqaIAraAbkyW5gtyES
mBdwc8Pueqh5aQ558BF158rJYqwGxlI9NHvbiA5ySn5EmhlvQuncTlqyLedt6xL85GybqaBJPDlK
+hBlA9pgIXIPvfQ2SQbCnuj9ycp+Nxy5sWT4TnjDSeg9BrFAjfiw6m/kEYGn0mViciMemiNfn4dw
4bjSKz+xAcFvjF2ihe+/M8JspwOMG7rUDxyjuiu+yLDMaCx4EgQ7KM/RUJYqqMyibQ6IQ5fZVPw1
qCq/hlYTn06hmrHii2WmFX6Ntxw3PZR0+atxmX2xnNzObkgXzVhMYeHgF8ukLBalL/K094OhfAHJ
hJHZGcigm0JtnTFqM5riSuOMfdEA2cUwTsSEkucUXkoQdxsIvPvIFt/wn1/G2MWeZmNqjOIu96i7
Wi9NBaYROWjLfGvkdgJLFUQnnSK3ND6/5bOjNu9d/IVudKobsn6zSvhjZ5+HLibSwz4tBqBV0Sbf
NHfyW1ecyFSnuimrd+4tYAIzVgOF89jGsTh0vfrJDqXYzokKoGZwdmLoLyB8SFiPMPLRSqyoayQ5
A8X3RuZsZyLc2ZgON8ySTqLO7vV0WIOEHjxaVLnj3GXIjp52MrnZAaHb9QPf6ETnARnCe6nIWtpe
9L3tDAK8SraVTrXraulbWseeiG7TCmOOyThzNPZmA5rOdYazgkODgU53m5vJd4CHaOs0mEVTfC5D
9WySDJwVw1notxaaDmWu/aZRwsOgls+pDPddFL92dvdYuSWjqVldO812tOwr8lmgo/l5qvW3uCIt
vVU4GfNwP0/2vE/67I0n+BgtO2CbWnAddRXWl1x5E3k5POfzAA+3To4jnnS/HZISq8l8I4cJZoyl
vVSDisA1vZOy+JZWDhwkMgzzyX3NzPIUG9FzLhHL/NPQfzX0GhrNf9/Q40mGWvi9o30vOmZe++//
///96u5bfu+3ll43flla9sU0brkoJ3HI/b5qEL+gb9BgY6vG4gFnzP+vlh7zBkFD6MwcA1UrrlJE
dP9q6aGbsvfVBSaJ3wYBf2PX8GcxnnDYLpOAoRHGqWMf/FND3/WQ5xjtyUuvHkLseNN92W5/elMY
Y01hWfzs6fjVHPI/62VeBZJDWg1Gxqa+BLCziPl5asBk30iStK0uhsRC0a6E2SKajgy9MC6RSoLc
IvEf07u5jC3nHEWR/dKEtp7ewRGevEjNRx2vVkWARskaczzFQba2jHg9xxoVMHPtacougan4Wans
p9YFqVdeOxX9+BSxgqjt+zFud8FUM7PLxw3rI803RX1QKkLBnfQ9m9JvCtDLvqr2wP9eUJ1x/4qj
27Br146e7e2IxE9tbH5wM99WWSz9DGTGNq5F7ynIt1edKXf1wKHa2yw+nF1ttB4v7yW01L3qomwH
Pw+tuvjMWjdCoiSQq+WfQQXnx8krZsPqCKqzbTYYok9BZ0vfKRaZitShg9jq+9gWB0MoOd1c8cA2
4RDo+mMzgpfQ444B5tR60SQ/WkscJtEUmzqpbopolL5b2wbOw8D0grJhygn+0haEEIaTcZOHCCi7
1rjLJKbweehflMTAQWePa1O3QWTq3Y/EJrweMn/Jara8FKU42rIRaHPqeJWldbKzVGioFMvsiJO+
IJFZR+s0OClDi/lZY/Ro8HGuyl65NyUxMrmePcjchZzkpK9K3QgWU9XexeZ5zjqpeYjzDq1C8IKq
1WKlOeEp7D6MpNy4+DjjXOqeGGtKkqx4DmaAskHt0GGF2qFxCCXuBns72+ZHFSPJklNz7G3x4bQE
RxG98MPJuV+E7Gb9unMfUF7+ELH01Dr+jGu6Yq1NdpFOwgS7BK+ElT7o7buWJKrXCOYguH32WZzS
Ag/dJnYW2aaBiF+0nVwLRXU9s+gvyI0eh7CHvpl1+KyjZhnWXGFlk8Fsh71XBIjKBJDEAQTLvOBB
XCe56jjAEWpRA7jDc6pyi4on60eSuG+mln4B5o2NAa58pQRRelOwpvPCJK48zpXHcKqvhTAZCKfG
bZjZth+VkeRiHd+GJOPqkTUIL8n7Ydvza2oFWFAAyAxJ8Sng/m6GRn1Mw4wbM3CpUcE8OIQdDZvy
o1OcV+CtKI3SyLMNjTEc6HB3BlxqkbrdGVO6r77MC+RY18Gu4t1wcUHVD2Yo5xVgG65yN0sfUxaw
e3Mek4tlyIe6ZusyV585sltEFBl8tuo7DH7mMHRlCLdoH1MJZKKJk2chOj+zgowS+alw1yOo8Ck5
5SUFmqLcN33iLqibrAbPmUNsGADDKfZY+g2BQl6bmSbRU6ApjQpjiHEjAGQAA1LYvrRexXfzv9k7
r+XGkXVLv8q8ACrgzeXQkyIp7+oGIVVJcAlvEsDTz5fqqW5VtTnRM7e9b87ep4KiRALI36z1LYUh
O7Phe4p95y3Rx3rBY61mDGRsclEBP54u4Cm9aGPPaiSB8dY/R73NCmm2bprCWENGuykNay8N7QaO
6crVogczc59b32GUqV8EMrrCTXA15THBH91mZqJD4uB3qhNBEZausrbL1uA5lxnEMq9tAJTT1jbV
cPZw/Dd1Jph/zSvGgpKxKHVp6msMJ7TLqWtYFAbZOjTbN0QzG7MeH7X2zem5EgfX21g2XGC46JJF
RRBKWAtpP2naWodi/+BFw7it68ZcphELQsevuuqcWdZTXtrAz2bCGAcySZYi5bm1yEq7IksDMPS2
m8pm6Qv2g76VP2R1u2k6+SSleGhr7Rl5rXVNIPx8xYFXbxpRv9SmsY8b6/sY+pf1TJqkCECr57Rt
Dk3uKqkHf6mlItnkcx7c2bk/naI8vk2i6JXxmraUWS8uGiojACUdnhUUP0u7i58Lk29RxndJUqar
wNIO/dA+9UY501db+SZUPqSK328xJJw9yyDjGdBrwl21fTVfap2v3bkpM4ppCuQ6agix5C5vCQpo
+5XdefmOu9lf1aJb2S7xe4PRyS2tWAmTpZy2hJLE4IagoEQdIyp6TmcnMXvvgCld4b6+IfdEVWPb
lMT6RamFJKgyNJ1d4w7l8VNjjLeR07j7wO6fykDCL4zm8H/IT/9ZQ/Bx6GLNQkLgAtvyAH7+fOi6
oq9wX9b9VelDaTMuU//O5bd2cLOn9uM/H/E/VxHqvVg6EP5joEfz2DbgQv18wLdtOXambOWVH67D
7KGeNrH28P/3FupX+LR5AHIjhOyFvKq4MUkPYr/91a5u/x/eJAgwFFFbGaaquj6/SRtjlkdyJq+s
5q4uj6NGwOj+n9/iz18LH9Wnt/hFatcxsogMe5RXtn+b15uZiCSqkMJ7Saf/4Z2Uj+Lnquvnd1K/
yadPTMSDk7sgGK/qaV4YBbNZ89DndArrIT/MBGr88x+mfvFf3w4HsgOIFhoFK6yf347QkXFuOkOC
4HoyOgS77l0UX0z508fb/Of9sfnA/r7XuO1eiqQVL337525DvfL3bkPH9Y3M1Oa+t1xP1fO/dxv0
FPwTmTs0HB8ovx/dBkBgjOJMzjANEbLwgeX7sUD0vqh72g2wnrN3wUv+bxaIXAg/XSXK/EOgIL8C
bC3bJ4X0l6tE4+mcNUTjXPaTizw7NSsnPcMhTikoulxceZwIIJ6Ec3YYLfUq70QFnzQkoAwGdhck
SceabBQxlQfRFje4wledCk+x0vAE1+TEXCtbFuSrRBaTXSafx1iXjzPlzge3rqSow7vglux45o2R
c5jHBFb2FFYr0+6Bh3TpqcM7Orq+jR14KIxX0jMXiElw68ho8A3G8ExmD5zzXYSjRmPfA6YJEFfO
uNjldNatCvhStfcSL9/WXnBwBTEndxZ1fQIrXWK5DD6omI0CZKYKldl/UDOH3wiasDS9D6qm+CBs
eg2dTdD6TbrLClLZ13UT6fUa4CyuCiHH197NYyhgxaOHS3HZxXLrD6i3qsTFfFmS8C5ruPa+kBt0
ryd0tfXSbDuKszhZ1zNbozggZzNkKaOHD1oz73Fb3QxUDwXuHZsJ26CBjZcOKYPutPArV/F5b/Bp
v1RaeUEWpQbgvz9hRSdJWqt2fsxMvAmMm6HX9q6BLiSszzBH3k3cB7kmdwhIDtLNd1FYH6OgOOfm
eAYa8qpP7U0QM2ZL3fssGNiyebvQiC5dtEyLWlS3okIKXyQrUelb6bQ3TeevrFGyO7Mfc8+FfwTo
0W8P2Ir6pZ/DckmD9wI5jS3gJst+LUt/S2OCzak9hUl7FUBKYSa08jjsK81AaBWf5zK/xFJDmuh8
Llob0Ir5OMvyxBxzQbLFme9yWaVyE8TxOQ0RZFkElwOyJ+3kkDqMllz9q+mkGz/pTpXVvUalD5eY
rz7yqHAa7BC5sfXd8YgHrlv0gX7uWaZMdXpuXBRiE0LiWbt3YmsvYIssRF8iTc33reEvfKxYQVi/
BTa0w0I8eml8j/kMRYu2CSvniCNww/L1rKeDYIYNbtoeXwd+CWa4xoroCAC/84Eh67LBBxR5xkZL
xgs5xvuyRWviT81b45k3+C1umgljUBgNzrXnNCy8ZHyGU3eagMFcNkJP9zDf2erRGaoSkd3Jwhnr
S4z7R2lwSfWBvRdDq1EFSaS1bfB9isazPtI+5daRQv96rDt3NVb0G0J4K6uuv2Iw4vKz3FVVhVvg
mdNGs8KvmPJOMhjjjZ/3dwDY1pZmESxu05qb+EQWRga6y8ptZXZrRjVeZx0dG6fQtm/sJmHYa4On
Tke+cYBlV2mlbVsWmRWTs10VZxoBfl66qUfj1KX9NgujpQMdTZdtv+bq4NtS4epB317VYTwtC7u9
MC3UvfHUQtFDkxNmR6vWtoalssLqc2XiD5J1/q2imN2Ys7ZShdEqDUGNJR1COOHvS7xFK1zhFinq
xGSF80gqe9ovS90MlmYMj4fu7pgn0FnwrC9zs3zqPIJRJhMsg5bP596wTgziv7tWDfTZN3dhVTiL
ETUCsb7DDbuuhy5wD5oT7XytF+B3igpmszw5AROTweYJkGvUUUEF68usQ5YWSVVv6BCOZY0okOHK
ZZbV94NL1x3H413kOlzvRgLbFM6dn12Ggo8mrvElW016H5C0tQySOGC0o8njXCJtj+F3LP87+3+b
M6I//vuzf59Xb03yIv588hu87sfJTzaorcz+OEaYzsBo+ePkN5Anw5XxaAQ+qP686od0iOEkthOd
wR8v/DkqyfyCRwKljw02+Dcgzb+YMyJF+uXkxzZOUWKyR6cyoQL+pUfwYmSho1ZPp9FCzrIxMnTL
p8qDwvKuz3PhMGbp9I7O3kJ6MO9KN8tkwagspXtx7ewmNFkI+BjLdo0xeNMCx8Y3ZH3tsgzCF5Av
t9xK+RXpejFOSdfcUANFzLr09lS67ntckdGW5ZCsjIKUHfa8YAuRZq7JKyOgPDec48xQfq8VomPU
x0J8Wo4u8qA0jZozOXZoM9hzIdLILjjrixV5ltOmcZhkER+IcRWcyhJ6C7ITJFJne5gOmZMc/bIL
L7iRs02mBawPsAnyFDddcoIyDL5j4MWrD41uzXxnaWQeguiRbpiMUOgetvZMjOZl5Y7FwYv7O8ON
dQYdLINYOlXLKJi0c5O63/BdYIktPQNzQvo+p+lXhNP4EuzByPcyhCNZ2el0z0IVCXgTnyKwkfs+
Tt+6aDafGXkhNkH+tBlcUa+8VvAEA10LmDEoggsck8balbp2sKtRPzpJ0W0TyC6LqOndY+N51z6s
+FumoHsZT3daRShBaRf2VvfLa89lMw6NBhCkTop3XDLBnTOWfLYuASRPmXY04h5D7NTEzvNQRah6
dCu76EIMR1syfCZGZHPTuM1lzHc3EC+VnCaDeR2ZbEaIKiXlJwVLP9CALfpBjbTJ9DRnj7bWvNPM
XiR7TCJIcociuExwVtaLcvbZvgV8COFlwCKORVgWvA9GkB1NNElGlM+3YNUQ2v739Prt6cU8/++f
XhdvzV9Ayw1e8/uTi7hPwwUpQZCaZ6hIzz96Fh1jhQ2MF/Wi6mdYnvx4cjlfiOxkbaF8ErQ1nzNC
7S844oEMkJ7ooj+2/pU7zuM3+9TY0rIETFAIWeG2BDTCIuPnxtYzqkg34rk7e4QdLTKcFpiZY1Os
vNoOtkhtX0i0lJtaBWiB28Uzdchbv0dk46lE2+Qj3DYOVdCtnbRVziAuJeaw+gjDrRgGy6tCVmc8
b8kd23PcorE1k6Dbzi23VkyqrnDm66mAYFrpoWmsIyZGIEiLUiT0LHO86SAbRKvaIdtrb4dajnPZ
6DzRPucxpuCKhM3ZZBFv9W6btBuzGBPjkOdyLm+jmVuQPUao+i9wQ9vAimCae2z8x4H6DN9cutWy
qV7LOjS2Q+Yaa0kA81bP3OYBE2Bv7LJgcue11fZTtJrMYB7XokcKwLM91FhU25WGcqma3VM/tTG1
rFm6t4nrqsBFr0IaABR+a1CJdbeZJfDnQzcWlyPpxybNE/97itryaZZ2APgR73LaLMa49PbIFC19
/d8t+tstyj31D7doUkTtX1QXvOj3ezT4wsbR4V40XLR3v9yjFi5VV40JFG7oj1vUZeDAf/CW4uP/
uA9/LDEt7l5113om1YpHaWL+m7GC96epQqC8s6DpOERcC7DIz7eoEVoddCvPOZP3YTX3yHPhQS+L
KTdWMdBl0CHg8JNT62cWvEt3BP8vxbWuWeQGWiJHszR2ybLz9BA5gu+2CPTLhrBYbwDL0DstN1Tb
hgdS+RC+lKKcs+sSAXKFEBkL/9dRmh0bEus8uUW9spVqeVbRpFEdv5YepHlTaZupwWIiZDR8qETw
FWlGYZ9NK4kkOjbCp+pDJF3iPp1W4kM8nRHEscyVonogDxh1NYao0V2WPUr+k61NxIYBikjsJISw
ICQxMKDrwmKoXk0CT6KB5NfOzcOlURUbwnPlsszTXZ1quwRGN0G/xatO8b4VIBFgR+b3SaR9M09V
MZ1KG8yE5fHxiJmNhQjvjNq/zvEyBdOwTedro3Pv5dA+usS72ij1gtN/N+JvNyK3x9/fiMeX7O0v
7kNe8+M+JPXUYsEOSNcnSgMT+Kez0vrCfckNBTlRcXo+VfkBBgEQWZ7p8Y/6xz36Y77nfwEODAIY
HBB3jrIV/Isq/y8Cv9QzgLvRh8qlw4r6Zb5HfctTuS6cy2wQ0QURwHV4O45ZUeOvSrKttFUb60H3
qFmRgU4Qe7th9+pgad5lIevinCb3JKVOtZwK4p1GMi0XtqcYtejdfIddukxJJc6i4qAFqXPyZmhy
uLo3bg7vhH3MJpj9NydlZDRMmAsIJZ6JpYijiwJGdQqrWvuAVit8dQfH2hwAWguFtm4V5FqiLxNQ
r2d2htKMbmqFw9YVGJtAyGFZwMruZuMctMEbXgPo9/4lMWJ7VjC3yNW3GqxtTUG3i7C8qKFwNwrH
DV3+SZAk6sPpzk3nPkoAd9MkxQtbwbwNqN4oKveWX61TPXxGFvvSK/z3NJDbk3UgwTEgMD8AuGsp
XHjTIE3zIIjXgHsXWWMS4yHONVIwtHfRqYY6zoDnsgMK0/FBo4Ul7KyUpB6H1SFXyPK8JNIShjne
emRQQM2DmbiiTNk2K4DnljcdZgjofhNfTwqJHnfpvo+YtNQKlx4wzCgVQL1SKPUUprop6+eMCgWO
eLl0rGbeRBNRp1EVfyOPqFlOFXD2wpi2AJQOQmHbc/jthQK5S4V0T5rmoQpje201772CvrsZ+HcK
fJomx11RN75rChGPjOWyVtD4WeHjBzjyvgLKa5DlgR5di6jdwSCGmjuUy7QDQu9EhK+PCkw/FYy+
INV7ClmfKng968JnG5o9no2voz5f12wFKfyfZYWMt4F/D/wTybzMgJG0RGvjus3gHSN6Vdh8+Pmj
AulrhkMPUUWbFMY++eJY6qDue9D3J8rKEq2nQuAkbvs6sD85jo5DT5OrgJAOrYxYSRUbwt+Pf2FS
WSLELpErMhCQ4y0638PJkPM0WOFYZgPOEEoQrMAnPpNlskhCiG+IkzaBhph1EWZkK+C1iXfToF/O
3AzXk59620zz4Zew/ibszTxYVmotkXviPeQ1c1Jpl2mEBcwb9RLH6ABswaktgnWNibwTKxn3yAGc
hVOXycH3x5ma15FrZLcd+hqcCfowbCTaXF+PLpFTs800jZNF9tqCIOZrIn+iVSvSc+1WycI0HqXv
TLeNoWXPxKUj/Kxhm1h0W0bYVGsfQPKica0MhWPEpArk0lgQLW4Ru0ogqM91Y5Ko4BXwKw3ZD2ds
AMAlS9hh2nTKTDToAUKGnjZ30Qs2/GbSvja9ms9hCh6IJivc3mJM5R80zP4HIxL+qqxSUPsobr6a
1PQLfEFyDSTZXdjqoMSuizo5b6qNVgmMLd2sf6sN8ynN83DDXF6uZSP9bTGD6Mwy4WzLHIRMS5Az
9XJdLgxTfb+hmy9mO8RBGG+FlOeEO2opAdsSE38dS/5qXXMI/isvjMnaJjmRHGWAajGdGwyBgb8c
1VTd8nu+oRnVfJttMFRNm7zIr2MnYVehrArYOy7wbmKjZEKeONkzotZtr7W3czYM4BHBKMUQMQsj
O7V9E22mPgfk7TXbsKp2bt++R1YYrxwOD8bhghsWAYJ58sf8Lm9TcQzi4argE6XBB9CTlzhtI6hb
Tto9UvpspF1d9KH/NpamgawjP3SZHNeRMW5ZWN3+VyF8VAhqcPf3FcJt8tY0L3+uEdSrfq8RPhSC
MBoVQIAD/3ONYHxhBcd4kIrdNtno/VGsB188TP7kfn6c31T6vysOreALP4TELlyElsnN+69qBFP9
aj831FAX6CXUQFAnhMD6paHGGZbHZpnol1QRaiFGbKNrfC2j73oAjCOEEeIWx8QfetTTgXnkUuaR
a3qXLjzVvq42FJ03ou+/tu281Cdt3IKKfyoaZwva5AaY26kKuG1b75kyCoiI8tt4jJQcuveoRdVs
Rv19NRZ3RGvBJgh0saxroyMpr3oO02RFJ3PhEKSdG/XLDGrGSOcnk0zGZT52h9gp1gEEtmU2J7u2
R1GYFvMT5LYdUGWOp6y7Gr34Gb/1PWOmY5ACPXCZXGWO+a7JApt2/5ABD1jYPTqfQNvM3nyFjocY
mbraVgFbAAnKnd0RhMIQGZ0XSjCEIKm0yV9EjNW8Wts0LXSYKfcfamlyCOMj3yMtwvUU2hcpGDiO
ZG3nygQFXQJitiept7THvUkWs6zcG1n1N1OXN/fCmV5EhWzRrWGwxfqjnvP80PELVPp4irLKWcjI
09ZOWuw6UHJQdfsL2273YH7IWAidw2R8b4viaxT295OPSGmymb/Ovvya6W2wELV1Eh7mBa9CG+YY
964q1qRus8YgcrlrCeOa5OCSgTPt0paUTJ6m1ZCQSs1nFkXChpMA94oHK8EozbkbOyNeh8S0bTvo
xeNFV6oTzK70bl/69CKdh/rcwEWSMg/VG4/0MzscaN6sLngRQ82qsHPMbuVmrKLwH8kJi4dZNitC
PWNsOXW9rOwAj3pdAyayvhVxQ35jSJWC+hKHuokO3pL6Ss7tNxAxNsKi+t13cGrBlllNBaoKz5gG
apbsxpur6QKb71mLTX/ZmRU/A7l7qcVPYrSfC3+UYMGH26pHXxdobMLs2vmO8+PdnMa3uWvY1Hji
IXJtLgXYAfqAdy1rzYum0BLy2zprbTvD1WgSf2QF2c6Om2cik7qNhZFr7YT+MxQwBIC2C2Tck99b
31QMESx3U97hAEtaXHRsGE8i0s7RsxhWRRQdijH9bo+kVeRcLwXLsGy+cAtITGV1PVjETsbZeF/Z
KDTdMtqKOGTGDvIv0t3HEIAIRpEQpoR8xDx0jU53Odlae5Ttc+E4LSANFsYaQsRkxY8aFzpxugTZ
aLiPBGjFuMXtN+Kll3zjaYybhHj5fQa2fHaL80ylRi3wjlYBEAATWn1TT1nz7b9z5eNcMXnW//25
ciVevr01fz5X1Kt+OldMm6sZorPqIz/1nkpbYtO80Xc6dJO0fT/mtBwedJYqnCCAg07r+se54pM1
wznEIWAa7sfy6d/0noHqLf9QIDGoRcNiGJxujGqVDolz77PgiW6PetH25GU3woXC4ftYDgDqFakQ
1eElz/P0GwafAnWtdWd1ePsGSwtvfU++Y2LdIIyxF7OiIEZEKuqKiwjESqx5gr42EczEUZCSOPTF
jQ0xAV9sGW7lgOpEsRbjynvtreTWHebHWNEYTcVlNCt7OZZxvmOxgzWalUyuKI4WOEdCRm55L7of
8BKN7OOVqdiPqQ+wJ2RYSjbhva34kEUWfU9b/wQr/Fq3x8uYFodVDzt3WCtmrOsbG9Qrmj71KEA0
SkaYu/AUkzIXzG4iRVSsl1bdp3tdsSsllhND0SxpClscmyDY+qmy1lYWbl1FvywVBxO21V0TEFvL
GLu3rHWP3WtRK2ZmkpNTZ2CN6xRPk1TfByf4niMzaUxYiTA3vaF76nVs7hXJYgv6B27oKUSPMPQx
IoHpDYPMfjC8jWch4wv0+CEywHAFvrYEP4P6liI1gvmZcuQTOHlW04KobB5K2KB9zyO1zBhJzyuV
GoA1b9+H2bWpoKI0ijc+n1AI3IYEnWYjhTg3cEhdeKTZOJN1yxJ0AS+dnteT9zn00hSKqVmBM+2G
wt5UvdFCKvcuDNSSBB0D8J/1B4LOxELCRZ3ho1ZwUit4qZECp7YQVDkXvo4QVSurP44QVlm8b3SI
qz3kVcGAYuEoGGtTRd5iVpgckyw7D2KrrtCtbBBOfE1HmXps5tJVaL9jXkTUy58jAb+S+d0y409u
SyZ9bgrtTQcSO6e4u5qi/GqRImopjmwxjS92j0+LixwXv+p54ViiMBHfUXw8Bo2F8IKUdfAKoPEm
tqvdd/y+mC1j684BZRslCSDgsL4ydAKMjGwYVzRvuBe1KV1pioY7MZ1AYJM9pB0f0lwginJiOko7
N29gGq+DKseSrAC7rWLtshKJzmYPfLh9FvWe5G/rOYf/VipMbxxlyWLu7HtimNWAoQn2YcYOs/Ta
EfgIJaDeS3vZ10a6nhQIOIEI7HxA5DBuk6YXxmE6rbsce+v9gOeXuLgBayd63DCzb1HZU9NokfWQ
2KlijPa38KiRpCNmHxHLrwI5kB+XpvSRwXaqZLsifc9fdbIRh4S01nU+sPTEMP5cDk66hmxIHRlz
SReSuiweQRMAx1iS4ryK/GC89auRgz2OL8d4/m4ifkzqyF8xZt3osl9BY8KFAkliXbh+vMr8CKen
dx5te4G1azmD90mcYoMGHeCQH2/crtsnPu4P0BliLK9E0m+QtXRLsDoXAOcqopy7gx0X0VlwGGc2
+5TJMrZ1YJ/btLka6/4+yAII1gTUR6F8xRbyUJaou3WPdi5kaSosFsZADTcUiQ9OjB+lnOkEfcsg
h2TAyAclYpnF4qhLeB6YmpZjQgJu3TnPlQZyway1dWNl79Nc31ep91DVyUk09itaKtzBObV6h+yt
L/WFXcd077VkmNVFmoqmeAWMeuObxZEvDw9eCtyxy7z7fGDwMAu0So7043XtE00+azZRK8G8SDMM
FB0308St5838nbG5b8lIWdBH36Q9TwHTOAB7uiDE6pg5OCSwW3XI44B3h0POrCOBadx7qADsHP9k
mHVvGks9mL51uun6AIB0pZ+LMNDWg+hhehQGrMbwRZvyY5zN99qEI9UYJzzxdXo7kS22bKTcVS2Q
Dux12cqL6m9ExsMIa5AClDQAmEQu4qr6lsxet4xMPb8bi2anFSaJNfjqw4pvQ3ghTTj0Lz/0eWzI
vZdX4Sp0e+wUnA5V9y0wpY1rVnCttXkvnYXQI605NLqqM3URFWvbDdpNG3Zt8NXM2877bxb/f116
lCJ/XxEdX9r27a8217zqR0UEal8xAl2Se1RfrDTPn9S2lvp/+9Q1SpH7x+Yabx/De4X50XH/UUhR
p/yYxtOE657LT2Qkz+7M9P/NNB5N768VkUMmIAUZs39bt8mk/KUi6oNRY98lLye2TN46HkIaI+z+
0yqakhjrcHjRzVlkrad0GLIHozfIkWbhnnT7ak5UNrwLoKrFIzGv09HsZhjwVVHSwhWW63wb0c4g
falI31wDjqUVi8ZmN7pGFLwHem50t1PbYmrrEs/mop7mOUC6WarqPtbUcrh2I3NGK5pJzsK5RBe/
8PpoNNa5GTXz2vZACC6U2XrV0d5ue51ktW0zRLZzLwzY9pQQzZ4FO6O9wrW7XaUN0260pj59l5Y/
bqLUx3cbRSkqe/IFOHgAORy00BevCQncq4AgHAin1TSsNdG46IASKpKYFlbPOd9Yuzmvg9PS0c45
5heGDVQwNbl8zhS/u1IDPFr47+wUeJLnUb72Kv6NgBceAkOP29cr5UUc4eX31fgySuj7kReh6Ww0
lm+elzEP7TKwOmhUeNwDBuiVasmYEn3nNzYTf3LpXgxfgJSZy+hQNZq4sicRM9Uwgq1fFW+ZNztb
S1jg/OLB3rZll6x11MMsSDwoQ04vrmCctUsOB3Rmg7nI61qufa1kV+JbbzHm4x3bRS6LQVhUDjaw
pJJahRLmFRBrtHNn0S+ZY/vbuGnePRmGmKdZRng5K5aVbCB5i870tmWZtwdSH8DyanF64nemjCP6
95BJaLl9Cn2CoKSF48npOghCZyuDMl+36nQH6ASgorF9ah669WJu+DV960kUmcmAMY0WTWPr5HdR
15WE9nBs4n7vsdSogqa+xgOHmCiSYI4SZv/zZNT4Nyf8aW1pis2sB+O6HQBbtoTprUfD63mgggMP
xyLbGQKDOAKIfPdfI/nRSBoYSf7hsVm2/+t/F9GbePsrRQEv/f3ZieqHISA9o8kmWbf5px/PTiho
gY1NwfZwTWNK/uPZadlfMCxjafJZzDPuVxS0H89O80MQxGPVAXFFWMm/ciqwYv2plyQcRdfVgtUj
QA9Okvr3T+aZ1PcY7BdBeu7z9eyAAI23dv346YO5+q0z/WyMNn8Ju1NbV8jeakarprFMXvkMPr9L
HbIAdWYcEF2ZJmJV+noRg7icfPiqZrZOLZCHJVsk0vb8AoZHDAx2Di8GFn03ehVfi4SgAidOjlLX
2VIamrM0SKBeCCPRl3oU76WZ7/shhmYY7Ghujvosr9vJPNVzeTGC6ETLdNDTDHffwCgu1etg46nH
CwFOE9ru4DtJZMiBM/qztCPcjhj7d+ZuDSAyCM0Lgp5IbQl5/ehB+AeDGroHqc35NpSjhzGjnRZp
YMJK7mdOjawrUHma9kNoBd7WE45FwQKsDUQiKw89i911zBhUrGkSaN6JlwM5AlVsFwXAgcAdQnxg
h+Of3amdWCrAN1I+jThedFZl+Q+zWbs4s02xbbTZdbYG1G9638rg0K2XvZN3U7jQSZ+59GtTO/Hz
q1X7MVvF4FlqxdZnr7Fye7Z/gRJ4NZ6f7CxhZ4d+rF3/ivdrra/OFHmIwKdyKDlGrZvSa5zxKjZU
fRxNwUXQuN4BE3D0jCbXfoQOiV5MTIgKu6K3937JonLJAEPOOCUG9qdozYP7sqTid1FLrYGjKT7l
GC9FDzWtjqJpP5jOcA763lt3fOZHWD/tS8tKe5ygQUyjby6COtlruHHXKOxQnhC8coOj+5Dqk1gH
pRHcRMTSLFgZJZDkgnhTVsSJjplNlqyBki159HNnOPLVDSu3TuZ1A9SalTcbtFGMycElj2XtsZzb
dp0wlkUQqhp8MImjq9utaw07aRd4j0ezvY5Yp3HC5CeCoU/Ah4pN3iTXdumQQ9vT47piVyYEmUSW
ftUG8rYzvOEeR6r/jg2eLXy2cuXovpdJzxSSFPqwNu50rd9EbkcSSpmtAy3fZD67sZEdYetW39u2
AwrdvE04CBC4KN/OIRjzDQ8QxpPz1h6Jh/UHxqTA5R3zOOPyjprhVXd6luXaRkiD8wdKVz99K4CX
ReW3UO+NlXQFHFmPvIbMGZ4dN3kVs2uv3TZrD+xJmTLI+WjmhOdF5smFbSz77Lni62s7i+2Z763D
wd1Epr9jIPI8hu06ygnKqfWa4X6EUb4t9H3qGOnKmFi7ed4Vf+ONQ5rFakzmiK14CL9o0JNTbKOm
j0PzuhOk5sq6u4jMkYsZGJmoR32RhZyNfj5dBNxEOsxiM2jIcPWPfmUd7bF8JCN+mTnebW9G10Vd
HT3+92AGx7wfruOAnbxZrU3WH1RLIzBQlgkpSbfLvinLZdTo50zLvpaZ8RUrygGK7UUp/AN91/Us
jZUA9lQKcXLsdFmLerqYPY9ajCLBB11WZ96uD2i6G/a/8cj4eZYHv5ynfT0XxQH43vd8Csk8jgux
miKGac5oZXSz1TZsMVbPk1Zv/vnJ+xdqdOaEmBWxrqJUsfi/Pz9548lgbOIKSC51ZtLxBROW5ylb
EXwpjl1uyZU3QCJjdkfVNL8ZVd1e13Wm3/mzLxblON70TXrUx3CVBd6jPnbbOnbfQe5GuFfw95MR
RKSTSuGduaZFmEC8ctqlpCClJR7Mled3O3BBryAU+2WStg8mCvk1PmMiXXRM/6JYynrZjnujYjnU
hcXWSJutyZRPMMdpc+/7JPJbcBMH5l8XcysOdW8evao8+q0ZbDs5QYeZkp05xs6yJRLHDcHMxHa6
jTiXVq3e3thTbyyr2D3occB9jfIT9ISBV6YZ7wHe2jCgEVqYk3lpg4rFyUOQ9Zhkp6Gaz3Gb7jPp
bB188auEAU9YMA/rfZBlOfMN0hnWTlQdRQS1zCvMywQarujzHecaBIoKCmA5tZsybS6zVNxgKmbZ
Xwxi5bLbIEibYq9prhKrHVY5AeLUf+k9/Fwk6WPyEoAmTAYuppEL1EdqglVFUdu2RpUzjzLYvk2r
3CIRJ7B3kueQ1Zbfy8A76rXOaibQvoeGOy8qAprdnhElkydjr1XqWdYdE899MnWx0XXaa7hSzwQ5
G0t2U9najqNL6NDGqgBJt7Cr1N8BfusfADvLC4Y9zUlQye7/+VL9dVlKieCCCAD8CgfQtxUj5nOJ
wPpfjg19yTns1dLk0Jj94p/fgZLpU6nDjwRbb6DYQn+t5JpKmf35HSwX84UfRAyTWBRp7mXSJ7uk
umkkNqRGLBO33gTp+p/fkwb0f3hX9Xd/KrD6Kusq29K0kz4Vt/hGkIXxXzgVn+juJiyJRbrsfOfR
Da09M/eMVRlsOFFIRZ9LymXRzE+l5h0Jz9CXED7goUvj1Y9tb/V/2Duv5sqNc4v+IqiQGuE+HuAk
Hh7mOC8okkMiZzTSr7+rRx5bkmW79K4Xq8ocDjkk0P2Fvdcu9ewRdvIUxjnT4sJ+daJ8vjAKkhl4
mqp6K1e32nqN1oZGA3/ArZblKGfXeq8rEj2Ri1nbNE0/Cp7Vbas7ScgJvISD5+jBKP17aSuQuZY/
ohExj2UMxGYZviO/OHApPfRdt3P6qd/gATxYeqIh6aJCKSaWaKRn6EELxS/sJkELlc53ZlKxiktJ
p7NiZwNT6sRD/9X2k7npm/TY2WSWTvbDvALD0PMLMdRIk3KKtTSyCiRORBY7UhzzNTuhwQqrJWJD
WeigLaKcU1Z/HvWFP5yVZy+Z91U3bcdo5QnWt/kQl0FCb11npbdp1swLuyI6N8A1Y4yXRg2P3Ivn
+8SBYjc32oMcYMha1qAHDLT2LCwx08j6zYnbc6eXty3S9o4N7aY3LkYBf2sU1sFFxhM2hvFYLclh
jsA/jp28wiJpQ6YUR/q6T6/VZQByf9MKex839qUL9Pt/PG7/6xmno/jt0zZBXxrx4mnn7LK6ia+0
HSjvJ2KDj3DfLz2unuCD5ShyoHP1bTr99y/O0ObPXjCluXAwn+Ak+P0XR9vuVblna+cmFJvq0gya
nYTbeNKe3R0pmo/XWnD5PG4JiR3f+J/iarnUNxfpLrrCSFz+j+/m943Nr2+7xcZNYAWjjRJ/EF8s
+oSazMiSq0S/aaxik+rP3fhr6/sx/1/8Wf9JY/P7M+vfv8YfFnFrVxJCkxQJl+tn3BG8fPvff6J/
+m9wUZe6ao7GiOv3P9ByZjBMGByXt3bTsnzuBDXnryfU35wBwW/jP7fvDyCgQJn9+yJYfdrP1h0R
sm0DyLAZKiIi+t3Y0/rFMdE3/gAM8Hv7xxaYmSfuHX5hxI+iVfA9HpmffTszVLJWcPHgAKLpZnf8
F7bArq4ert9tgUEt+owHTJ//8K384WIhlWB22rYvbyqjse1zb0rWSYtMkbZsrEXZa+aZ+Ckm781H
O5bf1npN9nBi723oSsRpvi8kCWwbSQIoS9K24YDlHipCabtXlNutcupSATbsTKAhjaGIF+g7jSMJ
vONk0SKuqjEZAqzh1z33gqaSjIQ/fccIU28TJP3SJ7EIculpJtCSZXB21pr2ptNroEFYf67IsR7D
IeJj2OK+azVqwk527yMkx7XMl71ueu/abOwSdseINuOD6w5X1ZrTYOeoL0Q7vU6e9lgMCxdEbtxb
YniJkYrtWbF6CCEt5zpOF7UXY8ErRQ6kaonfUGVQVwpWKh6KxDQ1r2tAi9ARzHv2KopSm97Opn5R
6uLTHsq91U1vvZ2ebJqFoAOTTRd6YmXMn/YPpd69sA4/1rN0QFjGL3XvvPhg3acaW6P10fv+R2f2
192aPot6/shtrwxNS19DxDQ3Gt8sL/V0KKEgMniAG7YSUL9b8vSepMYr2WhXq9VGQaYTm7eYDC5F
65XHzADTJgwg4EiMbjQxFacWb9ZGaIkbMFY+ZYkT7zNNOrs2Jv+hlUAZ+/nR6bULLk+6fnfgzhwz
9pzldbPYfrDkiLu7pjL3CwQgD9N42KUyCZql8MirT7ow08tx64wR0DRp6uB4+ai7mIcunp4iz92x
vbtxdHmt1xVJyZrf7jvWcjMwvk2ckxxGxtdmHugl7WklX1bvjqXGgKAztWjPixYFE7kyAGvg4q0Q
uobuPdO6O2cUN1OsH+PMnQPHzPYsOh/LwT74SkKcr87jkLVMseMnJsKfjm6CmFrBZAjpkHyCCHXn
yfUFjnJDTCTbWrd51qTsw6KfHjV/wC1eIn1YC63dWmN+v2gmYTIw+KAb119lr5VBWjdne/Gvc5v6
YgDtvvHq6VICytjO3lxfu1MZ8650HikoKSE0LCSnQeJot7r5bYiaLNR7Vl1WR4iOlWfPkhVakT5a
Azg9z0+ZdBC6ZdsjIAcomvuKrfJGTOR6zIYZBRZpLixuz3bFlqzMUhwsEIAB9yXbpWoBOpjlFUSz
ivgyLDOpZXXBHK/HaK7f8lmRkC393rYutOUr1xHxaXHHHKffWsucYRlytx5BPGxpvnQDWFrj2l/d
qr/6vc9CtLhqWN+bmJo2oteSrUOuKpKq9i6R/VtB9Yi+hCnPemFL8Nb4SHW6FkJivd4OOm/5Mvvu
W6zJ01QPt0WjnYcxy3e4asOVsEnLH2caQNYB5BSZm4zVIBLFBAHBMHw1GlTiAgk3a2H3jYbjG+NV
fdPXGouEGnrZPHkOdFUcE73QPPBd9gunLm3O0lFcFM7HwGZqQ5mShhzIp17r5n3cS7lL1vFiIHcp
MLv4zknmt4zsOaRjOVDnti+2TYzdv7dxcZROCOYeiHsy3w+ilSr/blswJQSirCJgKtHx0tW8Ep7D
SjjNtvUcXdVKS2HLaA5cLb7HknFdN/49Q6SDNTPtdCoSPglFg7cP0z822l08eMVLN6H4jybGUlhb
wPCrF1tkz65jEd82TvmOY9Vms5q8z1XtbEhb2I1TdcGBfrfY9XhoIUcyw5JI31l8sLIPR7hF+0RP
Y7CoFssIp36IvOoiiRwbBFtxyUjrNhWsdM2sJAbK6nFZdGBB4oLPHcd7gQYD5b187+uMvFk2Xxuz
MhOyV1sNXrb2hYGO+yLp0j2W5Ntqqd8di3e7LVyPdCMlcZmp3ZnfVVcMW+1NV0NL8jBpDd6CK2BB
R2CZAMESxhZhzZktmkrfZeQH7nBov7OnfkYBYAdAY3Ys1KGN8yuHHFl2wWSh2R+wOuxAffIzHVMc
JdZ08GO7RKhv57w0gh24PT4mC4BY7sRgyJCUpBjc2MvgYii0hcfNQ5UnM/4/wqDSy0ZbpzC3s/Oi
EXvPDmYKYh0riZY7j2JY9l21fBe1uCHN63NW4c+9nb04DlKPqdNUh11dGthBiTJbz9z/bPjc6qAb
xnFgcRjYiwldHcnpS1tkxbFHT4CFqA2LynrWFvsa7ur3qS12fpQ9ctnrJ3wUEPE9/9in8TW0oAci
dA6W1sM3TEYmLbKWiFCnQyQwNGAt3dSjDQuyEyP7J/cDMrYWggrEgFQ3626pvTsjKtstpgwbIvVc
bZumBHJfyOiod8ubo/EwDAw6GTJ47O9Z2XmRdgGf7g3BPR0mG8E5a/Z1W/P5bnNT52CUa1+Pt/hC
PhqCpgDDpK+2zmYxa50bXTpPte0guC/mwxpbX5k+uZyxqMBMnPhbb65QgLigPwbGjBsY/zx+GVMZ
I11Ial6NV6dnFGzneAxBjCDQ4dROiPIIMxd0jKNlb5gNz3lKHNIAYTxox4ZpCYIIe+hoQCGWSktk
AbvUQxZDkkdpwn2nlKKtCf2bkQxwVd/7nsTavEGF0e1GLF0IGsYxrKHv1eSuc6o6z8x5yJKNQYuW
rfaA7+Wx87G7VCk2hKlAwmuwYpQe0oe+bhExJfeD47J0g4wpYzaSpe4/2jAzY/CjgaUwmmWjScZM
vE8WjM05xoFgQt3UqJx4IQFxTmb/3kDmROjGa88QV4fZ2Tr6FKxQPCdExlrjfDm69qBZYD5dBfzM
/fzLVQhQszA/RpigPjc5HjTx0UMLbT2woRX80KiyKuKYQIrOTv4clyUr0xlAogcBJWPeHEfvOjRS
CgN7Qy+HrUNmF43omKDJLLtiJHEk+IyPwTWNNUHjNmUPRkdccAP71C19XKDY22z46zM1F2EwLL6H
pq62rYKnLgLTBnIm/jkKreopyGoNbdWDuup5C/pvBWLlvftyTHbuPDMYK3Jrp0NtbQhnJ6XbwP0E
0JVn4Ww56aDSuLqNzJt7R+FfhWtYlJcz53RXnWcFie0c+8Lwhg/GZX0Ak+m5VUDZUuqPK3Eg81I8
IHsvwwn2bO3q7+NI3BtLMdjYA4DaGlJtw3K/UuhayE1AchTOdnCyT5/aOBlR3qCy/1xL4PZMc+BF
rEfTrF5SdFcDmNxG8XJ7qjw35+hLFEs38ScWyYqv2wLaJXLly1HkXbeekblR8ykubwqgF9TUMQLY
m+TVGyL592yQ1zZAX/LqjDAG8QtcnJvSag+Lgv8CAZ4FK6wILPAMHhiJ99EHqtXq2c2g8MGKI7xY
aJsBC7NBvuzAVEgAq4XQR/Oiz6B+tz+AxEW1Oi/LD0xxqxHReFsIdtFsqRzWS4128aP1+rsHVXCY
/9yDqhDPMP2M/yzDk0/82YVCtYFbwwoHuvQPRvZvFsgkYtFMMjDFw6hWyP9sRC3rF4TCeOVoOX/G
e/5sRE3ylm2aU1zkan+MmuYvNKIGlInfN6IweFhtezjTUd6wYvxDI8pjnvRJMVhnJrxo60TeDmR2
SEfkPKfl1JBcP64uegVbb8w5TCpWhBIdbYyw79KSmfuWJ1VgDS33bfstcwvDuJmMHqp19oNj0iuk
CT7O9SK2FOekVcgT6wf9xOj1Ttv4CopSRlZ0kS+OPmyBp2TGfer6hX1a47XoP0h2cKZzZzVMUJR4
f3Sq4jMawenWJHmRimkjR97rmWfs/NZLx7uhXYajXZjU7OuKLG4b6Yv8ttquxKnSJvrJlH506toW
d2VV0Ucns98GXdsNW6kv6YmCwb6MorUBQupH/pvsKwWNaiNkhq7NwDGvEnkDXeaNafA3N48/QLuh
q7F9LCmO+GyG8hPvCdfhWLb2d5YPATvzwGxj4s9XXeyGXJPfJodR6mjqaar4sQZ0GGbZVBLeswFa
OvShiH3MqTMeeqsyj0iRkkstN1FpGx1y41bOx7Vp2j3uijroxhV+fl7NipLLXd+xHvRRffPLbUKH
vB1GvRGJPeXJkz7W16hzgaSJ9UjmAPod0yfQFMsflQp3dcwta+HIDOqewHqXHSjMmk/PTjRay/UA
OejaylJnv0SIcLUeulYccacgW3mxEyRU+bSyTmGzzUKXgpnbm1JzgtwLQIwh84xfX8xhRy23zVho
XOt0mPfaJKw71vXVZ6bb3UXZptUzXFo0rGn7vaJl+nXC+PepZf5XveDVW/P272Mz9Tk/DyzGZmrj
j6yF1GHbNxlb/lS88CFsPARu00+qCD9GxD/9E94vLIA4R8j3Y1P5Q0j488DyfkE34vMRNCQ/zsC/
cmDBCPjDgcV+Wfn7DMenQXAQpvDx36xkOroIHnlzvW6UU8EwQUR2Kui6IfHayNp9pGic6K/DqJHv
OtnYqQP7XZ/tUy+igv5PAwTXhrrK0145pgQJ24ApBjTrhM+kxW6JvBsUq9zhBrHcLfncOTndE3nd
NbndHvndZKpdY8ujjEJ4GHQxZcPgTPeOIPZ7IP9bcyq0dH4DLp1ocFeN1jQVF+6RG76YBHe1JImX
DJ50MblBY3pP2NlverO4Fip8XHbV6F+SePqUO8s+mnO2TsK/LcgsjyewoSrEfBFZjX6CYPOFhPNJ
RZ2vKvS8+hF/Tg76qgLRLclwg4T0UkWl0953IQSOZDv4dGoB6XoXkndvazYgzCSGlTBPWioXIHpt
8R6zyVO8kk0z9nucymke1OxlZ+geO1dHmjHlh66qsDUPPg6HJOzswjgiODlZOoWZoQmq1QXolRIa
R7l7OeUs6f3JuW+N1NktXgdOsBr5V/idfe0VzrGapI7CmxpU9KI4olm9cnIrsKpqCPoh+tbH3kPG
1O2YatbBXqJP5KTImu2Zo9NBd4z0ngEDfn/ydQ51EkHjzEv9gVhXGuRZHMuK3C87bu4MozjMtucG
CalyNMR9G9RpHx2daWQ0pqPXaTKfYQdwxTVJF+zsSCeZgH10RoWdvyVGedBW885voV2uIt8mglgj
Df5SqA0GUasTDoQNSXHlGZR9dXQUNyL2aAAmghyODVCJWflFRhvOBJVyth/oedtD18c1Th/GohdA
1L6TYYXVnJHUxQoENUACeOza+KHXUabSCh1srQFCOzjbPpFiOxIx4I1VTWBVpxwuXzU6biDx00mf
x5emx6fvrORDmsAYU+AcwRg1L2Pv6RDm1ktZzZfE06vZT3a7Dt4Y1Bjnhkmcq9XjldCeyD3QA6Z/
OF5wujuxfe3iyJBcuiLNwFLYyAH8vN9nrnlZOEyDdX/4tjbR9ajnj5AxMXyI6BibrdiP2DqDzGjT
bZfV/S5NKrbl+ZleDvdSnGypic5V4R8GdbVNrvY9jdLHWluoMbQ42WSm/t1Kmyeyx0MtRmjZQcZ6
GztBM6u94q5iADN4Zws4Z2AA8L2F8f+NAvjUG+53d+1Pi2iuVsM+4d/h2qrF9UzC0rnqSpgaJEQ2
rnOycE+wztc3RMjdjbHORDBdMN4/5NrWXrxTk0IzGNmDEdTZATPQHtLRRbmUF7de6moBbk08CIj+
0WkFTP9uEhLCA0ZCGDOjsGTgpGnOYe0ZogwRseV61/tBh0StSPwznpYjZIbrlIJM2vzWgXOeRmbo
+7xcv/kObSe+2MAhwUMAqCq0LMYZ1F7KaT36TfpuCiVNMEjjLCd/06TZ/VCId79L2lDO6ISr1n2K
taEKjDLiJabfImJg2JYtZyGIjQKvcmUu5a+o979vXJOa+T/3Cef6z+J01ef8vHEN9xfsbq6JJFQZ
EFWJ/vPGRbrvUOPrbIscbl0lnf/XjUsvrGg5aFDdX5WpP29c9wdj0+N6RLbPp/2lFoFX/483LnxN
m0Qc03Ydl6bkD9KLfkVXIBnJX8UWeeYtVoOGgZVHLxxqczyuhDdHEl2KBg2toMiM3PqMx4rTU6YZ
IolB6MXZU7stck1jvgZZcojU7W2kEVPhb2NEfBUJEpMoZt7cTMbPhINqTbjqMa09QwXNb449UGIC
WUbhzLe0HQRRJFod7+D+kn06V8+mzqSQZucwVC4Bbv1IbuiIkga4brmRsdbvIqk/ZEyduspBvFmi
8Vv0u2pJVRgis4A6ak5NXZ6qNro0pvlpQdmAYrSO8NwQEtccizKOyBhFxp86WUooGXmzjLinTeph
7SLwFHXQvIJ49m+YjcuNCqxm7oW5GUMwxyHYzKn0LtQo0pyHOUzl+DLMTADBe4Df1EVIasNNX1fL
bnJGhEHSR3IwtkNguesc5oNThOhQ1u0iOgFmxNyiDFxC9G1tMHnjd82eT4XG1Fh2UUcmoPF9ngkY
kaLfoZk9pILZDADMy8wzm0ChbJDPcg6302UvcxmMhImT9mLdazaeZVeaBEFGQamm+VEXNUc7yQnD
tOurzKzvkOcHrGMYdK5BwnB9M3oASRmcLbJ4t9l5bLqE9aClM6TMIYWRpg4388KOym3XMAtmtgxU
ZZizTVfU+c5bXJLkLCJdNFJN8HeiWkPFacTxs6zQ2OS1n+6txUoxYsewCxBw2f4QGO1wMYIj37R6
9xzX4EnWXJyWxbgf4nnrzAWO0xn2X5XdxdV4mQqiJt2UaERuwm0kGOg07FMPXR4lgT77N7qoWaq0
1mddGP3BaFiDiqq+EgY00YTAjsrKH13hPJVsreqmvdYwTmHhQv9vY6IkciTbZUX5NLkUaPRVUrde
9QYyNlGD+3Eq7udcHKu4ZYEWJTBOPERvS5+NPOhmckKRB9LIX/F/TNNz5ZpWmJnD8xxNT4bdP9g9
AFemU3t60eusF2ytvI0thveZOESUztNErFMOmTVnJO+Rg2gN8p6w0nxTZ4ZErBwf496OD+3Q3kln
fcXg960VrC7mlE2Mn6UtuCHbCGxdPo6p7mCvRGZcO8mFptUXuuu/UQlQeMStye1m3CPU2qWd/dD0
+p6Z+80EuRm4s3Vvu9SnHnlYG6J/Cbu1z6nbaAHgyN2cFs/goao9jKW3Ml7nAzQmUvDoHrXEoxnX
8iq0yqLeDUP1mlVc4ADckRnOq3fy9cULAW3ucfN2l6mT78qJ6MTILOwtm3ZiaMkgLPrl2jDsz45g
iU3dQbp2XfybUXLRlRYjY2P+zFP/LrMZdDtQfdmEwivo1+VrGoHAjiPCTtzIdoDc3oNfo5SrLmqu
qJD3CLR4dBDjwxxitFo3KQO3pRaBXSeHPJ7fnGSoQPWqotjxz5IcXUOzP/NhZqY5U0Jyv/NADe4O
YchXN1GA1OlhWevXyo3NrZO0BEmipW7YAevkje28WWMfIJ07ezbtY4x5Z0NEANtNMzsbKFwXNAHL
AIffN2+zDoRvkR2Tob2PkvZrmP0+rKbucqmja0drHhpPeboXgoP0JHbQf3PudWnNm1sAGa7ltM/y
+rmqhyVwJ5yChK5uRASGZ0LtG6Tj9OT3mMVljf9nrBr+8jQnKX2weB3nXS6p3XHDUOHPJrrnJXk2
p8+pW6DmCvS6FTnEiVO+zgs/UYOE4kJFFRMU+fSDCGT12pNpi88kpjtacpeMaJKO9b7GWGh/W0lA
Hg0ehoZM5EaFIyOVIjBMBSYbKjq5Ld0b9pNbuECkQ8aThgVgvBJafsc/Fblzcr1CYNoJFckcjxpm
88K9RO1hhWywjlIFOEMEmo+2ynRuopfERWrakfZcQkXfRDY0CkNFQROc82ipcGhHxUQrySOtxd/T
1F8NOYw3/0uV9Pb988+IQQaf9c86yf8FSRhaGcMUviL4/atOMvVfBCMLGAK6ZRIO8ps6yYUYBGsB
DRZTTkXc/Zemx/mFJSySHj7BMjC2/CVikO38m6bHoxJzIYjCN+eMU9/EbycT9H9Lbw4kQUR+iUGF
e3PowUwXxPVaQ/HcEN/bzDBNVgJ9XZXsW5VgTWqp9owY9EducV+gdZyghbvFaQYZvlnR3VTJiN8R
4YBSYG4GlSYMzeFJV/nCUer7WzgnH4ZEqzB48mqg5x+N8dUhnNjgnRAqrTiNk2+OX4QadoAnxLn6
oUKPHZdTFLiRWjoORr2TBCDXKQVXbJivxMlXYZvidWQFjYNOc+zdPERf49R/gvoln1SlK3t1BlCc
wOU6T25Jn35b9emJRo3EOJXNXAs8GjmTAKFym6ViqDTkhEM9qt89wp0Tt7sqBUd3R+cdSpUA3TfG
DUyDMCviM7vPE7IMWJ6d0PHAmDciy270ysK6nhYDRQ+zxQK98N6xm3Ez9tMHYcfgWQyZbvLEw1SX
CNzpevYAhuIGRinSKR1yem/x/hPwd98Tc12Wxi3XZ8fVTeKCRhR2QiR2MsxUg6TGu1NCFiSx2bHR
sB6q4ZuBduL4l4KSBTxN6Cf6+tjndXXwa0HRy9oIpCDJ3LCas52fz98xfC4X8ZgYgV7pcOZUprdF
m49iwbp0WuK+ba/BYR1Ft4vKAk/awd8tMfpYv8AVHqvM8Eqlh9eOtq87AI6piyy9/baALN73MT75
okk4dmOXNFviyF2VSw5TSCWUQzCKW/LwXNLLUbp/DH5CXLpKNi9Uxnmh0s5nYs+5545O3DXnNG8I
x43JHTNJuctUWrpObHoaGcN2VEnqptneYeVI0K9AYMhU3ron4drqPeV3R+cYxHL9kJ1ukb8sEdyr
zPZMpbdLleOeZiS6r4t3Blzoh97sfHbNSI6cb1xBLlDLBB5lXBpzGI/M45oY7YWhOfcVAfKjSpJP
cUVses8tDkM/k7oXT/eaSp4n+uKDBAqgFCWIXNib8AhVUn1LZH2ksutbu7APWile/cx8x7+wd1XO
vTn3Z41+g58zRaw9VeGatO+Lb6ub0G3dsOp955Z6dGATueKSQ3ym7rRZ3W7W9Flw2c0x77yZezV2
KG7ChStxUXcj+qLXSd2WkZdiElY3aCuWp1ndqY66XWe0Y566b2t18+ZcwZ66iycuZSofOIvqnjbU
jU1F0LLq5hYnP/hh5VrvnAYpE/e8rKuvlIvftJJjZXqn0YOVT2HA9mNvUigkWnLWVeVQL9hU7QKD
V9nZd3qNhM9QlQbBIidP1R7YO45kQFKN5HzjfnzoKVOw/H45lC29ql9ql51vVC4XDGTeTCXbBkvG
SBN1GJKi0blI4RV4czxHMsjcYXim4B3r3Zw0Nq2C1tX31iT7J8wpE14jk0RjR+/H7mClnvgW57W4
GPqmiG+KuIi949Bq9rcodkx2GQI0a0naScj25tnAa7QVMxISAPsFxbydHWxkDdspAzw48dxtBfgD
hqn6q7TlYSVWYYPx75BA90KyCN9jSmNEGnV0663r9VxJ0BXlukLkKG8KJ0Y4T1wF2/6U4ykvzK2M
s6+4c287B/Aq64rdkvbNgVTWInAV0s0fcAiNT60gAJq3eO9FsMd9aDKtvt74aBBlvogAfsObMXOO
I7S7zkAzG5NRBMMQ9YeW5o1nLbpect0MloH0WY28sk0VT0Z+rFQIOKugN1BBCSo3CTyCpPA0z95N
ksPrbKYTMHdVuzSgzcQ+sgkZx2HHyovccX2+ZNYalvlBqUSrdZ9KJpajdx2ryPKR7HKHDHNy3rDI
gJBA47Y1kGBvDBV4DpIMmUo53ZcqDD1RseidCkivLKLSF4Z5jORSyOzQ2xfy1K1RN4JywslskrWe
ZgI/fedeRshHaxXH3qpgdlSeD21iXtkJrYqItZ3oOhJT3YqhN+pu0t01RqeEzTjPmTd+ZBMB8NNc
nCYVCY/L4hSR3IqeEnVCer0IYHAmKfKNipOXWbNLff3Y9N43/Lk0jip63tFqYyOh81ZWagXQbjbV
UoSQ9O9p4OjBSa93CKTaTSrQ3vKGU6Yi7sHQ0qwuMzKE7sIePJrrNIFo2rlHgoQ5n+Hf5uMK+C69
L6LyrZXu0cTnnQ/L5VhrT7kCC+mQmjpZDxw346404s/M9w9iqo+1xkejxvtCXfe96Y1TaSb7v+vJ
H/WkzRjqP9eT98lbP/zJpkt91s960kTubfjEx5gUbBSUv60noVSDmQRUzeyNAvFfq/lfuRgCBR7R
arpn6vyF/5i7kXltklqH7EjN4/h08Vc2XeIHYfL3GnEGbjCDKXUZDzLO+309iVFbtxoSJdlGuUjf
bNlvDHt6Gl3kwZyL102iY3Fe0zOn07zBj31omU5tvdXoQ3yqn7VMz3BpHuy8KoIKNnq4WCTB9PHK
9M46eIUE4hNtSyYkE4lVJVuizYSUBovIay+4n1Bn0cMn235u38iBPS+D/CTMazuRxDZwNG0Wozm3
s/3h2HTlC3QaPGwgjdJSHrKmO6C0OvVZvK1NsVtNRt4WvFuuz0vHrB/dabyazEQGS2ene1TDbwWs
PFPXXxJ9FDs34v5o2hLpnlHEYBk9MNTUHmIeaIwZ1Q2mdvCtbJsn2X00ogWekRFux2a+rQwbwy0F
Felt+gEfk36ySBQMVm9aQ61C+qjB/vGt4juEiGa/mAidUmRKG4qIB8ZRX0UjKXkq2siqz845xtQw
ZSm+BVpfwFB2RUB678Il4lHcLtA2hyqMp+JxYBbJ5pqgPEJlEsbtm8rzL4xRI+JHDGeQvxx5cs/Y
6zbl3sfhpaHoKae9vnpfhgYMTTOr2zlBFWR7/muWGeTXoSprqZoQllplsDjWw1qmr6DKQzJzLUaP
+C6tNL1EJn/KWv0L3KhzyNYZc3Yql23SO5A6IutWDslzkvH9x2xENmusmtjGPkiHLKOmsuwt89rP
OsuPWg/sGckmKSA4EgYD53fK19HnHnokJse6Sl5oXu7mjsVbDdyDVl3u4xjNYVsNUC8WXLRTxudB
SSKopsztfVnLa6zjz8KI+L33LFOMmTlE2bxSqV8OWXrZpT7O8NjwAoEoEwpYhYABBgDzR2S0MLL3
kVVfMfq6bFPhHgsNfWXcp2TI1a9t1pJFVDAekyl2YnTrDnTSzaSUYEaBwNbQb0yTLGUxKfUEyo9Y
HvuqeZTauK/76pzU9c52Zp+2Ku0RAo60VM6kQpJIMvL08UXp9vrRZOQ278kgY+Za0eJUTn3NTOpZ
LO5N3U44l/3x3suL3aBftOvVMJ4jLd0tun+M5+raENWNOUYHUArXaPv9cCSkwER5s5Fc5bJO1tBc
OwB0WQFlskwjbix8Eozb+ZHzl1alwEfqmGUw2dgVSn38ghNDAkJpARBt1Kua9+9zxryj9r7cbJZc
Ly2YPuAHe6MSx8RoRbhGdtltANFRsiNn3mtM8CmjEPATAUFaILjpXceEO56T4aKO8mxXjvZ3KQYE
okn+vbbGl3aVH6s7IZnugaHF1nQDyaYJUIQwrRucYctxNHLDysrsTmZcDCfOnjbMvMbdpDPB2puK
MkNUZeYQ9Yhe5pENoRI8M+DfS2bHvEttBSrFnaHreD9IO17FcJt5PgqEg+1BRNh0lljTK3w0i7z/
leIz+Z1mneQs69MkqiJ56VbbHK9xcB5qJQxvMiADZEbYu1TJxqnK3gx05L0SlEONuLCRee46JTb3
NOckiMYI2YvYCtD90dY1oTqDwxITtXquOV6QjMydDWLQLywlas8rMLj8cWp/UX9rIvstyTqTjhyJ
trUyj1PyeCtRrDElmdeVeL4biAJc0NMvNAhz6me7HKU9SRW3WiRPpVd/G9Ppi7CQYJqVWv6HSL8R
dDzWfJEsR6HD0mOt8JbmNfjACEQZnI0tZjS82MN0r5vZVYQbQMuW1yIxv1ZlE+hj8ZWP5VOlM0xf
L6C4AhsTHRT77i6fOXr0BJoCLWFxKhL3rOeFHvoYEiaMCckPh4LyKgBfwNKJfcFxFeRQ+PFWZ0Jh
cmOGEyLqMJ3ledVx+otZycazBpMlrPW+1oe9pfwSjd0A78NBsXbM4atIexjycBXxs6m8Fp6dIZzU
8iz0cn/ii3cI2TFnWES3B+tckKhJ+c4EAA9HOTcTE8zpsvEG/B0esInYcK/TqTozxSiDmSW0T+gI
NJ1DLIc3x5+WLSyj+0UZR1ZlIYmUmURk8jFS9hI5Vc/kp1xkGvN0FweKVFYU3jqbZ2DFnqKMKh2O
FQxCjxzQO70pLsnuVust62DhcWlHqusU0wur42M7WTej19z5on5PlT0GGd6VrQ8nWxlnIDpG+2g1
ukDgqokZFXDqIsZnBkbqK94bX8BUHmOi0T2z3feCiJTU7q9zHDtUIrvKHJ5IhjuQI55gXsDcs0h7
3ubK8KMbXouQLPp/9s5kOXIji7L/0nuUYXQAi97EPJERQTI5bWA5Yp4cM76+j1MlKZPKSpl6rU1Z
maVIMBCA+/P37j3X3Woh/+oqY5BI+22hacYWBTPnK27oEgHgmZkeUnqcRcxb5KIW/gHK4YesIE1l
KtkElR1Jg/ZAnrlxzApfLCcFOpK8aUf6RRehDE1aQ3JZW+j5flZ2pz6gHTu9WaBca2/b8QWyxqNG
Nb7RCjTHLHIscGhr59zklXC8i4mQjQgaOJACv1VRhk+WU5+bwv0848cahb6psGiVyqoVVoL5UrwP
8upZL72dZcv7AXOXlTBrUG4vPYuOJvavEMlg55pffQLWELVcZ+UT81v9vlDOsQKePWt9tPy37H4r
u1WV+r/L7gt0hI8NJTZpDu20//J//89vEDv1U3+U3YDffd8iiOkNp/uDLxNAL1Qklyk4E3FdsXF/
t2bqmDl9F+MP4TC2gUnzj7Ib8DvtYF4HxzTA+8IJ+CdlN7GSlNU/lt0Ug6aq/pG0eZb9znsMP6Eo
LJL9zg4zinQX97hyaq9ObxJA0fbcXL1ofgqYjph1m22H0H+CIdIscmVqRDPjB1m1iCFeyrZiLS7l
VfTl1qcI7UhtFQCrLcDVc0cegfZSwrIOQqCa4dlQkGtkSHhiHHC2rjHDfGgEXKNp/pKpXDGG8OnC
hpgNpy6DoKtBARjaF5KAd8MbXtvpL/EAcLtW6G1a5cdZwbixut5wksF5BKe70DowSlL/GkPwHmbz
i6eQ3qWCe0tzvM89cN/paL8Mk/bE/ikWoInYutnv+tm/LcQ0HTViLoXCOrJZzIsRojgjUf7DoPnm
KNh4D3Vc9gaAczDkNAaA5ys0ea4g5YyXP+vpszNdKEznRaODKB3kTiR+tArcVq6GN9i58wY+p9+H
XqbCDruXDbXkR+MNkx6PMt9FRQ+OXJHRECfU6wy75KK14abpgRzYXRVLzaQBrCu+mmX2OCCEoq5N
ir8WvZHY5kxee0Vn6yoaa2AuuVXKh9lINvFI8dxyRXbLaxacGdbbAOdobSv+G8VAum4VE25UdLhA
ceJgl09Xnk0bNxwUuQScXKS4cmRTMT9nlHoTKOrc4HfNIQrxdIyKSVfQi2tWtSLVaZEVbI20+2Yq
il2N7XNZK7KdAeKuh+qwMAmOXDOgpFdRoziMFRMPVPtXX1HyOpoq60KR86TKNFYsPVI2s4tnIfAz
3kh72hSvfQM2v604fGnfOFs0HF85/vlbRuH0qRS3D39teODOQTNVVD+PspByEdJfoKtTFa3ARaE4
gNYbEpA2csrjBCewmgqwd/ToMfUhMWo9TR4HNuVjOMAYJIUadKkKRqlQMXCQwscUNM43hsH2wgZT
yKDU2ipVCFBDRTFMfGTMkqnOJz1nzAEJGlFXztA2zCEg1ljlKFgUFjFRhMSkQHXAOxceJOKw3TCT
NrOO3rCKoyIsohqRybcMecXOMwzzWqqClAlvc8TArMujBeBW6uNDphkh44IMAAKs+k2Z1Y+T5odL
fQ5a7FJDidQOiXXfvLCfPmUlh5QA2fY6yskT7HPSBhId34s7JY9GUV6SuolfJ3+GcxSF0WnqPCb2
VQvFgkimovVw9mUgdwq33vud+Bpl/WunB5sh9KLl6GvfhqRVAoT4xdKSQ2ZnzwpluWVWytkql2oR
8W+4FfuOZNCS91TrlBI19x6wI1xqIzpUtLcWhSxv0f1/NoX/1GcaETZyxFAivb0n5a6cm/tm9j8A
BgrWeovirO7kuk+mGHZHPG0tc06WSYE+xsuL4xA2KASju1BHgeKGQUV1bNVHh1p6TBBFDIW5i8vo
kLrB2bOGG220atV18HhT6GPjeqcgiLOCItiPPyUeoQwibZNdaPUxDKzOWoz4DQ9C+CByBDW37eSf
/AbUSq53xZok6Us5aPeiadS4Oo0PYdFxUqAYWKfT4PEnASCetFZsYB2Tcl8O4TU3cDA2vC7XN3jk
rGPJkeqircrCTJigbXWkPncZs4+VZzbQetHPb5uEk7PmjP62so1pPSeRx6tNragH7rQdsa+uA2ze
q5gpxtqfE/QH0vnWTOG8Su15z1z+THLHMbeSk9ON+doadHNrEc63tvQq2KS2Cvh1HX2bUSWtbL0k
nkqMjgKOLOKIVKoAd/vWtEaW+oS/Nsp5a80BwSCuwxBnFsfEqWKV0lXm5VDwSR3ZOzv8hSEtUENs
tQRZdJLTVqhDYr2KHAkCy9R/yTz/6vqUvv1/lzo3H4FQ/LXSUT/0R6WjYvBc8JGe5/xXL/+7sM+k
wchhFVq/T2gNUZV/VDqW9x9KH/JmbJIind/C8/4U9qksWUSCliNsTgfGP6l0yLR7X+kQeYm9yEZZ
wV/BL/yxwYjChY1b0+ezlUePtcVENcPQsigqVkdjzjdeLbYGbWpnQr01+o+snzxuHe0wjIIPiWff
WGW7z5NkXfde0KxcNyf8K4bI9iErfYO+n34NtULuW85qZHmwS38ySVyiA2BYfXR0YV6znBZ6QKvF
TXYNnaB13iXdVSdNi6pE3A+p4vv009l3Ml70wlpVEW2deiwfpkl7LJ3iA37hbqGbTH10yQRTm85R
7B0M11pNEZXIDHYhLYZFmOh3VWJyZkJq0jeEISDVXwStIoXJlMlk8W2SM0cu09gENmlgJoohpufj
uZXGR3y/48rprW5F5vSXesjnVauDvfNHbx3qLaKdMkK4hriRNVGzp/2AhXdJ7tjR6NyzlTI3MAgI
6dwlKnGX3LRIyXj6o+yrp0j3XzTbLXEyW9eUuIPWyR/TGF2lTOYPrRw2fWdUt0agvKflNxPPdS/j
O5+6Bc5kfsJrujfy6TFtuqNW9t9Ym6eVrk3uktKvIzoNWoampe3CytJd3WgVfQix1CbKs8CEauSA
/jmb8IWh0dZwQdoBo2NJ2IAP679MADXmbMxrL03nZTFWVFK6+zmaSGGxiMpDvoy5f4S26JnMRKwd
7axzkBGmbVGaga+QdUWrTHT5tnUy9nIny/dWK5dN49y0I107q6Q5S0G3sfXgU4rPN81GbWHTg2Xf
+RiKEnElLbIyI3KoZDUbcG2SPqx91GWYLGVPC83AJ2AQdkiwuneDkrVfe3rTbcwuEqdssMCUF/I+
asBBmm1OeJkZ0iRw/WQ1y06tmPOyEcjIst5FM50bHJDBmGQ8/7cd8FJXs/da3TwCdd3pnfk49LST
wqjRV21jGvCPzORUFTRSQ6YN68ihLA76hO7xSAAFkTzBdjIM/bYaLfMam2oCzhnctyuYWeEhTzlK
jLX5ERSSQ0zeFJ/xvwx0vG1MEjm+7GYAvBhnEOeLT1NTbsw+5virLWK/RfIU8X0m2ZRhLRXsXPlv
86P/SUlSa8CfpyHIS5goLMeBXySUjAYt8Q+ilsoipSTTfOOc5TD8v0AnGP4OHveTS/iMXzhp4SnS
Tf3dnGOqwrGhe2if6V926WWqHgr/9O9x/O04roh1v96jEKn+ZA6mfu73bQqRuYWO3AUAz24l1F70
xzal/8fyHQyqavtSA63fz+OW+x8MqIbh0gI1mXqp5+LPXQoxFVsaZ3jbdpUY6x84VElp+OEJxAcL
qgv8H7ovC94yT8iPT2AicT26sxmdc51owpsIA9XraOg0rxz8R+GlZBZ/mLtavIrI5jDpawV5nMOo
DS9ydptHP7LLe9+PnXmZWN1QbqzCbZ8aqzOYMNEgRHiJl8qOtUdCqkD1hrO9zEwzXZqjwNVebLvQ
OHe9eMBqorqgH80osHnT7kTjcfgTOl38PGYBRRlkpGI99sGq0+QBIh0jhIasy1D2jBX06WNaSxB6
AydUAKcNDV08ZBOoziX4qk1WQIbQlHjd6fy9HUpifIZgV+XoP3vnLo+FsUotiJrBeIsSN1z5PftS
Ud9XlvkaeYmFgp29Arl0twBYTyJGjB8V/i9UTdvBieKeeq95NvN0k+KgPcGXONLTR5ASmN7KbrCv
2JLBTz5UKF/n9K6vqw+1PVc3lsSmNRfIASAFMGnEiY8CkyAMmaEfbhkRLkfgI6eCw/DsVs+ANPpl
Y+jVqtPl17mRE3mXqo5tul3WYNX1852BjgNtboJUwl/adjsuPNPcMCQHEpBwDyhqQXj0nrOLC/6f
3Y/dovDLx4IpBAP7K3bUlVdln400ehAlvce2TTDtYjGKK+0aV7T2eseNlqT1BouwE6cQvjd7iH0X
CfFgS8S+8AO/iLI4zuCRq8kDT6t7aCMK18XzViaLMhyPRWwsW33A/lwW2ywGNmHaHVwZMuq6unhM
BNMyQTzJBk3HWlTtfeEIAEoDVUCkexu7dvvbTsnF3Knx2oW0920q8kcwxjhg0+469+xljhVBxsKc
jC8Q5dvUfZBT8inoB7h/EY1vwqk2rvSesGY+uzSRTAoSzAi4E9Sfofd3pO5t6mA+Z/A2OILDIYFX
MZW39NlPmZ9e5klgg0ShVKTI6+UYI3NCSLPXyX5rBY+d4SSn0izZ/CR/uOY9abgrFq0zYDtLaOBr
Mt6kQ3rrVPnZ8uXR9sUF7xjNXhVjG7o24v361da0VeSYEJ4yDiile6h6cZ7iwWL/pzTxQdX2NcVj
0Dx4iftJaOONFN1XM8gfCATZMwg/JX1q7PXIJRQ88zn8lnwPUO+/ZMbAKzaD/PfGjNjPQpz58GLR
DtEzgU9qEpOfzcC4gGfc1H76CcTZ0oNwgk2EdNDcyi9tV3qIPyg787Z4ioQvkWZm5kIjROuoZR0D
ABpDi0AXYunm+UcyBOjyTNnVaILnTCunJVEaZEKAa/W9+ZQV7U1npOi96JaJ/CPV5IFcyKU3IMam
p5YF/j6q2nOT6VvbAiFUZQCUggxdOHOEwvZA46B2t81U0WA5FjvRwe9a6xgbsrg2Yxo0h7E3FIi4
6Be5ac0r368hQyfeU5cXGVLEnOCtGiovw0+mKojiIM8WZbmqRtu8jJN9gD9o3Ea8WEu+c+dcuFQm
Ti/5clp3fJrrIryTmCGPiY1BoeUWrIdMy3YGKbWYXiihmbEGIXpv0Ua7VqMNQSeDS0+Vbmy0JEj/
FT//1v826WT/Ypv+WnwpP8c/9Ynxg7/v09ivMTJayFEo5ej28U9/7NO2kkbjKYYqSBWluuN/Ns51
aioOeJSPeMsspCy/b9Qk2zm0gd+wFP+oae4Ifsu7MlFpVNA/e5xoXf89ntclN9wjDkU7GxpAhpZV
U7fnr8EAVT51MnrPlr6BIL6RkxrHEGIq73yZMzB0e41uhksT7C5EQ+mR8z1ZK7A88gnJpDt9djTW
TUEDEPIQEcVJrWKLTW8GCUYvpKF22LoeQphREm88tjGNuErzN9Iwn4sq1T+HNXHItTlWm1JFJA9d
C5YhVEtHyX9rqSjlLjXla/UWr6yClueodw5D4R6SRFqLgfAWJ+LM2pDP3Jndp3xkxtar6GYOJESl
qMMGqc6TinfOYRqwQPS3nop+ziXiF191PeU0RYtJRUTLdKSVCBHeIo5p7bFRk3VFpPQMzBthSHNJ
Gtg1xdRmL2x+071h4JhBidFo6S15XdGKE/01mcHMQaDCZkfp4rE0okr43MQDqbMc0e0WO7vXE3/t
qiBsODjxoXBVOLaKyUbEqa8bR2Vn4xMbWFAJ1O4r6Px8LdoZsM+E2dlHdFFawJnsQ20ToJb25Xid
WbZh3NnpdSS5u1QR3r4K8w5YaEj9nOd4wxZAqPzSKrJ0kSQkgEuVBT6bLp2BcbS9FbpdwsITOIGE
2BRVcO9w2W2fJJW+5sEu9oXsexYzYrwDoXk3sT1Av279AC81P1zcGHUXXI0uYqTtOIuoEB9DCTVz
aNBo0j15SY02XAdt9Y0yI8eoHZ4y5bbykumcofkFPZR/i2ZnBcq4PU85Kt/ctd2lLb106UOBJBVH
7GVfuwd8tMaSVuh9lGAtM/N8a0f8jy8RnY4OaXP2G6kz7qqBP6B9Y3jKfjDtm15hdiai/4yS1JsL
qaKIOSViWb1Z4Phbmk0KcDjJ2pOsfZTvPGhnol/ERtZOfRQ2i7hWlki9FV3Pm7utFWWv6nTa6py0
oQU2hwHhxyLrQ/zXzIRuUzCgWu5/MQkyFUl+LTuG2Zp101TEeC1MrbqdNIh/psAwjPhnp7iTi5wT
+YOeBMHa87622niMM6DltnuaotJfI/Xa1uO0Fgha+cxnbypOTg6LtNeOjhGfcsZWZOY4wU3hIWDI
RWUhEgnvo2kM93WU7WXS79KaL8mLqAWGGHB34jI3S72PIempi1bE57Ev1SSJzVhr+xwnf700RLb3
W2dNe/pjLr3FANEfpdE34WLTgdZAVb9h2r3Uew7DoUlbhxNyVCV4pu2jP4zLwUCHhO2UkcGYffAy
/UzR9kH0usdD6pcCg4YvDoE3f6tq486Zu73bISjI87XAqwWjZDziHVomff8xEtZWyH5NBnC1SJhQ
N2lx55XmFx//HNmV1tfWn+5sJBGrvK5upnreaKmN1MhaAl0nahkIDHR5hmI64XxB/pnAn4dBPY9G
muxlF13mcjznKkI5CRX4cefmJWgGLg/W6ZoX4+1UT0uTHIIi6FYaDrxo1rYUizsX0HdeEbjYjBvN
Ufx+M/4svA4+XrXTOp9kPHc9VeW5YPCyLnRyFVsTWnoXXsyWrPg+3I049fJSO+GO2ExZjHoVUGk6
4mrLv5k2OEwciXQjl0Gb4aj7Wgbd3Ui4SeLphCjSbRiKZwd9fDNbK0az64Kujh2YZ8aq9w09eI4t
SHvHO3v0H7JkNld+RlZ8CVEjB+wCWYcnMNCA+ukbz8+/TbCSWeE22EeQJHgr4SHJCptoT5tpN87y
WTdaSizvXojq2Yuau5Bs0S6HDlN9rXWdJBKmC64Vb2JRkTQ3rdLQXkfA4EIruiI9vCl7645ik2ET
Sg2pKz4ZQyl9p/n9zmuQcUTZfeKUp5YMaI42pFpj7xJOhVEZeIDebXgVbxvf2xhWc2BEzAXrdVhx
w8aiWeEyZK5hm5+HrnzmV+GXCehBNjYWUWKCV+irllMBjrZo6JVpR0iJ+1lzcWYyYutluok0Nomo
IvkQjww9L+EiFeyf8q54bWucx5W7x+pEgpaNWquVuwIUhj7mHM0cFF5J/zxI/amUyV2JuiOwR6rN
jnuHwbpod27r8HS6W5jn16LMjhVZCb2GDy92d94YnANr3hd2fiBSEj0cnPOiizd5Nl2qQCmph0U1
eJgM4ZIY40uFE3mStA5N3/sQSHFtZHMuGueuG6kWPaO57xTGEm7cQs6c25zslDnhgYaavhgw9ki1
UM3l85S2SDScbVUBOqCJmpDn2Ayq6CnQdxcfZDUdGCMfNbh8Zy2gPUgiXHbfgBpazmZ7kDhkZoyv
fZuy8STQAMWHpM2RYMNcQhnVvmCs58SWQndl5BkbX0ROW66tn1MZ7XXTOLPekkQmU/rczRFFGe9l
5qakXRovkdNUG99KH3LZZnSc021qGZck9dCcIqMtysHaMEPcBalYDqaWr2NSJXuykFxCRQFPmKs0
I18iKi64PbZJMB5GnN+VVq21JvnYMkCr2P94AxrMMb277rpwLSOtWOJJQWfULYlcDVejX+x6zfvS
o4ltYmS2vbtBjLmm3cj602APCMd5MzKbA7R5lK3zgOlKScuqZQGUrgXbokWDdihMm2cdwbtNW9ko
UVC2NzMtkkZWnztPRYEAoAiy8aa36bXmOtvfdyXt5beW4fc5Un/t8jkIh02BAceFLu+8a+O0g5Sy
iwvtrOc4gHAlp3caSvpfX4Q69y9lKAB7uqmWTWlrvutWYl7TBf5B7Tx6nyQumu5lLL+F1ion2O7X
V/pZwfv9ldRf8h2GqAxAXs4BVzK928jmuOSSnjrvS/GYdK9xKX7TE/2DNix3j7eJBC4Og8yNfryc
iSnIC7IyvPTaa9sd6/BzkX3+55+IaplimctY9nv7YoCnVfenKrpAl0yGbTdN64ypfR5uY8YiZvsb
DuSffCI0yRxaaCzT1RNqOPXdDVRGMnPS2/gSIxyILZLywm2V/s1nUvS6H7vXfNvfXUT9+3cXaQKt
dUTARRK6aa08KZ3Jr+/aTx7rH66g/v27K/TtTAsENdQF45wg6SWF1YsJ79cXoQP7y4/x7tuv0imt
+ryJL6NmLYAG+PEFeTYL3AtR16I5m4hIfn3Fn30sDJzQPhxm7cAJf/xYaYwUGqBrfHHra62Hyyrb
u8G3f34NS+jCBlNi0l5+d+tg36Kj7WVyKZpoDbHZLaD9ZB9+fZGf3To0XkxLLAOVv//uIuUQuW4c
jwnfz0shThEnxYTFwA/uk+5oI/wZguuvr6ieqffP3PdXfPdlkQnjy8qYMKoyxeqbJ4hpf7MYGD9+
O8qS4hiuTQYYDXHB+/pu8WlKWBzRaOSX5MRwdc/meQPUb+1coztnWazjjbfUNr/+VD9eUs2BuIPf
3cd3l8SCnI8wlJJLLwiNofdookgzy92vr/Lze0ejHwEgT57z7tsSM5LBlmScS1D7SxNPImDeX19B
3f333w4Gcp42+HGKJPfjg101ZoxNW0suLkffyTOpNl9jlE1hkvzNZ/nZHfv+Su8WOE7EpaSlmVwM
uAbe1Qnu6/lvlrefX8IRoPgIoSST98cPE5OA7tlzmF6K4ozIBPyGuYAX8Tdb3c9eIR62P67y7qtP
JUERU8hV4vRzphGORao2MAWQMWl70dJt5vzNd/SXj0UQMORTW2eIhODhvQLT9AO3yt0yu7T9Fnz8
INb1fPfrx+AvD9q7S9BL+37ZLvqQGxrhrQLrsDC0cDUR2/3/cwkFHSBB06fP9uMlknHMtYyT1qXJ
PmvzniHB31zgL48yn4HpG8NZh8YbWTk/XoCl0x2MYs4v1Hl5Bzkg2av488L/+vZB/hX4mLySv+jK
ErfG+/heyqx+6PeO7FuytkdZxgCNwBCHf/qjI4uU2XFNthzCf1Tj9c+OrEEcNyxYFxOho2LN/mjI
vnkLUQwh/qEr+KZ//geTU1s9w38udQxObZuZrfBRNPK7sAv++HzUZW232MWjS93RudjVb/nVjns2
kJsy5gnfwq3T35Kuu4r8YRALKgJ7Ih5Lbry3aOxBqJjswWt2iDyt4CPBiom+HoYi04586CY4GDTH
jDWpAlp4wWkIsw6bfQTkHHrmyJo0O3C6l1njB4hcYRCAEe8ngf2dWYdPQ0ZOnYvYVMZ1tEOcxrOc
JY62sIA8Obs6lHCVihy3l6iHTJ5DBLOUimiC3TVERfIUUk+AJ2g77auDIGL776P/m26Ap+5Xj37R
fiWI9CdPPz/3+9MPdIVxBDsPOyliNptH/LunHx0/K58Q4r/h8b9z68R/iDxCS6LA0989+5bzH2Ry
PhWGkgyw2fyjgQSmgPcPP85rrLgoEdCVgL1+t2nlVWZzQvPEbW7N/abSA5tcAPfF9bCjut0TZvEP
6XwNlAevNtZm7eGQDD8EGUBX+rYW9qR0VRfTDSPJUPtsDemHXKOdY1gy2U6y+CRa5gjod/ZVnuz0
kNQcQF+MOGSAMywRS1Rar+BNq09Gi/XIgru6BjoVQCRJAA9IscNvdYA9HS8SK3rK6ToBS32Z6Uxl
lUdMRlx/nJL06kfWRymM57HHC0l3UuWwlMspSpny1cmx62j3O3nZP0269xrjhT8WlRGsjcHhraiS
D2mXveqTO+/tnPYiknEmBPNurs3XvslvfUj8k3DvfblNZ31d+6VcQFH90EXxixdru0EvnxqphQfX
BEhNoEde9LdGQl5oNt2OU3yrZuH1JBWHJvpSMu2E5QekQgy3vhr7Eqmzt8sNM5tFNNHWNO9VCh/d
2zZ9qU38sfyJW+VYXTBQX6Fwbpg548VJE5O+kh0sSqdpdr3wCwJWEIUH2knk5bArWyITgrhbD2VC
91ecQDLMWDgjdIpZtqvL7Iuk67FqzYZxttS3UswRuu3uAgx2pyf0LnXg+9uooH8bM+LICq6X0XZ0
MEf7rvykz1O8grR6ikhoKOnXjCLAH9qBjWnjc1b5t3llr0SC3h+mxmkIIxJTXZwQqP1bm25wpjsQ
BtRAOaTDuxQDgRtZSjZo5jYNUGsIqLFLtMAUI3VucwgRrfuRqQEOMKRnXUPzFQmfmnldB1c0S9fg
pFdbnycTWqhdJ3eFAcEw4pvTKuuDA2yhzjO5pkb0TrVm7DOvvCHX4xWF5WPUEEhRe8jIhilYzUJA
r8GlgPMa9kKatHuArOWqJ80aA62iR7j+Mo7ya9DYFgzjcZcbbbmR4B8XKAmGRVpiqYiRhbs05ZHT
lVV1tmWErETfOkZGW5r+dtUzUZoy6z6Zi1eivo+tMdyUs9kvGF4dIKGcdJImzBxSeaZXe6/3PiVN
uPejEJqPiQ/Wax5I1rmvOu0D/ZS9XpSHjiDGUoh9qodnxvavRZN9EGnNTZ2Hk20h5O/Km65H6khT
9prl/XYMsEardK952FV+uTdU5TrZbCzRIQRpz/ZjHatsOA6NftEjO9t0M5TksH0eSGphvDgDuWvP
VYfVdZrdg/TNOyeujmnc7+x0IsUly7t90ptnW5c3YeXSbe+ZxEHbZbZ335TNE4CyYzAmN11kr6Jw
uiv0DKkJL32akaEyxE9h6m6dsMSpHnt72C5bQbYbT0d7Y6GSX0IbuNoMB5gJX3OtR82i18uok/ve
15/1kRhKT8+ylW92d0PknDqJtJFoYzCvc/7MJrtzO8hpU7syxxlUJhM0KxOvs+dvB22ABQ00L+5f
CoSQjaN/m5uwg64ECRLVQ6xzBl24MzbbOxPD1zLzhszceKXD2jdaJFPZOSHcIjv6YXdCUrIf2w4m
PF70KIrOdp8dg3AaFnRfbwacx+vYL1RCnLfQZHar6f62Lv1bSSAxsolxk9e6sY4d4xHy9mk07Ccr
1ZC9JvfkwYgVKrVPlTHyNoZrBJJHI9SeRr0/W4Zxq6dwSYQLRGgaPpoamuG4Cpm+EBxWt3wX0nA2
RRfGJKnkrxWGqMkHRtrGcpeWyTYtqmHVCOORkcqhxgAQRQCIMAz0aK6Wpv3ghh1Zq/OnJHPvZ6cN
T4VTV3s9DO6qvLjRlIA5ABxsz86rUYmtawYL20K9k7TkcA9yNHd4qniXw68pvgCqIJUL5k4n9HXm
xjAqZ4PHfuvWjkT7GlUoz5jziFDfNXn33AzxfQ14derCh0A2O2jCcDgH77EYYmxH5UM4ZU9tHfX7
0b6kKb1unYSsRGDFz8etY5fnoQ0fYn1uVh5pAhqxsO3sYakS1zkzSIDzuTXGWSNxZRExUek78z7N
Sg/3KJQBTw7pojeGa2WJmyZjv19njWZm626o40cnj1sWf+EezYIAw9zL+k1UC0xTTHdjr+fthBjL
GB9zBB9pmqod+L6tGxb+BQ2UxwSyL9azhiDJJNBhEfaIkfou/9RjtLBFkWzYYRjyojdcVWa2HBk2
O2W7CyJQOaMyz5e93x+SbMwRT03fCtkwrIc2lU6E8VqJNBYiRqLtZNlTX4Ym/FQhmcQgvjGixtWw
cwvyYPPwxMywOhegjJ4Tw0VO5sxS23Te4FyboZgZXcwM74fMBr7WA8ZZV8OcrWZDO6EPOBDzfDG9
dGOPydo158e8Du7CWh672kTbQKiYmXndGhv8c0A0mBoQrKXREHaWjjjekRlZbfupT7qlkXovdmDd
9APDakRE5J5v2gBDiNU8MKmaVp4bfWRlfdQtuUNdcdad8WuQWEfARc7Cj5hlxDAYG816rmbn6Mb5
TRBnFrzCHKIaQ5KKCU/HFk3VzYBNBnDsnVWGfbxtUhw4+byvQnFyxnhnyJnov2qf+wO+Rj3F6IKK
XSTW1R/y+xYTQF9OJFgXxUNBbDCghvQIAnSv69oN+WJLSqGtOdb7NvC3WhrtQ7c+QkV7EraFf9g4
SIud1vI2qVd9BlO6TtLwOgZUCtC513MQrSXaQqduv+ZAHzS46/DxURB0R/LqPoP1w4zmF/tSj+8k
aBHC4pa+nUwLKwfxNOr3TUqsV4vReTkpz5Eb4jMfSNxBNqkE653fbNoEMn5nPtNDIYTOGDeOhnAB
7ROlRb2Ii6xmdU+fM6tbQkkKiecy137KkQYXEEncyaPvE37ozRe9NyMmNsbDNBgbK6meSqjMzJPJ
39b6+Esgy54AuqFbt5F1Ozj6bRBar6MOuZ3z+trGnp1Av/Bj3d+QVHXs0/lrNTm3bWXwiQdEAsLk
YQnLwcHwDm84mipjHUzCO5dGeShs6K4Zp6Co1a+ZrZ2yFj27Flqbhui8ReBE6DYbpi7RJF6cATmD
z0rDcGo8jaPHTHkon0ZnvlaaeDHNJNhUcf2sMydc6KLbpE0PPKbhU3uBsfPV0kPc1qIv/WgXyixZ
OlV6UyE+SEMNsAXIh8oIMdcxlV7VMofbOZJRNQFFQXP5bUqnldHX92E8VluckfvBZSQNV+Y0Y8la
VI79PBq8aAkpVis5MiCuJ/vWSONb1IdLO7GjvRvNzali6IgE13qCLxEeBhlc/SZ7QUhi79TrLnCX
IC5hN6d5Zb14EbrMyr5CdY5PPglanlHtw0p/MAGAzaWjM8kGYaKT+pmnpzrU8YvbEn1o/q3zSqJR
LBO0qPeQtuUhBquWAmfus0FZTNvnyajv/BG0QVG5t4kR3uaIWjPXno7I/x/rzH+xR+uOwU55dCxS
CDsMDRuztV/m3N/7jaGpfFCIuD2/WKuNTUnGFfpGu98BAkF1hIgJnKCd69Y9+YwmxwgpYWd72WSb
gJEtoa1NIw5w6X134rv81if4xbzO5lAnfMIHDPZ4tGP6uwOUGev6SBBWfE4qekrFTYMf2bfvf32R
dy2s/16EuBH8BUyiXXWK+256kgajJBWvieGo7LXiRsf+qdkP7fDw68u86/b9dhmXJo1NU0ShOf8f
e+exHrmRddtX6RdAfTABN03vk95N4iOLJLz3ePq7UNWlZlEl6a871qAHaimZmUgg4sQ5e6/989tI
VXU5BagU7vp7l90qxj/MNn/x9+nz4F3AwsDl+nytKnewssxK4nPacaNtHPn825+fEGmdK8SFmiR7
P39+z55w2WaRnB3OHeaF+V97xF/O4j4NM/90fT791sKKNGDqXB/obYSmRmiE7YVAX/wWh4u//yq/
eCtc/CSnOwxobdP99FPEDvTmbsyisxpuGDTX6iwHIiMwxpOK9w8N0ulj/68Bhm2APtvHn4Xexce7
S9WCpLWtOD7nxhxKosm5q16wpg7t6ve/1Mc3+vSlUjt0mc9+fyMY5SkJTP6KfWTaivN/uNemD/35
S9HSU40pOAzY7dSt//DIGGaqZ2y86bkyVjJ+bkn0lV///uv86nb+8Bafb7exInfDM9X0nDrPoXwU
yv/H7Tz5DWmCMokxv/VuPnyFsCCPToC6OoesgOC04+H/Y/HC5aVaBt0f3bCmEKOPFylVUup7S8vO
o/3c2acGnYVa/8Pa9as7mZuYNq6YmMSTHPfje0BRzdPBGZMz0h1EhIjhNfOyLWcZwQXGP9zJv3gv
R+Vr6Bp0DOaYn9ZJXzoqCdxmevanM/UymFSMSzAmGTXW1bcf/99uv87y8Nctz9Nb+/zKffyndj+v
+tDwpHnKfYXlyWAmzq/0oeGpEwuPlAGFNdg+VoAfDU/wJLoFToSfDyz0N3/TDwE2QGvVpEcPnhrx
9u+1PEns+2lloN9vo1NF6c2iSt+VT/HzDSmbIDdMPPvnIL0wBpuEJ8nZu6/d237UgWIMOtwbPT04
Y3zlDOJlyGOFpONRw1EJVQKcKW6J2t1VEQFvKmtXr1gvrh8d48a9G0cyb7v0HZXSqlAsECeoD+I8
yUmMtggJJBpP1ZMDoijkWLJ1UQNT66pQh2I2A1qC0R15d+PKYJ8ESFfQDJQE1OvmQxSTRjOMLwoZ
x98DuIvmNgrqC0gWp4Cqc82U8DqBqJJlvXeC9bfLujYn3bXaaw6Hph7raNJnfOcRVIkxIy112zj+
ivpGotlMV6mv3DcgHhCVzpipn9iEVqPwWahtWy5lWiHd6ZoFEQirwpnQUriRNKG9EjpxriLNmnlB
MVyPoBGDVmI0zSuSXHt8O6ERzAFjM0tJlXDpKuZjMkawcztpA/ZV452dBe6iIA9xofRyTZgIPKtu
6nTCyHMHmAqdO84MjWwBhJqcUMw7aLx4cD2SFSjTG7K1Zo2ZIejqLfqkt1rXUeghDC/8BWcj1Yd8
gv6EXqwXkgrle7FYyIweJACqA6f9ZVQNa3XK8O1aa9mgYp2FnrfuVdHO7VHidkHqKGymNWig3/LQ
PMZq5c5QtRCXCD0AjQ7HDdnc1pAaAkSg0kQOHoPAEtV2aJp9XwK7tsJ0g9dbWfoR8ALNbo+uCpA1
orXm++r9IKxdktPrTMzhudDM4lYkiDcTcaXhX+rybsukaA0/Qm4CU4JhDOQGSUg29wpjPzSRNnMV
tI+DMjBNSpw7pUUUbBXKqnN1rAQtaS9kRDiy244uhBw1y62Z8MjJbYFBYGJbB4Fvz1R7vEh1CXIO
IZ3CoLwsm7uRvkBs6u+ZwTUjh+lBdWjEy+gWTeYjqJGL3icboK8dMkTGh6qc8GiEPdDOs+fQwpdp
X++SxuZuDseHFtUxZ/znGtAKmPg9mRoLLcgf4WjWC2nQqIsgQsziMr5pRHnrs80SuysqPlq0xxaw
zEeNtF37scDnMysb61jm9tXoi7VqADxG9b0GZzNPmubJdLwrnPQrW0vPKOHOfa4Su2yNOuEuJM8U
VnoYo/YEFWgVpa/RhEbkfLGsOrnOgm7CiospuHu4CPAcO6rk/wFvw3tXD2NT9XNp6c+JhL9rqhGh
jRXg69jTZ+iEb6wRA0afxWAnS/sGAybpv+rj6PjH2O0vDV1Zk6AGV7lwX+WE33QBd5KovKWrww0o
JyFwv5Sh/maGEOCCVrvhNn6wa6aDmsxOdYCa1DVe3XEol6HSXWSSBlRSaWJOLocNfTg1Z7Hl04zH
l4+1v48vhsi9irDVTQfjYitbX10mg4YV0nJfelk/R3FxIbWSMB3blIuqU4m1GQp3WYbmPifw/mI0
nDV+eD+9JG4nvM5T7ascwCB70Xg7ZtnBGL0XjZ5FEzfDJpGusqwj/eTXIFCr3K/QTtNQwlD3luX2
uGywnGHuyyd9fUH+Fui/mYUYlbWIgGspysOo2fBLtV3QaFvfr69K+l6okY2tNYpT3yj7LOFbBlGx
yGtofOaoiAUKjEXoJw39YPG9Jv93y5926L/e8s/lc+q9/WLL51U/tnyyucQUs0Wqi/Nf7NiPLV8j
2HLSYLG7O9SAFoX4jy3f+MIU02K8j1mLCSTBEn94rowv2Kwt/sefnVzV+u+Yo5ljftrzSdU0+Psu
J1gdhZvzqQgtAHEFna3KI/R8aGNjHLkM3km3VfpC3ad2BapJmdJvRejvAjk8Eoc+znM7/Gq0pkbv
x+xsTKaMSpaFoYY4Qot82YcBiXKkeWV3WJetYY7prPKmaRZsC5z6sLByo3wWsQzeaohF5UpPTTak
iri+lMZgyvq48gn/KpZ1XOnuPC4FjPkyxHVB0JMLyRF+/wQmJVUvB0cbmv1k4CrfFcfreaYJujED
SR9eZxEB9wkDDT6VYpDKiOOFzt8AO8svUZTTuM7HjGhPlfzL7lIzxoPfupNG6SCyeKt5/ranOQJV
FrQq7VqTUNu2WeiV8A+5sNZqrlyEPPNXuXT2ANvYzDzKEI/GzCGtsnKuK120HKyQoKpcAXVWNOe+
rs5K1GNMYYI0G2gGs0YAgSLazGVpqgEyBMZQvkdGfR3E6jVxq4lJw6hOL5QiGo+GILqoyFcQDP0H
4i3mNgG9AOUStNcYZ43MfydaMZzrOV1LPXNoVjZUC0ZyrVhmt8oddge7wE5RklhIRhJR4Tjsetxj
Mzna1kLXUv/cenjHgxwvuEH+V90rEEI7WsS4k8FslTPDJds310k5DZQjqQar1tLg/Ta5uK1cjRY5
7eCSdW2lxoj9KPTmPZOx2Zjb+SOYN0BTmkLHEhgYSKhqYCr+4VH8v7SfeOAmCSDRnRTcNAx+LmZD
1e/UyK3IrFf9fGXEnf7sD1ynDtPsf7Xc/65/gnPvX69/JJjXz/+ZkwX95zVweuWPNRBOugkWjcVs
agj+7DuFcISGkdMnQHTHsnnVjzXQBobOIYQWzHedE4vqj2OP9QU9qYnCE9ApXTPYEb8hc0Lv9mkN
NDkaM/xjVaW5N32Un28VVyoZD63D+KYPshWJn+Wi1GN9EZMKGJSGs9SnOVClQ/mJI5tlwKy3ham9
txkZZVmSdDt67AYAR2iztdpsPLwiJtdjYZQZA6a0CVcT9yu0w5dOlhwNpklVmyaUctP0yp7mWEo+
uBd+kdya05yr6Aw8lIy+6Hffel6dwdC+Z0xzk6CqPtuaVOZZr0GBCHjCcfQFuyT276WA1Rdh73Qi
HuW+0d80pWxwuCndTVq4G4sxW5j3w0rtUzwk/VWhdUSXIs2GY3tqwbZ6olibasUJwewPiT0hbxgp
lkN2rExEVl5trCNaoVRS1dch0ODAe167tCm15kYg1xxzroU7rPxesFLQAa/KMti2sf2kTdCiru9O
7dTbd8bJqkaWFlyzDWYhbdFHjU/IQ7RwzfFKevi1TEXj0jRBu48DgE2J6Z2IJt25DkUNje3lWCuv
YRi7s6AooPplwboboQ0U0sYJ2EaCzBPiFxoWpiZ2LgwP17kBdQdMFCVybVyFlMZZ9Yox4t3mzzWI
1vhTHDJ8rXr2m1TMK3T4aDJqvD+UcsZk76VTNMvillF+LJBTDNUGRMAV4eLZRZFooOzDfqkWWs4Q
OqsWuKr19ajrN2JEbhK1ZNUo5i1NH3dXtOEmomZdWIUk9obzEzm9K0Zt+yqrLzqZLWps/4zFVlnP
4k3Gxr0rKrFOe3ZDWSU+VrhiNQaksBfDg54lK5G2T6IbmLcZ7VVbKeNMG7s33rlf9kb81tqFdoav
welWGy7CnmOujPyj2yjy0BrlC7ojmM+YnreEmlhPPoT7ZWE3LoHT2ICW6ohe15QApdr85LUKdkwv
qy77KtMnXOF0zDTyAiue5bw6udPtWtPgRGXDAu83tSFXg4k/2ZDloyvQJoghRf2Q8xagHnO8iGVH
MkxjcokdT9JC9sdbIydvQ+hDNzdy+xqU0r7WhrfYL6KFFplXeHK9vUWs0JhwTkGro7kMRyILexJn
v9dwzN1tndmv/RRUxJCN9i1ha4tMqy7rgrRBWR4lvI4FMu58l9lYlojdJfBZLHG3TmcFp5lp/cAr
cJjOoOMNq1CToP3lRczwcyGSWj23fkMobwOdVI7xvtBTdTmqVgElmqAAFEkkK+66UK8WgdQfQ7CN
M4SL9cEXino0utJ8U1UZ3WQqKKe4dQYF85iPKf3bovzv7jThff96d7oK2jdGvK+/KNCnF/7YnDTx
ZWq/6tDysEJMgsI/6nP7i0XTjT4Y1TGOgg8tOWgJEITZz0iRJxfu5/ocRTV7GUXZf3EJv7E3fXOX
/K9ZzyAIHxXHA3S+lgVs7bPJyddT5qiNoR/LrChy+6DEeDwJRxNqlYBVF2F0dhvdiBCvSA3dTdeM
bGAD/PahBtiBdTk+NxkPZpf0ytY0U+PYEDmx6PQq3XMQTa4Hgxyhphf5IQ3q7Gvt1d1OT7roWmgd
nJYsRDtX9/ab1ANC0YUjVxppaihx4Sg8+SrnCpZb4qd4jGDCxOtI17rFGKfmC2Qa7V0xgvFKr6yg
wZRKMlk6aDF5Ni6FoFUsej3UoaGHaNl8O7pIkkbe6Hisrppcif1rNTQjr1rHtlaMWzLM6TexHTtk
CGl26um8YaOiNkFeIrTSXwDwzIZn3MDtZVlqDm2KrNTpZ404t094fsNlYgZFeKuEozl1uCLbnve6
VZRM5g2iuMwWL0fUNMZWtEm9ZOXWF/ZIJwUXqVPnMA2nU4ralq65b6cDjPx2lkmmYw2CbE44SjGd
doYgNQyQbVW4HRAVuQsWlCtCVVp7o0+HpozTUx3G/i63cM0eTeSNW6dwgvZqDIlDH2Cij8bc58bs
jokbD6nyvTb+d0WY3Dh/vSJcP3/F8E+DPvtzvTq98seSQL2q8tBhu8C99v3B/7Em8K+IyJiE+d//
zYd6FRiKYQlk9zymLAH2h3rV+aICHgd3w+jVhTDu/Fa9OumiP0zwvvXpyYnk02HkogHw2bdhhG1a
oQmldosddS5o26/QK4TLPJzasH1NezKqIOGaon3swmSfV0BoLdWxZ7A5grkcPOLkUkcDmGItFYdn
IRlSe26pgbJX6/HZlPp4AiX01llFBcUBpEUey2ujUaxj2nKQHlqjWOV9W5wYyy9Dz7+r/W7ZqSnW
edfZJbW+E6X2HvXDXecnO1tE5yJGNqXpGzcgf84NEfkHiZFTyWmIDQcjXtBShnE2xZ0J03oLbXHb
WcpT1CpvXTuZ34mMmfcdHVyKmNciQbYcqcqp5vlfwDsi0TXqiKJ1rZfBR3mNJXGq9cjwboHJLJoh
u/OT7FK3PGgUyI3tQYDHbup26ZXw2Y5esIU+cVVUFuJG+TZOas30wtLQ9RlldCKuYDX24X1SUDbp
8qufmjetSVSYGr4P3tSGjPVLB0gLCl900K1X3WYKWRJDg426if141ddkkxcuNOPSGq4TYmoXtd2J
TeWo4dyIfZS3aWMjJiHkLqGypvok2RwQcbUQtbeJfNq8iWKsm0YJr9DI6qydtNHDQXCQDkjgNDNg
HWUxibCYbswjJCq7USmpcXsEKAzn102Pto2Z9qI06gBdXGhuGukO0V3qKbZ31KsxuScXmvZKTHeB
y9eO895Artv2AWxw03mv0Oz0fnv2a45CRgJz61jLunKfSpzvr8Qu2woBy7G7CYQmVyaKyLOtBv0c
PjQSKH1IV7nosmMy6sGtgwCxhLazMSz3KYI7ibyaJLZOhPpCyRtaQoNz46bd1kjw95eyQe6jxZtS
026VBuBxQ7tz2csxXbcdGKpEcJyyK2bCVcrEROVaGlV77JGN33AH2Ojx7Yys8ri/SAcQqU7T5TcE
C75UTIH3dqS3TCH8t1yDzz2KQUVpqp0UJ4PbDbCWS29qBHXXzaZsZLnRkaxeF1YRA12x05tIRx2b
a4E/b0V+kzn1oq4tZTY2bB5eYG56K53y3RUUzwiMAQcNSCpdqGgG+S0J2eRLM0CQysDZIRRQWrt6
UJ97mc8Lv7tj0gZwNVUHDlvkWnocsGZ6L5StorjdUxR2HULdQi4Cp07X5LVHXyM6NpsYfeVsLJxd
1Pn9ph1rZ1nW7igW5UhqNRCm8rIzNHnwESYdnXY4VexU9PVRHTB04slM2nIF36Nf1HpaHRWH3JJK
i1Aem/24/LdCpWTEuMII9e/2o/Q/u+y5gFrwiw2Jl/6xIal4XhBSUQN+biJ/661Y1DQ2Rprv7M0f
DRQ40HwInSw5hEXsYxS9PxooNKUhsX7/Y9+K3t+oUY1v4oGPRSr9k0lYhFFHGNME+1OrjZZKAplp
KM+DQsmX4yDVCtTjqRNurcZPz4GwjtR3/skyS5JqLPOyYOJChph6ZUhxFZUEh9E3JjTIRwnf7n1b
W7VGc4jgzikt2tlUOziptgACxTxO9AyejYMKe29mNMmJyn4lPftQ+coqG5RLHuNbe0jvCXrjUF28
OcJBvu0gEkm3UZMRCkScmuUbWxLh7pB7zxWhXhLCeWpwbCCJP/XTtuFa/QGny9osNbw03q1Jy4bM
mXAZl92LG9RHCd+/Lo0nw4vXbV3vUmmtMKTtW1GcpO+f3IzYAA6Snp+fGjSKRoZzpdfvwX1vfBTn
LpuFEmXnUAtP8FaWbcOyVY0LX20f3aC68P3m6HXDvM2ctUD6ieb+VOpg6t33ChPBMkEPioq/2Y2u
8ywB0QDAvQ/Dlvw1d9GaFcnlIwT3cJHk48zKy+uhgrop++AMtpLeAwfm0Lo1q2QzDtVV4tQvqd6z
4qUnyuxDayUbuEa7pBw2TQHJxsuJBMtPpoawHzCh4Ykr27cZ3sMKqu0UcE3cHaOGI7Q2FPtCRs9G
Jq7c3Jr7TA1mcWOfG6U+eHqyGL12W0KPQT59Fbr9VlPlnUjoc5EKaMHLnBXIkOUkePelWsztpDgG
TgyarCvwZAyNXGSB9Wy3WFfygrCt3GRz6fN7XSfyIen6FxCaLslCpacWy2pwuxHQvlOGG44yPj2B
sgzPYhx7nFMoxI01+IVg5cKHXLTTDjltlVnRkKHm5FdRVue7FIDTvJq2Vi3WjCNa15bwNS2cxfQL
kYkiC6eOD690Tef4A6ELhf8mTBnaA9yDajRt5ylA1bk2bfE0nhhrTNt+MxUA2IhMvAPDdSCGYsGo
jya8YUWrcSodspy0MzITbp2yVmluNMMspNIIHELOxvC9m0oQV9FvFGoSIhkX7BXnkbBEQc1SVFG3
iCgFGLO8BaM4kgJwr3A2C4/lVPjw31IC0Xyhq+Utg6k6ypK7biqX8raqmexTQjE8xg+QixeakOlM
nQqtvCqaRSXcUzAZRew+fHUVdshWNMm8nUq1SHfevNx9Sgf9Fu/xG58fumqmVvNhKvSMnNqNMIJ8
YaYh3Z8I3X+bkz9FhUjYKj2VZOck3Z3oh/fGVnchFaXI/GDVK5goqDWDERl1EhenQXYF8XIUpPpU
mmbUqGnuY8V3o2qp+y0YQAGQF4/zA6G+XOUieVUyJ5theplE/F66CqN+K5V4HRKGPnfHljAcf2rL
9udAtV8Ae7/0AklW2Sfct7ZFsQKSyvbjjeeUCgE+eFlyohYKQ1/LTH+osSpMrLp5UZk00poKCFPw
MHjIPFxFfA1kQTAV3AOK6xelKReVznGxlypOQXlvUI7MB4hRo95Q1iOWp+LW56IuYbCX+Y3fEWul
hmBV8JKhEJTywSCohfxXaXN/Gatikqy7bscjGkTDPMt4LIEaIp82jPdERSPRSrh8DS3dIArgoCfF
FleKxWdrd8yxz31CxsZAl8pJjG3nq0yo27tUVXd15+CyUpi3BcoQzhrSgCNfve68em+m/o022BAN
SQ5M6Q/OHNEZC6tXDkHjaBz4o9vSpx8cJLm9iO08bq59P0pXZVd5/lzJYCG3KFHmCliNraAyJcYE
vqnqKGtMdCTupHlASy8hArrR0RYNl/lk57W1Pr4MsjaY/1uLfK9F/naWzSznP4cmqP5zfiF1+lcH
5I9DbfcLJluEZy6TNQ60HFA/HJANWmlUHoRMMPdGaPijHsGg6/Iah3/hqHS0eNWPekR8wbnLy74B
G74J436jIPnT8ZgJk2M6rmDqzpRlQqd+1FWWOuUvzCDvjLSfqQ08wn9iNyGa/ukIPk2lHMI3SNGg
9LEZ0XNxPr5HomWqm8dDf8J7t039xl2hdQ/LlZ30x97orQ4YzVCtuX+xlig5zEStdsxrHYMtkOTa
tY52abvVNvVkcWxKcuOR5RhWcZzyNPqlqPDl4r/VUIMgN1lmeafmHAIhDKLdV9d9X4zrEj/SsgNm
teb5YqfLunBtWDkj1da6CGmQgUOiSdhkHHEDxYNu6ZVZqKzTBP30dVqO/nuC+GtlfFf/O2QzLek2
Ta4AN+afllouEuIIvlkH6m82Avbb4rImjAa3/bgaFc2cKb3/YOTa3u/9cqYySIKQSGJWW6yRTh+6
xtJmdq2cGr+9MyPjpnCr65LBlpe2d5aZpDPHKjKm+OJQlLTeRXHAO8fY3YuwWjbBwuutPQHnM2rM
KcQwQ6/VA95jzxizYVea6mMehvgKYxtLblacy8AKN+zz5NqrL74VDXs/B6MpJHMBJ9bISMpAz7ku
oYQWWUcuOi5PGAkD7t5cAygY9+Sf71uprHuyzmsl8NZJbJaLwBjn3pgviy44Jp1pLKWBF5fibj2O
5VaWwZVvFuwjqUmUrxJR4EzY8ErbplVfgmVLrrOy3vsG8RMK6MOvQxuxH5ZeN6cVteoJrAfGHSwF
h30KjxTgmNz2eXHsBO5vDfwf/iBnTuOZ0FAvNK9NMWQzoyeYvkqR+qTSJSFNCrRWQ30srFahl4LD
kxbMOovVN2E1r4gInHUZW8necCGLkA1pBpd56iQLrReBiXcMYaWtKTs3CrU1jYmvkeJvR4sui2bf
1r6yjn1pzRx0VTJidmdoB9R0l22KdIlDe1jK5eRGSawu2uDyXDtdrQNJ5cKbqb2p1PZem6Rfuekt
bNd9oit7JMyTaOCy35mxejHyR1stPSYIvkZBlGuuPOuV9kbE7Ja2yMGQBDbbd718ypxxh9XMWZnw
cUvbvC1GDeth/9JSzTQ12esCH46pDxeeDLW5oUdEOUXuIxK0RwNVJ81q7eCKlPxPcQYbAcTVn/tj
Q9LLWKwgl984fXUronbZexhDTR8yRUuoLUieYZa0WJGzaMuZjFFwq93lin/jOMmtkk+Q+2411cq6
3e8KV9n1PRhfkqB2ReiuYytma7WrhZFpzVY0or4SXbjj++3NUH1it8fKZMSABzPM0DoTx1Mi+mjT
K4n+mOHceqicLCjn/TBIGOkyuuqlDQ+2j7WlAMWL8LH2F4UyWTjhKc+h7iDl0xV10fFYHNrcDE6N
GHGFx2VL9gzZudMTRsZXRmtqKgkL6byMFtYp37TuFKqTZVtZHGdyVK4xaTG1cCtuZsi/7dDE+8GZ
wgl086pWwWIZRVcsPEDAM00L95j7rpM8wrvbEWzS5hVKQlc8WBZ+bqtdFI0yLuy+SncOJ5ujzH0u
9shOH1nZiwCmhEBz8HnkXH4j80b18ojrOETEhHuHMGH0PETyEkPVS9O785AQQSdEngxI+Brt4aNh
5E9VEyGsCTdtWL8z5TsTnByuPAkzECnlox42K5rzTxwZZ41T6TOhFUg4u2k8XKVEdWGvraS5GIaA
eBR7GRb6a2LVPWcOMrbS9rElbs8UNXb3oHmqyDfOS37mqFvp0r7X0uqOAON7U8tI2O3D6z4eDqnb
beqChqfShfce+btBxyPa98dWJmsvgf6pxtZVXY9nWmePvW+eslDMHdHed2OJQhrzmA2LohWcbnoV
74twl6kVPZEuDcsttNZQ2IkUjDmq1k6w9Sqi130DKFpoWtdIdLiCsRahNbZvkPfuagOICkhIUi58
Tmyk5CgIvykI600WevcmtM+ZoZYbc4oxEgPpcD2Gcr594tsHSAabMvJ2Wm0+unnLkCWb5050pgW+
iRLy0pAjAZ2PnhVHWRADsGmw2M8gLz+rdbTjWi+CsUflqbs70QyXVa7yMUW1C1VlU5rWk8TS33LC
F3V7TZrSghHZuKKPnRH66l+oon+XKnIk2PZPqiC6QifGnoindSGLmyStyVBLsw2Y7mIDGXYySpOL
oOuY24MnS2Z7teRgoOtZvUoTVZtlQnQXqg4On1wMYxk55UOq+qTMqs5ZJbaPXLqi2Fea7c1rv09W
aEm+BjF6btB2ykOXW9wvdCeXg0pvzRBB/ApI3F7o5GIRpz3ox47soPcPvaL/i8DJZfTo6owF6e3Q
zflk6WAGriUJscenMMQlfRe5L8L8XQ3Vp7eYKq0PPpuBu9iK6Fue1AIJHSf4/AwI7++/xmRt+l/z
6JvHiq9hTbYDeCtAKn9+D11vCLB3A++swpN27PNY4yq9gQL+928zuZo+vw3qHqDDaDRwOdBd+/hV
vCyEyhK13rkBOFBw7qxwVivFbSMuOsgaVsXBx/zutPp3zGZwdf++rXl8Rqv8i6YmL/yjqal/UYGz
YfifKv9v8tc/DhE6lheoUyYkK2ZtHw8R9hfsl/qUEmBhfeEU8b9DhP1FA5SGqEaj12n9pirsT4cI
m8MNrhpTt2FYAtv5+X6pmq4pEmvozmp2UYKBHkL79+5IgIgcQuiZmtM0EbzkpyOE1dmR0dhNc65E
yMJ+p6hk1F1WYqNJbskTnpIPP8Iv1gv9k9Z3QjD+/I7TM/LhcZ6gEAGrVIMjtyEh/ZtqhzwwFDzZ
JObpyszZtbWZn6xJ6lNZKyskGreQvTSXdVKzB07SIBRI+tYygJsMBQgbrULjZjj+wcxIB3aIPcpL
9bVVone3Vx4mulymgQ62MwZVoVcO83QgHtUgO3xZsoKChw08tEDWugIgvjJN20DXGmRrOfTpPOhh
vtslhVk6UmGgQbhWOsKFmuDKoVEMUI1gnKA9KIXkVwoBSEgnRz1XL8SAIcnqLiXgJKoCY5Nl2kXr
s1E41jZVGwqN0NsTMggLTLktyW1FkffUjsZFb/ub1h6rpVZX66Am7jZ3dn5g9jPfyroVh7lqLf3h
mDX2eG3XKuR58vKq9DojAnVjFaSpwb3YFMCE6ssxByEyb5KSmPnYE4ea4+SJ2GNzIyo2Kc58xQsq
pAMRQEdYKIfcDrZ91KHGluBNotMwWvcM1EisZdoD7sBYlUDagcm9EihjLjtTHPtc7KRuLNooP9RE
/IF02g5GcKGOxTyV7LP9cGBuegDSjKpsTNS5Z3b7qlXvobVz4MimnOLx1ox7byaTgZSIJr1Io3oN
vOIUjdFOzSJ71ucWo58a5mXRk7yOLFwlvSBeVqF9W9TogUNF9VZ6kmOdarqaUFK9unSwPR3IEcIw
Q7B6nNAp7M7Cd66qBkGl5pMy4fvlSgMqIePgokmV665N4Zjzs2RT3lPggpSoX20fyI9mhZc64Au3
SZoZ8FKANdYCYsMluTws50jorE6su7JdqTDoarbkRFMXWZZdj6m4SGRRIECEzVLHUXvVD/4Viplt
iW0LvdoD4Ll5b5slkAzFmIdB+Z4ahOaAnsCzNhtHrGZYtzkitW8qmYwpOJlCaMALbBcEEbguwyC+
SemwoHgXftAehRluCjPBKWUuYztF6Sj3VUWaBZ6daqwnOswJ+/FC75Qtj+3l4Hi0XAOax4aQKwbF
d6KswH7gpi6m9EkQ6MMm6kxCEWLGqPQWCQBRdlE13lR5x0g+rmnIZtdhS3Z0yI7WMD8G1qM/u034
HNrOMSOCcgZFIpp3BGqRntwxcpWts/m2zPy76Ym/3/SaGuLdn3e86VV/7HggHVEiTQWbOeFQP2jN
GOO5jORcXB2Uong5/9c2I1wPkzOISAzb37e1P9pmk+SEmd9kGyXWZ1JP/0bbDLvpTzUSOxH+TxzC
JkWSykKr8vk+7g+tnup1objDmflJtVKVOF1WCM0iYFMM0vaMLHpzVrQmTBRTpvmx65prlem86UTc
1BOoP/BV89CnfUE3WE9nDb4vQaNwHg9GtdK12j2xhGYblCP5pS7KfGaJWtkj5jDXVZg9uCOPFFEU
X9MCY4Tmj5dJwLFEdvRslLxl3udRIMIImqdZq8683I7mQdaxNjiegRjaS0E96peRocTbNuHRTti5
1NI3N4rd4wsxZLUlIZ3TnWulJoin6AoC5lsXFdc0kg95wligVC1lG/ZKv/NIm5iPtZuf1cZ6Qgx2
5Rb8FalFRwqajuQt5iB9Gi9k5x5VOtxMAWLi/9pLNQLh0+S3bljsA796Yk1Zh3nChx07neyG8CBM
lCxNZx7H3Hkd3RiO20AiiaO3cJ2yDJB+V8yVpsaSZjFHZLwT+QaDJSdbSdQLtlIcUz1/CINJ9WDk
csKtlWwHw8sY6CctKPkHxlcBhs65GhqFc1EZhAytSfhmguPzfhyfiBJkS3A0+lN5tqZlseKss9bV
et9o7gp+z9voOMHStFtQJCa5BKWNVbIiZCJtqnwuEnR7pdPlG9fjXNbp4v+xdx7LcWNZtP2XN0cF
vBm8ScJkJtPQO00QFCXBe4+vf+uquqootpqMjjftaVVQyEQC995zzt5rP4I5Ow3kMbE41v44q8xc
lu+hZfrM5oSdOHoBPMBUJ6o8K6NT1usrgnu5z092rl6F7WJuLLORiVutr+N2fbEbsk0VInhc+nam
24ogodKs9qPaP6RpdT3IhYyktiaEKE8Dejdkw7YuNe92UMzreYoe6Vs6cKy6Q0QIgzdK+JRsk8fV
7jjiJFnUe9ayyjsrLxO/KjpofFHY+0njPNRheoWRqGGWYx7CyW69pYFJ0xvJi7ysFIJj9WLNGjm0
MyypTgrXXdhXujf1WebXEfSLgjnORlbW2pv1SEc9H91aocUzhZ58RxoQ4hnIfkPJLDwErYb8HOga
mMxDLk3XphI/AzsNCYEtbJ+GwLEw1R1SUUbgkXM5l13n5ZJquFZM4J3IBTJrpd8YZMMwI5wvK/Se
LSkfm2XKXolEfkwL7Wu9TFepCMZVouI7ixQT5agQM6LzOBmyn9p4D8KuHI/O0l1ptfYN5GTN3hrv
tHz5OqXOeVbLW8hGqVsY63PO3IZgKSMKbCNNgzpiUtWH5nNXNWzV6FTTNPuerhThixpu12EiUTiX
zE2nE1nhRMltFUcTL3WS+1KdPZaAhNBxUmqO+ksrp19I/aMl2VeAfSoCEZMK9WplP6StBLxtvKCy
l3E/GARw1hdhBRhrqAasC4qySR3puW8AhaXVsWqLfDNZRJDgsHrqV5V0jEhzdmONNLMryJKc8Hxs
ms7RL9Wsol/RCDnT/7bFn2MlEfr9QS2YgP1aquE3GyN/93ZjZMaCoRFb45/Syb9LQe0PC3cg7hwO
t3CEqJL+NU/SqR8xLRqyiegSUKvOnvmveZKOXsYReyZ4exnlDHz7/2JjRKf5fmPUcS2BoxWQWrya
JqrPtxsjOa/0Eluzuppb2QrKUZ82eq0DotSnXUx5QjdULOfyJF/yJeSDnBcKwGGAZ2A05eopIaPl
xChp3nSa1hAcYOo7Yx6685SF9be6p/1n5WxAcW4teFmwZLo1R2UsRYo0X3Vt0V82aao/S7LZB0qo
Gtj9QgV8XBmW54xZ+zdbim+WOTcuI4UGPu/etF1ts7jv7cV4JvervZ1UYzj1XWwhgikrdo1BygLF
QBipDTLncK1Tv1fGkD8Zcl7uIgMVCeFq3cuIQJYQJPYBq2V3sFJU4Qxz6usJu0U+wBqlgKu9cVJ0
hIES3KlXAIuxflBgDi1zQKt82NL4h6+sR04aE3YiCMwNy0x7acU1k9xImWMi0hxq0knwm9deW63p
bDv4sjZypGMnAhhL/7skr6ye6CdC7UoOplTSyk4GVib4mU3hq5MTOJSrz+aUay+LZBkV4ymzDKLY
NC6WAZFFP1XrC3HV2PxLCFWHaAJSkESKsw3rMfrKk5S4crmuL2EXr99B/z21UhOUUXIhWTh6CsUc
3clo651UTxFmFWVYthlt8EOk9Msxq2ZUDb2T4b4iFitHjx8lQVf0GkXpCOqC1LFH3UowXDnKvZYx
eqglWmsxezF7e9vvzLQzb+24Lva9BHejlhvzPDuN7BVqRRap2hvEg3Ry8R2qmvNVsgjm0fKeFKq5
uEQ7LnltPzLml3B3+VPeNL0HwBTpjlSBW6jD8gaJoVCBruaXCBO5tzpWej+HWXq0yPA8dVKTPish
SslpFf3vbK2e12GWDjy8yBEsrALU8OET1JrpvkxbfFPVTE0Oje0qHjGnl45GRmKp6yPpxB3O1hE1
f+93s9F5FP9sABHqHGTw6nfHJBQ31y6sedKu8dwBhQPHrXyvq3oNGlEJOXUH2Hey/wXW/1+JIpbA
D9biP+2a+Uv78pvlmD99sxwz1yeaGxUoi6cwpv+9HKt/kK+Ogh3LjC6W2L+XYwK9QXKZGk053SJl
gzX3r+VYw6/J6q1i/qSUFeXNf7McY/B8vxwjH8CTg5CeFxVBJB/i7XJsKZGS561REZ2EKRvbssDH
CFnMDF5DnSNlP2GmyzUi7wpOySi04ufCsS6Y3JET1zMQrc7W0OzBxF+uUujLqM8AOFrVkTAzFHlJ
+7DI+pPt1LJnd4z8bKn3xyW7+5N32a+8xxELSJVa13ME24GQspT0SRiKIABtg4G9MsvnlT6AhwRw
3MZEWLqZQd+klHvIvESqrSnVjxJBMwQovoYVQz/ZqHaDORWeFAJxQOMI7hRYC7WY4cVzP3vjKN+P
CifWdPEnte9Qi+mZkO0D3W6NVyjXsVuLAObGgac4jOjDUTolm7BMXx2E+f4SEqg24FNFDMlkt9TD
fV7TvEC/6VelJG9l0iYPhiFNR3jcnErHonT1Nr1PmoLpUI5/ki7bJdJ210iXZDOtetCbwx1qABNr
bHMvVBc1rtKNpsFTJiY60JpQKJTKwSulvGaWJ5NOJ4TyWTOcas75UF6qPCASEpG3cWGU6kORjjdO
yoSfYZxBPJuys7SGyWiWfBuR30Xlel5VIhEHS6foS9unvJfckKOfgAEcB5LMN7WMTTIiYERaUYFW
GUHDXcWUqO5TzctVc5/25nUWUsloE9mP5EL7jV7YwSRVr40KdhMVH/CTydcbaYvL94jv9pLO6UHT
mMQVendgOQfzOXRXTWKSlZpxa2Rmor5OJdQxWO7SYds02skyYnSiTiW5WD6rXaaUXlZL2zaVrrK5
6k5rhhnfaJnqDrZ5w7TnhK5EYIjHmQKLWFEVuPBGq1Y89HrfQTmV4Z1NjNqj7m52wMSNaXmK9PDL
0hDCmEs2ubaayS4kP+hN84XazwJZl1K89KZnJ9F1xOxbmYUMc0Yj6HxrSZ1CbtBxDztzHzUIMJHo
Hvuhu0yqrpGuq8rK1++cLoiMRAbnZPVDFlIXjSuhhkJYWA5ZfZH2znOVyTfw13GALm4L0bJeo4CW
sVd304XTS0Erq4cqj89JVV3MaXcmR/BqLBlXYwNF3x8O094MjR9IDgaaxZOmb5MhtNgmynG9Vc31
FDU0X5WcnFpk9fNm0kyuq2+RDm4n0bKFurOb6OG2xnMnWrrF4NyXNBNzer2t2lKS9QbCNmKp6/Vq
WFXUl+jgFmO4ZrGjDoJxTWYrc1CQBSE9ZQ3KOJAOBCpoCiq6zjjShX/mdq1nAMuiMR2LFrXa9rwo
hVVunUihRyta2Ro9bdAH0a4RbW5VNLwr0fqWBp4cIPsprB8a4wUdcptOuaWXPyo654VooYOeeFjL
6GgoGT4e0WYn4h3CizDpWmn91Ra2XQf/LrBSlglZviqEtReQkHI54fbl/IQRGf/vIIzAhTnfaMIa
rOERZiAd0F15WvAO23iIHWEmJpLYYdCMwXgeosdSWI6x00CKWJAMQjWt2ysHb7JsUmSLTquBazkV
9uXEzHaVMDSTDnxvI83lyqOrOfqdIszPsbBBr8IQXQtrdCOpp1mYpS1c0/TMd7OwUZfCUG2BKlWF
xZoiD0sgrmu+K3PsjNAAhyyDWFize2HShsfoK7i2I+c1wcPd4eXOuCfsA6C2hc27x++NBYk0Tgzg
obCCI5BsN6Owh09juo2FYTwR1vEFD3nCP2cLU7khAiZxmcepmm0QRowHXVjQ+UExo6vzjej0KEUd
e3jNsZ/Y5Q5qKzIYJsb7mTo+lLzMBlhFJw/Lj/VF7taEcAdM9cINHxGnKcXNrYpN3hR+ec6kA4wv
hAwOZvpMjSGBdQQ9G/jsx6Y5RcJ5T9vkdsCKTxeOxpjWbAdM+kZWn9FU5Psa+37UzzfyUvlkSyyM
pa1DhdFfUnD8x+syBBMQgMwZKDws65q5feqvOd7C/9W2f9a2nDw+O09tXtqvvz9R8cd/najI+WGK
qFs0b0go+TnQ/PtEJeMyVmXORvRdRXv4nxOV8YcoiSk8TcfGxSF4fH8JJrU/hC+Y5G8NuwVVqf5f
najen6ccg0OdMDqr9JhhXv56ntJiHpceDdQ5Jpu5O8/z85vb8pvJ429ObIKjqmFCIXnSobXMl3x7
YhvCTodCPg9nYOyiF/hjqfVzHqY3Rtv/gDrgteT3eIWOPU6Ryr1qObu2SQFhgQ42JZMga9I7Sqvd
SZ18lw5xoHf1N4lQiI3qHNEzYzHrkRqtcX6pjIqRHbWxb7TLiBRwAIbJSOSBqrkGfI0FgOCydptJ
NvazEGXQ9zppP3UaOKaB1grxRqPmIfxBBB16p+IeESKPVMg9nEx/HYQABEVchEQ7bg6KkIdEin1p
1ZbEEbB9coSEhJY+2nYhK0nnSWHeidREEaITsl8OIyoUzC0o1Ig0FvKUSQhVchQrpZCutGhYQrQs
GpoWG38W86fyiyTkLgq6lyKTLnshhOlgtgcDiehQ0W+ttNhIaGa0BjcdGpqyHi56IaoxUNfMmX2R
CrlNRDaFgv6msayXUBkngG3pLnIkb8iSl15IdjpLx4Bp73LOeRKaHqMkGht4AXnjFw6an6IxjroQ
AbXqeMq11TNRB7V1szOFXKjSnYdUCIjWLL9qhaSoQ1vUozHCyNCTO55e6ILPLGRIqhAkaat+mwiJ
UizESgOqpUXIlwwhZApRNMlC2lShcRrQOk1onvgtKNhLZKvI9y8IdYbaPj7qJM2TXXE2O5qP6KfQ
k97EQlA1iNaKPp5ilFbVMu0jTJxkFHAyQIuVj9MxVvNbOK+ErqT5I0a3B6rfRzMcggo1l70agTS3
X5hSEPTRw6HXuueKL68uxQzwbf0Ge1IcOly4hp6Wzcd6SsEtNRHW9IVipP8pLCOyPEJpxlsQAMZ6
jsKQQVzXp4HE9N+qmx8LKjUbvJ6Oam1o5WcJFVtnEf2SoWsb0bfJRv51FXo3IXyLUcBlqYgcFqI4
XbJY6h3h5EAul0CUk4viq6MU+JWEqM5eLeOEnLG8SBITKkUNlgI5WOroT4MQ5UFcJ1hcCPXWdLqV
Ue5JAxI+tUHMZzScchD53sxC6DcIyd8YyYIlqXVIhREEqkQS+RMawahHLJigGpSFfJAuDPm5QlIY
/1QXjj+VhsVP1WGxSBiC0mRMzrOQJTZMlj0sJAw0szpy2z/li1Xs6TG7dj5Ist+vuF9LIXiscGf3
HOvkQ22KWPhF3fTkJPQYNmq9Rk8NyWCjaIIupTbdDr1s6kfJcCSFjBFVVpe0oowt3XYqsFllSqrn
tV8BBFHRleWXFrwEID9Sd01BEtFkq1+NdXloQ+3Fypod69spjZXCdRQESksuHUP8PsIVZKBbNGa3
zyuEvsYgCYplmD8OhL1PYzsBKzUvdUKxWVncNtU9zVIGr6rLg9VYLIgKH9qarsuBcLMaVxVr1EXU
hLtca/x0TN0aVVSOdDs24hPpL48ZhiTadheTE+YwYTLobIQ8dEnvTnZoHpSeVmOoJ9ZXumWqC3q1
g2TTTMVdphRTMJIVomHydLWVAwwBRegkk6Q9rXZ21lR05k53rTRkBuUd6lLiwynCsCsrxGLTCoVk
b7b7fBnvEbbfFWqBvGEz5F5HGL2/TH3hsOYMF5NsVl9Kxnusv9IPDviytwyU61wOD2pt6pfUmshB
lswakWjG45b08IUplAPIqOEK6pDflQU0bCQ/zsUAIeyCYzxWbINa09Ls/cChaaNX1p3RVAi6gPtz
1FW7xlv0EPdx1tyZ4XJnl8b6tIZl4uZD1QXGQNvOIiump2u3reWx3FZLU7k5f7hpR2N4ahOgZbO9
JKtLocHZWI/7nY5La5NNGO3tgkFQUT2bY70nQCWYrQUsZXVJSNZF1iz3Mkb8kcESGOf4fsjVO3to
nMO8zOO+ktLWq8J8QcCSEoguy88abW8PGXfzNDC+8eqqWDdZzINuJQN1SKg9qbPT39LynQMO/Shd
B3nxP96eabz/Ko2DlEbzHdUUOHUNosmvmzODKEbPUVqee/hVmHv3BrqZqe2Cjy8jxtu/uQ5qJzQ8
Gq/9+0NAb61FFsXlucjzE8zfe1YlQlyKLyyXIDgWR6SK5LtxroPcznadGoPiUze2Wh5YqY5G2DHW
ya6hyd6Yjexr8eAOTr/BQvG9GmgmLrwC+mqfTTl6+fij//aTQ3OxFF03iDJ41/83iqFK6OqW5wmw
YLTcCWBJXB0/vogjBF+/ShStPxWdUGjAu1rvfgdGDPVSZMN4rqO424AF3qMT1/E6NOwbxLf7oTQ+
SXQHrgkIxsMg7yd7EvFhNQuVJl+vaYF0Zh2uh1hzbkt2paEaURHhntCZursGjFmSWKJzIiUXaLq4
5yrvjVkgvFwEdwuswEvW5y6o1mS7Yh8PO8X04zyBKtZrr1KrBsYMBZVVyQRb6Chu1TDYjuEpsBVx
tInNPVjB74luvSCmwWgmEwFg5SeCr8aNZS3STlam9ASQr9isM6gHuuYJGWRo65QkeggHpbhrJvwB
jkLtWxBr1Jk1TXFl8skLcakjKXZTi/GqrF4aslV684pqSdHyYyi/DHowGNaedfHZlgA4WHSOFqYm
udbGflmXtO1MVOrI4Vedo8fMa+YRzFR56Ot3bV8YjFvmC4gyL1mixq/U6lvZxLBn5fFJrVbUB10T
EKSDg45ysDDNHEgGMiZznQ+N1Z0+fhyYVv3meRATLx4HYbAWLNK3h2YQlFXJ/+vPiB5fNOp0b0UD
cTYl/Lisp1+oEGlCdrGrmDOdnRxyvJafuCvrBpE7rJmoO/WU/9OqnozKftL0MmYYYTTBMMj6vjDU
AToBpo+R7DRfrvRip7Kpe5OSiNgmgNQkC90QsoYOz2huowKSA6FHmByY0mzg4ZBY0gRmsb62lfni
wN3DvlFZbluo96a6cHbGw6T1imfSRnJbQ8rosJhPKQK8KVS/ERefbeqJZcDJd2Y534UOU4ixdZtK
uzWNhSek3gyLemuM4ylL49smMW4KC5LJ0j/ZGWU950bZNxsijuJm9JFsQlEz8JpqqeTJaAU9xZRe
JJ4Jpmnas6JJT0o8Nl7Tr5ofW3IwrtLMgKjyFb3dysBLnXKEl4lFNx49PcOTaNvTwWpTbgnzDIX+
5ZD3d9pUnx173nfAhrRJfm0gAZVoHIyFzznQ3xuzyyqej1ZpBhOCgNgi6i4BsKI6yTXNv2wP9d+v
usU389Arag408AepS3gZR8m5npr+ByyyEEiJoLukQd8PtHm72FOj3lUU0gppFCRaw6/EHN/Xo5W+
KidUGHpHifDGTJkeK4bmJAFeEWaFS4nAmAydDbt4PEU7W8mfx7oLGpCszl5Hw6mwa+bhRFQUKVNt
UXsDgyBinaRtOtmHNQWY4iAEmBT8Sp3MoruqSpBiqjcm+wrA6i4qe2ZpzbEUNJm+zyXSpxCGLLl1
oUfToRahg0Yl5A11gqGe7I64RvHYUSXkJlSMwkdOKUIar0zDt7KJc8y5mANzCSos0tb4iC4PV6p8
AiHQgv3Qj2k8kX8VhuFhUEfL7Zj6u1YalttpXL2ac8OuWmiRk065a0dOIVZF78gKR38MW+WTre2T
N1UTA4u3wtrYWVKnzgaEs8hIu1NRzu5MUyucLrP2BEN28/HaIMTq73eKNyuDwJn9er24pLpgZaiq
74r1bZxvRudYRk/YyT++kJBT/9uVROwNMT4gh3RD7IxvvtnU9bBt5XE+r8oS+XVCFhMouzuji6p9
XBG4ks3joa7huFZwOk92w7DOTCvYJykcnIl/18UT9oMJ/vVcajj4tOFBSqpLolRvc45vVD1u36m3
M2YVr+yjoOiTL2WqP0pxXt9EAxYsA8D1tjAG4ZFirqD4iyJPGPrCbdlr1iMOktuaKDU6KReD1u8T
TT2s0bI3audyymj7sm1bRItlKh1aZM9SbLtzrTwWdesnebifatQiOTDe3iheVnkx3HyKnpvZacmG
Qgqkdlr0yV39VVsuLA8M1d7cVGGJeHNTYRSWSRva89mev8Tr18X+JOHls3//3caBcI8zcpQthB/c
1ilcd+3+k8fi46fipzv2zRcozCKTMzVazoZ6Bepnw22S4+XPruJ/zBT6d2OIuEtAYTmSKghD3j16
M4KduCMi8+yortq/9lPBmeQ+ma1Pfo2fgTf/vE3IHpGJW5ahsNU6HE2Vdxda0gS641qrZ44xr2xq
3l0ehJ7kj5vEfdyUm8c9aV3HrzeJGz/M/gsun6+80d1O2398V9VfZSZ/PhdvXuv3yTzOmDi1w9Tq
3AejJ7uyP98O2+KaIApfILADZct9DpjBbeRN7DtePfr6uXz9+FMYv/sUb5/Od06ZPOxyG9Ttcn6a
96oPFDRwrqwNLoVN7G0fDfdoesXWOcfBvCtvjd1d6JEHsWPd26zbytmAFtvA3/Kk47Art91lzIRk
E3kP1WY4y+6yNfbOvjpMu/a+CG4//ujvDQ7/9mK9O0FLapfktZTwXG7wmQbd9zqo7xSvcVMv9GIv
8cuguKi2V69Hf9gbLgV7egGM4SI9Ry6bjw9J/FvoPnz8qdRfx9X/9rq/J1EnQApay+RTxXtnE7vr
rtiGdyVqeggNG4ypGzKUN/nWPjc79QuNNP/j64vH95/H+6/L//MevVttWGqkpauxqstr5VvTdFil
7DwO8r8wo//xfRWrykfXebfq2ImtjeNKrjNn6s04vcrzboLGpvkN8iKpDj7+Vr9f4/7+Vu+LSQmP
n2Y06XCGG0nld1NH1/9/F3hX82mzTVYpwdjnzDioKX1A5zMD0Cc/zE/V2ZtVVCpqu7QWXrSqPndF
FtQq2Rn2J0eFz+7Tu8WtU/IuHa20P8/iV1lzFzOq+/Gd+ux7vHvAhmrtBvgcy3liZp0QmJ6BUCuu
Pr7IJ0+X9W5VMsNIWmjOsRvMpqs7kH7zHrHd4FqAg9NJBSydfHLrfvu9hAJGYc4iYuV/3aZJp9fC
OumHs178aNOAxGWafNuPv9Zvf54313j30uSRg+Qq1uczYSb076+L4pOuwmcXeLckrlkxa2nVjGeZ
RRuXc6bln9ymn/vjRy++2FDePMdxwtAnzHmOqQ02jRtdjLvsRIngXiDF9nFcborDx3dNqD4/XGvE
t35zSYX+n9KrMXvUE41hYodd5qWbZjO9wCTYj5srIir4HxvDL1xUetfS5qb3xa5+9dxcaRdU7Yik
/aXf7Eo33n728X67kb89urx/cpJ2komd7s/KpdjIpQ0MW31fKu4m2+reY7m5IPbh8ANAhb5p75cD
KJ5PVi9VLE8f/SjvfvdR6sy4cRbOEt7ord6yblRz4xxy7wYPxhGOpPesBojL6dgGcLS2tit9skJ/
9hGsd1WRNA+SXk51fyaOZjN7dDbTb0ZANMRh+D7var84WltpK/2InjV33maXxNN8/+Q5+f3W+88u
8e45yUYNrU7JownKMCBfb5OIU90+c+8Iu97vAU9t1jMmi0c5qLwiqLfW1bBpvcGP96jFv+SfrJQ/
C7N/+1X+ed2Nd7fElhxmQyVLSuPrW3Nrgj0N4Kgck4OyeYWJH2Suva93NPWOs2vd+zang9Lvt1lw
m3jikPCvw8H/pJBitf5gdF9BiaUJ/D6sT/zVXzN7lWgKnZLXAi2AL0qoDP+e2Wt/YFTHcaUylf8T
Gv4X5MgmmgLiILuFIuSJb2f2UIAtZuAk/EFedEhj/K9m9j+Ted48S7h50RIAObJllOk2o/tf10Bk
YUzt5FS+xG8GLsSwmYVqmjm8tungjzoaZLkIs50UIk1KFech7Mk0DlsAbYZhfe2L/NbCeI/STfXw
tsmI9JKvDNv23dgcM4n8ntYAW5Q0sB3MsWf7U75M1hxtSXTrDkXT7JsRSfCaXGq9tCdj+wSaa6O0
Ha5DgtDccQEYanX2rkwQnSDatjSwqJNZuZW0XoGyC8V45UbVenCHFo6yrITCKCnMTaQ7KUYQF44p
a3qSwOwwD3n6lCfLlykCeJYa6U3X0g1om86FanMo5IZ4DVCwS1WpJ7nWL2N0aVhv9MOKnXksh4Pd
hd9qZzokKlauxcyu9RnaWlSGEHZIa49U6Rkev49PVXkh70LwhG1v7dqHRJW/RRatOSKLGhfx0f1s
Sd8Gg6iiCtJtltmnJY9iX+E7hHJ2Stb6BS9bF4xhlvjT0jMqUBvYQkZI5gUcn9Yu7pFiX9Kv/AJQ
BG2ZpR5nu9n2egZNEKYDDVklsLsImIVxmak0vY1p3Q2TQv20MmA3nUBYx6Yx3sq9DZrQTq/BWOju
WM5Hu1uPE/AefwrrpyQ2NBdtfIokNHtoOtwFWdY/Get0gO3cQjopflR2e1IVLTrGGREbsR7ThzGZ
6Q70Gnt114UYnLsmulPzdi/XyJRsi4zHyRxqn4Snb2Vk3Ubhsh0y8qxRoV0slfrTVP0dpvxhRX1v
pv0j/21XVowc9NFGB6cy1Y/T/qrs0vzozMWdeayUDE8QMfMmGhgv1sLYs4buR6E0u9Rqt+ZIEmQ/
tBH51tlJGRq/rpg7yhnBZ2x2t8rYbqHFP+uLggZvgFhtGwfMyY7bV/Rgy7K4HtJ4CaAiBnrPOXil
FbjEzFqhU9hutran2smZMBWi57NoWzWqDpmhB7mD9ziDlqtn00Ua06+KW/YTh3uvh4d+NShu7MRa
Xoeoah9jyhIvjhxgVWZVWjdqzdkygipSSNdy7TQ39MSLfKvMCbBQOQCwZDJNCH9k0fw9NHBKxhVp
6XJjXVjl/NCZ7dc+wy1RV9W1FaE/iLNrBeUXuCHDZXbo1bNF99QaAVDLLS4sjhxarvPlIFVZlgQh
Kt3R+NT9OMS04uTW6qZjV7h1Ung9hFLNXF5mE0zTPH+xQ6YAznLPD01jLpX2SyIdyybexpm0LxGc
kPLsRmnOsD7cpShpMrsERGOTpKmvF1rdPypNCzmIrr9K73YsUPRrCT39hEBK8u7g4FjbyTE3RV3w
gzz0ZD4t8xDgM3fHYtgnUgjUu7QYr3ZenDhPBfYxfKUx5CIH+muTQFkrTGCIGdq7Rj5rvfPa4fmW
e8bIswUbVXc88JInmuZ7kP4142C5PajTxG+LnkQadkPXvg7teEkAitel+p2c4H9zFhL1MgBiulH6
esZbKIOgamZhgszkW2MIvzMN5+kcsWU4kQ25dNwpkTW7UoORXyuuQhktbAy9KE3I8rGJ5Ir14TRZ
5WGWOJ4WWe7qkc0kCn+cae+GknPfIm8J6CRAcXyU1XofIhAkp8DyszRn/ZtLiXFVdaMx4sQ22l7q
crQhpHMniI91Mp5Dc71raCCgq7kO1eGibUaQSbjLZ2fx1lUNTLP1NUnZVwSWeV1VrqzCWuAY/QGD
S2Bj1HEd2EdNLX+l54OOQh2+aIBWXZxC2h5905UivKJRdK2s9tGxlxEhgZQE5jpdyGYGJZogFxQb
pCpIiSDCGsMWeumVlktBli9XqmP/0NQVwE4N3xQPSGtLQZI0pTtJ/eXS11e9Zd/PCbKVwgDhOheG
Q3Kcmj9lWrggahp/pN0AV05+yIcSxXZ1jJ1u3IDwuUG666mY9I2I4fug1Od45nyXrveZojLjHLMH
VmC/K43rVgqRZ8nOs2S2j3MzH6YixtE4FBaxMrbbK/FBhbQZz1inMPbrvdCS68s+bIiTETmzi74j
OTV7GDFlkjwjlUogrf3k2rPt53KyV40MvflUrN5cxd90GtzeMlYzcgjlxVnXS6VFIMVxIfIiZiYz
TgH4rs0Pqx8z8mQplBKL5RLYhUcQ0mOVqldVod7AI4C7XulMKbtXw1a9Hg2EJS2XnTnvV5X1q0VB
AhWgvJ8X6aGeq7s8Qbc6lZpX50i4bdAlY2auLhNxAAg1sndMoNdtn2LoJQRpp5cyGHAU/hDIFeID
PinRVFH1/3M8oatq0bWFnWKCfMQ4Z71vPDSwXxZHcy6V22LzZATjVeOiz3Cdl7ub7gTKyq/cfpcc
jS0Cs10VxBcG0NxT/GeB/b8Drqgd/vMB9+57/PK7A674q78PuAoHXPTsmHZgB/xkWL454MomOgcR
hwZAXAA+/3Jdyn/oJK/ZULNJpKZzzuyJDbmP/+//0RwAnyJBGlemxR/9dzEXhiKq5F+eIIEUV8S1
mH1DCRIl7psiv8x5rnI+xuVIhnTnpZp2HxkyYOVSIkg1gs9CVoIhjQsi72FPNgRnxwIVmjI6F72R
mW7NtCiIUjRAUoV0OsUGXCoJodFm4adD/RqpM1ZhrIlEK5tmNUieJg0PHQKlmwW89tZsTfj4+oJd
ZLY8s0FCWjOgPlEADBsjUmmBW8rXPux+yOHQ7+qpxE+dKgSDVV3mJ/NwsyjztQUY97qpixxDymR7
uCspMfFmbnJHJK4NDvsnfX9U+oVvz1mQRoO0U1KCpVMiqQiUSL4poLlhDYx4YvoyHVmQ2CmxMISb
XmPimIWlchmqKVX2UPLfYqfcWYjSNjWXX5McCrAlK1wFo9DKaWfTanbjOdp0yq3wMq3ii7lUd30L
S6Av1ZcefcfBjDBcV/1oMGNNbyqjcwHzHUZJZucyNebZBe7qNUaB2w4taQqczloyiHywvff12t06
bbursY3ujWa9aqds8TiuPGJGea3a6kyIs7VplfgCkOuV0Yd30YhkbwK/MMI3b2t9Lw/OyegmQtQ6
yQScrVu4PKqndMovYIQ/z2kPPtORfsyRjc6ld4IkH78YpfO9LskKVgjndtOyt6EFcFvGnLOAFkfx
MSHsFOtRl3xRy+rKXtIH/DQFJGR2UjKLZuJQnIljLBqKtesezbF7ts3ZrXS18jOEhGzBpDzUefNQ
aQDgCxlDx2ybkdfJ813FT5/n6qi5ySj3frkqMGng9LiRPlzVHZIU2ZpSH1DGq173T2OcfSuiUg9C
TflW48EkNy8WIHmVo4oNBqm0xsCctdBFvxdxeQDOg4ykRg51bAWJghC11rW9RA7qNrILckTs/8fe
eTS3sW1n+6+c8rxVncPArjIycxZJTbpAEuqcc//679kM94gkpPK54ABf1YUHto+kBrCxw9prrfd5
MxZCZv8cYDHrUfWgCTSMAx1+roRVNGvM6meX5iafFjcV1n4+zdMoXgSjBRHfBbZTOrTZBKwRF4dm
DiB/nLlKgUFJrdGh1S69lqDTt/szrXVXqpGeE6icmZGNGUWwaNQD9EFud+LwTDq+r3JITFNzsOAo
mLeWk5xFaYEUXwuHmRuS8qFkT4PvpkrrO5psgPX08AqyMHfmleWU08zBVq4O8cCL8hNAcctKSm4q
rzmICu+4JopcKSr1aDCfatyu9AafZ6tzmO19f5bE6nhoy/G9XwWnhonM2JQ76yAsrGPVSU6DOl/G
koZyqxpUBGIRjHyTXiTPV8iEeUpw0ITBsdoEx0g+7mMFoonNlWhiKu6Nbhm3TVmdqUmkExtnzqwP
FZPucp2u6BQPbzADqOWaeunpXOYc+oOm0pBcdqZ7Czs/JeSif2YM6Ouu+XfcByiQAafIw+jAHctN
kWr6nCNe6PjUlYwd3dTnxgrZmzCyrf1b1dUu6o5rhRY0AwrbSqfnpDRXUSH/pMx5pAfBceBjWd7H
iILitJjJSXA/mtq1K1x06MsGUE6PBggs5RKQMopfusc9Lb1QJfi0hHs/TadZ1oIUWqS2Sw0cRy0U
Wm6qXrd+dSLTHDuxwGIFpBMmrpVcxAW9WFYgHfpdfBMYdTqT6/7QHGy8cOJhgkTTEOYr8dRMscON
dUx+R9k/AZeKZyAUjJlUxj+90b0ucvrdB4VQRguA6/Z++FTmxGYZgnrZ7sYZIgYQKqYuH3WeNK5q
O19YHRZ/YzFeDMgO51ILOD9yvKseJFOjwox18yO67NuFnpeHIOXAlyi+Ny0QA0B3MulnMyFUgb66
S0p5UXvyGs5HsOxVGgxtSGxAKG5Uoz0eLThTqMbneqsvSsizWDMcBXm5CiuXjncmEappk+Z1XV4O
lvI4KvmJ4bFn98LYIPTnhVJuiL9O6r5Y07c2t2gvnVRDM9U15T4D+gtWl740xH04E66smt3Uqxd6
yySAIsvOnQM7i+0ZqZIYCKx1DQftZNSNTVSzUQaamc3x2lyxuPtJjXZAwWKQRnPnrHRGb6nqHYF0
WYFKAcVmdSVuNSp9MVxtS1qs4DuO0JUHb83ZWc6zwG/olUBZJJNUOrNthIUI6tVlWZV3QaRcGWkT
T7PRuVGs+j6kZ3VSsi9MKmAtEyjvNAX0ymJU7QeNTodl6ZTcNbOHMoT2nNrZU4VhIsxSmtFTXxtP
0yg0Zm5enHPmkZHhz7oc4YDDRammJUzLpQzmf/PkmhFea1bxpOErEoZOhezK5XbZuicKPeYT3Rso
l2dOCzi61pEQ4OPAKiumrm1QKpRZZXmQIvDLFlnjrQaj8OcW+6QENaWT0qshG31g2eGPyKL1G7m6
BnN76bpwZ0Ny6CQNrhQDb6Si5Yo+StYB/uocxSk63JjQCGnvOExNSanOEP7OvCH5SadENsXP4Kyn
IRxYincsawFhcJ3/tKXUQ3zs3HfCAEQq6EBELbmOfMQPOZITGVzqRWmnJ+zmleOe6CR8/EA3JFqZ
ffsAkKpTnGZxnJFEKAMZX+uQdN04lxWn8F/qSP+Jow3Cyj/E0Q1yeaoOHxPF4l+9xdFYvMNfZRmQ
3FVeIuK3OBrdFx0lMPINB8Tpr/QSNPEkgnFxk0UiF9AkJa63ONr4BnySCIionJUPEuyfJIo/Y714
Y+goMp8BdRmJ5w83MQjzcpEmWXM6xsjMuXD/AMRALTOCGyG30NDLGE6xG0yHzD0JADrNDKWrpmXa
nqOfOrDwR55UIDfIfxRwjoIjvwlPBgucL3m8K1mOnlqZy6yUtXROSlDl3E49yUZBU5ZNb5pUwlhZ
vmVv/KFW+p1T4L1u+w5xj8hlONK4iHVJgqzuY+SBq4blSUQ3efgdwfyPfMhuWh9Ke1aDnHJN83uJ
W2Lap7e1I926KXx3wLTQ907ayD+us+BHldnJJHCs81IzHmPSNfOELwYgLzCXEH8p/mX3yUAXPdhg
DIzrIZoWcQcmuLsZVJrCMMBc6DqIPjXU6DPrCIYiyX4qfJw/6Ak4rur4uktHKjWeMTci+zILnCeE
1OeB0ePMVSAukr2wnrsdCJO8vZOj9BEw1L1bqGekYR4pD5Aij0pv3qQdu7WVnENwWcEJQ8Lg/YhV
VDN5bNOHa5IR7fLssVOck0jCYiwZ4C/mKqqrQU8IeQu2RurXx3WFpEt3aQGECcOJtBgAVcplB8LM
WXnwuYex/Rno4cZKymsNpD12NXeJN2InIjgr/EiOXBrE36RLVTksgCgU5gXB74nv9D/j0MlmgLUR
wrvytCnJymMmcqt7xqVeDy6tx9G17qk/G9VsyRmKf240zULXmruElFuVkXAB57poamjjXJRCLlvx
PTzQaKHmDd69hgyJCy5WodTGRNaliTlGC9mioxzsyLKofTI4EWKjJudXQ9mLnMYw8XYhgiqAwJtB
BZGzyo8CNykOhcYAOSESI5LmlxZN3F1qLJpCL0iFuDZP4hZEcEKKZKzocW2YcQYclak9MomHit8w
UXNv3pXjFc4JvGtqU4FoF67cXI22dhh0aLItlVtVVbhkdWK0x20TPZJOvbPxUJ1YZv4gK1kJIMKd
lh3IuE4OVqTbMe2W/JWcSuFMsgBOynJGM7O8VGTcUXFfcFbYKA4TrbU3SVgc233WTvIqzOcoqQ5M
bxhmaoNfuJf0N4jQgH4iaGc2JhNTqx8qLpJTuVTIYo6I2xOyukd6GhGWgY/2DmLV8bVZFHW3qo16
aF5KlR98Zxjc+kytLbiaZmBoC9NN5PTaos05m+l1PmoTp4xFi7mdWOcckoF5PhQAuLWi9+6RqMyr
mCk00X3dPc1RC8FVEEETtSeyOb5FFOYXsvAiMPoLzCEO4QYE2PZZrYY8wI5JmtlmVRw0loyzQBFA
zZ5iLhIncOM0oB4x8AGzL5Yg7NS7qOPycxKjbGSfiX1Mw03rUfaaJuRuOpTUl/HNdjB7inSjmAeB
annXcm3F1b3qth4NYNqogseXE9P9gfWBr5/IKnl57uF9k79Uev9zXIp2wT8dl1ncJOm2A5N/968D
0/kG6VKxqIPS2AkT5pfKKmpockqmhV74w4Fp49NMzVVW1Oe0k5AXvR2YGDXDyOTQBJD5DP76Jwem
+dzU/HfiyRYHsiybkGpU+GE0hZLi+jXxpLQG0yJLkrPR8A81UkR6m3HNZy2NaZgtWsPUJ6Ebn+h5
HC0MTV/JjbIM8vrMbyiUwNrAgukixQqj0ZTDrsrXUaPf01Y5jdL6pB+VY8/RV6OPGCWSsmHqW949
8OMLmtmjuZkka2rH9Dj56D/dmJk5sg5gZAJIiCMOCTup09tM848aWHjHKdUH2xelM8GHGilClk70
YErGQnMVbufZWV4aJKid8A4RgznJUoJ5AwcvtYHqi1IgOGvM7MnMsnBikH7A8csyyV9EyoEx2Md1
jaDGTa61od9Q5TmpdEdUC67JBWSYTHjLzGyOTIN9ImvNMzr8D+MaKxPHN240JJJjVv/ofHNRtWyk
pYI5TOfY57pTAgMGtNNFp2EHNxDRAubv4BlCi1upUkq3jsDYZJATZSM8hgTZ4xc94FsScfYbcUFF
ZVQWvukkCyl0fvScoUbbHOuNnZ3mxQUYm0VC9ZVb2Bmat0Wj9aTiKI2EIKI1EvOaAoUnlu5a3b3l
KrkwG+SnTtsZcA6Th2BobnJJ1mhZwU9E6cPToWXoiqi5kHuX1H5kJt8L/cAcKrtG4+vhxFJY7akn
40RI2XWSoKCbDk175Q/hnP8bW1zqR7O6SL83fAy3wAsuChCf4Ia6NAKZsbERU8nDUdHyO4ShxA4n
2/EsG2w6hQbtMrDpme3cJ73gVAxM81rPzEuJ1O0Ui9hjJyHAaQwUX35OgoVb+aVEudmAjQKWm/J2
X4TXtps+2nIwS90EEkT0FKbld88hAoNM0E09vtQqd5UOMzBOSa7k3pSb9kLTkU0EFsX6LKBFMWhA
hglrwIjyJ31eqhbP0dwOpAiajW0Y+Uw3qatzeN9lWTJ3KFYe+wajXcRVMCWVAcm4V4AcVyXSG5vS
x9gPVBYVJz+BinFTjNGlmzf2VJdDUkEB/QAgTmxA2WRN4xLjBrjQ5GQiqobVXWBax+DVL9MWMasV
OMlUUsZxmaQhpRG37BbOkDIzNfVHnhZXdssPb3TebDDGU7lxn9xWUmZaa2BTaF82nbvqNDKyiuse
WER8E4NJP7FNxKAgZ6clOciJ6kUVxR6isLBAgiuNwxr+UzWF5uxBkOJf11J5WLfojyIS0QPlZSUG
HcTlYIltXTIfoktMXhSqsZgZjWspGtZ1a157fXsdxVBFevscMACJBG/UKcTBC9AC6TtS1RSsiTX3
x3rhD62JlrsgEhTxEp0IyHikYc3vOhwCSMUsKtcB1oAEVyV9o/bVSSxLJ71cp3OMA9M59NI1PKHV
kNfGlFz4wM+FuAc4mwWdIGuE9vsqsVAMFlWtLF3VIyrUTD5PG6ezrmEG8t9/qjGh0mAIUgJKY7IK
0mXRyJsqYUroZhIcZpZ1k5fFaRWDrkHivMlz+cySukUV9uZEUmN9TgBMoVIh8ymP5bGr4GyVAjRI
GPGjIuVLkzAE9FSn9zruwotMYg/2AtuZtm2pA7HyVq5u9qtMGdaFCTTeYWvUo2BR4KUz9Tnhx9o/
q2INb3dLtmdDoF1hiN1BY8nOi0pehqV+nSPyR2h5pXgFmcARAqqcWWvPy7Fn9w9VvtysC2RzYsjN
jWSOyhTX92IeI8uG+86kjir3vjXH+7IuLhEseCsvlgDYKo2w6ESfXzdXua0kszLi90XTN7M1BOGd
BZ3AS8oHIHpsFVg9+s4ZG93SK3xoQXp1jbvh90itb8sCY8c4am51B1CtonbKTJZV/4jolbK/7RvT
wScGzDxAgthTHpRVeJWa2nLMkTa6kXLfRb1M6T8EjuuEU9uhEq/lNAOW6vfWvOiqw9G964Ij3dcu
UoJ3+JffQxKtAa5YppLWSzPNTtU8q0h7K9VKDs2NwkYP4sw5bwOTpa3TDyAZmLVY5hjMY6TLkwBV
WeZ0x1Ueo01SV1Yfs/0Gw3wclCsIgEc+FA7Ai82tVWMoKBf1YVGftiapQgM2v0f1GYJ/MIszJ1iq
RQlpvQxulWFcQn4Lj1OJ7R936xNnsKQF3K1oodV9OBkVTQNXa/Nrucm8y71Dw7GlaWXaPpDozENi
PDSauiL/uLGDxD/p0hqUJzgIw7oNs6RbYkktsEPFOJwqvozko+J3BhFsrjwbLnDgTjP2r0O3Hqls
aiW675EspFvV+kGLwy2tE7aNEnWgONL3KvuxXcw5PELAlIibDOVEzY0DdqNDkwt3ZOtQp9Bokv7U
te+BlbNDtMjy9Epa+YV+quuVt0p9eaMN8gbu1ANHjtDZ9qtBlmaJjcVMJPPV+YyVpmSzqI8f+yCi
8dXzATmHVPVd8sSpZ95BLWmXgwJloiPnVWDbAF1opOVAEh095pHHYOcPtXyo6O5l5ForSepUkPJc
rvMevnSTKNMolm8Yfk5xJd5AdDpsVc9a5NiylpW5DG2QxEht0gXXfa5SpSx80WmKUIruLq17jKvi
KwMjITM2bhKn4CYR1uKud9Dp5gLZ/Tl9TxBIaEtR6vwax4hHNtfz2unSaewzBQKzuFSkcsEGpyw7
He6qowAR8+G1WSP9RWZNj0mYnJHShC/n+tiFOtEwL/ua+dBxN/bN0ad8Vc2THtNQGAQVuCl1PWIb
DlMNuGmA75Rim6cEuXdlmR8jXramWSLNFbSvaB3vOVoWbade0m1xxMpdWUB6JmQuRM0L44cgPukU
jtpIOQ7c+siNs1uyhXfgCDkjUuu2UvuTjNsPlsLQTkMJs2TH8L6TjkinCtDyMTgs9fKk97wFylgK
NoF94Rs5Z7Rk3jR5ezL2eM6nwUOsG3hNoeyutOG47e1mNZQDJafePEkUO52aCRuhRI+SEeBUYOir
KFOPO3k8akpNwwCCXkETa4mwS5Jzje6VmVfbaOO6Up21PhwF3IgFrE+l9SxJ4RWAhYEkUq4qCmEg
0sMHqyOGsfvm3MoRozplmy3pZa+OkwKmQ6F1NOwBCwemvYxizPScpAuJOd2axWXEVFivzVo6hJCb
LE0/O3CItgSFRAtNLNUckujPt5D/XMfE3eX317F7SJZbcpf8m7ermLAPp15vA9EkNQjc4JermPqN
7gDZgDtlyjTAkvH8u8kVNbeO9pzWDjhu75tcNQUTcDpSoS+r5DD/yVWMMv/HHgCKkCb3PjAYlmpb
Dh/i16tYXUIZjtUQuktNFjK3gV+65XWtJv40VMmIjUqaXQetEpPESJKrqnFhRMkKjV6jq0wVwGeg
6d16UujaqUBpzUmX9NPBCkHkgfKtVZmjqGgfnKbLr7OBpqGoiPtzh+N/SiemNXUaN7vWq/aklEk7
1Cne2oGfncGFZxfsUu+SPjBo88Aj5l7rKrNKUW4SyFGrmGavZehoS+ypD7TBvvaKhi50HadE0CHB
WRz0yZRUIGAns1s5nf09HdXgpuBKcOKrQ7rghIFfGSElVhiCM1QW7oIgzlnR9SWalejnr5/h5TkY
89gDaA7iANE3jPOsgoiv5yH9Dk1y3FCpj+ChdwKMXkNIdwQq3YCZLjf6PLI8ea5CU4+gqlPR+s5o
nmQCty4L8Dr3u2SSRv4PAyZ7bzr9BJTErVdEt6WRxnPslrHXgeReC6Q7rV8mqnwYiabnraIRqJVk
ApoXKPg+NQ9NzGuoTBHKO4IXXwtyvO92OJYCk+eHxnjUzK8yyT3VgTrbxKgatoN8E+3JBUgvCTJ9
JBj1ZY26uEAjruGdQFVmPDUyftI672cFiPsI1L2qlbcj6HvJBS6S+f5hBBTfFHR8ilM1wAoAw5xw
B4A4kPw2fTXrwOoDDMKnIBE9X7Sk9pD3M8Hg5wZzn3vjha7rR5SQfagB8PpBV8KCEAx/0y4i+4xD
OtQeREvUcGCRk51jMX0EzHWk5qqU3gwfUdpeLWMj0YSKOTLQH2mgn87lou+EBmXV+LCFPjuxcMae
qIlyrFnc3eOW492VFciDhh0sByOa2wXae9COHESG0U5bu0Tc7EWwSwn9B584K0iAkWahsyA/Tx41
GhnkoHIP0AIi0THo5OxY4FPgICvNyy/jNO2Z2fpBbzvccKJEvk59gCuujh9VlvaEuhBrEOwmbOLd
dNTldKIN7mYY1FUg2cZBZBjXZe3SVpHWU5ytppblnHIbiTncDVo+u0aG8WgeSHapnxHz0asC73qa
KwHup6V+1UbC9aI2juWgy6cOSMmpLBmHJYTxQ2XIjgo9Vg6KjFjcqxHDaneV4p5JnbcAVN0vyNIv
66IMaKlLymU1UCSkEDizi/jBj42FneUsdZZJnls9A5v8yP3qsLe6/CCSLHtGw5xy5nc0ybkNIHXi
e++QewheorZ72hZSBngGD4vBwQQ7FTYkcHHpl+8vBgVXAWywSL8PI+AvVXVXxLKclVWmLwfPdWYy
uI6DvEiPPJ/mzsFrtMPK9EYMQRVpqWeAbLIivzAlCqRjNBzionSXS4l2roaEHOx+0YEU6M7UB7Eq
UY/weg+dapjfF1bo/axSmHQ+y/jCCsMNmnsiIBDcdFH85/x8JjwaHDh/OD+bhy0iEfFvfjk/OT7R
gCDCeCFb/y0SUchKmjJUJbKWlPJ+OT8d/oTDluqfyl/B3+DvVKb9jYNYU6BEciO2/2EPnSa/F0CJ
LkwLapEpKo1o/mGDvD8/47oEBZb18lmNvQ69J8bSjDTpSIXxNqGomV8YbOeiHxlnjwg+XQbbFCCD
flhmRko3KX0vzD7juBTuPqwIIGqduWy75iq2+/ykHKVp3tITVtuPCpZgMzXpVmhQ3NlodgeOay+4
08gz7KqWTUX5O3VE31Gn33RpudIDP70uPK+Zenn+aAIayfDMKRVdWMtowcT0isd4cKJZVuk0zXTd
qs/7HkvYzE8vZM1eKqGun0sa7ixm58zrTnanSSch3cc5mkYsLhhuvbYa79FNbGxZh1See0NeHNip
k0yKTLqEFBufO/Anab4Ddw0oiC7xwbJmbkC6g/YS+DruQBZVxyLH0Z6qwCQcL07tOuD64Ed3gapd
15mTz6RQ3eQR/WPu6N2UFGkCVn1jSj58X2VFM/ET+3AKWMaHrtZfpDKsfVPlOuEdhaNzrYS5hfcw
YpBSla9zi4vbyI9Q+7jmxK6bAkAw1kNTwbm0qjtcEuiLB6QyKaiDdbp8TkuHAqYxuAgcrL+kBDDU
4TCASxzS/KdcctKb6Snn6VE7ZN6BFlaXjenQG2KQehzLpJpaJmYt9KpxOMYza0Q8hOFcAwyBVs9y
4tRxFa3srEzmQVrZZ46aD8sYs78JN9sD3O4c5JflRi0wZXJGy7uQmohkdGA8OmobnRaD+jPODDxW
8NCQZwB2nVMudGjuU9BRbgTwCfhGtEip7Rx6UXaGlxG1rNg+g8dNA5lJZtsbMsiXAL8rhRJuqZ5i
E4CrGjjuSR3oZO0a0OaKAbCmbxHCKM0PM/e/RxEM8LKhp031yd6rkM8rj8GNyePT+jV+twI0S272
kHBRaRQNu6pUulDs/Cfp9zmkz2VT9PY0jcxyKteldmDGxUFuJod9bcDd0c4GJTqj0NnjmI6wQc7C
W7lzb4xEqlZ0Z4C1lKybsvZg8ynqsZurxBw2qWZ6j8JJI8uXyVAfyhxeRRReBoE3N5v4vpPLB8Mp
M9zmFAA2VXtql1Ezg9NNICOnJ9htyTQZSYe0NaIilAXr3RmiGUqcY7lQHm111GZVPdzmGoSnVgGC
UIkEfT2CxgNDF7mjjFRIPu3i7sFnrOemcJBKzaCgop/faVh7OUTCJmZToXCdQt77WMsYW5fU9CXh
TNULj6oobODa4Vo1CP+qdDCeaqFKKtR+kmBxVbilisUWrldkNKGEVT9s7LAIqm8U7LEUGIt8PoI3
3Zg4GGiVgq/MB555Y9sBAIuAyVA6bUb5snK0H4Pw4cIKJMYTEm8uEqfSAfmacpbim9Ji4AXbZeNj
6GWbOHvliY4CRxd+X67FU8YSD7CEOyxo1YZOYq7aCUZhoczF38bzhdJzNU6kDD8xJP+k3G08xsht
0BwrdB/CfwyEP71ZXn8RqjJiOUN+tIVb2f8v5+zrVXq2rtfztA7q4aLZlMPlpqLUW72Z54g/Pc+g
q15n/95f+vODXrtsrod889//tX5KgnQWVHUZPNacnR87cETV8N3J/fzBnj/1H58Tr/l2zRPvoNmi
DKlSOKQLR7x4lzjDy+XljyW4kt842B2VCfDrz/inUfjzF3wZzj//nd9/+F/HwKCh6N/4/nzBv7++
9Y1LPJun4rx8fcqc774+zUsUaSE/kRx4fu3DIHyaCUBf/p2REL/1r0OBAzE9WIRlzy+kCO+GAi2w
SkXaEs5PTLpfFsvvlsOff+TdJsKnMTCgd/8bs+HjGJC3cUwKWi9jQEPa+zFA+YFDpUXd/nm+MF32
cihkxCo7bgwOJjcsewRMLytDDNS7jUFYj9kkpfSX9Nv+zQflozroH++OeKiJK42uq2x+77+9/g0i
F12NqNifX/s6EXYeA04IEo/cmwyxy/D6uCbYIi1eCOZfJt3+TQR190GwWPc6WTA6dd4W/rv5wCAA
arNwZafRVLz2dT687FgvQKt/HeL/MGIACYEuzubnfjcGhAq0LKkOnKC3MdrPzXH3c4KWZoWQiLT/
y6/9cU2IkgJxhaKoe3tCfCya/OPNkY1Bpl7iYL/xm0FQv3FbBByiMDx7ORM+2Vn/80GgjU9TVQLo
1/hwy0ygd4gjxNmL+Jmp//ESIaxOdowV8LYz+JIqRi0vr487A6bfMmUkZT8uEVsGQX75dXbYF3Xl
m0UV0FLFmhCvT/GzTkSla8TPL/vPHp6Tu0eNNvcpIdp4HYNPg8A5ickORrLy3p6Q/G47Lgcs6fF5
pNz5MhFEMPDpoBRyFLqI9vqgFGr0HYdC/4bFmarZ+uvO8HF7VJgwlLYhRb3kH/b2uHw5wnbYH4TY
iaZugwLz67T4MCtEHG0jvbQFXHAvj0tl9/3B/KaRasLk6zcnBYMAd9fhOH2Ze/u3Sb5uXLvMBKJH
ekpwM/h0qyRiouJkaa+CvP379vru9wfrm1jv3BJez4iPWwKxM7gLBTb43q6D3QdBBROi2gbSxpf7
JDHYuyNCMb7hPMxmwU1LvPZ1X1R2v0sRPMr4/tFe9Zt9UaSoHdNkUuzrvrh7BG18g6Qr7pMvP7f4
vd/PB8wTCSy5a+zrvvh6au22LxIfEwiwNzy/mFvvBoEMNJJgBdjkvt6lRG/BbhETKUedVBt9gy9j
IEo87weBgoxga9JNsa/L4StiJYpSnILWa/L543Ig1YQ4jZScaBvZz1jp5YPtshyQ1FvCKYz2mefX
p4NShcBKJ7YlUrJ7OQiv2a9dBoH8ijgXLADkz69PM0HjVm3h1yqumvs5CDvvCWTaVGEeS1T8Mgif
9gRKc2wJMunpfR2EnY9I8iu68wxwQN4qXp+CZ/kbHj1kZJWX99q/4FnIdXc7HbhEmhbCYE1+Ldd/
mgk03CG9paNuX2eCsfslkkSaTelR/l3iWSSZMHGU8Ybe1+XwslnttjGqJnJvDXHC82vLTIBxwy1q
bxPPAvey43LQuEaRR7PN39RhwNLYBvUoc28vUMInbcdBoPRIAy3pxtfEEnPrY8RIuAj6RtvXC7Vw
edpxEGDOQ4JnLrw28mxbDoIkJKsvp8e+xo2CJbrjUGigmGTY/K9Xyc93STIwou1aEe6qvNf+HZSC
tbrjIJBjo++c9oyXRp1t1yj+UKZS8bJ/vgz7/g2FtnuCxYa/RQuHThvf8+vT/iAiK/E/JCDEa2+H
YvdZQdcOgQPigtcMw8ddgvMC3onMTrKnK+N1C98lcCD1CFfNePbSfXdO8OUVMMiMzmtyfl/HYPe4
wSCCVAFqsCbepvy7oRBdr2yf9G/s7UTY/VZpUW+S0exQjn15fYwbhPhVhk6k7e0g7B5Gk2RhMegq
3/T59XFHoBqhOtSrHGe/zwlj57hBNDuSXmY0Xi/Yn84J0q/kGBR6Qvd1Z3iZqLvsjs+NfgjF3vbA
LYNAAwM5qddK2P5FDPruNwpdLHyRWPx9qdp00IQwFd52jv2MI3cPnkyRhIUcKqBq4sXZ8/6koA2a
hhYEkC8b8h7OB7a03YJpdgaaewkNtN+JRLAJg/4KwXVvB2Hn1Jvo79IEqu9NH8Fe83EmmPRJGxQm
9nR7fO2+22V7FP1dXLJFBnJ74MRy0B3uVHvb6SdAHbstB9Lx+GGZZOR/l4R9DrERHIsW6f3cGHcP
oeFN6nj5GebvirUK+hDR2wX+ZD8H4ZN7zD/u/mVjpEHDpMXtNwel0ExxTNIJ/hJe7mvg9AkA/o+H
gsoEl2rxNX+vpMPtisaeV3rq/h2Urx9sl+1RUNAFMJVK1fbtUeagVBXMgPf1jPgEU/rnMwHBkEUz
D1eFjyckRygGABAY9nYd7H6rFgVrhcYtWpyfX4Sg78MEpCE0sNjEU//3ffH/sFj+JVCe+kH89CxN
xjVmm4L5d3/hTa75+c9/0Qw8i27f/U0hVX558xdlgfj//+e9cvk5xfzLn76lnJ/f6fXfv37Fz2/+
7s3evtfbf1wFm3JdPgIieBZsv37Q03WCtvl/Y/7X0/qj4kGUit7+23aZ9b/Cgz8/HZOMzduDDp7+
+78ozmsiSfD233Z5eLJ+ysq3B/3ycBbO3+P4WSD+f/rkE6xst31wZurOz56u43XLT1K9PeuXz858
3/35sLWrTz8po06k9QUPT+ty/dc0q+ptb8F2tvNbzDbxX6dZuXX82Xt2fv48/muWlUyet2f9Mv4E
vjs/f1HiRLXt4QR5Oz98GW/S9O05v3zwr1iuqyZ5yOKn+vPjhUx4549+kOSbMljHb4/6+9MrX7Fk
D9Jhy6CL5tudP/nRptwy5qKHZvdHB6m3ZSMQMoKdn328jrbsYaIJ9QseXVWbbWPyFQv0OKv++t/U
28SbbSPzFUv0ZP3EBvw2Dr9MxK9YoifrMtg2NF+xRMWzQShv+ehCwL3zz3qySZ+yx2Db7iX6FL/g
+eXj5untQX+Pu5D77f7wjM/+9pxfnv0Vy/Qk2zomX7FKeXS9KTfDlk/+FSv1dJ1vmy1fsU5PN+36
c+wIZOQrluhZuWYL2DIoX7FEz+P142ZL7ChKmTvPw3Ooz9uCO9HGtPPDLwNCxyp42jIyoi1m5+df
rR9LrgRpveUsFX0WX/AG6V+TDf5G297gK5bq1Vq8QZmuy6etG5n2FYtWvMks2HjbvsRXrFrx/AUr
4DGoHre9x1csX/Eeh9m6aLadVtpXrGHxDsdNUP119hBU+bbv8RWLWbzLybrebHv+V6xnnl+v/5qs
y4f1tphB1BK/YlXwHlNMBLds1qKM+lXvUDbj28P+PiL1L1nY/nrrnVD/kkVNDmPr0HzJYg6qKBiy
ZsvAfMlazuL1tuhBlH92/1kJTLYZuIsSzu4Pr9fAnuN1U7097Jc58yVLV6RZtpzDAjqy86f/o7f9
cypsh+zTNTE+9MO3j/n3uIgmk90/+p/sRHf+6M0fzdd2ffx3vn2zba0KVcPOI/MHq4JdP/j97ynO
f370trTsv1qGPydr36B+2/7Z+1y0+BuP8WZd/s//AwAA//8=</cx:binary>
              </cx:geoCache>
            </cx:geography>
          </cx:layoutPr>
        </cx:series>
      </cx:plotAreaRegion>
    </cx:plotArea>
    <cx:legend pos="t" align="ctr" overlay="0"/>
  </cx:chart>
  <cx:spPr>
    <a:ln>
      <a:solidFill>
        <a:schemeClr val="accent6">
          <a:lumMod val="20000"/>
          <a:lumOff val="80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B79F03EE-DC16-42E9-8453-EF495D6A3F18}">
          <cx:dataId val="0"/>
          <cx:layoutPr>
            <cx:geography cultureLanguage="en-US" cultureRegion="IN" attribution="Powered by Bing">
              <cx:geoCache provider="{E9337A44-BEBE-4D9F-B70C-5C5E7DAFC167}">
                <cx:binary>7H1pc9u4svZfSeXzpQcLQQCnzpyqISnJq+zEWSb5wlJshfsGcP/1b8t2MhYlZ+i3RnXrqK5mpqYS
qqkmH6DR/XSj8e+77l93yXql3nRpkul/3XW/vw2qqvjXb7/pu2CdrvRJGt6pXOffq5O7PP0t//49
vFv/dq9WbZj5vxGEzd/ugpWq1t3b//wb7uav88v8blWFefauXqv+/VrXSaV/cW3vpTer+zTM3FBX
Kryr8O9vnVUSfs9VFq7ebl8jv7/9I1ml6/vVGyevs6p/+2adVWHVf+iL9e9vt+5D3r75bfxzO6q9
SUD7qr4HYcpPBDIFERaVDx/+9k2SZ/7TZQMTckI4MbkFd3781SWo8iqNHvRZ3d+rtdbwZA//373B
1mPA2/jj79/C3eZtbADwAYvf337Mwmp9/+a2WlVr/fZNqPOH16V6J9886sfbh3fz2zaE//n36C/g
bY3+5hnK41f7d5e2gfwbkJ0cnmaDsa4OgbQ4QVhISSl/RFrsIo2pKRjHcOU51K/Vaz/ee+8yAfS9
ckeHfFLrQ2AuTwiShFqYoYcPTOLx7EZIUEuabIz5VI1eQntLfhLOWxJHhvD7sFkrHd6vD2DC6YkU
iFFqPWKM8AhkzE8o54hgLrdBfpVS+3HevcUEqHeFjgztq5UKswMgzU8kNxln6Gmx3mPCGcXC4nJk
wicrtB/lbfEJCG8LHBm6fyRFmB1iIosTS1IGxtrcv0JjecLhwxg3tyfydI324zuSnwDwSOLIELbr
qjoEwPKEYUJN9BLABJ8wZloYE7Dhz12wyQrtx3dbfAK82wJHhu7tKgMH216pb6sHdxuCiH80pDJP
TII2Rhg/TmNYdbecLpjGlhTUxOB3PXy2sX61evsx33+bCdjvFzyyMXCT1BD6H2CJlieSWpwR+gT+
TjyNTqQpJANDvw37dI324z2SnwD0SOLIEAY6ZQU+90FAFidYWgQT8Kr3h1XoxBKbwMu0tkF+lVL7
cd69xQSod4WODO3bcK0OYsxhybYQBYLMfISajow5QSdwEcy9eAyxRwv3dL32oz2SnwD1SOLIcP4j
Xd3n6gB2W5xQIDkR4LwLMOeESIrkwwgYATxdof0Aj+QnADySODKA3XXyZpkD2/7PY2ziE85MAHND
g24+O2uzCXSZSYHrHpHdr1JqP867t5gA9a7QkaH9pf52GNoTm5gxLF9anyHOEtwSpgXm/HmcNVWf
/RhvSU+Ad+v7R4bsLHnj5gqM9T8/j6k44URa4GM/TmM5DrBgTYYcB4ZcxiMlOjLZr1JtP9K7t5gA
967QkWEOkeObyzrUb66/hbo4BPLshAhiYYigHr0xQHYrtAbkLcAcCJQR1f3/odp+5F+60QT8XxI9
slFwmes3f2T+OlkfIr42TxAjhAqTPU7+MQWOxQkxKfhy+NH2j+b+K5XbPwb23WQC/vvEjgz7OeT4
s0NMfOuEU2zBkv4yp8YFg3/wiFaZrtF+rEfyE2AeSRwZwotknR0itQVxNkHgsRFgTLZNOgGyRWBO
2cgpn6zJfmC3xSfgui3wXwDrr1XceuJNZcofP1zhPWVFr68qIpDHsIAB379ObyhwzAkHN/3RjP/4
7cfiIqCrfpZCPbrn+3Taj+tz2a1nfHzEX7+U/7qaoU/weuqDEF8QCwOtRdFL5UIAIZAiGFlolGt+
hUr7ERzfYA+KW38F9XFjkSND+bROv+XJffXPx1ImhErCwqa5a3fNE2xhioDd3DdFX6PSfph37rAF
6v4KwB2ZIwP6LC3WKlwl/zzQlEBMTAQzYco+fMZENmbAdDPwsIAF3XxGjvNrNNuP984dJuC9I3Ns
eGf9YbxlgQj4U/ypkGRMkECQBOuuZQkxst1nE/V5AeHn0lPQff79I0P2Yq0O4SYzKOV7KCB5KvYb
EyCwKm+qfDElQG4/Zzan6rMf2S3pCchuff/YkIVtAYdgNqwTAA1K7X8wGzuTFnxmuAa1QWNopyr0
ArZb4lPA3RI4MnQvV/EBUk8UpiWsvBxBGvHhs6cQW2KGLchKbM/bqfrsx3ZLegK0W98/OmS1Xh/A
JoMLDckmqOkhj9CisWe1IaXhsgklYWNsp2r0Erpb8pPw3ZI4MoSXq+IQ2URglCXYZTC8jwDv4Atb
pABexMSIoZqqz350t6QnYLv1/SND9mp1D6VcB4iKrBMo5AJqEWrqHz5jfwrmLrJgVxTwVNtzd7pG
+9EdyU/AdyRxdAirsMgPsgmKnwB+gLB4MtBjjMFnlpbJBYHl+eEzRnq6Zi9hPbrDJLRHMseG9zq7
z+/CgySL5AneBL6cPxnsMeCEQp0PtyjdVAA9D5KuXqPUC1jv3GIK2DtCR4e2uoOtuc4Bti9TZEkL
yi8fp+44HQz22xRQB4T5Y/0mDIVtwKfq9RLaW/KToN6SODKcb0Mdh31e//NIb4r3KAYb/mOj+jg8
ho3qFmyeYrBcb2P8Gp32o7xzhwk478gcGdJXOZjvg8BsSgTbI/DT3piddDA6YSYkF4Hi2oZ5skL7
Md4WnwDwtsDRoXuQhRkiKdi8+NNY7xTgbnKKRAgo2xx72/k0fV7C9pn0JGifff/IkL2FN5keIpIS
JyaVFgTKTzW3e6Jkjpllgi++PXGna7Qf3ZH8BHxHEseG8MP2RkfVwz9vninEy9zEJvphnnf8LXIC
eyigOlOOeEwoftx0NZmo1QtI795jCtq7UseH+Bsb8k0rdX+YgApKAaAUBAv6xF6P5zZ0mCBAgMlx
g4lNxevrFHsR+H33mQb+PskjGwBX0Dlordb9QSa8xS3OKXrJrOMTC6y6RccNol6j037Ud+4wAe8d
mSND+sM6WB1i+YYkBhR+WFBb/UKB7aYPGGxZh+YEjyzaKJCertd+rEfyE5AeSRwZzst1szpIvzfw
sC3Coa7vifAem3JoQYFgfwUEWKMFfLpG+xEeyU9AeCRxZAhfqxVskjiAxaZQ6AV7n4T1UhcZaPnH
YDerNS7xmq7RfoRH8hMQHkkcGcI3yepufZi9yhAibzB+qq7eN4f5ptCPPJKio2B6ul77cR7JT8B5
JHFkON+u7hT0xMyqQ5TyiRPGoSsUbHh7xBIyFtvbI/CJKTf/QFXY5jNal1+n236899xjAuZ7pI4O
9010A01HD4G7BUaabLpFPe1z26G7AXdEEJRuj9bpx5hrqlYvIb7zZJMQ35E6QsTdcO0fAnCoz8bQ
2g9qtEczHIJrbFEB0ffTUBjRZxBjT9bpZbi3bzER7W2hIwR7Dk7aXajv8h/vfM8+JCj6eW3LZQ4E
GYfi65/L87ZJJ5sGYpDroqOFezO1f2o0xXN8Ge7d20yEfFfwCGE/z1dlfagOnjDJTQIAP3z2uG5E
Qg2wlPvbCcEIeIVyL+M/vslE9Mdix4Z9sDpI721gV6BnJxhx+lJDEnICFh4JSG//sDSPOyFvJ2v0
Atbb8lNg3pY4NoRhAl1Bf/hDrOAPdWacQ2e/F1x1oNCIgNIkc8dJf4VSL+C881xToN4ROj60N0mn
5DB9PqGtNvSZgIr+l2qP8Ams8Ri4tFFPgqdc2FS1XkR859mmYb4jdmyo58nqWQL/sd7rn3DcNuUL
wLpssiEPH5jGY8cNmRIaAe7EZJM1egHrbfkpMG9LHBvC1SoLdbKqD7EPi8NuDQTtJqyXtuoAQ442
PWb4aPMkHDzyCq1eQHr3HlPQ3pU6MsQ/1GAtD8GWw647ijY5rZc7VRC5MeMMXPXnpaPTNdqP9Eh+
AsojiSND+HbTc/0QbDlUg1NCoFvvU2ZzzK9Axsva2PWdjNd0jfYjPJKfgPBI4sgQ/gCHYsCpVVOI
i9cxKpsmFrB3FgLrp6LRHZKcQNNt6C4EB+GMJvF0lfZjPH6mCSCPRY4N5TqH3uoHOR8Djj8RUGcE
M/UF/wtBFE0wFmTHVk/X6QWcx081BeixzJEh/SVPDhFGwykoHBpXwHwdu9ewBYBDYz9oS7M9i6cq
sh/aLekJsG59/38D0pePp/t50p+7qlazhzMCn51Q9+urDy8HzjYciT75PHvCpx8YnN3//pYB5fGM
Bt/cY8tZet6U69GJ+ktqDZzb728NjKHKcNPXEUH7ZQat/OCG7frxEoEjNTYFK+CYC2gqtuFPMugR
Hfz+1oR6U7ypKEebTmLQ2RlWd53Xm0vQ8QYOxRKwsQ94NXDWJf55fuNNnvR+nv18IU9/fpPV6U0e
ZpX+/S2G3ygev/agKmISSp9gg74F0R8FAhdGZ3G3er/phQDf/p9qoHlR1nW3zFoqZ03rBYWd04jH
Tszb5p1lsP486posniEUV1+q3Gw+xqbuSlvLrPz87O3t0wZWtLE2UG8J/SJgXxMc37iZEc+1MbO+
iGVQN0tSZnjpx0Pm2TXPrcDpmiqXdtOa9RfeFEZoq1RUpVNGKvZtb9DcdKC6ILuXVYWu4R5B7ZIk
wR8HZgi86C3mrXFv4G7+a40JVHnvaAylhLBNXjIOXaXQSOOQB4BtXy1px3zftboh+dhANE3nFe9z
Zjd9hyM35J6wB271od3HiC7SRvXYVU1e3Qed1tgJjYK5Gg7nbOwqDVBjc8Vif+bnUXAT1/I81TLQ
LtCw8pMOyos4aVk3C7VhXYUqaNLFr59qFwaos0DQWAl6hkOS7uGhnw0K3ht+axSJXmaVJz/lvsDE
NmMCQ6PI6u6m7ZS8LTyc/Pnrn92MtedjEbazwSmNnMIJE3AUGKEbtZ79LEOdbxbaz5aZGPASx0G9
zLRyQuEFn379SzB9dn5JQp6ZQ/cC2EYnRuOsyMx+KFWQL0WBzFXZ5ipZeJXoiR0XwQyVdTI4FPUi
dyLK2vTvBs1mUGw/KAwU6GRkwkka0Ixs/PPAxISBn6XhkpcxW6VRzVZxstGBDameWSrP7R4B9Is2
KVtil3HO11Ui9Vkre/Oys6hCDm2jPHYinqUfqSoIdQPR9+vCaAoXGUPKHSZzU50yag21/eu3t2k+
Otafb8wGnPQDZ6jCqrYNFLJqljHmGVe49tJVqCrt29iIq8y0ad9n/nkbhPE3X8jishvKYG7lZhc6
BDf8e8WHIXf6wOeOmUfNOlSU3zesCPj5r5U02Q7I1KQwiDbOM7DTjIP39Hw4WUqESAUVvYrMsvCk
cCsZDIuu6qicV01dO6or0bsm7VltB0HAHYWzhSaqWCRmQZw4KdP3RcLSzuZJ639uozQ/63VV2QUr
i4+WjoXrlZnn1HkUhXZY0ai1vUhny7Yw9HVpDHTm+1hGtjF4WeqQJkhPmVUl70nk3/h9Rjs7qXm5
rLzyQ0VSg7pWQ+BFhj0B22DWw2CjVkSXScDEFw/V5nlgCXw5+F0jnRYFZurAoAvPDKH61G57Mbi4
ZYY7RN1docvqtkYGD+w2rfjc02V9ZnqEfCgD3MYLjxs4tIcg9r4BE6waO8xK42ud8tQtCk3O4jwr
znApk/uwKSyY9zSNb0PpddxuStM/V56qnR7ewwKbRF6XbdrNzFaVc4w73MwSOI7Vd5rWF6XTkMCb
pZoqty7kdeAZPnIxzqtTWGpI62QosmxR8eTPLkXBBVGyuGW0YotaRgaZaysdVsLK1UyjLhrmTSz8
udF1aEV00n7XflEwZyAVqu3MJ40/76ooh8nRtrPeb2oxV7kXuElF09MMvmrDlnmVw4tOG25HOooM
h3stt3nOusE2q8RzaGVk6UJZ8cw36x69ayk24bxjhRI7gpFUzWnVSr3oKO8urXgYEu9d3ZZVmtp9
mPSZug+8gJDhi26NjqeBLRWY8vyO9GlUUQVHlNV1gZZVXKVxdy7Dclg0sq68s1SFYWFHJMlvETfo
WdRTWjs1YODZfYlkB3ClQriZ58F6WCVxW86suPWRo5IKe9dBiSyen8Y9bwO37xJZXVq6ojCiWi/H
unVqWAvnlhFE3nUDU8fynVIUAgYcjXU6z5JQSTspYfHyZl0TWo7hQSNUZvceykw43ddLUyeQdevN
24Qn6Ux74BXMWeangyMGBhYzI7FZO2mgjMRudO/rGx0aaTrL/VB8N+qGh8hFOakWoSlqsWSG53vn
GeUVZ5GTdboc+lMNG2FVMCv8gKczTzdDOZdKZ+G8T6y0P0Vap4XDSJ+EDu9YnyxUWIaGA7CSz0aR
DtiFE0Xj1IX/kHGdRMjQ8Mqz7HOUpjI9o0pWySwOKuv9UFeUziMjJ/giaAPNM5sHJKgWnmqK7BYW
Y3oe+QOJ53UBGszyKvGHmcDdIB0R9UV7lYoehrYBU0W5Hsb1uaKMJa7vUb92edYAnCHX4J9kQ0SH
dRLDTjNXgAKpS/s0KM8wCs1TP+Sx5ZA4Lqkb5qHnDrUXM9toVSFvIq+NTIeGZTTYaRENxgXyEnOO
C89noK7kxQz3wZCfBSFu/VkszaC1N9+zsQxlBsPHp6XTtaEx2FUXGl8VNK/rDTuEeUSWeMjCIbRF
Yxr0Q5+0pF5ahexzN5NldcXqDJYkX/MYBGRK4W15YYCzLwNOsuC87NOkm+uWDeEFrvzqgxkRtmKd
l3q2wDB453XWcTrT1hCC8jWOUjehZawd0XqzEIfll6RtwbOI/Ki51cxqvxUqoKcNb31vJmKGiJ0J
D+7Dkjzq5plq8HLoCmq+0xXDH3BlwDday9DCqXDPu1lD0ig8VR0h7VnGfU2uQ4PLTxkqN4Mzikq9
4IkO9E3Xm5VwUNkCNkGbgWK5BqN7ASuY/EQFgtGdgpVULuzB7/KzSkuP3ESqjuP3RGTSPOvMqK2v
qq7aOJ9B392w2LC6Wd6m8NN5PgyN3ZG0GhYo5puH36jegn0CvYoUL02WwVPUJYNXFcR5PDgybmDq
FIkfh+8yxWHKqxq8Ah+ugU0lVRZcl9jsVWbTIkAAd6u6+io1gkLbIarLbt7BVhc665uSbIwGTCYH
nggMSCfxxk+usvSTB0dPnIsmDIUtAhbDuOh9a9VmFNToVNS/p1WH9IUPbm50kRdZHN0KWC0WOkN4
WUq//AK1e1ZpB2YQkvNc+LK+8ILcb9xe8bIFB7eni4LAa3UQL/u7OInZTVdrlJ+WqG/iz62V+vo0
9Yz0ez/IjQ0JyyRwIQ4QdBaSPtDzwkrlZwN56TxtC7+0uQlmrldt8D7MK30h0zhiLiOK+GD24Fgc
uwmI/KQio/FnCclgmgyGR+WZmeW4XKdgkPtzaMMNc6PdWOxZxAx4o10zNDNYZNryAquaWI4nk6qB
lZY2CFzvMvqqZCM/GD246eeDrBS+r3TWazvFmDdnYUvgVl2Kg8ExW9/yzwqApXWMWFrzIW+a6qrr
eXIbNbq0BdenZto17HRoLQAnRlgPiyKJ8/wqszrz0qiQmc+CMkubC79vi8ARTKfBB/BE9D2SGZgR
MJ26seNAt9qWbSNKWAX68jbxSxz+ifOBisYewAPrPxYVNSTcTHtqFnAj9s8Nr2i/BT4yGifh2orP
Qonwu04b3rBQdanDWTjUMEhDUkX0pouTgS1Tq0gSuywaZF2ZODA7pwfvRs/aoADUWpGFvq0GnoLt
0DqZ4Y52ym0SItRiECWM/tjsfO72Xo+04xXaKj+3rMcfokDBWIOVTn6CsZ7qm0xmGAwsKWQ0F2lg
tXZXfyGibgW247jhHxnJytZtmV+ZV6aXiOZ96WmpYHGHET0rQgpoQuDQd5chreL8kqsioDekQ4l1
5nW5hOfqOsO/ipVRtG6qPbAZ4I3V1VWSeKC/krE/14GIA7ftEDrrSxPmfW9ZPLRNL+BXD17pE3dx
8+jkPwbgd3nRq9APqtEf//MhT+Hff29kfn7ngab4609X4Z3Kdf69+uW3Fut8U06jx1/aujP8+pN2
G/pi6w87VMoLZMn7ta6T6oWLLzMpP9uGbZgG6FlDGWSknjnxO3TKpk3rc/rlL5mfZAqDLCZ49Bz2
W3OKTIgQf5Ap0PyVA4EKZ2hAb2+MJATqT2QKhQoW2DUCwSyHNUoKEy79IFPYpk809FAyoYSFwT5u
8ioyxRoHdhaUs9ONDtBknFI2jmBpkBTYb3i1TGMrmOd5ErpdnppieNcTMDngD8jAG6yZGTQoyGZx
E7czhiuCZzklfdY6Zh/S5KIUYdlfR62A3IANk4EpZuPOKms7ZWCjFhiivgTbppmE+l1geFFDXPDW
8uzroKzavOF1LVUGdEHRmBcdY63uHGyUkV7xoVIQV1SWxzVyuk41Utu4CdQi0oW8Ah8yOPM7Zdll
25ofy7xwYhGCJahzcEnMGFZKXLbNBTRL6edEhNmSJ3H9HoMf+g1BSFicNVHgf2tM1c0TjdLL0Irz
WWLm3jIymDlvjCg4tUycxrZoaf8Omul7Z7rO26s44+0SR03lKq/4nrdCB7CEErUSYaidpDLBcgYe
I2cBi6oPpC1TB94guxNDIhdNkLSXfgVrcT6Ei8Qw6XsxoGTWUVhBkhp1JqzkurNZVRlncOB8v1RI
RfO4jvTcLHBR2OBW4tammH4DmKrT0kNDZONCYlfKgHylQzHcBMMQZXZMavINGDB2AbbTP+vjSP9J
maYuhmzdTVZI3x1EWl/XdXwHrzQ7K4GBu8U6RIkTISSuzDaUNuN5sOzT2Hf9noVLFmq9kDJRs2iQ
YjmUITtNyyxyZJ8qJ6B+f2daXXLJWk9/qtO8nmsZZY42QnJFKU4G2wp0PO+lV8BAKa13OM6NeVgy
fUNDWrhVjfILKLtvLrSOz70+HWa9MMS8ZH33vTWD5FQUqX/e5aEJukXcuAo9C52nUK2QO3kPa0FV
1dZl2YtsUfg1XpgtjKKOqQqiEiK980QZ1qdaGp9zFJBLYojiGtT35kacmlc6J+a8Ugpd90PQnSei
jc78MGtmuVFFV6Yu+veBEq3b6M1aH9bdzG8Gb65LrX33IPb3v82ybvbE/cqy/pHAOnG/GhvXR7Ef
xhUyxuam5ZSAYEnAeYHA+vwwrrBNlnIgncGoEUQxgUt/GVcJ1UEUWKBNAwVIOf9lXMHuQmN26P0K
Nhu28sDxgz/WkK2FEtj5pz9vM9U7rCScfga7PMFbg2AOWs6OSDvR+aWsRVBfR2FVnItEmlcq6y5E
lpQOq9UnK03dMqri0yznybAOcl0a7+q+h+h5CB0I3JJ3Migyu4r7d5Vvnuc6zedlokMbDz0wrjE2
FmHSmLZZBHM/boIzCOuR4xeeaYPj5QeObMpsnvIiqW97v/gigz63DVhebA6xVeQURJvnTWcM56zI
usBzetGH53USuz3xjNPKUN99mQ1A9iJv0eMcaCccy7Ok9ptPBVRrXBAwl1eCZsCqhLdFTYNiJtIe
zQssQrdRBnJ5IzM3pwN1kyQkNrEkOGJYXsRcVbPSxw6rSDVnXbEULGjshuZy3iRDZxteBcFakLWn
qtVLrLV0qqz8olr/ssftLEC9SzS5QqZ/0Q5VYFdRUdshOJl2JITT1rqeZYCw7XtGNYMf8797bW59
7Yeo8cCMlIENbBMQAYHGp1LV74OY3ooIZfVZYQVG9S7EWXkKfJGTlYF1CnZHZ7dWhaSyg9rjjU25
Zy4obpvIZh77Hnt1e7ZpybWoszh2hzS76SO9tMziPEuCZYnIhaiMea7bcyO13HwAJ67MbBQNDguL
+zYj78NKfvk/4/HgliHwY35u9thxy/5IijBbj20Hg2Q1/N2PLBccdGQSClvtN7uwwUY8sx3Qa5RD
6ouxx1wWGKoftkPAqeLwQYwyqEWyOHiHPxwzOLiWQNto2DkExyGCZXldlmuHC4YOawTyGRQIUtAT
b7o6POeCfcXbKKIiuTZw+cUPKwhW6+Qb7tlZgtPMjqzB0aqecZbaqOHzgfqXsi+XrUjBqWjT8iwN
y9SufcNRvCZzn6E5yultGzZkJnheO43fX6LKcy0jBy8PV59CQQonwcllwMrEaQx1msR6lVqdb9fY
vPcIuDWFkfqOz7qLTjT3cY1LR8QwEcEKz6y+AZ+vz4YZqo3EVSnrXIiLKofXsgY3EVlOlWf9PMv7
G9Iz5hI/uag7Rm2IjP6kwHK7ELDe58g6hwRI4ZZdVth+o2M79anNAkgKZFzeDBJ/brzBh1kexsCC
G62dcHCkIisKncEviJ2mvmdz74z61bznuWeXEDLapO0+DYF/VfHsovCKiwCeyc77UNkpIe/bMHYb
309ncUauPEw+eH1SgR2qUxs2hUKKSzfAoseGABeWnqa0Dx1PFJ8FU4YD3plf+w5rytC/rUhUfAWe
5lM/mO1FJfR1QSu9SHALZGypvnY+BONZvEiL1rLNmuW22YJNrqlH7MATV4FPPtFSU7sO22sD+n3M
4rgeXMIGfzZI4EF8JY2FkdfvqRHcs8TLF8AJORiYnovcWlXdCugwcBGtle5pvqgVWiS19meqaNP8
k8RBdpugpIjXoT/ct13wfqAIzGNd5NyOVSDESuFo6cH4PkNVhk67iuTXRHny2kw9fQ7+mmNKsKwt
t04r1Uc2ClDoBKbslzQaIAQN87RdAJv+uc1al4dpcEW7fA0RNjlFuS9LW1kiGOz/s3MPdo5B5Pey
nXs6bWnX0G3Efho6qOOAujtweOA4TshWQtLph5MEbd4Yl1COBV0mIHFvPTN05glwKmCAoMbHBA8G
cvY/DR00bYUUyWMvGvxw6RVOEjhbW4k5Bo3K4DBBsHYcs41ftm3mOmT4jVJZvRz62ClVbfua2aFI
HwcIEBIv+GJoxxeTnMGh4iakABGB06U3ijxL1WJgy0orMoslqpn8GAelYTkpT/rhFAw9U5BEyWrz
TGtvuI0IkKRQ/GJ+jgT3vxR5JM6V38sLzFNILEGiu7sJevqe9nkDmZne5/qigaiKfm0gkhE3rVc2
zTzCuek2ZhPaVmwk122UaDwLiyInwLomdeMIw/ciO9Re9mcY93LGxKAQ2MA7lpjtkptFcm3WqEgc
XMRJP8+9jjpJU9tGovPW5mGb02vUYBZfNkl0raq4BcI96yDlcQMtCdZMF/dZ6UMiDX3gTXkK5RIL
Zlj5giB4CqMIZ9L05jKdsS498/q+dGmchq5W2E368nsgwDYU5hKT4ntNm9sEg3VsTRV94XGuXenH
9ZXBC7UsgQg/T0J5Vcg0mQ0D0XZmGPS7CYnFUyCkEOTky2KWNl5ph4nBZqQVV7SSS53p1h2IaFw/
HMiiyvjHHht/JiQoXUglMwUhnE842EYSwLDw0hlwGOEMKlfgFhWZ49hSH5VZ0c61RBa8135jzGqO
1Ux2qPsTqIYe3iLJK1vHtXJNQ/VuxIb3pVWJ88DAePls7u3x9/dUVsDtgDKCw50gIQ7DenuIlb0q
fb8Taqln6apVNr4dbrlt2KVTnWanHrYD15+lCz5Ts8xm5+aczsip58R/M9ZHroN4iG2gzAZOZgaX
x8QCtrI9H+qsU23ta6gV8Ih/3idB58R+6dlFaxLgdmM5KxuPzhWxVGh7Al35XHnnGDCyYiApet4v
pYd6W5DhawWE5FwTILerqph7YvjKwdm1I88IoIal+1wmBbeJKnuH64i6XQvLGA6iFNbrbtZTuWhx
5kTe4JSm8OyBydOBYrsnZAHHr2C7rBQMCmk6TZqdRkB65NRUdo6KWQtuPvHiwI6zELtNEcKyHmkX
JvGy7SRdlH4U25r6H/02P8U0vao7gWyI4iGBAQONy9Kc1yi6/TXE20YE3iy0+7CgY/WmKw+FBrgj
IyIH0soi9dQSNWm0AEOQwMOjzDHCYMaAirDN0oeY9qdF3zeqNkn/v0ovdn9zhKbRNVw1sa+XkBj7
wjzldLWfu4PmwNHXVzkQP7ZvqcLmJQSVia5sBkVJl4OqA1sY7DIPxZ8oBFa/0cZ3LzbnRVlekdx6
h7zhjvnl17QNS7fMyuLiQfF/mjj+byMuYErBvP6J4G7skcJZ6+r/sfelvXHb7Nq/SA+onfqqZTYv
4y2xnS+CkzikqIUSRVGUfv25lJy0TprmQYHz4X2Bom2Qwp6xZ0a6l2vjX1vy9qjvLXk7zAAHWXjf
UVx8pN9b8hb75MGiuoXk/whbAC2GNwIeiU0+/a2P/7l64CyiEGaZAGlCUYw413/QkbH7/HDFhQTJ
sDgvFMomHAuKw3w3E9Xb+iH7cK3DpRzPpPEfUOzvPWCHbTDe1rYX6WwCfmIEKg03OIhlEXlb1+Wu
NNGcaTuVKRl63IDLPOXgbe9IsK4Z72M3nQMdpePq3moyQJ2V4Lk6gIpFI3r3mDDlpT1v7lXciXTt
JE1daa+cgci07USfzatxMseGZR7rWBSN8ZxU6Xm4Jl37ACA9vIrN2l0Kz9OpjLwBez/GXq+J98EI
yIEaOWcR5yxdVffAOwo8wkEfJGo8Dn2I0qZZMdYgd+OgfYUE6D3kE07aeOFB+s69s9ZuWg7j1box
pWvIPkIeKdIhnJZMybno1FG4ly7zPxv+ovxMJ+wgZcny2UyQQ62TwDtSN3nX2Dr31rEv+kW8zCtW
L6vV50nPJ1f3c5oQvCBlADErerOgv6ZLVzjr5aTdkw3oh1BER0lEkCZLSHKMPJeKqZuqtTYNDIUQ
0rpntMUmZWQqXErwkfjxmGrGxmOsApKijd55bA5uE4d/sl53O3YUnGjjN1nlcnfnDdJLx9i4Oz/C
etmXUhdNrURe1rObKkIvvYoflwm1LlQ8F7S7s/WINWCd3GLwoeKiIwCsKIG8BpV0KNigzT3TxM9K
N3lkjhSprPr9QMRprOOHIFlfXId1+3apU41VRBie5NLjddpDVpH2QX+YifGySA8nHOw04vMb9onf
iqwu3Y7c9IHu7mk54AerESuaPK+B+lTJWR4949zgAn9JZCVTJVh34rX7pAZzpSALyR0aQOc4+692
nl5NvCy7Uds+HUZaHqDU+NjiFk0lfpWsBsq1q+bpPvTYeNFScjJCPPdrcrEOLvAbyfdydgA2L8Dl
CSU7zdDtZV3OqRrHay1W3D7mgbPy48Bjeuh8aGOE096Xq7+RBtPj4MfHetDsQEN5AorUYDWN2h0d
u2PEwneKE34yuovSWqz3eM75cjChAVUuZaFR/rOvsgijoG9xk+3Ds/6SkaiMcrcMHkcpVGbWaQJr
0HWn0ZtsZp04TvlSgW4YG52tdpRPjJTs0HGubkQUJunsD7ntFndHp/Y9pgGRMs3BRAs3HT1Z4QPq
u6JsxARWvK5wt2vvOFaSp1JEPFfedCQrJceB8mPsls0+wu+SDpG/pCC3dErBpo5Cr6kcMCjq4SCc
KBdy1VAtaWCTjePiTgt0BtWETZeAx5g6MQIELnQv+IsThDeCJakczTvXiotQTSfpY3gJ1L2JMSiv
Y7sH11SnXVuuaVe718ZO7yoZdmmz8Js2mG5rNr+ntb0a2/VpLEHO11Dtpq0U76FsOwWWHJZxfNA0
ImCUOpISKf00aexlPQ5FTJTctQsdMQTYq1L5t3W3gMOZ3SL2+pM3TV26jNOXICw/VMw9Qz54DbXj
zSBi4CZm/FiWoU2nen1qODb+YKC0gLTjw9jGoHyXEpim1z9IDkbM6WVhGlw1kLcu9Xt/EuGhCqLO
38MG6xVcQpgVVvJf7uEbQ+ujpf19C/8h3uWvnXx78B+dfDtyCrp3qOKhL423w4n+6OQ+wnpjioHR
B1D4de/+jiLCP4OTrNCs/3zU91YO0yv42JAS10f0PuKd/0krx9b/ZnT82shBciAWFn4scM/kp0Ye
NmDvRKnW86ofB8zfE+6tN2/ML6bT7RneDKfbfoHnwEQMzSQ00BtR/XZUWPsy6iFwcs+jRTsmED5V
6Rh+Nubw+5/z4yuBk/unn/PT4C0dtx9UFbrnsDeZqy7n+PPvf8DG+vz2lWyj/xt8gLlD500cr8Tb
FKPBuzj5Ip0lS5xzMkF545FsNM/9dJiqGw1M0a1eBTgXduPJWzQgNvepHi6ikBW07FIGrZS4n1ue
26T9L2/FpkD47W+6qYjf/KZ+BWZkVtt74Rfl2kL08jiZKpNucJ5LbHQoeNXyJXYwd+CvNKqy379V
m736L78AzF3hdvQptrSfHQQdZa42JF7OixGVm7mJai5rYO06W3oIl7PkK4sCFuak7JiG03znNkA7
505CYbtxLmpjX7x+IgadkpzmBEer75v2yWv901wS1ELPEe47iy6/9+tEUKypOoUerlCROvbTknoG
IjO95EYve76eTVQVLQOeOzjpFEElZJOb1rspV7ErJxR2zEPjw8g23KFJVR3lpsMvgBEB8scsXpt0
EX1ehw9wlgx55GNIHBTeRDeb3OkyJgA++sMyPI1YbBfHh9Sgg4AwuBXiSth2bzpPvoPOAQ0RCmqZ
POggygOBNdkAOw8rFuRBNdCc0DYoZN08a6fHOruqNAnLMa9ZcPn7T8j/xQT/9sb/GewCX4/Gasf1
TPb+oTyul/rR39OjOkM6cQmxQKYKmifZsvOzkzq1O5nbZ+dY7/Se7GHQ2IlvIqK/hd9+2pv/cvtu
O+6bSzZoIBtvt0tW1keJfjznmNWG3UD+Szn61ZX5thz9VPBo1a4N5/g5Dlr8g/08sKwC9+DlUflf
bgL3x7f4W0V6exP8BPYkuGOUn1TemfuZuKltjplKQbk8FiLJ2Hn+by/tVxUQ/mn4TIDswJT1UwVs
o9bGceN7ABIBsK0fMdv+/qL5VQF8+wN+eu9IV0EAzDzvPJp8Cut0drLR/lds6lel482r+KnKJjaJ
1gXM1zkxmJ1POnrwog+/fx2/aklvX8dP5XFBr1Ygn7wzGL7MNnNKortEXCfcfrvY/q8Bjr9Vxv2/
K3rzcfH9fjz68zCBX8xHePT3+eirlxBRLVsai7/J1f6cjxCniMPRkY4M2CLepL5/sqwhvgK+Ag4Y
HA6H2QlT1ff5yP8PhWlto1lxGiSAuH80H8EA9MP1CIujixsqBDoAhQhUcBtI87YwJTZ0IJny+bUD
dXkemlYXdF38Y2SW4YNREL2jrUMIlEZYxuMM/j7wreU8jOLdImpRJGtkAHArL8iBoDFL0igm5tbO
VC4vYBhd7MjMYv/3UtsY4WG99GGStDlMToAp69gd1iM8coqNe907Db+nGlSvCjWogc6JSZSubBUP
rWzMu0Az4WUNCNd77lJIQT2BGaTvgbpD6j8eFg7hbRNO8fvONc6EpqYh02gTalM/7NclCzoI4TMH
uoOs9nt649emf/bbQTw7YR8ecNYTiFTXNOUZXBKjaUNFdbWOA4VHApMGy2iFQppI79gx0matL6Yr
OHba6zjqzF3rRbyA5NwLsq2UHCanDLOpGegHr2stFOM6kWtq1BTBn0SrMM6E28R3jkvlmq26rQ6N
itdPrQdfEWcB9BbZQoZQebspCUVfpoE/1fJIja/3ocIHMuaVdcyzrpTrQplYmiIQ7gSVovimWVy/
KRiX2V/X5JAwim9besX2MdHr7aiM+OAn3XibxGO8Ew18d9iFA/4AHfd14o/9fCMdvJs3HTgqUjCo
wtuMlXIajtyDj+xMK088183oPdhkgiYmjaYa+FhHquZA/E4D+6d9KY6Dq4Q9tXEVzK/RTNkrFATx
HmaOctdUXG4IOBiO0RmXtHVUnEPAOD5hFO0VPFlOkkXfx/b/69L1/x82C8XWbyrX1et25t9fK9b2
qO8Va8NmQ4+EbxQef2x07n+8YItzB2npfoVZ/9CFYG0DWruRLtuBPN7bihX9B5seihlkI2ANNpnv
PwBnvS2H8M3wjZ0ORuoIhyBjsYTdGC7tHyuW73gz7BF1fXZJoNUp0VVPssq0gfNIJRzQRRupdsmm
QQwQq9b55LXHVbUHezySUuy7TsJAAguLpu9hAwGdWZkHF6zLBbGN5E8lEzaNdFenC2QpGeTn56Wu
RR6KVh96LwRMOLd3sl7O1mlMCnb3pQTDm4WqvujJegN/AIf4Qr23DoSXoVx3E4Xwgsyfoz6+632J
J4A29cBsuIPZTR6AzkLbJr4YqbyiFW2UapdERT/r+l3J2htIY9dMk0VnNbBNKsvbuYWoNYLB7MBQ
ROEDoQcT9dB91POhjLznoAcaOstlKoxYm0zKwRRJGIgDLIFNkaiYArEro6Id+NME0C3vwr7esxrL
0toTYGe8a9LJ8R3cy5HmBz6WgLuH3o2xl8TOgkruNAfOwVLVmPL3o+s2F2To2B2QafsYGYyBMm7X
dLRVeIaqxsuYW7nXyxKcBht4N7yTMCyNUKpFQ6zhB4Ool0t4M1LQYGCUBH0sYWc6dJ6/5guH13Ex
LqAfW0OBIVzV3ZYoHhe0VwGcOskyMvwO3VCdgtiJAKXXo1PvvLmGlRsSwY/u4Af5NDlgiLCwcABj
U0lFrus25R1A7ICtOxK2t4FI1AyHjUS7UPVrIwFLjvWlJITlbQxRh67rLA7DKyhQrkbHw4UEvjjs
mzvLu1PvqWfPqS/FDLB18NoHn/G50Jx+CvrhxmPxNZoA1EBcx/VNKJbKK3zf+OK6DblYr9yQQAwH
cXndiyjzA0Dg9cKPU4s+aEvZpRYqhaJd2acV3rC0BBCX9gl4SdmC+wqTjmeBCj+FBIIeMCV1Zj09
5j5YyMnVedwu79imMFp0F+aVMSIDVutjVw6udTS3OSWhPDgMPZVQVtgK3ynwvNxNiniBv6UmG2gY
JjWMg4HZo9OanFhyHYczKWoVwiXf1+OJEH0RVdZkOmy8ompGJyWt9yGybg1AT97Psa0A3c9JVnZj
DJs0zJYVhccTwgig7vFrW7LPjaQN4Nkm02IBFuqIG5iXZ1wDXuGSKc6mcYFDET0l7eSc7CgufeIG
LO8IRI55GWpWpQ6T65xWIpb1qRu1fPhaNv/tH+S3/QO+S/361/axPeiP9gH+DvJhxCWQLewqejPw
QpJMNkYNHHIM8njLF/9fQHA79Cd0cWgfTtzc+LtNiPN94MU5MZiD0VPQkb65RP5B+wCG+HP7AK0H
OBJmD7CMwAa39vJmEze9HWGA5T4Au4AA9TfHeQmG3BW+D2XWsIOrY0qVXh5jD5LdkQWflE8vNUDn
PNw8bsJC9aoVv9CzJGlHuitHEJXStZ9yO5prODHGPEgURPhy+rgk3TOvWAHj5R1q5b5b9Mnzvbuh
B/knhmVKkx56EeV6l10LvwZz4ndjncisSdBu1rl8t0rxGMJaCyJmtVlk23PI/LM7R0UyyFPcDMc6
XP3jakCMY/SkmeEWtXyFVqT/Aln03TSz8NSxcg/v00daLWkyru8thNTwRbRe6sPGmkZB2+V+X2bE
QhgZ9/z97E4famuCjNf84E2oP/0YQyrIfahSQMRkVe9f1+1waurAT2elvgyGu6l1JKiUhp4rVKVs
ZsNZhKY/2VbDMlaBDoxbwB81VyxLCCuvx0iSHFzUCvtKsH6hnqmvTRB/Wiu8uX3Z8lsPhrSUj+qV
Q3p8JWRzDBMge6XXA/jqRnoeK9sWcTzjU5t4kCqYSrK6tTNMqsC4wNVE+2qDoSIFP19gY3ZLmO/u
116wdGBwyrQd8C7Yz2VatT4ryNKIg+/bpnCqytsLvgVLrIhJiCxsjCi7cEOWbu7aBcrCYKx2AenL
XTD7TaFaDRmP9Nui88UlOtLFqsW57tyjXtiaVy39AkQuSkUMHMwZKz9fpkUUbhkv+3piTUEEp3gj
3AV67SHZaxFB12nVtE88mAlbppAUARvuHdSHdD/1IS8gdBIHQsoyN6bxIQjxndsGxyql7YpXOtgo
SquIRDvKHJ2JZabpIllfODD3wq1XV6cQXNqeefxh8cabaSJdwR26pFL3H2UzwqrKIxjKhyQ49Qlw
SeZugSjr9hZVXvdhHkPxroOTOR150h2WCekvnmUybcoO+CwF3cx7zCgV3nc0VWc60BkaST4HYMfj
qfoMxVUMDXhcFoa1zoFosZvCpijLDvQbPI1o751K4X1vU7CV0H7BYpWrvm2yyIjodnXtrbDTHVpY
XYyecKus8ZprZCHoA+yyXzSAIg2z1E737pQ2sOtcVbA+Zr6N8kYN0TFa5vIycmKzB2wd3HnO9L5K
pHZyoidb7rlnXTetpv7TjN8qXh20MS6adKR82DvV8uA6s7uznEUZMcmpwwpYzPPipomZ4BLAQtMj
PQPWf1ZUXeecnIAcKt9/ZwBPZvAnPGD3PMWiu5njMXOc+GoMP2CcvJhkZJ7Al79iALu0geOkHWSp
OZ2n+XKC7/2QJBrSOQUFMKvJpYefxnt+YUzwZcAin7lrc0Vm4qYmid+vFCkflVgpVLzt5zFG9AeS
AY5SLLdIU7qcwgqxFNz4eddSua8rF1Zow8P86yRkKtCkCt/ejVBHx6Mf7pYFH6E7tOfJYfeNLT8Q
OT33AcoDJb3J41pdVLP7YusogqLAB+Y9SrZz4UFyK2DHdaAwmI4QGqxui4XTXI10fpxwoHYeO8FN
YmOayjbujjQM8Z2aCFCEjcl6LS8mQQ5wlHaZgXRPEDmcq0QvqUBqQOrYJNdWvY5lVKehqXKEOkTP
sCW0YSE7e9V5+pMM4mM3hU8wkobHqnVTodaPiL9AyIO0B7zoZsc9BFO07po3UXzNBapMIh0QnHNW
J45MjXQPzhAdlnnIhVchKqSabxHndNl4Iyj+qvmoaXKIO//aZf3eCYY9Q7gDPlNAcS7+P3zh8Mdl
YzV9Gav4BmkxujByOeo24MUUA50I6lsY8h30gilr/OWC6+a2TZzcrfhDg4QhHnWHeGq6fGqrh6bS
GdzQKu1KzFMt1JwlAkeqJqME7rkx8TIwN6/l1C0p+piz7EfqjRSCibrJWNTdYVxUxb+zEQFIhv9+
t1sjWezFvKqX8RfzER74x3yE9XrL/4TDyif4A/PJH+s1+Q9OW4C66SvxuTlbv89HPg5f2o5dIkjv
QfjQD7YLoIjbKAOmFdk+m5/rn6zXiCX7eT6i/jaE4ScRUJrY83+cjzpG0UgMlWdCGnboMTdwBtW/
8ueLKTYLfEXeeGknT+59soJ9t9NNJwK0yK79qCA2zQHjHKAuCIvEV0vG5shPRcCHDM15xTA/eznX
dNvFojV3ZtveDCx55OEKgYby/cyS9QIREpcqDA5UJmi5Dt8PS/9YUiazdaBXq1og2Jc1ALZGn1gr
ACMG4WkF+QHeMb4CePCOhfBC6YreJjMggE5V0FypFw/KQDj12XvThn06I9EJGSaxyWqzXkVd/GhL
RF24vv+UNPIxsuYiqV0wrc2DE7ZXms59hlSDd50qUWxcpNOU80W8BnddJ3Yuc569ymYMgmPIu2J4
U/rLPpZPAICvfd6KlId2byy2KFwUL7qBaKKzDU+dWBdVtHKYQJsm95WNEN8yLAWlHfZ3YxYEFLVn
NVtEazD/ILlXpdDrXM+bEpqts7sPa70T0QAZEra6sIbe1PHWG7+MPnm6f6inZQdrfpv6rLuxQbRb
eHuskHSRwk98E03xOz6UrOiD5SmqYBOp5rDPMcXXWdNVcudXy5h3XoyRd71Vtot3Lm9O1m1e+doi
KUF77yKuXCQ7eGUWyeQsTOxdN2V8sJTdD9cBP0bQfpGZXkSLEBkUzLsqNnB9DEgx0KsotK/NXk30
iUeYdiaw0Gkjqz08PnDutvJTHUcyFxpOC29wdw1FRgHBQK2XQwX6dVPFflTKf4X4/RUTOTuwIbje
8h2sGRgyuUxbiKUJ3vthjSgbUC8AZ8AVd8OpDaNjE7oITeE7RRmEQ8jTKRZrvcxj0bKnXz0hXTjp
YjbObdXPn5O1nlWGHVtkBCqsdQjGNIYuK3AGDwrf/pBEm/rH27BrGtMcnviDt4m7pLIvSHp5qIiE
Z7YtyOZSxKWL6yh5lIABMr7JxDD6DUWVMFvUMUheKGBitHIIy3SDfcEPm7vEILHOK/0UeWTHLoku
SzO6QH4gUGuYwH0RN1NBISjc+ZuQLcKdvnM2cRtBZMTF4gE6ge7N3wRwGko4uknitnSyYz/itXA9
IxJjhZ4pgAKLkfUsJe4UscnrYG28KaG34y0heb9J8CJo8Zou+qChzRvlbRUEfaog26O0LY82kte2
BPtkIO1LPPk5GBuA/xD9tUHbF3E91rljnTrvN23gHG6KyCFkOV+dPaRbYv3gbWJCdSnEEXL/opLQ
WA8lLgPTli/LpkL0luGq3HSJHQSKtg8OncsdzKr8vcPq13rCLeOBci8QIgXzNQxhm94xATmH3Ivm
ATlgX5JNFMksrjt/00nKjhUB4s9gDgDibNjQXTqeDa9cKCydqh2urUGuDpKvRBEna5nbTZI5laXM
mIJMk8/myqiaAsiAhLNJqnuucDWHAXOPqhG8CEp84kjbQWbdst7Kso/gY4UcfGzNmvXQivqDmjDh
48biKwTrziYphZmy3JlFi1wOOjhwfF6bALVGOBWcAcNtG/gXDTSqpCQP5SaBcj1zKjdRFFB/oC2j
VEqce+uqpzoJx7mIxi4S2TiJi2kCQJhp47ce1H1lBy9uNT7ThPH/JeT/xUsIkIq/Zwr3zWvX/WIe
wIP+mAdwNgeOrd5gEfitv6qk/pgHEBYNBzf+dcPQizdS8ruAKgFBCEgMvm8vIDgOGV/6Ey9BlgWe
C3+40Er/03wMPNOPcHsANTSBhMujMA99HUre4iVI0Ik9O9Hk7LUKg3borv1e+ZJ1t77Tca8IOSDy
D7ir1K2PpS86tabqstUkl5FILlUHxLBv6481wIplQMiYp9luCQKUyd5vbJspfz121h+KySS3NZ2/
bBkvWaygWp28vYO5mY1VzsJhTzBPU8zVtncODubsUGGRi4W8ZGK+rbdRPNIqZyo6xAReOyF6bJxz
hnUO4VmY4wFAXXsryattwJ+3UX8iy2HZhv/OcT8KbAMWotKjovETthmQBvMn2ImuKOQ94baRRs8J
yqze1gsA+69qoXm9LR5iW0HqbRlZHWdnIf5BcqB7GLCvmG1xmbcVpvYdVfTbWgOBA15tB2v4KNfH
FvsPsjORBritRGpbjjxsSTwA9OBPbKe2BcpVLC4EdiqK3QqV0+TDtm7Bj/7cYv+ahLgHpn5GghGQ
z7YMd+22rAGcOs7b+pZU2AVcpw1zMgcGyxXWvH5b+CZkvWVA5S577IJtWB9HzC8p98TnpTUUUDAW
R6TxvadN4GKAWF4gEQM567pftOecXGyds14uxbaGlttCar6uptuSKrd1ddkWV4sNdsUm2zrd/ITP
80KHH9YWIUVw06IOYwMSJwh17+dtJVYzbGS56yYDR+ntprXoqpqxFNlGkqNa6jpBFWZhfGxGGjjw
nPJ9RamyAEeG5ArsBD/BnmX20E/LI96XnhQBgdwa1tLkvsQymGTN4touHeQaHUy4BPseo2aTN5Nl
e3eRvElj0NmXMSQ7IJQieoD0nTz9uyJ9W5FQPv6+HCLcchpfflEP8ag39RC6B6g/A2QKA9fBfvKm
HsKNQSjCf8LgazjFm3qICoovwbcB6Sh2oT/rIRzrMJEjCwN+zm9ain+AH3ubwf3HehiD+kdF/uoM
pXCp/LgfweDFEBxXBud67ePluEayRQIN93V5RiiZ37bAgx3vQMttlZ/4/RJAlldHQY8peiKpW0ZV
iozYupgSHeRj2JIDwUWfU+sDwDXyxV1WlgGTeVmH0eatjxBhNUYXDS5wzD/iRgxI4mKlRjEZg9RQ
pIHRZQWslAB4hiO9RGBmbaBeak3BlW5yHumLCSk3qRtXj8aNbiu/20cNUmqkzTuz7qsBigtDWgJx
vbxdoQiXkTxiHoQRtZEIOtQO4FrkkwFwWl8SoW6jCOTjBLALUnDvxiO6uZqCVe4QAdjlXtlIpG8O
X/ySvUwClFfrxIVeXrHDhPkSDoVxfJY3bXdlveCx7xhMA1iuwIQicxWLJhKMenCBvsTeuaL6Zq6x
F/5aicJT6+tEy90kzYWbzEhVQkJGL/ejPxYKIaEAAEE9wd2dKeO/aqAf9Qzle0JSgPmXHdCRNZxh
qGQlQixiDddd9UA3KKVp+gOifQorxUMDrEXr7rZX5IIDg0E/QnId+EGDj3TaYBpiK9XtNYQbOxr1
JzdsP3YjB7Ebl5eAAS+RI9llwdduiN1d3boWEPEHoRrmFePX3umseun3rQtYhhGUF4RyJDKNTP3J
C33giQrclTd9Ska+i72EZTPFl6tpfsWGMGZitEnaGnvQC78OupIWWKSX3aD5l9kBFiTo8gwi/kGv
9tY17gdf9Sci1+fKQJoXIfmoiFnwufLsaSZs+dDwAYpZ3SPf18d+bMC3hgRuhFDdImTvgF7sXE7x
8LBUeFlIUoG1iNFzaUdEtPAV6v4wn7gG5lZHSaGjhRzW+IsrZIDISP3eaOQFtj00iA3yK2sG72Lo
VIijRbBv74bISTAqcyT/xOphzZppWXdIG+oBVrO954zPsPkeJG6brKOdTZHfCUh1XGH6QDoCUqyO
dg5KWF+cm6V0npQmpwhybEBz4l1YcqiRoVqA6QeWC8QJI+3u0MR1DDONPHUYhsHg9pAKgIHkUf1l
5Prct8GLGYEJN7B71Iu4ph656H0ks2C7vegQpJp64G0zAa+E4hWHkMDM+8EiJE9DspJ6Cc4Eq+nz
GsuibcIjGdmzD7HR/epE2PY5tEjwVL1Do7q3cHCRZH4aeFAde54cVztclIz2F6UcnyLAzxBB3DtR
dOQ+PTsJgsNI9NoH63XbqgPioqZsjZY1791uypFDfGcM4FtEN7Kp2ivBk6K2SQc9k40+jGY8oq9P
dyU1HNHBzQ4UyUWkx/pf9O+bZYJAL/q71tZphRP+JI7t/EWDw2PfNLjQhwsfKJ8LmSZ9CwB6/4E/
P9yMEd9Z0O8DP4WXAnxqEiIUBQcQvG1wMc5rBhSOoKVvxsjknwCA3sbd/tTgtnR1AH8Iwcc/G0D5
duBP2nhNOnirzo2pkAOdqUGSU2Pd4NSBixSZiFpI/xhwFOtcUkg04Clv0W9ElHMMtZjRxINl+qKm
9t4Qe7mUkFj0PEpSREQi67NaT0ml388tzOmtfwyrCMt3CcnEFhViLW7fKcos8luqFehBCwoKLTcB
WpVYLB7+F58ync1fo4OQGpAhT9IrVO0MaBVwPAtBUXkx4KN0Pi8RLERjEywFJvQ2J6p/CCKYwILJ
8YCUsczvV5Its4YEZDCZ6srHBvlx2otgahzHPKzmj5C0we09tHnoxp9gXKoyaO2fIsS1QukYHX1L
UT/AYSGU+CliwZ7G/ZqVs7/jqEmpP7YHLzJhbiQ9jBZxV0uAfQOE5MdFlh9bbc9E8gGlUz9XJKmy
Nqj3dW2PYM66nWtnlSsD1oGy/jODFyG3bvfUyxBg0Da/QwbzGpXeej3Wy0vVh+UFBgekoocepC0s
KpyOunceiNsceX48q+Dbh1vMwpU+1xduOBgs+0BdQX4ovUO2e7YGcQWYIpa7ZvFJ1iBiu6BQ+qQs
WRHS4nXj1UKozWsU7R2FjzEvG5hENDj9VI01B2eK3O+FVGXRkbG6AN7V7GnyP+ydx3Lk1pp1X6Xj
n0MBc+AG/ySB9Mlkkkk/QRRZLHhvDoCn7wXqSl1S694OzTXQoEIk0yEPPrP32rK76uYwP+FhjfxS
hZWbtpl6g8MPcI9M09eywW1Gq2K9MB3L72Ew1JfI0uO9ozXjqXYDZjZTVh5g2YLIUIRIToEsqgXl
PJ76Zs701ZyrwfvoxIrjS1Op94Wu3qWlq62jSFaPKuKjYRugKHtTEjf8IRzmZPmCx6KD6dcpxKwp
14nIWCBaw4LTahsgyfC1Ok7YEd5WjSG/hb8Fz9r1lLo/NwuaK1ggXShesbEt4C57QXgJWF5igXrV
uQruf8F8ae4RBni4ShcEWLHAwKwFCzaLVPPLBRWGQEfdlF/8MD2+2r8CxUCLlQtkjN3w8ORCEt9b
VNiraIGRKQ5YshY+2biAygBN+6MDuuyfPuXXPgXZx78/zP3P7L/OXPKff3GS84u/n+TGL3zpWcow
tfkC8P3UqghUK0S90cD8i4X1W6uy5MTgGEN5vaQwLLOb31sVoZEahe2ck9wyuAv8Pfoet5g/nOMC
bhYjDfiASMmF+LOyuwtAZWZzoV8KNptqGp/sMPWMYVr/9M5cfrW6/Qz50786nj9Y4FB7Lrcs9lZE
gBAT8McbBuEAKYv+VF5Mk3IMP5Mj1ubcg6JETVbqYQoY3WZ92ZW37tSf6rR6tPUGdDZuYw8tY4d+
TEuPQ2O6Pt8hcjKmjjGGWS0cr+ZFtlXl5U5Exb4oVKI2u1Y8oKdX2aVUY+obuwBqXOu174CU9gzE
FagfnGOdj4sTC2sw9GbfNS1UHWmxCaxhQ6hO5/eQtPw2HaknxbPi2Deu6N0VL/MlEjA02dVcmRXf
K/l4VhTz3MXqwB5jGTM57h7Y9FkGOTgTV0Om6WQrNRwGX18qwn7o7mBWb6Ton12n+UT79xbm02uz
bEzS3qbdmOKL2QRHy87jDVL/neUGzbaNGj6hpnksrXAXOyL08PIcEdS+FzJKN0OuVhwbkLeycqx8
BQrGCk4rt4luftPyfDm9k1vhcDBPGTT6yvBrK30DCPPYtOFNOeb9qtSme7vut1QTiEdDBS0PQQJS
GDHWZjIDIt28KhPInbyrHc9239yOZQVy/b7mLtX2Aj8de3qHfpvPL9mypvjhTKyNVMu8UYaeerdA
SlTTNWpgVHQJzXyiTZWRFm9SLbsAD082hiG3M5TRMAxC1K5i6w68t5FEDahY5uBXtftGCbJDdHVf
FvPkG3P7FFs4zUNA0is8bNdW9nvIP4PfGOqHSsjSKpTTUxbHJjEPMx5GrOJtlAwwr5vvWqZ/12VG
NzhquzJz97AkNFpDuUVzdZeTCjKSWHSyjbnwrKz4mJPqJbLbyMut8oGmLPFFbac72RtbhEaejm6d
yRhIay4x7OtCRmttjOpvRVKGzWZ2lG7yTGtkQKeOaYx6VcfesBOyLnzVlhvNkYt+ooGrmpl4p7HZ
qQErAmF8l6q7x+W5GWY2RgQPVcNTahqLykNq6oyVbum1Ri3200TfG6w8NART3bIPc+pvjBbutVT5
dFw+ppp2oeRqRNczUI+1HV556Zcy1fYMAlEoyeHkNHTqChWWGadIKtohXsiW8tVK7HY9htVNGKuB
11Yj44yFId8yJwQT17U7KbsXIlLYZriJNyQqqP3yJrX4yhpFeqHBOWaKsseLJqhDomg9jxPSuSH+
bkkcJYlMjNXYa/eEOmzHsvtMGTqAdUHlYlUvslkDtNhHSLLTTtlNlv2NmerbbALIglfVrqbsLRPX
QWL46PtDVYarTKHpLRpP37CbilzRsT8x1tIQu0EH9KNFNM9zNWwNO+k2qobiLRzEW8FQE76P9AMF
g4uQ1bbXituplK9NiccsnsRT14H/rRRCRB6W8ih0RBPsSj3Xsv/rGP1fdjrEkpqgK2fEzvhrEdD/
XHa3bWuIYLKmiwQltBLb4DBey5t90q2Ub8UzSus96pJVcKQx7n1cofv/fIwvssc/HuI8vIvbyER+
iF/6T6r6JujNQbH6+TLY36pg76rdyh3flPL/4pD91ePoKr5wXLM4n74oZT/JL92Oexb64PmixSdy
tFZZ9umGe2Clq//8ev549+MM4u3k/eQeyBIEf9Uic/jpcWqWsWavRerFMo+NBYOQ9Zx4/s+PIf7q
M/v5xfzpQfpIVVsdOuFl2LRPaKTXw0797vgOGJIbeNnh6r5Zo5nc6LvHs+Nnq/OAtfSpXQfru+Qg
VzuK+1Pn84N+ueG/9dN/fn76/3Kd8h4s3F0ypA0Go1+crJ/ehIw8IiZMqnZBWHoO7tS1eqM9hwed
Ha/X+9Pq8KptR+9cb+QOq2B+ZOZ2h+JuA1HS+3oq/+z/lgv43xeS6+y//LKBh/QXhSS/+FshCYYQ
5DLEIQN3zZ9GAtovsAbJ/IOtqtGTc4n9NhJwf6GGFL+vAJdJ+W87wEUutFhkTAg3yEn+niYILNMf
DofFcsPf4WRSBYAZJhR/us7rMMAmqA3wkET5JBcgygAZRaH0XdlJ21xIywKbws3yxRRV57lmVq86
W7EhnKBZbpWhOMwhWmfCARtudeKZFZbtN4wpvQrL4mYWyIPzJdeGoqjxOtGX6zpwB69eQC8JxBfy
gBgTjE7EeMB+dKHCcFcpNtYM6ceGGMOBEO4aGDJdPD4HkknbkFTXpowg8Sixu9PU8KOAQDMa6hHt
6xnmOR3bAqmBKq9tJlPDCATBJpPxdlqQNiVsG3Qjr0GnY9KtWvKG+qs6hNkmrMly6iVAFATB7xaj
h123YHMaso02bjl+WqX1iVEq8ZHE9n4LbccdjRcs8nhE+qyEm+x804foLloQPTzND7fIb1MT9aQx
2J4SWWX5NDL9XHP0bFMNwKkJzZRF4yYsUQIGaBwwYX5ambYeF/JpmVVbAQvVbuS9tNJwxxzBYTwM
iiGF+e4nsWKte2W8tSNprGL4qjGc1WEBrgpdK5H0OuWqWHCsCVzWbJDw9rs34PqECBigW3sGM/MC
c3XUiU0gAtzL2NIMV904o9/kluieIqX6MfeRicljSNZt0hM/NbKMFHM2bvMYZVYdJ+6+qqfozkj1
R7SM4HMWC5PuRDg8U+N1Vu1Vla9ct3/orSw8M4KvDrOaN2SjKOmOjetaJuq9hiKFIsNBYYM0ibVr
/LRIlpDl9s7KgE7vGyERapVVjb5ZEv2mKOUlTIJgZWET0i1YkAoDKZkAneppjDLrIPqCt5gBUZCM
z5UZf7eN/BQo8PUKra4Rt3f5ylb6byJvEaYI41XRszfKa2i/ob2dXIETJ0p2uorgyQYNOfbzRtEN
doyzs5mK1B8TG/BVeiLCgfw9hW5lmq75XPxQsbqscYFZK8ucULimIfGTSvKhWcqLqaO0jcb7LOpO
06A8oIN767hd0iS4q7pXjvXYnFUjeByL5DjJnE8r0J/CnBF+1AQPwWgf8c9AhNJDQIsVdWvquOdC
F6+BLR8hr8yrLMwSjDaU1OR8vbfCvZdNcg6rZqMHCzLMHm6lJu6NideSB/Fd02p7cPSegGwRAuvq
LXmsFPM9nLqnpV0JCxP1vnkbxfPOaPJVpUJXStvpxewdZ5uESr5KsXp6HHOQjWscuu6E2Sogu8wb
4ualafOD4Q43qUFohDo/9QVy+IFwIK825J497ZJIuBgDlOwe9fw7fjaktmnWrGbL2S5hOGv0sM46
6Mp2zewSc5TLykcgmUuqPCFhqvLGFpyTjj1gOXE5pbQSE9twKWFxrHTg8Zt+mO5CFZCVxg5E5S3g
TLozJusm6d0P02IxVdnWI87EG0PUiWf0qL0HLFJ+uRxxTTTDUVavultsMjtCtFa1+apF/eBqZrbL
UXpBYkW5l3eWZ3G99XN4xcn4buesoULduYFiH2zDECUB/fs9nrsGm0KqkQ1lv+sEj621IoPCbFXg
JYkIy2NdLAufTYqiuOnm4JrUc+JhCX4o4qGAXG3HH1WknC1CjtbQ10E9x88yGm4bN9rlpvNjpgRe
d4gZkeqrWCcw+nlxayosDNs5f87xpIQ3sx5OZJAM5ZoB9tF0mgd34TM1C6mJeMg3UjxcRISDAat/
fgkGSE320L5bnVJ7c99cRJydIxBQBiioESSUtrChjKI5ZLO+BgCSrfvOvAMFdUMkBaPVhSyVgJhy
QE2pCiPKZqFPEaahUsn3DwZgqjhgLg2oKhkgVqWQyXk284u7wKzq6Sk35V0lkwvXA28C2Ksc/NVs
MsrEHoYORS226Fl7GpjuWgDN0izca0C0hDo+FjrzZmFeLCBblSsKxq98qxf+lp3h3cYYyk3OYpIX
L5yuQoXlxRnry7jaFaC8moXpZectx44FNHvhfZkL+Qv8FwywKtnPCxVMSYkW++KELcQwjEH6Hh1F
7LsLT6xcyGKpCp8UvL62CkfGBAt/7J+q7Gu8J2g7/n1Vdi1Zwf1FSbb81m8lma79Qs1FwrcNLdn8
spH9JEOgonIMW1jGr2nOv5dk1F38KLUXc7wvs9rPJRk4Sxt25r+EDX/LBa05Szv4P/0aJZlt2wsF
gqUQDSMYhD/2N8LJk0b0+nQLtrG52MmU38daZb+UmdAP0zJSnzRCRB04RTdygh0wLKN3bRnC28s4
PlIZzNMexEfLLYO1rXQweeM6Wju1es6yyKVA0IITayd0XWPH7w8AtJmZcbyqJRMBxXEPo45Wsu2i
bqdVRvrBF7LYJoUM0NlivmyqdnzLIU4eyhrguVjuzXoBV7fl+PfIaXty9dqLMuPbFOT2oWfMuulK
RR4LxvZroJIw+jpw62NGPLTRs36I8d+6FsvqiLAdw+JrV7pG1ywZEh1k3yT5rEjGEPCoiBWZ5/CH
nVSv0Ug24RwMXpxWB+h6rjdS5+z12YUNKWz9Emrhi5pOh7g3mo2oijuzrNV1rHbKtrPCmdK1Nw7s
QOw1OtojoUztPu6E66tRJLZpVghSDPVgZ2kopmIzTA81bHtyjYa7ucGoTSjz4qY2Z0aa5jpJKbb0
0D2TUrz4k3l3lF6J7mPJuC6PNUBire74ky2rfR21h15P3urKRt+UdcUKMTl2sbA6RGE9d14w8IFh
QGpAeaYqk01tlwgUsAr2utEctrjuCCKd++rbUIbJzdiJTyXFcFerjA5z5DS+LDIvTcIr87y73A6N
VTqOW33InvREdu5J4K5fNXp2O9TapdSdJzVsbUwprKsVdYvDmByVGm1cxeNYVgp8YxDhTduaOIWK
/Nga2qdpLtFHlrwOEWyIFoMfXmJkZXmu3tqhS9tQbgfDPCUjAG2pbiOt19dzRi4K8EZ2+slmDuPb
fI475H35xhXEOzAKujGnyq9S5dFBFe3PozhaAQAKgjjfcr15N6RW+y7eawZ729KcHmuX4eIYVCCy
lhtyV+hTfibKuWwZ51n9B4Ff6EwMs4k2ASsl92u5xHQ2PWlfK6d+2T7htzbQxrORCpfd1D+H8ddh
bPxH28zCGlx9FnH3Fwfy8pu/H8gqB7LF5hy9C3928fX+fiBrv1gsONCL4ZH5Akz8fiBbv7Afg3a/
jIJ+zUf6rUW2fln8xkQmWSzWv8A8f0MWRnbSn89jNh8a+jNTp0fW4WP88Txu+8k0CWhVMMRDZs1o
7GIKqiKzCpqIrtyk9rRTWgEqK8rvkLi5S8GLB6UmYnPqSj9LOgSnGlnOSY+5wLI4JeQU+HVNyhZR
Y+/ENT+RqfpWqfXN1GP4JeH+hA+yWYuS06YyHkO3QVGUJ35IYPWoJ9Cwa+PDwhI52BaZjoZ656rQ
G6QTmNBgm2d1tH/gCBk3iayuuZ482lqureeUQ71X7JnVRv0ienzN3FlgHCtyk4QVuSTklBV12qMo
bcjeIDlYBCSEtH1+iGZbQkQIGMnO0kwUPxjFW5UNynSXyMEZNugIZG6wg8aRD6FDrdClLtZ9XNAY
nDHzV4utnyRiWPeL1b+ejPWwmP/ThQKw4ABcTqx8AQQAN//eQQwIFnRAsEAEjO4MJEhvSfIIFsSA
dHv2SFAH7AU/oMEhIIIAQaoLaGPC9Oe1yMisoG0PtVq813qUNLRpUamuacY0HMO50O/qlAVWEdmm
L6f0QY2GX60Z7YidZFTFS8FIBA9reVtRR5+AiE0eCbZrklpujbDaF1l5brV2m3OwZK59gN/8wkqR
cUNqTPvSwu5aCHWv9QuMgte9Njr8JwF73pWazYbH83lG8BAf8GHiZODtWzlaoCwKg/wWdv1D5mTD
Jq/otV3LPoo8RojVyTp+AoKhY0nOLFyYGokDsz7dqe2csqppsS4unWdTqdeQdieoSamdG+MWKxZJ
3fqubq07MuX2QTZv06HHdDC3zP1DQLD57egirx31RfI8eALpRwv7MUpM0spzvOp2+QDUGoWB85Qr
xNS4TbuD2P5QFfOpkfG1yfuXuNN2GkEBGDejyrNgHKELMbbjIE3G87a+Ge3pZBWlygwGWXHfJ5/J
iNix4bkpU2hCzpAszXTgJ7O9NWbzTW/Ini5URFh9djOHwX1OctV+ggVxMhRxRTr3XijEErQPTa9p
qBnduzBK/ApbdVHNh8bSnlQ3keB3k20bN3iLmLyXhnETt+lb3ocxUnRrU3WTvTLqyo+qMPY0hQyi
epLf3IAuUs0Jc7Dms1SH20h1nok0Ppatwnp/iQEy341KtXwINNc5jJa2+rluJElD2lNWq9pa1dHv
Ed9LlaKcA9XdJnlx7mleVviq34dA5GsDp7JL2uzKGLJjlvFjqApk13dMKPK9E/YnfPlHfnJej6Nh
HAhI71Yo6jOSImI2UtZMSvp9pGqmzpotfE0gkBQmnurGVH/MuPZYVb22rtxId2CfxFMwnDe6p5u8
R2kN3Ng3tN7rOmPXhNXLZDNl0XMWb1JYJ0fv7x2tznwkK5nXNMZL3Dd72TZepgzBqnTEnZGEexS/
d3qBzGWahxtzkBFlSrENisbZu021i1IbNXf6TP7IKVTbR7uo1BWDr/suEj773psIS32q9s9EFF6b
mM8ir4YPkfNVUzF2D/rtmOX9PpzweifxsMv0+li7+j0XyaHsM75hTXdLnuxmsJFp4H55QfLhz6x7
N0OrsgyXR8XVjoqh4lSSyl5MYqc2SxAi5qFZ7iRCHixgJ3rGbZfNd92QdjR6NYGOzXGsuGQdNrx5
mz1SCb+lMr7F0rTvGvHZCmq20tpDWnsa2vhqOu0DeKFsZVqYe0z40IPznqrVXst7NFJ5uQ/05gSs
BdGVzjdMkzdRmR7juXgbM+PqZpRqVDA4AGokJpa6JWZlU1TVrZmXx9h2fvxTm3zVJiqj7H/fKG4w
i/9Vo7j81m91CSG2BOoQhsb0/k/5tpC0XBSaOHQAxaJZp4f7bXZv/8K/kaRTUaLz+Brr/1aYmAQP
YeS1TftfZcvfkfPZ/1uv7qILpHBylnghECpLI/nTDiglddalf7PP6HUPYVcPxU0n9cnyknyoKjBM
cT9vHdm2Xh7lITWGuwQLlm4BTqBLotfRaK8E309+1BYpVpZ+ixDKZ2HLClstdI63zKINS94xUMdM
dMx4DZiOtGsyqanAOhbqymsJMgu+ybPsSy296wCMXGFP7Fw5koAQYHNn5BOqsXJOg8KRq3qoYWko
4etUddElCKLYukTZZF/MwmErL9B0G7DmMuomM8jV4sGyFZLuGWjJdTtqQQc2ro3ip56J7QC9Xz6n
uhtBc0nLXRwlycSstrmRiTjI3rw3Qe1h0C+e1Dl76AXmmzKqPojKJfos6tHoEUXZdAmDL+M9WuLK
G0WcrV7HITw+9bSinsHmQBkUX8mZFYWLi1ZUleY7E4kBbWGLtSaiZ0ybDoKCFF+jeeVYvsWcghxe
ib+Dyn7gjP1URRKv25w3xXS6O9ugnwpxse4kf5+esUrfpiUdl3Nlp9K9Uhuiycgz56HONH1TFim1
ptFR4CT6LgJkWAxD45Nusjcig4zGHIgMQfVgudS0WFMfZkyYpoNR6XeB3ufebERo04S+A26mebqT
SrJsR31PLYSapFe/q6XrO32be3ANA8ogqprC/RZGJTMEm2YPpX7s4PgxZvdqBxifXNLhx0D5brrz
JlPHPbFzZ/xZhKMHjV81GHDyYlHaER9M4w9jMobZhSfpQ0buiOCveOGS7pBUD/bOWnZEXF53Qqu7
VeeU544CkwVDcMlc9DYhPP4w0u6DSmG5yeh1pY6N6YGfaT2uNz8yy5c+0QnXCbtDxyfYtf0GDHO8
HU2M6ZZal+u5EPt8gOxWm89a253pfh+Srky9WG2f8jC6j0QU433tt1poKXume8ZqiJr7yQ4eoG3c
zXXPV0RDFckYgsonjidfa4JLH8y7KQsIMh6Vj6ZWIl8VENcmk2nmrLmZJ3uUoaHZoh5lyKKJaT6U
lX2bLJnNpWNKr+oLw8uHrIMOI0+YvL8TJsrEwiFnsI1vrKRCVKraR+I3ta3qkv47YRfR+AL4Qku+
NWoliRrubt1GvAxKpHp81YcVUyPLi3rjRz5x10mr8r6fK6/rbWwSAKpte2RsUwCn7FLqajkXO0Vw
dQbL7L/N4s9s0memqPaLKc2rjthlP5Qp8qRG37NPNHxIn6dogNZjCdREai7ERtbJbRxahC6m93k2
nGGkKaiDbNJRknQd5y6ktKLeWBmLJ1lJJEzNOK3qwnqgox9wXas/Al28qUb2QVu3r6XBQDhkDhEo
+qdolac2obfK8/wpJyJrrbv9dZo6bRtb+Ws5iaOplJM5LDYCgl9tMVrUJU5l02KpkzdFNZMD0lp1
k5i+JXykN+sbSxk7uiLWcMP83hj6a+24xs5VcSNUrn2Z+6HwHThvvmig7Vh4KFbEzH6QX9DuVZtR
W9GB46jUbDep5bTqbao8OEpvlSWuXd4R1UqW/QaeJlBo+Jl+UlUFcRbqecCAvk5N43OYJxdIHyuI
RB/8ISjtXZoWtJCKyFZuX2MGUVntAdX5QIOVexqN5k4NpHmOR8hsQ1uPaOP0yDf0+l4WTLonB+yA
NtPMxAUsVieGQ25MfgyXDvBbVN3Au9tPOcOUYsSEpFB+0n6Hq9Hgaq2a5MOyC9Z1QTKvzSLYhMKY
dlZBmVRWYpPCKPAj28o2jsOGkPNw3hZJ/dY45qZoFIAowbZkt0MOemyBIiRce2qlukJr5m7AJmKE
IX3nzir0amPX2p7cpxPCa8AKeeJsWaiSKoNnlfHXNB2ivv+eEqayiarOOOiVAQOhwsGejmGxi4pi
fpxlzmcjJ2VjgpBYKWyBVqGOe9rshr1BmBUtqIPzxByOYeYeAnc+KvEMEk9jERak812TBz4ErqtD
C3CaW1aCUQ+wgUXRpeqjh0JHoZYClt1UBgP7PlIaLzG6D6umN8oJbt6ODkrHSUO3TogIHW8WXboY
YWaAGzUt42FbVfMRB9mJGBofF8xlQEu9NpJaxUzFXja2m7NrJh8OjI2sDdhc2+4ycFNMBn8mmR/O
tEZdjD5pxmKrqvKJfvJbmSqXrImvKZkznoocZ500mrVqRPWZYdAJc5XK1hDYy2LBnwTn5MtMfa1i
1nRDH58Dt4f/oKmDL+sm8MogPRYOdrVkTMKnOsqIjgleGcKy4+Kra2f5D/hXr6ahkH3Wnasv2VyX
f5AA7641Fw0b8XhPfekgCo0RxemKcjerleorWXyjoV1nAJAeM3T3nuCeaioDB5imfY5OC+4mODlk
oG/VeDrgq3L9OlUwIxfP+dScx0JfeJh5zlRDAOptDnWrHc0s/65Uzg85sme0WLUXtbIL2uQTleim
7ctu29rVuq34v7JUntREPc3hMU9YavU2OIQUA3LyHrUcvgO2hqSx9xDMlqvGCb3Wag5zK1nxpXw8
OSvdBI3AOHM9x1TuG3Q5nwZxsyv0stc4CflhDvAhB83TZNpKkATKtNGJt1Rub1Rg+3gk2JpKhyGG
dZhNQLt9Fd9aNeR/Vz5rBn+8GkusEMkxRd6wNfLuQwBOCe0ATxZoAtXOwTMUT5rBDc8twq0ZMU2a
HPzSafzYSMnesiWpVKnqSxW7J/KtkduCDekVzGY2xm7ko/kWDBILTD1ZWwxqaIAraAbkyW5gtyES
mBdwc8Pueqh5aQ558BF158rJYqwGxlI9NHvbiA5ySn5EmhlvQuncTlqyLedt6xL85GybqaBJPDlK
+hBlA9pgIXIPvfQ2SQbCnuj9ycp+Nxy5sWT4TnjDSeg9BrFAjfiw6m/kEYGn0mViciMemiNfn4dw
4bjSKz+xAcFvjF2ihe+/M8JspwOMG7rUDxyjuiu+yLDMaCx4EgQ7KM/RUJYqqMyibQ6IQ5fZVPw1
qCq/hlYTn06hmrHii2WmFX6Ntxw3PZR0+atxmX2xnNzObkgXzVhMYeHgF8ukLBalL/K094OhfAHJ
hJHZGcigm0JtnTFqM5riSuOMfdEA2cUwTsSEkucUXkoQdxsIvPvIFt/wn1/G2MWeZmNqjOIu96i7
Wi9NBaYROWjLfGvkdgJLFUQnnSK3ND6/5bOjNu9d/IVudKobsn6zSvhjZ5+HLibSwz4tBqBV0Sbf
NHfyW1ecyFSnuimrd+4tYAIzVgOF89jGsTh0vfrJDqXYzokKoGZwdmLoLyB8SFiPMPLRSqyoayQ5
A8X3RuZsZyLc2ZgON8ySTqLO7vV0WIOEHjxaVLnj3GXIjp52MrnZAaHb9QPf6ETnARnCe6nIWtpe
9L3tDAK8SraVTrXraulbWseeiG7TCmOOyThzNPZmA5rOdYazgkODgU53m5vJd4CHaOs0mEVTfC5D
9WySDJwVw1notxaaDmWu/aZRwsOgls+pDPddFL92dvdYuSWjqVldO812tOwr8lmgo/l5qvW3uCIt
vVU4GfNwP0/2vE/67I0n+BgtO2CbWnAddRXWl1x5E3k5POfzAA+3To4jnnS/HZISq8l8I4cJZoyl
vVSDisA1vZOy+JZWDhwkMgzzyX3NzPIUG9FzLhHL/NPQfzX0GhrNf9/Q40mGWvi9o30vOmZe++//
///96u5bfu+3ll43flla9sU0brkoJ3HI/b5qEL+gb9BgY6vG4gFnzP+vlh7zBkFD6MwcA1UrrlJE
dP9q6aGbsvfVBSaJ3wYBf2PX8GcxnnDYLpOAoRHGqWMf/FND3/WQ5xjtyUuvHkLseNN92W5/elMY
Y01hWfzs6fjVHPI/62VeBZJDWg1Gxqa+BLCziPl5asBk30iStK0uhsRC0a6E2SKajgy9MC6RSoLc
IvEf07u5jC3nHEWR/dKEtp7ewRGevEjNRx2vVkWARskaczzFQba2jHg9xxoVMHPtacougan4Wans
p9YFqVdeOxX9+BSxgqjt+zFud8FUM7PLxw3rI803RX1QKkLBnfQ9m9JvCtDLvqr2wP9eUJ1x/4qj
27Br146e7e2IxE9tbH5wM99WWSz9DGTGNq5F7ynIt1edKXf1wKHa2yw+nF1ttB4v7yW01L3qomwH
Pw+tuvjMWjdCoiSQq+WfQQXnx8krZsPqCKqzbTYYok9BZ0vfKRaZitShg9jq+9gWB0MoOd1c8cA2
4RDo+mMzgpfQ444B5tR60SQ/WkscJtEUmzqpbopolL5b2wbOw8D0grJhygn+0haEEIaTcZOHCCi7
1rjLJKbweehflMTAQWePa1O3QWTq3Y/EJrweMn/Jara8FKU42rIRaHPqeJWldbKzVGioFMvsiJO+
IJFZR+s0OClDi/lZY/Ro8HGuyl65NyUxMrmePcjchZzkpK9K3QgWU9XexeZ5zjqpeYjzDq1C8IKq
1WKlOeEp7D6MpNy4+DjjXOqeGGtKkqx4DmaAskHt0GGF2qFxCCXuBns72+ZHFSPJklNz7G3x4bQE
RxG98MPJuV+E7Gb9unMfUF7+ELH01Dr+jGu6Yq1NdpFOwgS7BK+ElT7o7buWJKrXCOYguH32WZzS
Ag/dJnYW2aaBiF+0nVwLRXU9s+gvyI0eh7CHvpl1+KyjZhnWXGFlk8Fsh71XBIjKBJDEAQTLvOBB
XCe56jjAEWpRA7jDc6pyi4on60eSuG+mln4B5o2NAa58pQRRelOwpvPCJK48zpXHcKqvhTAZCKfG
bZjZth+VkeRiHd+GJOPqkTUIL8n7Ydvza2oFWFAAyAxJ8Sng/m6GRn1Mw4wbM3CpUcE8OIQdDZvy
o1OcV+CtKI3SyLMNjTEc6HB3BlxqkbrdGVO6r77MC+RY18Gu4t1wcUHVD2Yo5xVgG65yN0sfUxaw
e3Mek4tlyIe6ZusyV585sltEFBl8tuo7DH7mMHRlCLdoH1MJZKKJk2chOj+zgowS+alw1yOo8Ck5
5SUFmqLcN33iLqibrAbPmUNsGADDKfZY+g2BQl6bmSbRU6ApjQpjiHEjAGQAA1LYvrRexXfzv9k7
r+XGkXVLv8q8ACrgzeXQkyIp7+oGIVVJcAlvEsDTz5fqqW5VtTnRM7e9b87ep4KiRALI36z1LYUh
O7Phe4p95y3Rx3rBY61mDGRsclEBP54u4Cm9aGPPaiSB8dY/R73NCmm2bprCWENGuykNay8N7QaO
6crVogczc59b32GUqV8EMrrCTXA15THBH91mZqJD4uB3qhNBEZausrbL1uA5lxnEMq9tAJTT1jbV
cPZw/Dd1Jph/zSvGgpKxKHVp6msMJ7TLqWtYFAbZOjTbN0QzG7MeH7X2zem5EgfX21g2XGC46JJF
RRBKWAtpP2naWodi/+BFw7it68ZcphELQsevuuqcWdZTXtrAz2bCGAcySZYi5bm1yEq7IksDMPS2
m8pm6Qv2g76VP2R1u2k6+SSleGhr7Rl5rXVNIPx8xYFXbxpRv9SmsY8b6/sY+pf1TJqkCECr57Rt
Dk3uKqkHf6mlItnkcx7c2bk/naI8vk2i6JXxmraUWS8uGiojACUdnhUUP0u7i58Lk29RxndJUqar
wNIO/dA+9UY501db+SZUPqSK328xJJw9yyDjGdBrwl21fTVfap2v3bkpM4ppCuQ6agix5C5vCQpo
+5XdefmOu9lf1aJb2S7xe4PRyS2tWAmTpZy2hJLE4IagoEQdIyp6TmcnMXvvgCld4b6+IfdEVWPb
lMT6RamFJKgyNJ1d4w7l8VNjjLeR07j7wO6fykDCL4zm8H/IT/9ZQ/Bx6GLNQkLgAtvyAH7+fOi6
oq9wX9b9VelDaTMuU//O5bd2cLOn9uM/H/E/VxHqvVg6EP5joEfz2DbgQv18wLdtOXambOWVH67D
7KGeNrH28P/3FupX+LR5AHIjhOyFvKq4MUkPYr/91a5u/x/eJAgwFFFbGaaquj6/SRtjlkdyJq+s
5q4uj6NGwOj+n9/iz18LH9Wnt/hFatcxsogMe5RXtn+b15uZiCSqkMJ7Saf/4Z2Uj+Lnquvnd1K/
yadPTMSDk7sgGK/qaV4YBbNZ89DndArrIT/MBGr88x+mfvFf3w4HsgOIFhoFK6yf347QkXFuOkOC
4HoyOgS77l0UX0z508fb/Of9sfnA/r7XuO1eiqQVL337525DvfL3bkPH9Y3M1Oa+t1xP1fO/dxv0
FPwTmTs0HB8ovx/dBkBgjOJMzjANEbLwgeX7sUD0vqh72g2wnrN3wUv+bxaIXAg/XSXK/EOgIL8C
bC3bJ4X0l6tE4+mcNUTjXPaTizw7NSsnPcMhTikoulxceZwIIJ6Ec3YYLfUq70QFnzQkoAwGdhck
SceabBQxlQfRFje4wledCk+x0vAE1+TEXCtbFuSrRBaTXSafx1iXjzPlzge3rqSow7vglux45o2R
c5jHBFb2FFYr0+6Bh3TpqcM7Orq+jR14KIxX0jMXiElw68ho8A3G8ExmD5zzXYSjRmPfA6YJEFfO
uNjldNatCvhStfcSL9/WXnBwBTEndxZ1fQIrXWK5DD6omI0CZKYKldl/UDOH3wiasDS9D6qm+CBs
eg2dTdD6TbrLClLZ13UT6fUa4CyuCiHH197NYyhgxaOHS3HZxXLrD6i3qsTFfFmS8C5ruPa+kBt0
ryd0tfXSbDuKszhZ1zNbozggZzNkKaOHD1oz73Fb3QxUDwXuHZsJ26CBjZcOKYPutPArV/F5b/Bp
v1RaeUEWpQbgvz9hRSdJWqt2fsxMvAmMm6HX9q6BLiSszzBH3k3cB7kmdwhIDtLNd1FYH6OgOOfm
eAYa8qpP7U0QM2ZL3fssGNiyebvQiC5dtEyLWlS3okIKXyQrUelb6bQ3TeevrFGyO7Mfc8+FfwTo
0W8P2Ir6pZ/DckmD9wI5jS3gJst+LUt/S2OCzak9hUl7FUBKYSa08jjsK81AaBWf5zK/xFJDmuh8
Llob0Ir5OMvyxBxzQbLFme9yWaVyE8TxOQ0RZFkElwOyJ+3kkDqMllz9q+mkGz/pTpXVvUalD5eY
rz7yqHAa7BC5sfXd8YgHrlv0gX7uWaZMdXpuXBRiE0LiWbt3YmsvYIssRF8iTc33reEvfKxYQVi/
BTa0w0I8eml8j/kMRYu2CSvniCNww/L1rKeDYIYNbtoeXwd+CWa4xoroCAC/84Eh67LBBxR5xkZL
xgs5xvuyRWviT81b45k3+C1umgljUBgNzrXnNCy8ZHyGU3eagMFcNkJP9zDf2erRGaoSkd3Jwhnr
S4z7R2lwSfWBvRdDq1EFSaS1bfB9isazPtI+5daRQv96rDt3NVb0G0J4K6uuv2Iw4vKz3FVVhVvg
mdNGs8KvmPJOMhjjjZ/3dwDY1pZmESxu05qb+EQWRga6y8ptZXZrRjVeZx0dG6fQtm/sJmHYa4On
Tke+cYBlV2mlbVsWmRWTs10VZxoBfl66qUfj1KX9NgujpQMdTZdtv+bq4NtS4epB317VYTwtC7u9
MC3UvfHUQtFDkxNmR6vWtoalssLqc2XiD5J1/q2imN2Ys7ZShdEqDUGNJR1COOHvS7xFK1zhFinq
xGSF80gqe9ovS90MlmYMj4fu7pgn0FnwrC9zs3zqPIJRJhMsg5bP596wTgziv7tWDfTZN3dhVTiL
ETUCsb7DDbuuhy5wD5oT7XytF+B3igpmszw5AROTweYJkGvUUUEF68usQ5YWSVVv6BCOZY0okOHK
ZZbV94NL1x3H413kOlzvRgLbFM6dn12Ggo8mrvElW016H5C0tQySOGC0o8njXCJtj+F3LP87+3+b
M6I//vuzf59Xb03yIv588hu87sfJTzaorcz+OEaYzsBo+ePkN5Anw5XxaAQ+qP686od0iOEkthOd
wR8v/DkqyfyCRwKljw02+Dcgzb+YMyJF+uXkxzZOUWKyR6cyoQL+pUfwYmSho1ZPp9FCzrIxMnTL
p8qDwvKuz3PhMGbp9I7O3kJ6MO9KN8tkwagspXtx7ewmNFkI+BjLdo0xeNMCx8Y3ZH3tsgzCF5Av
t9xK+RXpejFOSdfcUANFzLr09lS67ntckdGW5ZCsjIKUHfa8YAuRZq7JKyOgPDec48xQfq8VomPU
x0J8Wo4u8qA0jZozOXZoM9hzIdLILjjrixV5ltOmcZhkER+IcRWcyhJ6C7ITJFJne5gOmZMc/bIL
L7iRs02mBawPsAnyFDddcoIyDL5j4MWrD41uzXxnaWQeguiRbpiMUOgetvZMjOZl5Y7FwYv7O8ON
dQYdLINYOlXLKJi0c5O63/BdYIktPQNzQvo+p+lXhNP4EuzByPcyhCNZ2el0z0IVCXgTnyKwkfs+
Tt+6aDafGXkhNkH+tBlcUa+8VvAEA10LmDEoggsck8balbp2sKtRPzpJ0W0TyC6LqOndY+N51z6s
+FumoHsZT3daRShBaRf2VvfLa89lMw6NBhCkTop3XDLBnTOWfLYuASRPmXY04h5D7NTEzvNQRah6
dCu76EIMR1syfCZGZHPTuM1lzHc3EC+VnCaDeR2ZbEaIKiXlJwVLP9CALfpBjbTJ9DRnj7bWvNPM
XiR7TCJIcociuExwVtaLcvbZvgV8COFlwCKORVgWvA9GkB1NNElGlM+3YNUQ2v739Prt6cU8/++f
XhdvzV9Ayw1e8/uTi7hPwwUpQZCaZ6hIzz96Fh1jhQ2MF/Wi6mdYnvx4cjlfiOxkbaF8ErQ1nzNC
7S844oEMkJ7ooj+2/pU7zuM3+9TY0rIETFAIWeG2BDTCIuPnxtYzqkg34rk7e4QdLTKcFpiZY1Os
vNoOtkhtX0i0lJtaBWiB28Uzdchbv0dk46lE2+Qj3DYOVdCtnbRVziAuJeaw+gjDrRgGy6tCVmc8
b8kd23PcorE1k6Dbzi23VkyqrnDm66mAYFrpoWmsIyZGIEiLUiT0LHO86SAbRKvaIdtrb4dajnPZ
6DzRPucxpuCKhM3ZZBFv9W6btBuzGBPjkOdyLm+jmVuQPUao+i9wQ9vAimCae2z8x4H6DN9cutWy
qV7LOjS2Q+Yaa0kA81bP3OYBE2Bv7LJgcue11fZTtJrMYB7XokcKwLM91FhU25WGcqma3VM/tTG1
rFm6t4nrqsBFr0IaABR+a1CJdbeZJfDnQzcWlyPpxybNE/97itryaZZ2APgR73LaLMa49PbIFC19
/d8t+tstyj31D7doUkTtX1QXvOj3ezT4wsbR4V40XLR3v9yjFi5VV40JFG7oj1vUZeDAf/CW4uP/
uA9/LDEt7l5113om1YpHaWL+m7GC96epQqC8s6DpOERcC7DIz7eoEVoddCvPOZP3YTX3yHPhQS+L
KTdWMdBl0CHg8JNT62cWvEt3BP8vxbWuWeQGWiJHszR2ybLz9BA5gu+2CPTLhrBYbwDL0DstN1Tb
hgdS+RC+lKKcs+sSAXKFEBkL/9dRmh0bEus8uUW9spVqeVbRpFEdv5YepHlTaZupwWIiZDR8qETw
FWlGYZ9NK4kkOjbCp+pDJF3iPp1W4kM8nRHEscyVonogDxh1NYao0V2WPUr+k61NxIYBikjsJISw
ICQxMKDrwmKoXk0CT6KB5NfOzcOlURUbwnPlsszTXZ1quwRGN0G/xatO8b4VIBFgR+b3SaR9M09V
MZ1KG8yE5fHxiJmNhQjvjNq/zvEyBdOwTedro3Pv5dA+usS72ij1gtN/N+JvNyK3x9/fiMeX7O0v
7kNe8+M+JPXUYsEOSNcnSgMT+Kez0vrCfckNBTlRcXo+VfkBBgEQWZ7p8Y/6xz36Y77nfwEODAIY
HBB3jrIV/Isq/y8Cv9QzgLvRh8qlw4r6Zb5HfctTuS6cy2wQ0QURwHV4O45ZUeOvSrKttFUb60H3
qFmRgU4Qe7th9+pgad5lIevinCb3JKVOtZwK4p1GMi0XtqcYtejdfIddukxJJc6i4qAFqXPyZmhy
uLo3bg7vhH3MJpj9NydlZDRMmAsIJZ6JpYijiwJGdQqrWvuAVit8dQfH2hwAWguFtm4V5FqiLxNQ
r2d2htKMbmqFw9YVGJtAyGFZwMruZuMctMEbXgPo9/4lMWJ7VjC3yNW3GqxtTUG3i7C8qKFwNwrH
DV3+SZAk6sPpzk3nPkoAd9MkxQtbwbwNqN4oKveWX61TPXxGFvvSK/z3NJDbk3UgwTEgMD8AuGsp
XHjTIE3zIIjXgHsXWWMS4yHONVIwtHfRqYY6zoDnsgMK0/FBo4Ul7KyUpB6H1SFXyPK8JNIShjne
emRQQM2DmbiiTNk2K4DnljcdZgjofhNfTwqJHnfpvo+YtNQKlx4wzCgVQL1SKPUUprop6+eMCgWO
eLl0rGbeRBNRp1EVfyOPqFlOFXD2wpi2AJQOQmHbc/jthQK5S4V0T5rmoQpje201772CvrsZ+HcK
fJomx11RN75rChGPjOWyVtD4WeHjBzjyvgLKa5DlgR5di6jdwSCGmjuUy7QDQu9EhK+PCkw/FYy+
INV7ClmfKng968JnG5o9no2voz5f12wFKfyfZYWMt4F/D/wTybzMgJG0RGvjus3gHSN6Vdh8+Pmj
AulrhkMPUUWbFMY++eJY6qDue9D3J8rKEq2nQuAkbvs6sD85jo5DT5OrgJAOrYxYSRUbwt+Pf2FS
WSLELpErMhCQ4y0638PJkPM0WOFYZgPOEEoQrMAnPpNlskhCiG+IkzaBhph1EWZkK+C1iXfToF/O
3AzXk59620zz4Zew/ibszTxYVmotkXviPeQ1c1Jpl2mEBcwb9RLH6ABswaktgnWNibwTKxn3yAGc
hVOXycH3x5ma15FrZLcd+hqcCfowbCTaXF+PLpFTs800jZNF9tqCIOZrIn+iVSvSc+1WycI0HqXv
TLeNoWXPxKUj/Kxhm1h0W0bYVGsfQPKica0MhWPEpArk0lgQLW4Ru0ogqM91Y5Ko4BXwKw3ZD2ds
AMAlS9hh2nTKTDToAUKGnjZ30Qs2/GbSvja9ms9hCh6IJivc3mJM5R80zP4HIxL+qqxSUPsobr6a
1PQLfEFyDSTZXdjqoMSuizo5b6qNVgmMLd2sf6sN8ynN83DDXF6uZSP9bTGD6Mwy4WzLHIRMS5Az
9XJdLgxTfb+hmy9mO8RBGG+FlOeEO2opAdsSE38dS/5qXXMI/isvjMnaJjmRHGWAajGdGwyBgb8c
1VTd8nu+oRnVfJttMFRNm7zIr2MnYVehrArYOy7wbmKjZEKeONkzotZtr7W3czYM4BHBKMUQMQsj
O7V9E22mPgfk7TXbsKp2bt++R1YYrxwOD8bhghsWAYJ58sf8Lm9TcQzi4argE6XBB9CTlzhtI6hb
Tto9UvpspF1d9KH/NpamgawjP3SZHNeRMW5ZWN3+VyF8VAhqcPf3FcJt8tY0L3+uEdSrfq8RPhSC
MBoVQIAD/3ONYHxhBcd4kIrdNtno/VGsB188TP7kfn6c31T6vysOreALP4TELlyElsnN+69qBFP9
aj831FAX6CXUQFAnhMD6paHGGZbHZpnol1QRaiFGbKNrfC2j73oAjCOEEeIWx8QfetTTgXnkUuaR
a3qXLjzVvq42FJ03ou+/tu281Cdt3IKKfyoaZwva5AaY26kKuG1b75kyCoiI8tt4jJQcuveoRdVs
Rv19NRZ3RGvBJgh0saxroyMpr3oO02RFJ3PhEKSdG/XLDGrGSOcnk0zGZT52h9gp1gEEtmU2J7u2
R1GYFvMT5LYdUGWOp6y7Gr34Gb/1PWOmY5ACPXCZXGWO+a7JApt2/5ABD1jYPTqfQNvM3nyFjocY
mbraVgFbAAnKnd0RhMIQGZ0XSjCEIKm0yV9EjNW8Wts0LXSYKfcfamlyCOMj3yMtwvUU2hcpGDiO
ZG3nygQFXQJitiept7THvUkWs6zcG1n1N1OXN/fCmV5EhWzRrWGwxfqjnvP80PELVPp4irLKWcjI
09ZOWuw6UHJQdfsL2273YH7IWAidw2R8b4viaxT295OPSGmymb/Ovvya6W2wELV1Eh7mBa9CG+YY
964q1qRus8YgcrlrCeOa5OCSgTPt0paUTJ6m1ZCQSs1nFkXChpMA94oHK8EozbkbOyNeh8S0bTvo
xeNFV6oTzK70bl/69CKdh/rcwEWSMg/VG4/0MzscaN6sLngRQ82qsHPMbuVmrKLwH8kJi4dZNitC
PWNsOXW9rOwAj3pdAyayvhVxQ35jSJWC+hKHuokO3pL6Ss7tNxAxNsKi+t13cGrBlllNBaoKz5gG
apbsxpur6QKb71mLTX/ZmRU/A7l7qcVPYrSfC3+UYMGH26pHXxdobMLs2vmO8+PdnMa3uWvY1Hji
IXJtLgXYAfqAdy1rzYum0BLy2zprbTvD1WgSf2QF2c6Om2cik7qNhZFr7YT+MxQwBIC2C2Tck99b
31QMESx3U97hAEtaXHRsGE8i0s7RsxhWRRQdijH9bo+kVeRcLwXLsGy+cAtITGV1PVjETsbZeF/Z
KDTdMtqKOGTGDvIv0t3HEIAIRpEQpoR8xDx0jU53Odlae5Ttc+E4LSANFsYaQsRkxY8aFzpxugTZ
aLiPBGjFuMXtN+Kll3zjaYybhHj5fQa2fHaL80ylRi3wjlYBEAATWn1TT1nz7b9z5eNcMXnW//25
ciVevr01fz5X1Kt+OldMm6sZorPqIz/1nkpbYtO80Xc6dJO0fT/mtBwedJYqnCCAg07r+se54pM1
wznEIWAa7sfy6d/0noHqLf9QIDGoRcNiGJxujGqVDolz77PgiW6PetH25GU3woXC4ftYDgDqFakQ
1eElz/P0GwafAnWtdWd1ePsGSwtvfU++Y2LdIIyxF7OiIEZEKuqKiwjESqx5gr42EczEUZCSOPTF
jQ0xAV9sGW7lgOpEsRbjynvtreTWHebHWNEYTcVlNCt7OZZxvmOxgzWalUyuKI4WOEdCRm55L7of
8BKN7OOVqdiPqQ+wJ2RYSjbhva34kEUWfU9b/wQr/Fq3x8uYFodVDzt3WCtmrOsbG9Qrmj71KEA0
SkaYu/AUkzIXzG4iRVSsl1bdp3tdsSsllhND0SxpClscmyDY+qmy1lYWbl1FvywVBxO21V0TEFvL
GLu3rHWP3WtRK2ZmkpNTZ2CN6xRPk1TfByf4niMzaUxYiTA3vaF76nVs7hXJYgv6B27oKUSPMPQx
IoHpDYPMfjC8jWch4wv0+CEywHAFvrYEP4P6liI1gvmZcuQTOHlW04KobB5K2KB9zyO1zBhJzyuV
GoA1b9+H2bWpoKI0ijc+n1AI3IYEnWYjhTg3cEhdeKTZOJN1yxJ0AS+dnteT9zn00hSKqVmBM+2G
wt5UvdFCKvcuDNSSBB0D8J/1B4LOxELCRZ3ho1ZwUit4qZECp7YQVDkXvo4QVSurP44QVlm8b3SI
qz3kVcGAYuEoGGtTRd5iVpgckyw7D2KrrtCtbBBOfE1HmXps5tJVaL9jXkTUy58jAb+S+d0y409u
SyZ9bgrtTQcSO6e4u5qi/GqRImopjmwxjS92j0+LixwXv+p54ViiMBHfUXw8Bo2F8IKUdfAKoPEm
tqvdd/y+mC1j684BZRslCSDgsL4ydAKMjGwYVzRvuBe1KV1pioY7MZ1AYJM9pB0f0lwginJiOko7
N29gGq+DKseSrAC7rWLtshKJzmYPfLh9FvWe5G/rOYf/VipMbxxlyWLu7HtimNWAoQn2YcYOs/Ta
EfgIJaDeS3vZ10a6nhQIOIEI7HxA5DBuk6YXxmE6rbsce+v9gOeXuLgBayd63DCzb1HZU9NokfWQ
2KlijPa38KiRpCNmHxHLrwI5kB+XpvSRwXaqZLsifc9fdbIRh4S01nU+sPTEMP5cDk66hmxIHRlz
SReSuiweQRMAx1iS4ryK/GC89auRgz2OL8d4/m4ifkzqyF8xZt3osl9BY8KFAkliXbh+vMr8CKen
dx5te4G1azmD90mcYoMGHeCQH2/crtsnPu4P0BliLK9E0m+QtXRLsDoXAOcqopy7gx0X0VlwGGc2
+5TJMrZ1YJ/btLka6/4+yAII1gTUR6F8xRbyUJaou3WPdi5kaSosFsZADTcUiQ9OjB+lnOkEfcsg
h2TAyAclYpnF4qhLeB6YmpZjQgJu3TnPlQZyway1dWNl79Nc31ep91DVyUk09itaKtzBObV6h+yt
L/WFXcd077VkmNVFmoqmeAWMeuObxZEvDw9eCtyxy7z7fGDwMAu0So7043XtE00+azZRK8G8SDMM
FB0308St5838nbG5b8lIWdBH36Q9TwHTOAB7uiDE6pg5OCSwW3XI44B3h0POrCOBadx7qADsHP9k
mHVvGks9mL51uun6AIB0pZ+LMNDWg+hhehQGrMbwRZvyY5zN99qEI9UYJzzxdXo7kS22bKTcVS2Q
Dux12cqL6m9ExsMIa5AClDQAmEQu4qr6lsxet4xMPb8bi2anFSaJNfjqw4pvQ3ghTTj0Lz/0eWzI
vZdX4Sp0e+wUnA5V9y0wpY1rVnCttXkvnYXQI605NLqqM3URFWvbDdpNG3Zt8NXM2877bxb/f116
lCJ/XxEdX9r27a8217zqR0UEal8xAl2Se1RfrDTPn9S2lvp/+9Q1SpH7x+Yabx/De4X50XH/UUhR
p/yYxtOE657LT2Qkz+7M9P/NNB5N768VkUMmIAUZs39bt8mk/KUi6oNRY98lLye2TN46HkIaI+z+
0yqakhjrcHjRzVlkrad0GLIHozfIkWbhnnT7ak5UNrwLoKrFIzGv09HsZhjwVVHSwhWW63wb0c4g
falI31wDjqUVi8ZmN7pGFLwHem50t1PbYmrrEs/mop7mOUC6WarqPtbUcrh2I3NGK5pJzsK5RBe/
8PpoNNa5GTXz2vZACC6U2XrV0d5ue51ktW0zRLZzLwzY9pQQzZ4FO6O9wrW7XaUN0260pj59l5Y/
bqLUx3cbRSkqe/IFOHgAORy00BevCQncq4AgHAin1TSsNdG46IASKpKYFlbPOd9Yuzmvg9PS0c45
5heGDVQwNbl8zhS/u1IDPFr47+wUeJLnUb72Kv6NgBceAkOP29cr5UUc4eX31fgySuj7kReh6Ww0
lm+elzEP7TKwOmhUeNwDBuiVasmYEn3nNzYTf3LpXgxfgJSZy+hQNZq4sicRM9Uwgq1fFW+ZNztb
S1jg/OLB3rZll6x11MMsSDwoQ04vrmCctUsOB3Rmg7nI61qufa1kV+JbbzHm4x3bRS6LQVhUDjaw
pJJahRLmFRBrtHNn0S+ZY/vbuGnePRmGmKdZRng5K5aVbCB5i870tmWZtwdSH8DyanF64nemjCP6
95BJaLl9Cn2CoKSF48npOghCZyuDMl+36nQH6ASgorF9ah669WJu+DV960kUmcmAMY0WTWPr5HdR
15WE9nBs4n7vsdSogqa+xgOHmCiSYI4SZv/zZNT4Nyf8aW1pis2sB+O6HQBbtoTprUfD63mgggMP
xyLbGQKDOAKIfPdfI/nRSBoYSf7hsVm2/+t/F9GbePsrRQEv/f3ZieqHISA9o8kmWbf5px/PTiho
gY1NwfZwTWNK/uPZadlfMCxjafJZzDPuVxS0H89O80MQxGPVAXFFWMm/ciqwYv2plyQcRdfVgtUj
QA9Okvr3T+aZ1PcY7BdBeu7z9eyAAI23dv346YO5+q0z/WyMNn8Ju1NbV8jeakarprFMXvkMPr9L
HbIAdWYcEF2ZJmJV+noRg7icfPiqZrZOLZCHJVsk0vb8AoZHDAx2Di8GFn03ehVfi4SgAidOjlLX
2VIamrM0SKBeCCPRl3oU76WZ7/shhmYY7Ghujvosr9vJPNVzeTGC6ETLdNDTDHffwCgu1etg46nH
CwFOE9ru4DtJZMiBM/qztCPcjhj7d+ZuDSAyCM0Lgp5IbQl5/ehB+AeDGroHqc35NpSjhzGjnRZp
YMJK7mdOjawrUHma9kNoBd7WE45FwQKsDUQiKw89i911zBhUrGkSaN6JlwM5AlVsFwXAgcAdQnxg
h+Of3amdWCrAN1I+jThedFZl+Q+zWbs4s02xbbTZdbYG1G9638rg0K2XvZN3U7jQSZ+59GtTO/Hz
q1X7MVvF4FlqxdZnr7Fye7Z/gRJ4NZ6f7CxhZ4d+rF3/ivdrra/OFHmIwKdyKDlGrZvSa5zxKjZU
fRxNwUXQuN4BE3D0jCbXfoQOiV5MTIgKu6K3937JonLJAEPOOCUG9qdozYP7sqTid1FLrYGjKT7l
GC9FDzWtjqJpP5jOcA763lt3fOZHWD/tS8tKe5ygQUyjby6COtlruHHXKOxQnhC8coOj+5Dqk1gH
pRHcRMTSLFgZJZDkgnhTVsSJjplNlqyBki159HNnOPLVDSu3TuZ1A9SalTcbtFGMycElj2XtsZzb
dp0wlkUQqhp8MImjq9utaw07aRd4j0ezvY5Yp3HC5CeCoU/Ah4pN3iTXdumQQ9vT47piVyYEmUSW
ftUG8rYzvOEeR6r/jg2eLXy2cuXovpdJzxSSFPqwNu50rd9EbkcSSpmtAy3fZD67sZEdYetW39u2
AwrdvE04CBC4KN/OIRjzDQ8QxpPz1h6Jh/UHxqTA5R3zOOPyjprhVXd6luXaRkiD8wdKVz99K4CX
ReW3UO+NlXQFHFmPvIbMGZ4dN3kVs2uv3TZrD+xJmTLI+WjmhOdF5smFbSz77Lni62s7i+2Z763D
wd1Epr9jIPI8hu06ygnKqfWa4X6EUb4t9H3qGOnKmFi7ed4Vf+ONQ5rFakzmiK14CL9o0JNTbKOm
j0PzuhOk5sq6u4jMkYsZGJmoR32RhZyNfj5dBNxEOsxiM2jIcPWPfmUd7bF8JCN+mTnebW9G10Vd
HT3+92AGx7wfruOAnbxZrU3WH1RLIzBQlgkpSbfLvinLZdTo50zLvpaZ8RUrygGK7UUp/AN91/Us
jZUA9lQKcXLsdFmLerqYPY9ajCLBB11WZ96uD2i6G/a/8cj4eZYHv5ynfT0XxQH43vd8Csk8jgux
miKGac5oZXSz1TZsMVbPk1Zv/vnJ+xdqdOaEmBWxrqJUsfi/Pz9548lgbOIKSC51ZtLxBROW5ylb
EXwpjl1uyZU3QCJjdkfVNL8ZVd1e13Wm3/mzLxblON70TXrUx3CVBd6jPnbbOnbfQe5GuFfw95MR
RKSTSuGduaZFmEC8ctqlpCClJR7Mled3O3BBryAU+2WStg8mCvk1PmMiXXRM/6JYynrZjnujYjnU
hcXWSJutyZRPMMdpc+/7JPJbcBMH5l8XcysOdW8evao8+q0ZbDs5QYeZkp05xs6yJRLHDcHMxHa6
jTiXVq3e3thTbyyr2D3occB9jfIT9ISBV6YZ7wHe2jCgEVqYk3lpg4rFyUOQ9Zhkp6Gaz3Gb7jPp
bB188auEAU9YMA/rfZBlOfMN0hnWTlQdRQS1zCvMywQarujzHecaBIoKCmA5tZsybS6zVNxgKmbZ
Xwxi5bLbIEibYq9prhKrHVY5AeLUf+k9/Fwk6WPyEoAmTAYuppEL1EdqglVFUdu2RpUzjzLYvk2r
3CIRJ7B3kueQ1Zbfy8A76rXOaibQvoeGOy8qAprdnhElkydjr1XqWdYdE899MnWx0XXaa7hSzwQ5
G0t2U9najqNL6NDGqgBJt7Cr1N8BfusfADvLC4Y9zUlQye7/+VL9dVlKieCCCAD8CgfQtxUj5nOJ
wPpfjg19yTns1dLk0Jj94p/fgZLpU6nDjwRbb6DYQn+t5JpKmf35HSwX84UfRAyTWBRp7mXSJ7uk
umkkNqRGLBO33gTp+p/fkwb0f3hX9Xd/KrD6Kusq29K0kz4Vt/hGkIXxXzgVn+juJiyJRbrsfOfR
Da09M/eMVRlsOFFIRZ9LymXRzE+l5h0Jz9CXED7goUvj1Y9tb/V/2Duv5sqNc4v+IqiQGuE+HuAk
Hh7mOC8okkMiZzTSr7+rRx5bkmW79K4Xq8ocDjkk0P2Fvdcu9ewRdvIUxjnT4sJ+daJ8vjAKkhl4
mqp6K1e32nqN1oZGA3/ArZblKGfXeq8rEj2Ri1nbNE0/Cp7Vbas7ScgJvISD5+jBKP17aSuQuZY/
ohExj2UMxGYZviO/OHApPfRdt3P6qd/gATxYeqIh6aJCKSaWaKRn6EELxS/sJkELlc53ZlKxiktJ
p7NiZwNT6sRD/9X2k7npm/TY2WSWTvbDvALD0PMLMdRIk3KKtTSyCiRORBY7UhzzNTuhwQqrJWJD
WeigLaKcU1Z/HvWFP5yVZy+Z91U3bcdo5QnWt/kQl0FCb11npbdp1swLuyI6N8A1Y4yXRg2P3Ivn
+8SBYjc32oMcYMha1qAHDLT2LCwx08j6zYnbc6eXty3S9o4N7aY3LkYBf2sU1sFFxhM2hvFYLclh
jsA/jp28wiJpQ6YUR/q6T6/VZQByf9MKex839qUL9Pt/PG7/6xmno/jt0zZBXxrx4mnn7LK6ia+0
HSjvJ2KDj3DfLz2unuCD5ShyoHP1bTr99y/O0ObPXjCluXAwn+Ak+P0XR9vuVblna+cmFJvq0gya
nYTbeNKe3R0pmo/XWnD5PG4JiR3f+J/iarnUNxfpLrrCSFz+j+/m943Nr2+7xcZNYAWjjRJ/EF8s
+oSazMiSq0S/aaxik+rP3fhr6/sx/1/8Wf9JY/P7M+vfv8YfFnFrVxJCkxQJl+tn3BG8fPvff6J/
+m9wUZe6ao7GiOv3P9ByZjBMGByXt3bTsnzuBDXnryfU35wBwW/jP7fvDyCgQJn9+yJYfdrP1h0R
sm0DyLAZKiIi+t3Y0/rFMdE3/gAM8Hv7xxaYmSfuHX5hxI+iVfA9HpmffTszVLJWcPHgAKLpZnf8
F7bArq4ert9tgUEt+owHTJ//8K384WIhlWB22rYvbyqjse1zb0rWSYtMkbZsrEXZa+aZ+Ckm781H
O5bf1npN9nBi723oSsRpvi8kCWwbSQIoS9K24YDlHipCabtXlNutcupSATbsTKAhjaGIF+g7jSMJ
vONk0SKuqjEZAqzh1z33gqaSjIQ/fccIU28TJP3SJ7EIculpJtCSZXB21pr2ptNroEFYf67IsR7D
IeJj2OK+azVqwk527yMkx7XMl71ueu/abOwSdseINuOD6w5X1ZrTYOeoL0Q7vU6e9lgMCxdEbtxb
YniJkYrtWbF6CCEt5zpOF7UXY8ErRQ6kaonfUGVQVwpWKh6KxDQ1r2tAi9ARzHv2KopSm97Opn5R
6uLTHsq91U1vvZ2ebJqFoAOTTRd6YmXMn/YPpd69sA4/1rN0QFjGL3XvvPhg3acaW6P10fv+R2f2
192aPot6/shtrwxNS19DxDQ3Gt8sL/V0KKEgMniAG7YSUL9b8vSepMYr2WhXq9VGQaYTm7eYDC5F
65XHzADTJgwg4EiMbjQxFacWb9ZGaIkbMFY+ZYkT7zNNOrs2Jv+hlUAZ+/nR6bULLk+6fnfgzhwz
9pzldbPYfrDkiLu7pjL3CwQgD9N42KUyCZql8MirT7ow08tx64wR0DRp6uB4+ai7mIcunp4iz92x
vbtxdHmt1xVJyZrf7jvWcjMwvk2ckxxGxtdmHugl7WklX1bvjqXGgKAztWjPixYFE7kyAGvg4q0Q
uobuPdO6O2cUN1OsH+PMnQPHzPYsOh/LwT74SkKcr87jkLVMseMnJsKfjm6CmFrBZAjpkHyCCHXn
yfUFjnJDTCTbWrd51qTsw6KfHjV/wC1eIn1YC63dWmN+v2gmYTIw+KAb119lr5VBWjdne/Gvc5v6
YgDtvvHq6VICytjO3lxfu1MZ8650HikoKSE0LCSnQeJot7r5bYiaLNR7Vl1WR4iOlWfPkhVakT5a
Azg9z0+ZdBC6ZdsjIAcomvuKrfJGTOR6zIYZBRZpLixuz3bFlqzMUhwsEIAB9yXbpWoBOpjlFUSz
ivgyLDOpZXXBHK/HaK7f8lmRkC393rYutOUr1xHxaXHHHKffWsucYRlytx5BPGxpvnQDWFrj2l/d
qr/6vc9CtLhqWN+bmJo2oteSrUOuKpKq9i6R/VtB9Yi+hCnPemFL8Nb4SHW6FkJivd4OOm/5Mvvu
W6zJ01QPt0WjnYcxy3e4asOVsEnLH2caQNYB5BSZm4zVIBLFBAHBMHw1GlTiAgk3a2H3jYbjG+NV
fdPXGouEGnrZPHkOdFUcE73QPPBd9gunLm3O0lFcFM7HwGZqQ5mShhzIp17r5n3cS7lL1vFiIHcp
MLv4zknmt4zsOaRjOVDnti+2TYzdv7dxcZROCOYeiHsy3w+ilSr/blswJQSirCJgKtHx0tW8Ep7D
SjjNtvUcXdVKS2HLaA5cLb7HknFdN/49Q6SDNTPtdCoSPglFg7cP0z822l08eMVLN6H4jybGUlhb
wPCrF1tkz65jEd82TvmOY9Vms5q8z1XtbEhb2I1TdcGBfrfY9XhoIUcyw5JI31l8sLIPR7hF+0RP
Y7CoFssIp36IvOoiiRwbBFtxyUjrNhWsdM2sJAbK6nFZdGBB4oLPHcd7gQYD5b187+uMvFk2Xxuz
MhOyV1sNXrb2hYGO+yLp0j2W5Ntqqd8di3e7LVyPdCMlcZmp3ZnfVVcMW+1NV0NL8jBpDd6CK2BB
R2CZAMESxhZhzZktmkrfZeQH7nBov7OnfkYBYAdAY3Ys1KGN8yuHHFl2wWSh2R+wOuxAffIzHVMc
JdZ08GO7RKhv57w0gh24PT4mC4BY7sRgyJCUpBjc2MvgYii0hcfNQ5UnM/4/wqDSy0ZbpzC3s/Oi
EXvPDmYKYh0riZY7j2JY9l21fBe1uCHN63NW4c+9nb04DlKPqdNUh11dGthBiTJbz9z/bPjc6qAb
xnFgcRjYiwldHcnpS1tkxbFHT4CFqA2LynrWFvsa7ur3qS12fpQ9ctnrJ3wUEPE9/9in8TW0oAci
dA6W1sM3TEYmLbKWiFCnQyQwNGAt3dSjDQuyEyP7J/cDMrYWggrEgFQ3626pvTsjKtstpgwbIvVc
bZumBHJfyOiod8ubo/EwDAw6GTJ47O9Z2XmRdgGf7g3BPR0mG8E5a/Z1W/P5bnNT52CUa1+Pt/hC
PhqCpgDDpK+2zmYxa50bXTpPte0guC/mwxpbX5k+uZyxqMBMnPhbb65QgLigPwbGjBsY/zx+GVMZ
I11Ial6NV6dnFGzneAxBjCDQ4dROiPIIMxd0jKNlb5gNz3lKHNIAYTxox4ZpCYIIe+hoQCGWSktk
AbvUQxZDkkdpwn2nlKKtCf2bkQxwVd/7nsTavEGF0e1GLF0IGsYxrKHv1eSuc6o6z8x5yJKNQYuW
rfaA7+Wx87G7VCk2hKlAwmuwYpQe0oe+bhExJfeD47J0g4wpYzaSpe4/2jAzY/CjgaUwmmWjScZM
vE8WjM05xoFgQt3UqJx4IQFxTmb/3kDmROjGa88QV4fZ2Tr6FKxQPCdExlrjfDm69qBZYD5dBfzM
/fzLVQhQszA/RpigPjc5HjTx0UMLbT2woRX80KiyKuKYQIrOTv4clyUr0xlAogcBJWPeHEfvOjRS
CgN7Qy+HrUNmF43omKDJLLtiJHEk+IyPwTWNNUHjNmUPRkdccAP71C19XKDY22z46zM1F2EwLL6H
pq62rYKnLgLTBnIm/jkKreopyGoNbdWDuup5C/pvBWLlvftyTHbuPDMYK3Jrp0NtbQhnJ6XbwP0E
0JVn4Ww56aDSuLqNzJt7R+FfhWtYlJcz53RXnWcFie0c+8Lwhg/GZX0Ak+m5VUDZUuqPK3Eg81I8
IHsvwwn2bO3q7+NI3BtLMdjYA4DaGlJtw3K/UuhayE1AchTOdnCyT5/aOBlR3qCy/1xL4PZMc+BF
rEfTrF5SdFcDmNxG8XJ7qjw35+hLFEs38ScWyYqv2wLaJXLly1HkXbeekblR8ykubwqgF9TUMQLY
m+TVGyL592yQ1zZAX/LqjDAG8QtcnJvSag+Lgv8CAZ4FK6wILPAMHhiJ99EHqtXq2c2g8MGKI7xY
aJsBC7NBvuzAVEgAq4XQR/Oiz6B+tz+AxEW1Oi/LD0xxqxHReFsIdtFsqRzWS4128aP1+rsHVXCY
/9yDqhDPMP2M/yzDk0/82YVCtYFbwwoHuvQPRvZvFsgkYtFMMjDFw6hWyP9sRC3rF4TCeOVoOX/G
e/5sRE3ylm2aU1zkan+MmuYvNKIGlInfN6IweFhtezjTUd6wYvxDI8pjnvRJMVhnJrxo60TeDmR2
SEfkPKfl1JBcP64uegVbb8w5TCpWhBIdbYyw79KSmfuWJ1VgDS33bfstcwvDuJmMHqp19oNj0iuk
CT7O9SK2FOekVcgT6wf9xOj1Ttv4CopSRlZ0kS+OPmyBp2TGfer6hX1a47XoP0h2cKZzZzVMUJR4
f3Sq4jMawenWJHmRimkjR97rmWfs/NZLx7uhXYajXZjU7OuKLG4b6Yv8ttquxKnSJvrJlH506toW
d2VV0Ucns98GXdsNW6kv6YmCwb6MorUBQupH/pvsKwWNaiNkhq7NwDGvEnkDXeaNafA3N48/QLuh
q7F9LCmO+GyG8hPvCdfhWLb2d5YPATvzwGxj4s9XXeyGXJPfJodR6mjqaar4sQZ0GGbZVBLeswFa
OvShiH3MqTMeeqsyj0iRkkstN1FpGx1y41bOx7Vp2j3uijroxhV+fl7NipLLXd+xHvRRffPLbUKH
vB1GvRGJPeXJkz7W16hzgaSJ9UjmAPod0yfQFMsflQp3dcwta+HIDOqewHqXHSjMmk/PTjRay/UA
OejaylJnv0SIcLUeulYccacgW3mxEyRU+bSyTmGzzUKXgpnbm1JzgtwLQIwh84xfX8xhRy23zVho
XOt0mPfaJKw71vXVZ6bb3UXZptUzXFo0rGn7vaJl+nXC+PepZf5XveDVW/P272Mz9Tk/DyzGZmrj
j6yF1GHbNxlb/lS88CFsPARu00+qCD9GxD/9E94vLIA4R8j3Y1P5Q0j488DyfkE34vMRNCQ/zsC/
cmDBCPjDgcV+Wfn7DMenQXAQpvDx36xkOroIHnlzvW6UU8EwQUR2Kui6IfHayNp9pGic6K/DqJHv
OtnYqQP7XZ/tUy+igv5PAwTXhrrK0145pgQJ24ApBjTrhM+kxW6JvBsUq9zhBrHcLfncOTndE3nd
NbndHvndZKpdY8ujjEJ4GHQxZcPgTPeOIPZ7IP9bcyq0dH4DLp1ocFeN1jQVF+6RG76YBHe1JImX
DJ50MblBY3pP2NlverO4Fip8XHbV6F+SePqUO8s+mnO2TsK/LcgsjyewoSrEfBFZjX6CYPOFhPNJ
RZ2vKvS8+hF/Tg76qgLRLclwg4T0UkWl0953IQSOZDv4dGoB6XoXkndvazYgzCSGlTBPWioXIHpt
8R6zyVO8kk0z9nucymke1OxlZ+geO1dHmjHlh66qsDUPPg6HJOzswjgiODlZOoWZoQmq1QXolRIa
R7l7OeUs6f3JuW+N1NktXgdOsBr5V/idfe0VzrGapI7CmxpU9KI4olm9cnIrsKpqCPoh+tbH3kPG
1O2YatbBXqJP5KTImu2Zo9NBd4z0ngEDfn/ydQ51EkHjzEv9gVhXGuRZHMuK3C87bu4MozjMtucG
CalyNMR9G9RpHx2daWQ0pqPXaTKfYQdwxTVJF+zsSCeZgH10RoWdvyVGedBW885voV2uIt8mglgj
Df5SqA0GUasTDoQNSXHlGZR9dXQUNyL2aAAmghyODVCJWflFRhvOBJVyth/oedtD18c1Th/GohdA
1L6TYYXVnJHUxQoENUACeOza+KHXUabSCh1srQFCOzjbPpFiOxIx4I1VTWBVpxwuXzU6biDx00mf
x5emx6fvrORDmsAYU+AcwRg1L2Pv6RDm1ktZzZfE06vZT3a7Dt4Y1Bjnhkmcq9XjldCeyD3QA6Z/
OF5wujuxfe3iyJBcuiLNwFLYyAH8vN9nrnlZOEyDdX/4tjbR9ajnj5AxMXyI6BibrdiP2DqDzGjT
bZfV/S5NKrbl+ZleDvdSnGypic5V4R8GdbVNrvY9jdLHWluoMbQ42WSm/t1Kmyeyx0MtRmjZQcZ6
GztBM6u94q5iADN4Zws4Z2AA8L2F8f+NAvjUG+53d+1Pi2iuVsM+4d/h2qrF9UzC0rnqSpgaJEQ2
rnOycE+wztc3RMjdjbHORDBdMN4/5NrWXrxTk0IzGNmDEdTZATPQHtLRRbmUF7de6moBbk08CIj+
0WkFTP9uEhLCA0ZCGDOjsGTgpGnOYe0ZogwRseV61/tBh0StSPwznpYjZIbrlIJM2vzWgXOeRmbo
+7xcv/kObSe+2MAhwUMAqCq0LMYZ1F7KaT36TfpuCiVNMEjjLCd/06TZ/VCId79L2lDO6ISr1n2K
taEKjDLiJabfImJg2JYtZyGIjQKvcmUu5a+o979vXJOa+T/3Cef6z+J01ef8vHEN9xfsbq6JJFQZ
EFWJ/vPGRbrvUOPrbIscbl0lnf/XjUsvrGg5aFDdX5WpP29c9wdj0+N6RLbPp/2lFoFX/483LnxN
m0Qc03Ydl6bkD9KLfkVXIBnJX8UWeeYtVoOGgZVHLxxqczyuhDdHEl2KBg2toMiM3PqMx4rTU6YZ
IolB6MXZU7stck1jvgZZcojU7W2kEVPhb2NEfBUJEpMoZt7cTMbPhINqTbjqMa09QwXNb449UGIC
WUbhzLe0HQRRJFod7+D+kn06V8+mzqSQZucwVC4Bbv1IbuiIkga4brmRsdbvIqk/ZEyduspBvFmi
8Vv0u2pJVRgis4A6ak5NXZ6qNro0pvlpQdmAYrSO8NwQEtccizKOyBhFxp86WUooGXmzjLinTeph
7SLwFHXQvIJ49m+YjcuNCqxm7oW5GUMwxyHYzKn0LtQo0pyHOUzl+DLMTADBe4Df1EVIasNNX1fL
bnJGhEHSR3IwtkNguesc5oNThOhQ1u0iOgFmxNyiDFxC9G1tMHnjd82eT4XG1Fh2UUcmoPF9ngkY
kaLfoZk9pILZDADMy8wzm0ChbJDPcg6302UvcxmMhImT9mLdazaeZVeaBEFGQamm+VEXNUc7yQnD
tOurzKzvkOcHrGMYdK5BwnB9M3oASRmcLbJ4t9l5bLqE9aClM6TMIYWRpg4388KOym3XMAtmtgxU
ZZizTVfU+c5bXJLkLCJdNFJN8HeiWkPFacTxs6zQ2OS1n+6txUoxYsewCxBw2f4QGO1wMYIj37R6
9xzX4EnWXJyWxbgf4nnrzAWO0xn2X5XdxdV4mQqiJt2UaERuwm0kGOg07FMPXR4lgT77N7qoWaq0
1mddGP3BaFiDiqq+EgY00YTAjsrKH13hPJVsreqmvdYwTmHhQv9vY6IkciTbZUX5NLkUaPRVUrde
9QYyNlGD+3Eq7udcHKu4ZYEWJTBOPERvS5+NPOhmckKRB9LIX/F/TNNz5ZpWmJnD8xxNT4bdP9g9
AFemU3t60eusF2ytvI0thveZOESUztNErFMOmTVnJO+Rg2gN8p6w0nxTZ4ZErBwf496OD+3Q3kln
fcXg960VrC7mlE2Mn6UtuCHbCGxdPo6p7mCvRGZcO8mFptUXuuu/UQlQeMStye1m3CPU2qWd/dD0
+p6Z+80EuRm4s3Vvu9SnHnlYG6J/Cbu1z6nbaAHgyN2cFs/goao9jKW3Ml7nAzQmUvDoHrXEoxnX
8iq0yqLeDUP1mlVc4ADckRnOq3fy9cULAW3ucfN2l6mT78qJ6MTILOwtm3ZiaMkgLPrl2jDsz45g
iU3dQbp2XfybUXLRlRYjY2P+zFP/LrMZdDtQfdmEwivo1+VrGoHAjiPCTtzIdoDc3oNfo5SrLmqu
qJD3CLR4dBDjwxxitFo3KQO3pRaBXSeHPJ7fnGSoQPWqotjxz5IcXUOzP/NhZqY5U0Jyv/NADe4O
YchXN1GA1OlhWevXyo3NrZO0BEmipW7YAevkje28WWMfIJ07ezbtY4x5Z0NEANtNMzsbKFwXNAHL
AIffN2+zDoRvkR2Tob2PkvZrmP0+rKbucqmja0drHhpPeboXgoP0JHbQf3PudWnNm1sAGa7ltM/y
+rmqhyVwJ5yChK5uRASGZ0LtG6Tj9OT3mMVljf9nrBr+8jQnKX2weB3nXS6p3XHDUOHPJrrnJXk2
p8+pW6DmCvS6FTnEiVO+zgs/UYOE4kJFFRMU+fSDCGT12pNpi88kpjtacpeMaJKO9b7GWGh/W0lA
Hg0ehoZM5EaFIyOVIjBMBSYbKjq5Ld0b9pNbuECkQ8aThgVgvBJafsc/Fblzcr1CYNoJFckcjxpm
88K9RO1hhWywjlIFOEMEmo+2ynRuopfERWrakfZcQkXfRDY0CkNFQROc82ipcGhHxUQrySOtxd/T
1F8NOYw3/0uV9Pb988+IQQaf9c86yf8FSRhaGcMUviL4/atOMvVfBCMLGAK6ZRIO8ps6yYUYBGsB
DRZTTkXc/Zemx/mFJSySHj7BMjC2/CVikO38m6bHoxJzIYjCN+eMU9/EbycT9H9Lbw4kQUR+iUGF
e3PowUwXxPVaQ/HcEN/bzDBNVgJ9XZXsW5VgTWqp9owY9EducV+gdZyghbvFaQYZvlnR3VTJiN8R
4YBSYG4GlSYMzeFJV/nCUer7WzgnH4ZEqzB48mqg5x+N8dUhnNjgnRAqrTiNk2+OX4QadoAnxLn6
oUKPHZdTFLiRWjoORr2TBCDXKQVXbJivxMlXYZvidWQFjYNOc+zdPERf49R/gvoln1SlK3t1BlCc
wOU6T25Jn35b9emJRo3EOJXNXAs8GjmTAKFym6ViqDTkhEM9qt89wp0Tt7sqBUd3R+cdSpUA3TfG
DUyDMCviM7vPE7IMWJ6d0PHAmDciy270ysK6nhYDRQ+zxQK98N6xm3Ez9tMHYcfgWQyZbvLEw1SX
CNzpevYAhuIGRinSKR1yem/x/hPwd98Tc12Wxi3XZ8fVTeKCRhR2QiR2MsxUg6TGu1NCFiSx2bHR
sB6q4ZuBduL4l4KSBTxN6Cf6+tjndXXwa0HRy9oIpCDJ3LCas52fz98xfC4X8ZgYgV7pcOZUprdF
m49iwbp0WuK+ba/BYR1Ft4vKAk/awd8tMfpYv8AVHqvM8Eqlh9eOtq87AI6piyy9/baALN73MT75
okk4dmOXNFviyF2VSw5TSCWUQzCKW/LwXNLLUbp/DH5CXLpKNi9Uxnmh0s5nYs+5545O3DXnNG8I
x43JHTNJuctUWrpObHoaGcN2VEnqptneYeVI0K9AYMhU3ron4drqPeV3R+cYxHL9kJ1ukb8sEdyr
zPZMpbdLleOeZiS6r4t3Blzoh97sfHbNSI6cb1xBLlDLBB5lXBpzGI/M45oY7YWhOfcVAfKjSpJP
cUVses8tDkM/k7oXT/eaSp4n+uKDBAqgFCWIXNib8AhVUn1LZH2ksutbu7APWile/cx8x7+wd1XO
vTn3Z41+g58zRaw9VeGatO+Lb6ub0G3dsOp955Z6dGATueKSQ3ym7rRZ3W7W9Flw2c0x77yZezV2
KG7ChStxUXcj+qLXSd2WkZdiElY3aCuWp1ndqY66XWe0Y566b2t18+ZcwZ66iycuZSofOIvqnjbU
jU1F0LLq5hYnP/hh5VrvnAYpE/e8rKuvlIvftJJjZXqn0YOVT2HA9mNvUigkWnLWVeVQL9hU7QKD
V9nZd3qNhM9QlQbBIidP1R7YO45kQFKN5HzjfnzoKVOw/H45lC29ql9ql51vVC4XDGTeTCXbBkvG
SBN1GJKi0blI4RV4czxHMsjcYXim4B3r3Zw0Nq2C1tX31iT7J8wpE14jk0RjR+/H7mClnvgW57W4
GPqmiG+KuIi949Bq9rcodkx2GQI0a0naScj25tnAa7QVMxISAPsFxbydHWxkDdspAzw48dxtBfgD
hqn6q7TlYSVWYYPx75BA90KyCN9jSmNEGnV0663r9VxJ0BXlukLkKG8KJ0Y4T1wF2/6U4ykvzK2M
s6+4c287B/Aq64rdkvbNgVTWInAV0s0fcAiNT60gAJq3eO9FsMd9aDKtvt74aBBlvogAfsObMXOO
I7S7zkAzG5NRBMMQ9YeW5o1nLbpect0MloH0WY28sk0VT0Z+rFQIOKugN1BBCSo3CTyCpPA0z95N
ksPrbKYTMHdVuzSgzcQ+sgkZx2HHyovccX2+ZNYalvlBqUSrdZ9KJpajdx2ryPKR7HKHDHNy3rDI
gJBA47Y1kGBvDBV4DpIMmUo53ZcqDD1RseidCkivLKLSF4Z5jORSyOzQ2xfy1K1RN4JywslskrWe
ZgI/fedeRshHaxXH3qpgdlSeD21iXtkJrYqItZ3oOhJT3YqhN+pu0t01RqeEzTjPmTd+ZBMB8NNc
nCYVCY/L4hSR3IqeEnVCer0IYHAmKfKNipOXWbNLff3Y9N43/Lk0jip63tFqYyOh81ZWagXQbjbV
UoSQ9O9p4OjBSa93CKTaTSrQ3vKGU6Yi7sHQ0qwuMzKE7sIePJrrNIFo2rlHgoQ5n+Hf5uMK+C69
L6LyrZXu0cTnnQ/L5VhrT7kCC+mQmjpZDxw346404s/M9w9iqo+1xkejxvtCXfe96Y1TaSb7v+vJ
H/WkzRjqP9eT98lbP/zJpkt91s960kTubfjEx5gUbBSUv60noVSDmQRUzeyNAvFfq/lfuRgCBR7R
arpn6vyF/5i7kXltklqH7EjN4/h08Vc2XeIHYfL3GnEGbjCDKXUZDzLO+309iVFbtxoSJdlGuUjf
bNlvDHt6Gl3kwZyL102iY3Fe0zOn07zBj31omU5tvdXoQ3yqn7VMz3BpHuy8KoIKNnq4WCTB9PHK
9M46eIUE4hNtSyYkE4lVJVuizYSUBovIay+4n1Bn0cMn235u38iBPS+D/CTMazuRxDZwNG0Wozm3
s/3h2HTlC3QaPGwgjdJSHrKmO6C0OvVZvK1NsVtNRt4WvFuuz0vHrB/dabyazEQGS2ene1TDbwWs
PFPXXxJ9FDs34v5o2hLpnlHEYBk9MNTUHmIeaIwZ1Q2mdvCtbJsn2X00ogWekRFux2a+rQwbwy0F
Felt+gEfk36ySBQMVm9aQ61C+qjB/vGt4juEiGa/mAidUmRKG4qIB8ZRX0UjKXkq2siqz845xtQw
ZSm+BVpfwFB2RUB678Il4lHcLtA2hyqMp+JxYBbJ5pqgPEJlEsbtm8rzL4xRI+JHDGeQvxx5cs/Y
6zbl3sfhpaHoKae9vnpfhgYMTTOr2zlBFWR7/muWGeTXoSprqZoQllplsDjWw1qmr6DKQzJzLUaP
+C6tNL1EJn/KWv0L3KhzyNYZc3Yql23SO5A6IutWDslzkvH9x2xENmusmtjGPkiHLKOmsuwt89rP
OsuPWg/sGckmKSA4EgYD53fK19HnHnokJse6Sl5oXu7mjsVbDdyDVl3u4xjNYVsNUC8WXLRTxudB
SSKopsztfVnLa6zjz8KI+L33LFOMmTlE2bxSqV8OWXrZpT7O8NjwAoEoEwpYhYABBgDzR2S0MLL3
kVVfMfq6bFPhHgsNfWXcp2TI1a9t1pJFVDAekyl2YnTrDnTSzaSUYEaBwNbQb0yTLGUxKfUEyo9Y
HvuqeZTauK/76pzU9c52Zp+2Ku0RAo60VM6kQpJIMvL08UXp9vrRZOQ278kgY+Za0eJUTn3NTOpZ
LO5N3U44l/3x3suL3aBftOvVMJ4jLd0tun+M5+raENWNOUYHUArXaPv9cCSkwER5s5Fc5bJO1tBc
OwB0WQFlskwjbix8Eozb+ZHzl1alwEfqmGUw2dgVSn38ghNDAkJpARBt1Kua9+9zxryj9r7cbJZc
Ly2YPuAHe6MSx8RoRbhGdtltANFRsiNn3mtM8CmjEPATAUFaILjpXceEO56T4aKO8mxXjvZ3KQYE
okn+vbbGl3aVH6s7IZnugaHF1nQDyaYJUIQwrRucYctxNHLDysrsTmZcDCfOnjbMvMbdpDPB2puK
MkNUZeYQ9Yhe5pENoRI8M+DfS2bHvEttBSrFnaHreD9IO17FcJt5PgqEg+1BRNh0lljTK3w0i7z/
leIz+Z1mneQs69MkqiJ56VbbHK9xcB5qJQxvMiADZEbYu1TJxqnK3gx05L0SlEONuLCRee46JTb3
NOckiMYI2YvYCtD90dY1oTqDwxITtXquOV6QjMydDWLQLywlas8rMLj8cWp/UX9rIvstyTqTjhyJ
trUyj1PyeCtRrDElmdeVeL4biAJc0NMvNAhz6me7HKU9SRW3WiRPpVd/G9Ppi7CQYJqVWv6HSL8R
dDzWfJEsR6HD0mOt8JbmNfjACEQZnI0tZjS82MN0r5vZVYQbQMuW1yIxv1ZlE+hj8ZWP5VOlM0xf
L6C4AhsTHRT77i6fOXr0BJoCLWFxKhL3rOeFHvoYEiaMCckPh4LyKgBfwNKJfcFxFeRQ+PFWZ0Jh
cmOGEyLqMJ3ledVx+otZycazBpMlrPW+1oe9pfwSjd0A78NBsXbM4atIexjycBXxs6m8Fp6dIZzU
8iz0cn/ii3cI2TFnWES3B+tckKhJ+c4EAA9HOTcTE8zpsvEG/B0esInYcK/TqTozxSiDmSW0T+gI
NJ1DLIc3x5+WLSyj+0UZR1ZlIYmUmURk8jFS9hI5Vc/kp1xkGvN0FweKVFYU3jqbZ2DFnqKMKh2O
FQxCjxzQO70pLsnuVust62DhcWlHqusU0wur42M7WTej19z5on5PlT0GGd6VrQ8nWxlnIDpG+2g1
ukDgqokZFXDqIsZnBkbqK94bX8BUHmOi0T2z3feCiJTU7q9zHDtUIrvKHJ5IhjuQI55gXsDcs0h7
3ubK8KMbXouQLPp/9s5kOXIji7L/0nuUYXQAi97EPJERQTI5bWA5Yp4cM76+j1MlKZPKSpl6rU1Z
maVIMBCA+/P37j3X3Woh/+oqY5BI+22hacYWBTPnK27oEgHgmZkeUnqcRcxb5KIW/gHK4YesIE1l
KtkElR1Jg/ZAnrlxzApfLCcFOpK8aUf6RRehDE1aQ3JZW+j5flZ2pz6gHTu9WaBca2/b8QWyxqNG
Nb7RCjTHLHIscGhr59zklXC8i4mQjQgaOJACv1VRhk+WU5+bwv0848cahb6psGiVyqoVVoL5UrwP
8upZL72dZcv7AXOXlTBrUG4vPYuOJvavEMlg55pffQLWELVcZ+UT81v9vlDOsQKePWt9tPy37H4r
u1WV+r/L7gt0hI8NJTZpDu20//J//89vEDv1U3+U3YDffd8iiOkNp/uDLxNAL1Qklyk4E3FdsXF/
t2bqmDl9F+MP4TC2gUnzj7Ib8DvtYF4HxzTA+8IJ+CdlN7GSlNU/lt0Ug6aq/pG0eZb9znsMP6Eo
LJL9zg4zinQX97hyaq9ObxJA0fbcXL1ofgqYjph1m22H0H+CIdIscmVqRDPjB1m1iCFeyrZiLS7l
VfTl1qcI7UhtFQCrLcDVc0cegfZSwrIOQqCa4dlQkGtkSHhiHHC2rjHDfGgEXKNp/pKpXDGG8OnC
hpgNpy6DoKtBARjaF5KAd8MbXtvpL/EAcLtW6G1a5cdZwbixut5wksF5BKe70DowSlL/GkPwHmbz
i6eQ3qWCe0tzvM89cN/paL8Mk/bE/ikWoInYutnv+tm/LcQ0HTViLoXCOrJZzIsRojgjUf7DoPnm
KNh4D3Vc9gaAczDkNAaA5ys0ea4g5YyXP+vpszNdKEznRaODKB3kTiR+tArcVq6GN9i58wY+p9+H
XqbCDruXDbXkR+MNkx6PMt9FRQ+OXJHRECfU6wy75KK14abpgRzYXRVLzaQBrCu+mmX2OCCEoq5N
ir8WvZHY5kxee0Vn6yoaa2AuuVXKh9lINvFI8dxyRXbLaxacGdbbAOdobSv+G8VAum4VE25UdLhA
ceJgl09Xnk0bNxwUuQScXKS4cmRTMT9nlHoTKOrc4HfNIQrxdIyKSVfQi2tWtSLVaZEVbI20+2Yq
il2N7XNZK7KdAeKuh+qwMAmOXDOgpFdRoziMFRMPVPtXX1HyOpoq60KR86TKNFYsPVI2s4tnIfAz
3kh72hSvfQM2v604fGnfOFs0HF85/vlbRuH0qRS3D39teODOQTNVVD+PspByEdJfoKtTFa3ARaE4
gNYbEpA2csrjBCewmgqwd/ToMfUhMWo9TR4HNuVjOMAYJIUadKkKRqlQMXCQwscUNM43hsH2wgZT
yKDU2ipVCFBDRTFMfGTMkqnOJz1nzAEJGlFXztA2zCEg1ljlKFgUFjFRhMSkQHXAOxceJOKw3TCT
NrOO3rCKoyIsohqRybcMecXOMwzzWqqClAlvc8TArMujBeBW6uNDphkh44IMAAKs+k2Z1Y+T5odL
fQ5a7FJDidQOiXXfvLCfPmUlh5QA2fY6yskT7HPSBhId34s7JY9GUV6SuolfJ3+GcxSF0WnqPCb2
VQvFgkimovVw9mUgdwq33vud+Bpl/WunB5sh9KLl6GvfhqRVAoT4xdKSQ2ZnzwpluWVWytkql2oR
8W+4FfuOZNCS91TrlBI19x6wI1xqIzpUtLcWhSxv0f1/NoX/1GcaETZyxFAivb0n5a6cm/tm9j8A
BgrWeovirO7kuk+mGHZHPG0tc06WSYE+xsuL4xA2KASju1BHgeKGQUV1bNVHh1p6TBBFDIW5i8vo
kLrB2bOGG220atV18HhT6GPjeqcgiLOCItiPPyUeoQwibZNdaPUxDKzOWoz4DQ9C+CByBDW37eSf
/AbUSq53xZok6Us5aPeiadS4Oo0PYdFxUqAYWKfT4PEnASCetFZsYB2Tcl8O4TU3cDA2vC7XN3jk
rGPJkeqircrCTJigbXWkPncZs4+VZzbQetHPb5uEk7PmjP62so1pPSeRx6tNragH7rQdsa+uA2ze
q5gpxtqfE/QH0vnWTOG8Su15z1z+THLHMbeSk9ON+doadHNrEc63tvQq2KS2Cvh1HX2bUSWtbL0k
nkqMjgKOLOKIVKoAd/vWtEaW+oS/Nsp5a80BwSCuwxBnFsfEqWKV0lXm5VDwSR3ZOzv8hSEtUENs
tQRZdJLTVqhDYr2KHAkCy9R/yTz/6vqUvv1/lzo3H4FQ/LXSUT/0R6WjYvBc8JGe5/xXL/+7sM+k
wchhFVq/T2gNUZV/VDqW9x9KH/JmbJIind/C8/4U9qksWUSCliNsTgfGP6l0yLR7X+kQeYm9yEZZ
wV/BL/yxwYjChY1b0+ezlUePtcVENcPQsigqVkdjzjdeLbYGbWpnQr01+o+snzxuHe0wjIIPiWff
WGW7z5NkXfde0KxcNyf8K4bI9iErfYO+n34NtULuW85qZHmwS38ySVyiA2BYfXR0YV6znBZ6QKvF
TXYNnaB13iXdVSdNi6pE3A+p4vv009l3Ml70wlpVEW2deiwfpkl7LJ3iA37hbqGbTH10yQRTm85R
7B0M11pNEZXIDHYhLYZFmOh3VWJyZkJq0jeEISDVXwStIoXJlMlk8W2SM0cu09gENmlgJoohpufj
uZXGR3y/48rprW5F5vSXesjnVauDvfNHbx3qLaKdMkK4hriRNVGzp/2AhXdJ7tjR6NyzlTI3MAgI
6dwlKnGX3LRIyXj6o+yrp0j3XzTbLXEyW9eUuIPWyR/TGF2lTOYPrRw2fWdUt0agvKflNxPPdS/j
O5+6Bc5kfsJrujfy6TFtuqNW9t9Ym6eVrk3uktKvIzoNWoampe3CytJd3WgVfQix1CbKs8CEauSA
/jmb8IWh0dZwQdoBo2NJ2IAP679MADXmbMxrL03nZTFWVFK6+zmaSGGxiMpDvoy5f4S26JnMRKwd
7axzkBGmbVGaga+QdUWrTHT5tnUy9nIny/dWK5dN49y0I107q6Q5S0G3sfXgU4rPN81GbWHTg2Xf
+RiKEnElLbIyI3KoZDUbcG2SPqx91GWYLGVPC83AJ2AQdkiwuneDkrVfe3rTbcwuEqdssMCUF/I+
asBBmm1OeJkZ0iRw/WQ1y06tmPOyEcjIst5FM50bHJDBmGQ8/7cd8FJXs/da3TwCdd3pnfk49LST
wqjRV21jGvCPzORUFTRSQ6YN68ihLA76hO7xSAAFkTzBdjIM/bYaLfMam2oCzhnctyuYWeEhTzlK
jLX5ERSSQ0zeFJ/xvwx0vG1MEjm+7GYAvBhnEOeLT1NTbsw+5virLWK/RfIU8X0m2ZRhLRXsXPlv
86P/SUlSa8CfpyHIS5goLMeBXySUjAYt8Q+ilsoipSTTfOOc5TD8v0AnGP4OHveTS/iMXzhp4SnS
Tf3dnGOqwrGhe2if6V926WWqHgr/9O9x/O04roh1v96jEKn+ZA6mfu73bQqRuYWO3AUAz24l1F70
xzal/8fyHQyqavtSA63fz+OW+x8MqIbh0gI1mXqp5+LPXQoxFVsaZ3jbdpUY6x84VElp+OEJxAcL
qgv8H7ovC94yT8iPT2AicT26sxmdc51owpsIA9XraOg0rxz8R+GlZBZ/mLtavIrI5jDpawV5nMOo
DS9ydptHP7LLe9+PnXmZWN1QbqzCbZ8aqzOYMNEgRHiJl8qOtUdCqkD1hrO9zEwzXZqjwNVebLvQ
OHe9eMBqorqgH80osHnT7kTjcfgTOl38PGYBRRlkpGI99sGq0+QBIh0jhIasy1D2jBX06WNaSxB6
AydUAKcNDV08ZBOoziX4qk1WQIbQlHjd6fy9HUpifIZgV+XoP3vnLo+FsUotiJrBeIsSN1z5PftS
Ud9XlvkaeYmFgp29Arl0twBYTyJGjB8V/i9UTdvBieKeeq95NvN0k+KgPcGXONLTR5ASmN7KbrCv
2JLBTz5UKF/n9K6vqw+1PVc3lsSmNRfIASAFMGnEiY8CkyAMmaEfbhkRLkfgI6eCw/DsVs+ANPpl
Y+jVqtPl17mRE3mXqo5tul3WYNX1852BjgNtboJUwl/adjsuPNPcMCQHEpBwDyhqQXj0nrOLC/6f
3Y/dovDLx4IpBAP7K3bUlVdln400ehAlvce2TTDtYjGKK+0aV7T2eseNlqT1BouwE6cQvjd7iH0X
CfFgS8S+8AO/iLI4zuCRq8kDT6t7aCMK18XzViaLMhyPRWwsW33A/lwW2ywGNmHaHVwZMuq6unhM
BNMyQTzJBk3HWlTtfeEIAEoDVUCkexu7dvvbTsnF3Knx2oW0920q8kcwxjhg0+469+xljhVBxsKc
jC8Q5dvUfZBT8inoB7h/EY1vwqk2rvSesGY+uzSRTAoSzAi4E9Sfofd3pO5t6mA+Z/A2OILDIYFX
MZW39NlPmZ9e5klgg0ShVKTI6+UYI3NCSLPXyX5rBY+d4SSn0izZ/CR/uOY9abgrFq0zYDtLaOBr
Mt6kQ3rrVPnZ8uXR9sUF7xjNXhVjG7o24v361da0VeSYEJ4yDiile6h6cZ7iwWL/pzTxQdX2NcVj
0Dx4iftJaOONFN1XM8gfCATZMwg/JX1q7PXIJRQ88zn8lnwPUO+/ZMbAKzaD/PfGjNjPQpz58GLR
DtEzgU9qEpOfzcC4gGfc1H76CcTZ0oNwgk2EdNDcyi9tV3qIPyg787Z4ioQvkWZm5kIjROuoZR0D
ABpDi0AXYunm+UcyBOjyTNnVaILnTCunJVEaZEKAa/W9+ZQV7U1npOi96JaJ/CPV5IFcyKU3IMam
p5YF/j6q2nOT6VvbAiFUZQCUggxdOHOEwvZA46B2t81U0WA5FjvRwe9a6xgbsrg2Yxo0h7E3FIi4
6Be5ac0r368hQyfeU5cXGVLEnOCtGiovw0+mKojiIM8WZbmqRtu8jJN9gD9o3Ea8WEu+c+dcuFQm
Ti/5clp3fJrrIryTmCGPiY1BoeUWrIdMy3YGKbWYXiihmbEGIXpv0Ua7VqMNQSeDS0+Vbmy0JEj/
FT//1v826WT/Ypv+WnwpP8c/9Ynxg7/v09ivMTJayFEo5ej28U9/7NO2kkbjKYYqSBWluuN/Ns51
aioOeJSPeMsspCy/b9Qk2zm0gd+wFP+oae4Ifsu7MlFpVNA/e5xoXf89ntclN9wjDkU7GxpAhpZV
U7fnr8EAVT51MnrPlr6BIL6RkxrHEGIq73yZMzB0e41uhksT7C5EQ+mR8z1ZK7A88gnJpDt9djTW
TUEDEPIQEcVJrWKLTW8GCUYvpKF22LoeQphREm88tjGNuErzN9Iwn4sq1T+HNXHItTlWm1JFJA9d
C5YhVEtHyX9rqSjlLjXla/UWr6yClueodw5D4R6SRFqLgfAWJ+LM2pDP3Jndp3xkxtar6GYOJESl
qMMGqc6TinfOYRqwQPS3nop+ziXiF191PeU0RYtJRUTLdKSVCBHeIo5p7bFRk3VFpPQMzBthSHNJ
Gtg1xdRmL2x+071h4JhBidFo6S15XdGKE/01mcHMQaDCZkfp4rE0okr43MQDqbMc0e0WO7vXE3/t
qiBsODjxoXBVOLaKyUbEqa8bR2Vn4xMbWFAJ1O4r6Px8LdoZsM+E2dlHdFFawJnsQ20ToJb25Xid
WbZh3NnpdSS5u1QR3r4K8w5YaEj9nOd4wxZAqPzSKrJ0kSQkgEuVBT6bLp2BcbS9FbpdwsITOIGE
2BRVcO9w2W2fJJW+5sEu9oXsexYzYrwDoXk3sT1Av279AC81P1zcGHUXXI0uYqTtOIuoEB9DCTVz
aNBo0j15SY02XAdt9Y0yI8eoHZ4y5bbykumcofkFPZR/i2ZnBcq4PU85Kt/ctd2lLb106UOBJBVH
7GVfuwd8tMaSVuh9lGAtM/N8a0f8jy8RnY4OaXP2G6kz7qqBP6B9Y3jKfjDtm15hdiai/4yS1JsL
qaKIOSViWb1Z4Phbmk0KcDjJ2pOsfZTvPGhnol/ERtZOfRQ2i7hWlki9FV3Pm7utFWWv6nTa6py0
oQU2hwHhxyLrQ/zXzIRuUzCgWu5/MQkyFUl+LTuG2Zp101TEeC1MrbqdNIh/psAwjPhnp7iTi5wT
+YOeBMHa87622niMM6DltnuaotJfI/Xa1uO0Fgha+cxnbypOTg6LtNeOjhGfcsZWZOY4wU3hIWDI
RWUhEgnvo2kM93WU7WXS79KaL8mLqAWGGHB34jI3S72PIempi1bE57Ev1SSJzVhr+xwnf700RLb3
W2dNe/pjLr3FANEfpdE34WLTgdZAVb9h2r3Uew7DoUlbhxNyVCV4pu2jP4zLwUCHhO2UkcGYffAy
/UzR9kH0usdD6pcCg4YvDoE3f6tq486Zu73bISjI87XAqwWjZDziHVomff8xEtZWyH5NBnC1SJhQ
N2lx55XmFx//HNmV1tfWn+5sJBGrvK5upnreaKmN1MhaAl0nahkIDHR5hmI64XxB/pnAn4dBPY9G
muxlF13mcjznKkI5CRX4cefmJWgGLg/W6ZoX4+1UT0uTHIIi6FYaDrxo1rYUizsX0HdeEbjYjBvN
Ufx+M/4svA4+XrXTOp9kPHc9VeW5YPCyLnRyFVsTWnoXXsyWrPg+3I049fJSO+GO2ExZjHoVUGk6
4mrLv5k2OEwciXQjl0Gb4aj7Wgbd3Ui4SeLphCjSbRiKZwd9fDNbK0az64Kujh2YZ8aq9w09eI4t
SHvHO3v0H7JkNld+RlZ8CVEjB+wCWYcnMNCA+ukbz8+/TbCSWeE22EeQJHgr4SHJCptoT5tpN87y
WTdaSizvXojq2Yuau5Bs0S6HDlN9rXWdJBKmC64Vb2JRkTQ3rdLQXkfA4EIruiI9vCl7645ik2ET
Sg2pKz4ZQyl9p/n9zmuQcUTZfeKUp5YMaI42pFpj7xJOhVEZeIDebXgVbxvf2xhWc2BEzAXrdVhx
w8aiWeEyZK5hm5+HrnzmV+GXCehBNjYWUWKCV+irllMBjrZo6JVpR0iJ+1lzcWYyYutluok0Nomo
IvkQjww9L+EiFeyf8q54bWucx5W7x+pEgpaNWquVuwIUhj7mHM0cFF5J/zxI/amUyV2JuiOwR6rN
jnuHwbpod27r8HS6W5jn16LMjhVZCb2GDy92d94YnANr3hd2fiBSEj0cnPOiizd5Nl2qQCmph0U1
eJgM4ZIY40uFE3mStA5N3/sQSHFtZHMuGueuG6kWPaO57xTGEm7cQs6c25zslDnhgYaavhgw9ki1
UM3l85S2SDScbVUBOqCJmpDn2Ayq6CnQdxcfZDUdGCMfNbh8Zy2gPUgiXHbfgBpazmZ7kDhkZoyv
fZuy8STQAMWHpM2RYMNcQhnVvmCs58SWQndl5BkbX0ROW66tn1MZ7XXTOLPekkQmU/rczRFFGe9l
5qakXRovkdNUG99KH3LZZnSc021qGZck9dCcIqMtysHaMEPcBalYDqaWr2NSJXuykFxCRQFPmKs0
I18iKi64PbZJMB5GnN+VVq21JvnYMkCr2P94AxrMMb277rpwLSOtWOJJQWfULYlcDVejX+x6zfvS
o4ltYmS2vbtBjLmm3cj602APCMd5MzKbA7R5lK3zgOlKScuqZQGUrgXbokWDdihMm2cdwbtNW9ko
UVC2NzMtkkZWnztPRYEAoAiy8aa36bXmOtvfdyXt5beW4fc5Un/t8jkIh02BAceFLu+8a+O0g5Sy
iwvtrOc4gHAlp3caSvpfX4Q69y9lKAB7uqmWTWlrvutWYl7TBf5B7Tx6nyQumu5lLL+F1ion2O7X
V/pZwfv9ldRf8h2GqAxAXs4BVzK928jmuOSSnjrvS/GYdK9xKX7TE/2DNix3j7eJBC4Og8yNfryc
iSnIC7IyvPTaa9sd6/BzkX3+55+IaplimctY9nv7YoCnVfenKrpAl0yGbTdN64ypfR5uY8YiZvsb
DuSffCI0yRxaaCzT1RNqOPXdDVRGMnPS2/gSIxyILZLywm2V/s1nUvS6H7vXfNvfXUT9+3cXaQKt
dUTARRK6aa08KZ3Jr+/aTx7rH66g/v27K/TtTAsENdQF45wg6SWF1YsJ79cXoQP7y4/x7tuv0imt
+ryJL6NmLYAG+PEFeTYL3AtR16I5m4hIfn3Fn30sDJzQPhxm7cAJf/xYaYwUGqBrfHHra62Hyyrb
u8G3f34NS+jCBlNi0l5+d+tg36Kj7WVyKZpoDbHZLaD9ZB9+fZGf3To0XkxLLAOVv//uIuUQuW4c
jwnfz0shThEnxYTFwA/uk+5oI/wZguuvr6ieqffP3PdXfPdlkQnjy8qYMKoyxeqbJ4hpf7MYGD9+
O8qS4hiuTQYYDXHB+/pu8WlKWBzRaOSX5MRwdc/meQPUb+1coztnWazjjbfUNr/+VD9eUs2BuIPf
3cd3l8SCnI8wlJJLLwiNofdookgzy92vr/Lze0ejHwEgT57z7tsSM5LBlmScS1D7SxNPImDeX19B
3f333w4Gcp42+HGKJPfjg101ZoxNW0suLkffyTOpNl9jlE1hkvzNZ/nZHfv+Su8WOE7EpaSlmVwM
uAbe1Qnu6/lvlrefX8IRoPgIoSST98cPE5OA7tlzmF6K4ozIBPyGuYAX8Tdb3c9eIR62P67y7qtP
JUERU8hV4vRzphGORao2MAWQMWl70dJt5vzNd/SXj0UQMORTW2eIhODhvQLT9AO3yt0yu7T9Fnz8
INb1fPfrx+AvD9q7S9BL+37ZLvqQGxrhrQLrsDC0cDUR2/3/cwkFHSBB06fP9uMlknHMtYyT1qXJ
PmvzniHB31zgL48yn4HpG8NZh8YbWTk/XoCl0x2MYs4v1Hl5Bzkg2av488L/+vZB/hX4mLySv+jK
ErfG+/heyqx+6PeO7FuytkdZxgCNwBCHf/qjI4uU2XFNthzCf1Tj9c+OrEEcNyxYFxOho2LN/mjI
vnkLUQwh/qEr+KZ//geTU1s9w38udQxObZuZrfBRNPK7sAv++HzUZW232MWjS93RudjVb/nVjns2
kJsy5gnfwq3T35Kuu4r8YRALKgJ7Ih5Lbry3aOxBqJjswWt2iDyt4CPBiom+HoYi04586CY4GDTH
jDWpAlp4wWkIsw6bfQTkHHrmyJo0O3C6l1njB4hcYRCAEe8ngf2dWYdPQ0ZOnYvYVMZ1tEOcxrOc
JY62sIA8Obs6lHCVihy3l6iHTJ5DBLOUimiC3TVERfIUUk+AJ2g77auDIGL776P/m26Ap+5Xj37R
fiWI9CdPPz/3+9MPdIVxBDsPOyliNptH/LunHx0/K58Q4r/h8b9z68R/iDxCS6LA0989+5bzH2Ry
PhWGkgyw2fyjgQSmgPcPP85rrLgoEdCVgL1+t2nlVWZzQvPEbW7N/abSA5tcAPfF9bCjut0TZvEP
6XwNlAevNtZm7eGQDD8EGUBX+rYW9qR0VRfTDSPJUPtsDemHXKOdY1gy2U6y+CRa5gjod/ZVnuz0
kNQcQF+MOGSAMywRS1Rar+BNq09Gi/XIgru6BjoVQCRJAA9IscNvdYA9HS8SK3rK6ToBS32Z6Uxl
lUdMRlx/nJL06kfWRymM57HHC0l3UuWwlMspSpny1cmx62j3O3nZP0269xrjhT8WlRGsjcHhraiS
D2mXveqTO+/tnPYiknEmBPNurs3XvslvfUj8k3DvfblNZ31d+6VcQFH90EXxixdru0EvnxqphQfX
BEhNoEde9LdGQl5oNt2OU3yrZuH1JBWHJvpSMu2E5QekQgy3vhr7Eqmzt8sNM5tFNNHWNO9VCh/d
2zZ9qU38sfyJW+VYXTBQX6Fwbpg548VJE5O+kh0sSqdpdr3wCwJWEIUH2knk5bArWyITgrhbD2VC
91ecQDLMWDgjdIpZtqvL7Iuk67FqzYZxttS3UswRuu3uAgx2pyf0LnXg+9uooH8bM+LICq6X0XZ0
MEf7rvykz1O8grR6ikhoKOnXjCLAH9qBjWnjc1b5t3llr0SC3h+mxmkIIxJTXZwQqP1bm25wpjsQ
BtRAOaTDuxQDgRtZSjZo5jYNUGsIqLFLtMAUI3VucwgRrfuRqQEOMKRnXUPzFQmfmnldB1c0S9fg
pFdbnycTWqhdJ3eFAcEw4pvTKuuDA2yhzjO5pkb0TrVm7DOvvCHX4xWF5WPUEEhRe8jIhilYzUJA
r8GlgPMa9kKatHuArOWqJ80aA62iR7j+Mo7ya9DYFgzjcZcbbbmR4B8XKAmGRVpiqYiRhbs05ZHT
lVV1tmWErETfOkZGW5r+dtUzUZoy6z6Zi1eivo+tMdyUs9kvGF4dIKGcdJImzBxSeaZXe6/3PiVN
uPejEJqPiQ/Wax5I1rmvOu0D/ZS9XpSHjiDGUoh9qodnxvavRZN9EGnNTZ2Hk20h5O/Km65H6khT
9prl/XYMsEardK952FV+uTdU5TrZbCzRIQRpz/ZjHatsOA6NftEjO9t0M5TksH0eSGphvDgDuWvP
VYfVdZrdg/TNOyeujmnc7+x0IsUly7t90ptnW5c3YeXSbe+ZxEHbZbZ335TNE4CyYzAmN11kr6Jw
uiv0DKkJL32akaEyxE9h6m6dsMSpHnt72C5bQbYbT0d7Y6GSX0IbuNoMB5gJX3OtR82i18uok/ve
15/1kRhKT8+ylW92d0PknDqJtJFoYzCvc/7MJrtzO8hpU7syxxlUJhM0KxOvs+dvB22ABQ00L+5f
CoSQjaN/m5uwg64ECRLVQ6xzBl24MzbbOxPD1zLzhszceKXD2jdaJFPZOSHcIjv6YXdCUrIf2w4m
PF70KIrOdp8dg3AaFnRfbwacx+vYL1RCnLfQZHar6f62Lv1bSSAxsolxk9e6sY4d4xHy9mk07Ccr
1ZC9JvfkwYgVKrVPlTHyNoZrBJJHI9SeRr0/W4Zxq6dwSYQLRGgaPpoamuG4Cpm+EBxWt3wX0nA2
RRfGJKnkrxWGqMkHRtrGcpeWyTYtqmHVCOORkcqhxgAQRQCIMAz0aK6Wpv3ghh1Zq/OnJHPvZ6cN
T4VTV3s9DO6qvLjRlIA5ABxsz86rUYmtawYL20K9k7TkcA9yNHd4qniXw68pvgCqIJUL5k4n9HXm
xjAqZ4PHfuvWjkT7GlUoz5jziFDfNXn33AzxfQ14derCh0A2O2jCcDgH77EYYmxH5UM4ZU9tHfX7
0b6kKb1unYSsRGDFz8etY5fnoQ0fYn1uVh5pAhqxsO3sYakS1zkzSIDzuTXGWSNxZRExUek78z7N
Sg/3KJQBTw7pojeGa2WJmyZjv19njWZm626o40cnj1sWf+EezYIAw9zL+k1UC0xTTHdjr+fthBjL
GB9zBB9pmqod+L6tGxb+BQ2UxwSyL9azhiDJJNBhEfaIkfou/9RjtLBFkWzYYRjyojdcVWa2HBk2
O2W7CyJQOaMyz5e93x+SbMwRT03fCtkwrIc2lU6E8VqJNBYiRqLtZNlTX4Ym/FQhmcQgvjGixtWw
cwvyYPPwxMywOhegjJ4Tw0VO5sxS23Te4FyboZgZXcwM74fMBr7WA8ZZV8OcrWZDO6EPOBDzfDG9
dGOPydo158e8Du7CWh672kTbQKiYmXndGhv8c0A0mBoQrKXREHaWjjjekRlZbfupT7qlkXovdmDd
9APDakRE5J5v2gBDiNU8MKmaVp4bfWRlfdQtuUNdcdad8WuQWEfARc7Cj5hlxDAYG816rmbn6Mb5
TRBnFrzCHKIaQ5KKCU/HFk3VzYBNBnDsnVWGfbxtUhw4+byvQnFyxnhnyJnov2qf+wO+Rj3F6IKK
XSTW1R/y+xYTQF9OJFgXxUNBbDCghvQIAnSv69oN+WJLSqGtOdb7NvC3WhrtQ7c+QkV7EraFf9g4
SIud1vI2qVd9BlO6TtLwOgZUCtC513MQrSXaQqduv+ZAHzS46/DxURB0R/LqPoP1w4zmF/tSj+8k
aBHC4pa+nUwLKwfxNOr3TUqsV4vReTkpz5Eb4jMfSNxBNqkE653fbNoEMn5nPtNDIYTOGDeOhnAB
7ROlRb2Ii6xmdU+fM6tbQkkKiecy137KkQYXEEncyaPvE37ozRe9NyMmNsbDNBgbK6meSqjMzJPJ
39b6+Esgy54AuqFbt5F1Ozj6bRBar6MOuZ3z+trGnp1Av/Bj3d+QVHXs0/lrNTm3bWXwiQdEAsLk
YQnLwcHwDm84mipjHUzCO5dGeShs6K4Zp6Co1a+ZrZ2yFj27Flqbhui8ReBE6DYbpi7RJF6cATmD
z0rDcGo8jaPHTHkon0ZnvlaaeDHNJNhUcf2sMydc6KLbpE0PPKbhU3uBsfPV0kPc1qIv/WgXyixZ
OlV6UyE+SEMNsAXIh8oIMdcxlV7VMofbOZJRNQFFQXP5bUqnldHX92E8VluckfvBZSQNV+Y0Y8la
VI79PBq8aAkpVis5MiCuJ/vWSONb1IdLO7GjvRvNzali6IgE13qCLxEeBhlc/SZ7QUhi79TrLnCX
IC5hN6d5Zb14EbrMyr5CdY5PPglanlHtw0p/MAGAzaWjM8kGYaKT+pmnpzrU8YvbEn1o/q3zSqJR
LBO0qPeQtuUhBquWAmfus0FZTNvnyajv/BG0QVG5t4kR3uaIWjPXno7I/x/rzH+xR+uOwU55dCxS
CDsMDRuztV/m3N/7jaGpfFCIuD2/WKuNTUnGFfpGu98BAkF1hIgJnKCd69Y9+YwmxwgpYWd72WSb
gJEtoa1NIw5w6X134rv81if4xbzO5lAnfMIHDPZ4tGP6uwOUGev6SBBWfE4qekrFTYMf2bfvf32R
dy2s/16EuBH8BUyiXXWK+256kgajJBWvieGo7LXiRsf+qdkP7fDw68u86/b9dhmXJo1NU0ShOf8f
e+exHrmRddtX6RdAfTABN03vk95N4iOLJLz3ePq7UNWlZlEl6a871qAHaimZmUgg4sQ5e6/989tI
VXU5BagU7vp7l90qxj/MNn/x9+nz4F3AwsDl+nytKnewssxK4nPacaNtHPn825+fEGmdK8SFmiR7
P39+z55w2WaRnB3OHeaF+V97xF/O4j4NM/90fT791sKKNGDqXB/obYSmRmiE7YVAX/wWh4u//yq/
eCtc/CSnOwxobdP99FPEDvTmbsyisxpuGDTX6iwHIiMwxpOK9w8N0ulj/68Bhm2APtvHn4Xexce7
S9WCpLWtOD7nxhxKosm5q16wpg7t6ve/1Mc3+vSlUjt0mc9+fyMY5SkJTP6KfWTaivN/uNemD/35
S9HSU40pOAzY7dSt//DIGGaqZ2y86bkyVjJ+bkn0lV///uv86nb+8Bafb7exInfDM9X0nDrPoXwU
yv/H7Tz5DWmCMokxv/VuPnyFsCCPToC6OoesgOC04+H/Y/HC5aVaBt0f3bCmEKOPFylVUup7S8vO
o/3c2acGnYVa/8Pa9as7mZuYNq6YmMSTHPfje0BRzdPBGZMz0h1EhIjhNfOyLWcZwQXGP9zJv3gv
R+Vr6Bp0DOaYn9ZJXzoqCdxmevanM/UymFSMSzAmGTXW1bcf/99uv87y8Nctz9Nb+/zKffyndj+v
+tDwpHnKfYXlyWAmzq/0oeGpEwuPlAGFNdg+VoAfDU/wJLoFToSfDyz0N3/TDwE2QGvVpEcPnhrx
9u+1PEns+2lloN9vo1NF6c2iSt+VT/HzDSmbIDdMPPvnIL0wBpuEJ8nZu6/d237UgWIMOtwbPT04
Y3zlDOJlyGOFpONRw1EJVQKcKW6J2t1VEQFvKmtXr1gvrh8d48a9G0cyb7v0HZXSqlAsECeoD+I8
yUmMtggJJBpP1ZMDoijkWLJ1UQNT66pQh2I2A1qC0R15d+PKYJ8ESFfQDJQE1OvmQxSTRjOMLwoZ
x98DuIvmNgrqC0gWp4Cqc82U8DqBqJJlvXeC9bfLujYn3bXaaw6Hph7raNJnfOcRVIkxIy112zj+
ivpGotlMV6mv3DcgHhCVzpipn9iEVqPwWahtWy5lWiHd6ZoFEQirwpnQUriRNKG9EjpxriLNmnlB
MVyPoBGDVmI0zSuSXHt8O6ERzAFjM0tJlXDpKuZjMkawcztpA/ZV452dBe6iIA9xofRyTZgIPKtu
6nTCyHMHmAqdO84MjWwBhJqcUMw7aLx4cD2SFSjTG7K1Zo2ZIejqLfqkt1rXUeghDC/8BWcj1Yd8
gv6EXqwXkgrle7FYyIweJACqA6f9ZVQNa3XK8O1aa9mgYp2FnrfuVdHO7VHidkHqKGymNWig3/LQ
PMZq5c5QtRCXCD0AjQ7HDdnc1pAaAkSg0kQOHoPAEtV2aJp9XwK7tsJ0g9dbWfoR8ALNbo+uCpA1
orXm++r9IKxdktPrTMzhudDM4lYkiDcTcaXhX+rybsukaA0/Qm4CU4JhDOQGSUg29wpjPzSRNnMV
tI+DMjBNSpw7pUUUbBXKqnN1rAQtaS9kRDiy244uhBw1y62Z8MjJbYFBYGJbB4Fvz1R7vEh1CXIO
IZ3CoLwsm7uRvkBs6u+ZwTUjh+lBdWjEy+gWTeYjqJGL3icboK8dMkTGh6qc8GiEPdDOs+fQwpdp
X++SxuZuDseHFtUxZ/znGtAKmPg9mRoLLcgf4WjWC2nQqIsgQsziMr5pRHnrs80SuysqPlq0xxaw
zEeNtF37scDnMysb61jm9tXoi7VqADxG9b0GZzNPmubJdLwrnPQrW0vPKOHOfa4Su2yNOuEuJM8U
VnoYo/YEFWgVpa/RhEbkfLGsOrnOgm7CiospuHu4CPAcO6rk/wFvw3tXD2NT9XNp6c+JhL9rqhGh
jRXg69jTZ+iEb6wRA0afxWAnS/sGAybpv+rj6PjH2O0vDV1Zk6AGV7lwX+WE33QBd5KovKWrww0o
JyFwv5Sh/maGEOCCVrvhNn6wa6aDmsxOdYCa1DVe3XEol6HSXWSSBlRSaWJOLocNfTg1Z7Hl04zH
l4+1v48vhsi9irDVTQfjYitbX10mg4YV0nJfelk/R3FxIbWSMB3blIuqU4m1GQp3WYbmPifw/mI0
nDV+eD+9JG4nvM5T7ascwCB70Xg7ZtnBGL0XjZ5FEzfDJpGusqwj/eTXIFCr3K/QTtNQwlD3luX2
uGywnGHuyyd9fUH+Fui/mYUYlbWIgGspysOo2fBLtV3QaFvfr69K+l6okY2tNYpT3yj7LOFbBlGx
yGtofOaoiAUKjEXoJw39YPG9Jv93y5926L/e8s/lc+q9/WLL51U/tnyyucQUs0Wqi/Nf7NiPLV8j
2HLSYLG7O9SAFoX4jy3f+MIU02K8j1mLCSTBEn94rowv2Kwt/sefnVzV+u+Yo5ljftrzSdU0+Psu
J1gdhZvzqQgtAHEFna3KI/R8aGNjHLkM3km3VfpC3ad2BapJmdJvRejvAjk8Eoc+znM7/Gq0pkbv
x+xsTKaMSpaFoYY4Qot82YcBiXKkeWV3WJetYY7prPKmaRZsC5z6sLByo3wWsQzeaohF5UpPTTak
iri+lMZgyvq48gn/KpZ1XOnuPC4FjPkyxHVB0JMLyRF+/wQmJVUvB0cbmv1k4CrfFcfreaYJujED
SR9eZxEB9wkDDT6VYpDKiOOFzt8AO8svUZTTuM7HjGhPlfzL7lIzxoPfupNG6SCyeKt5/ranOQJV
FrQq7VqTUNu2WeiV8A+5sNZqrlyEPPNXuXT2ANvYzDzKEI/GzCGtsnKuK120HKyQoKpcAXVWNOe+
rs5K1GNMYYI0G2gGs0YAgSLazGVpqgEyBMZQvkdGfR3E6jVxq4lJw6hOL5QiGo+GILqoyFcQDP0H
4i3mNgG9AOUStNcYZ43MfydaMZzrOV1LPXNoVjZUC0ZyrVhmt8oddge7wE5RklhIRhJR4Tjsetxj
Mzna1kLXUv/cenjHgxwvuEH+V90rEEI7WsS4k8FslTPDJds310k5DZQjqQar1tLg/Ta5uK1cjRY5
7eCSdW2lxoj9KPTmPZOx2Zjb+SOYN0BTmkLHEhgYSKhqYCr+4VH8v7SfeOAmCSDRnRTcNAx+LmZD
1e/UyK3IrFf9fGXEnf7sD1ynDtPsf7Xc/65/gnPvX69/JJjXz/+ZkwX95zVweuWPNRBOugkWjcVs
agj+7DuFcISGkdMnQHTHsnnVjzXQBobOIYQWzHedE4vqj2OP9QU9qYnCE9ApXTPYEb8hc0Lv9mkN
NDkaM/xjVaW5N32Un28VVyoZD63D+KYPshWJn+Wi1GN9EZMKGJSGs9SnOVClQ/mJI5tlwKy3ham9
txkZZVmSdDt67AYAR2iztdpsPLwiJtdjYZQZA6a0CVcT9yu0w5dOlhwNpklVmyaUctP0yp7mWEo+
uBd+kdya05yr6Aw8lIy+6Hffel6dwdC+Z0xzk6CqPtuaVOZZr0GBCHjCcfQFuyT276WA1Rdh73Qi
HuW+0d80pWxwuCndTVq4G4sxW5j3w0rtUzwk/VWhdUSXIs2GY3tqwbZ6olibasUJwewPiT0hbxgp
lkN2rExEVl5trCNaoVRS1dch0ODAe167tCm15kYg1xxzroU7rPxesFLQAa/KMti2sf2kTdCiru9O
7dTbd8bJqkaWFlyzDWYhbdFHjU/IQ7RwzfFKevi1TEXj0jRBu48DgE2J6Z2IJt25DkUNje3lWCuv
YRi7s6AooPplwboboQ0U0sYJ2EaCzBPiFxoWpiZ2LgwP17kBdQdMFCVybVyFlMZZ9Yox4t3mzzWI
1vhTHDJ8rXr2m1TMK3T4aDJqvD+UcsZk76VTNMvillF+LJBTDNUGRMAV4eLZRZFooOzDfqkWWs4Q
OqsWuKr19ajrN2JEbhK1ZNUo5i1NH3dXtOEmomZdWIUk9obzEzm9K0Zt+yqrLzqZLWps/4zFVlnP
4k3Gxr0rKrFOe3ZDWSU+VrhiNQaksBfDg54lK5G2T6IbmLcZ7VVbKeNMG7s33rlf9kb81tqFdoav
welWGy7CnmOujPyj2yjy0BrlC7ojmM+YnreEmlhPPoT7ZWE3LoHT2ICW6ohe15QApdr85LUKdkwv
qy77KtMnXOF0zDTyAiue5bw6udPtWtPgRGXDAu83tSFXg4k/2ZDloyvQJoghRf2Q8xagHnO8iGVH
MkxjcokdT9JC9sdbIydvQ+hDNzdy+xqU0r7WhrfYL6KFFplXeHK9vUWs0JhwTkGro7kMRyILexJn
v9dwzN1tndmv/RRUxJCN9i1ha4tMqy7rgrRBWR4lvI4FMu58l9lYlojdJfBZLHG3TmcFp5lp/cAr
cJjOoOMNq1CToP3lRczwcyGSWj23fkMobwOdVI7xvtBTdTmqVgElmqAAFEkkK+66UK8WgdQfQ7CN
M4SL9cEXino0utJ8U1UZ3WQqKKe4dQYF85iPKf3bovzv7jThff96d7oK2jdGvK+/KNCnF/7YnDTx
ZWq/6tDysEJMgsI/6nP7i0XTjT4Y1TGOgg8tOWgJEITZz0iRJxfu5/ocRTV7GUXZf3EJv7E3fXOX
/K9ZzyAIHxXHA3S+lgVs7bPJyddT5qiNoR/LrChy+6DEeDwJRxNqlYBVF2F0dhvdiBCvSA3dTdeM
bGAD/PahBtiBdTk+NxkPZpf0ytY0U+PYEDmx6PQq3XMQTa4Hgxyhphf5IQ3q7Gvt1d1OT7roWmgd
nJYsRDtX9/ab1ANC0YUjVxppaihx4Sg8+SrnCpZb4qd4jGDCxOtI17rFGKfmC2Qa7V0xgvFKr6yg
wZRKMlk6aDF5Ni6FoFUsej3UoaGHaNl8O7pIkkbe6Hisrppcif1rNTQjr1rHtlaMWzLM6TexHTtk
CGl26um8YaOiNkFeIrTSXwDwzIZn3MDtZVlqDm2KrNTpZ404t094fsNlYgZFeKuEozl1uCLbnve6
VZRM5g2iuMwWL0fUNMZWtEm9ZOXWF/ZIJwUXqVPnMA2nU4ralq65b6cDjPx2lkmmYw2CbE44SjGd
doYgNQyQbVW4HRAVuQsWlCtCVVp7o0+HpozTUx3G/i63cM0eTeSNW6dwgvZqDIlDH2Cij8bc58bs
jokbD6nyvTb+d0WY3Dh/vSJcP3/F8E+DPvtzvTq98seSQL2q8tBhu8C99v3B/7Em8K+IyJiE+d//
zYd6FRiKYQlk9zymLAH2h3rV+aICHgd3w+jVhTDu/Fa9OumiP0zwvvXpyYnk02HkogHw2bdhhG1a
oQmldosddS5o26/QK4TLPJzasH1NezKqIOGaon3swmSfV0BoLdWxZ7A5grkcPOLkUkcDmGItFYdn
IRlSe26pgbJX6/HZlPp4AiX01llFBcUBpEUey2ujUaxj2nKQHlqjWOV9W5wYyy9Dz7+r/W7ZqSnW
edfZJbW+E6X2HvXDXecnO1tE5yJGNqXpGzcgf84NEfkHiZFTyWmIDQcjXtBShnE2xZ0J03oLbXHb
WcpT1CpvXTuZ34mMmfcdHVyKmNciQbYcqcqp5vlfwDsi0TXqiKJ1rZfBR3mNJXGq9cjwboHJLJoh
u/OT7FK3PGgUyI3tQYDHbup26ZXw2Y5esIU+cVVUFuJG+TZOas30wtLQ9RlldCKuYDX24X1SUDbp
8qufmjetSVSYGr4P3tSGjPVLB0gLCl900K1X3WYKWRJDg426if141ddkkxcuNOPSGq4TYmoXtd2J
TeWo4dyIfZS3aWMjJiHkLqGypvok2RwQcbUQtbeJfNq8iWKsm0YJr9DI6qydtNHDQXCQDkjgNDNg
HWUxibCYbswjJCq7USmpcXsEKAzn102Pto2Z9qI06gBdXGhuGukO0V3qKbZ31KsxuScXmvZKTHeB
y9eO895Artv2AWxw03mv0Oz0fnv2a45CRgJz61jLunKfSpzvr8Qu2woBy7G7CYQmVyaKyLOtBv0c
PjQSKH1IV7nosmMy6sGtgwCxhLazMSz3KYI7ibyaJLZOhPpCyRtaQoNz46bd1kjw95eyQe6jxZtS
026VBuBxQ7tz2csxXbcdGKpEcJyyK2bCVcrEROVaGlV77JGN33AH2Ojx7Yys8ri/SAcQqU7T5TcE
C75UTIH3dqS3TCH8t1yDzz2KQUVpqp0UJ4PbDbCWS29qBHXXzaZsZLnRkaxeF1YRA12x05tIRx2b
a4E/b0V+kzn1oq4tZTY2bB5eYG56K53y3RUUzwiMAQcNSCpdqGgG+S0J2eRLM0CQysDZIRRQWrt6
UJ97mc8Lv7tj0gZwNVUHDlvkWnocsGZ6L5StorjdUxR2HULdQi4Cp07X5LVHXyM6NpsYfeVsLJxd
1Pn9ph1rZ1nW7igW5UhqNRCm8rIzNHnwESYdnXY4VexU9PVRHTB04slM2nIF36Nf1HpaHRWH3JJK
i1Aem/24/LdCpWTEuMII9e/2o/Q/u+y5gFrwiw2Jl/6xIal4XhBSUQN+biJ/661Y1DQ2Rprv7M0f
DRQ40HwInSw5hEXsYxS9PxooNKUhsX7/Y9+K3t+oUY1v4oGPRSr9k0lYhFFHGNME+1OrjZZKAplp
KM+DQsmX4yDVCtTjqRNurcZPz4GwjtR3/skyS5JqLPOyYOJChph6ZUhxFZUEh9E3JjTIRwnf7n1b
W7VGc4jgzikt2tlUOziptgACxTxO9AyejYMKe29mNMmJyn4lPftQ+coqG5RLHuNbe0jvCXrjUF28
OcJBvu0gEkm3UZMRCkScmuUbWxLh7pB7zxWhXhLCeWpwbCCJP/XTtuFa/QGny9osNbw03q1Jy4bM
mXAZl92LG9RHCd+/Lo0nw4vXbV3vUmmtMKTtW1GcpO+f3IzYAA6Snp+fGjSKRoZzpdfvwX1vfBTn
LpuFEmXnUAtP8FaWbcOyVY0LX20f3aC68P3m6HXDvM2ctUD6ieb+VOpg6t33ChPBMkEPioq/2Y2u
8ywB0QDAvQ/Dlvw1d9GaFcnlIwT3cJHk48zKy+uhgrop++AMtpLeAwfm0Lo1q2QzDtVV4tQvqd6z
4qUnyuxDayUbuEa7pBw2TQHJxsuJBMtPpoawHzCh4Ykr27cZ3sMKqu0UcE3cHaOGI7Q2FPtCRs9G
Jq7c3Jr7TA1mcWOfG6U+eHqyGL12W0KPQT59Fbr9VlPlnUjoc5EKaMHLnBXIkOUkePelWsztpDgG
TgyarCvwZAyNXGSB9Wy3WFfygrCt3GRz6fN7XSfyIen6FxCaLslCpacWy2pwuxHQvlOGG44yPj2B
sgzPYhx7nFMoxI01+IVg5cKHXLTTDjltlVnRkKHm5FdRVue7FIDTvJq2Vi3WjCNa15bwNS2cxfQL
kYkiC6eOD690Tef4A6ELhf8mTBnaA9yDajRt5ylA1bk2bfE0nhhrTNt+MxUA2IhMvAPDdSCGYsGo
jya8YUWrcSodspy0MzITbp2yVmluNMMspNIIHELOxvC9m0oQV9FvFGoSIhkX7BXnkbBEQc1SVFG3
iCgFGLO8BaM4kgJwr3A2C4/lVPjw31IC0Xyhq+Utg6k6ypK7biqX8raqmexTQjE8xg+QixeakOlM
nQqtvCqaRSXcUzAZRew+fHUVdshWNMm8nUq1SHfevNx9Sgf9Fu/xG58fumqmVvNhKvSMnNqNMIJ8
YaYh3Z8I3X+bkz9FhUjYKj2VZOck3Z3oh/fGVnchFaXI/GDVK5goqDWDERl1EhenQXYF8XIUpPpU
mmbUqGnuY8V3o2qp+y0YQAGQF4/zA6G+XOUieVUyJ5theplE/F66CqN+K5V4HRKGPnfHljAcf2rL
9udAtV8Ae7/0AklW2Sfct7ZFsQKSyvbjjeeUCgE+eFlyohYKQ1/LTH+osSpMrLp5UZk00poKCFPw
MHjIPFxFfA1kQTAV3AOK6xelKReVznGxlypOQXlvUI7MB4hRo95Q1iOWp+LW56IuYbCX+Y3fEWul
hmBV8JKhEJTywSCohfxXaXN/Gatikqy7bscjGkTDPMt4LIEaIp82jPdERSPRSrh8DS3dIArgoCfF
FleKxWdrd8yxz31CxsZAl8pJjG3nq0yo27tUVXd15+CyUpi3BcoQzhrSgCNfve68em+m/o022BAN
SQ5M6Q/OHNEZC6tXDkHjaBz4o9vSpx8cJLm9iO08bq59P0pXZVd5/lzJYCG3KFHmCliNraAyJcYE
vqnqKGtMdCTupHlASy8hArrR0RYNl/lk57W1Pr4MsjaY/1uLfK9F/naWzSznP4cmqP5zfiF1+lcH
5I9DbfcLJluEZy6TNQ60HFA/HJANWmlUHoRMMPdGaPijHsGg6/Iah3/hqHS0eNWPekR8wbnLy74B
G74J436jIPnT8ZgJk2M6rmDqzpRlQqd+1FWWOuUvzCDvjLSfqQ08wn9iNyGa/ukIPk2lHMI3SNGg
9LEZ0XNxPr5HomWqm8dDf8J7t039xl2hdQ/LlZ30x97orQ4YzVCtuX+xlig5zEStdsxrHYMtkOTa
tY52abvVNvVkcWxKcuOR5RhWcZzyNPqlqPDl4r/VUIMgN1lmeafmHAIhDKLdV9d9X4zrEj/SsgNm
teb5YqfLunBtWDkj1da6CGmQgUOiSdhkHHEDxYNu6ZVZqKzTBP30dVqO/nuC+GtlfFf/O2QzLek2
Ta4AN+afllouEuIIvlkH6m82Avbb4rImjAa3/bgaFc2cKb3/YOTa3u/9cqYySIKQSGJWW6yRTh+6
xtJmdq2cGr+9MyPjpnCr65LBlpe2d5aZpDPHKjKm+OJQlLTeRXHAO8fY3YuwWjbBwuutPQHnM2rM
KcQwQ6/VA95jzxizYVea6mMehvgKYxtLblacy8AKN+zz5NqrL74VDXs/B6MpJHMBJ9bISMpAz7ku
oYQWWUcuOi5PGAkD7t5cAygY9+Sf71uprHuyzmsl8NZJbJaLwBjn3pgviy44Jp1pLKWBF5fibj2O
5VaWwZVvFuwjqUmUrxJR4EzY8ErbplVfgmVLrrOy3vsG8RMK6MOvQxuxH5ZeN6cVteoJrAfGHSwF
h30KjxTgmNz2eXHsBO5vDfwf/iBnTuOZ0FAvNK9NMWQzoyeYvkqR+qTSJSFNCrRWQ30srFahl4LD
kxbMOovVN2E1r4gInHUZW8necCGLkA1pBpd56iQLrReBiXcMYaWtKTs3CrU1jYmvkeJvR4sui2bf
1r6yjn1pzRx0VTJidmdoB9R0l22KdIlDe1jK5eRGSawu2uDyXDtdrQNJ5cKbqb2p1PZem6Rfuekt
bNd9oit7JMyTaOCy35mxejHyR1stPSYIvkZBlGuuPOuV9kbE7Ja2yMGQBDbbd718ypxxh9XMWZnw
cUvbvC1GDeth/9JSzTQ12esCH46pDxeeDLW5oUdEOUXuIxK0RwNVJ81q7eCKlPxPcQYbAcTVn/tj
Q9LLWKwgl984fXUronbZexhDTR8yRUuoLUieYZa0WJGzaMuZjFFwq93lin/jOMmtkk+Q+2411cq6
3e8KV9n1PRhfkqB2ReiuYytma7WrhZFpzVY0or4SXbjj++3NUH1it8fKZMSABzPM0DoTx1Mi+mjT
K4n+mOHceqicLCjn/TBIGOkyuuqlDQ+2j7WlAMWL8LH2F4UyWTjhKc+h7iDl0xV10fFYHNrcDE6N
GHGFx2VL9gzZudMTRsZXRmtqKgkL6byMFtYp37TuFKqTZVtZHGdyVK4xaTG1cCtuZsi/7dDE+8GZ
wgl086pWwWIZRVcsPEDAM00L95j7rpM8wrvbEWzS5hVKQlc8WBZ+bqtdFI0yLuy+SncOJ5ujzH0u
9shOH1nZiwCmhEBz8HnkXH4j80b18ojrOETEhHuHMGH0PETyEkPVS9O785AQQSdEngxI+Brt4aNh
5E9VEyGsCTdtWL8z5TsTnByuPAkzECnlox42K5rzTxwZZ41T6TOhFUg4u2k8XKVEdWGvraS5GIaA
eBR7GRb6a2LVPWcOMrbS9rElbs8UNXb3oHmqyDfOS37mqFvp0r7X0uqOAON7U8tI2O3D6z4eDqnb
beqChqfShfce+btBxyPa98dWJmsvgf6pxtZVXY9nWmePvW+eslDMHdHed2OJQhrzmA2LohWcbnoV
74twl6kVPZEuDcsttNZQ2IkUjDmq1k6w9Sqi130DKFpoWtdIdLiCsRahNbZvkPfuagOICkhIUi58
Tmyk5CgIvykI600WevcmtM+ZoZYbc4oxEgPpcD2Gcr594tsHSAabMvJ2Wm0+unnLkCWb5050pgW+
iRLy0pAjAZ2PnhVHWRADsGmw2M8gLz+rdbTjWi+CsUflqbs70QyXVa7yMUW1C1VlU5rWk8TS33LC
F3V7TZrSghHZuKKPnRH66l+oon+XKnIk2PZPqiC6QifGnoindSGLmyStyVBLsw2Y7mIDGXYySpOL
oOuY24MnS2Z7teRgoOtZvUoTVZtlQnQXqg4On1wMYxk55UOq+qTMqs5ZJbaPXLqi2Fea7c1rv09W
aEm+BjF6btB2ykOXW9wvdCeXg0pvzRBB/ApI3F7o5GIRpz3ox47soPcPvaL/i8DJZfTo6owF6e3Q
zflk6WAGriUJscenMMQlfRe5L8L8XQ3Vp7eYKq0PPpuBu9iK6Fue1AIJHSf4/AwI7++/xmRt+l/z
6JvHiq9hTbYDeCtAKn9+D11vCLB3A++swpN27PNY4yq9gQL+928zuZo+vw3qHqDDaDRwOdBd+/hV
vCyEyhK13rkBOFBw7qxwVivFbSMuOsgaVsXBx/zutPp3zGZwdf++rXl8Rqv8i6YmL/yjqal/UYGz
YfifKv9v8tc/DhE6lheoUyYkK2ZtHw8R9hfsl/qUEmBhfeEU8b9DhP1FA5SGqEaj12n9pirsT4cI
m8MNrhpTt2FYAtv5+X6pmq4pEmvozmp2UYKBHkL79+5IgIgcQuiZmtM0EbzkpyOE1dmR0dhNc65E
yMJ+p6hk1F1WYqNJbskTnpIPP8Iv1gv9k9Z3QjD+/I7TM/LhcZ6gEAGrVIMjtyEh/ZtqhzwwFDzZ
JObpyszZtbWZn6xJ6lNZKyskGreQvTSXdVKzB07SIBRI+tYygJsMBQgbrULjZjj+wcxIB3aIPcpL
9bVVone3Vx4mulymgQ62MwZVoVcO83QgHtUgO3xZsoKChw08tEDWugIgvjJN20DXGmRrOfTpPOhh
vtslhVk6UmGgQbhWOsKFmuDKoVEMUI1gnKA9KIXkVwoBSEgnRz1XL8SAIcnqLiXgJKoCY5Nl2kXr
s1E41jZVGwqN0NsTMggLTLktyW1FkffUjsZFb/ub1h6rpVZX66Am7jZ3dn5g9jPfyroVh7lqLf3h
mDX2eG3XKuR58vKq9DojAnVjFaSpwb3YFMCE6ssxByEyb5KSmPnYE4ea4+SJ2GNzIyo2Kc58xQsq
pAMRQEdYKIfcDrZ91KHGluBNotMwWvcM1EisZdoD7sBYlUDagcm9EihjLjtTHPtc7KRuLNooP9RE
/IF02g5GcKGOxTyV7LP9cGBuegDSjKpsTNS5Z3b7qlXvobVz4MimnOLx1ox7byaTgZSIJr1Io3oN
vOIUjdFOzSJ71ucWo58a5mXRk7yOLFwlvSBeVqF9W9TogUNF9VZ6kmOdarqaUFK9unSwPR3IEcIw
Q7B6nNAp7M7Cd66qBkGl5pMy4fvlSgMqIePgokmV665N4Zjzs2RT3lPggpSoX20fyI9mhZc64Au3
SZoZ8FKANdYCYsMluTws50jorE6su7JdqTDoarbkRFMXWZZdj6m4SGRRIECEzVLHUXvVD/4Viplt
iW0LvdoD4Ll5b5slkAzFmIdB+Z4ahOaAnsCzNhtHrGZYtzkitW8qmYwpOJlCaMALbBcEEbguwyC+
SemwoHgXftAehRluCjPBKWUuYztF6Sj3VUWaBZ6daqwnOswJ+/FC75Qtj+3l4Hi0XAOax4aQKwbF
d6KswH7gpi6m9EkQ6MMm6kxCEWLGqPQWCQBRdlE13lR5x0g+rmnIZtdhS3Z0yI7WMD8G1qM/u034
HNrOMSOCcgZFIpp3BGqRntwxcpWts/m2zPy76Ym/3/SaGuLdn3e86VV/7HggHVEiTQWbOeFQP2jN
GOO5jORcXB2Uong5/9c2I1wPkzOISAzb37e1P9pmk+SEmd9kGyXWZ1JP/0bbDLvpTzUSOxH+TxzC
JkWSykKr8vk+7g+tnup1objDmflJtVKVOF1WCM0iYFMM0vaMLHpzVrQmTBRTpvmx65prlem86UTc
1BOoP/BV89CnfUE3WE9nDb4vQaNwHg9GtdK12j2xhGYblCP5pS7KfGaJWtkj5jDXVZg9uCOPFFEU
X9MCY4Tmj5dJwLFEdvRslLxl3udRIMIImqdZq8683I7mQdaxNjiegRjaS0E96peRocTbNuHRTti5
1NI3N4rd4wsxZLUlIZ3TnWulJoin6AoC5lsXFdc0kg95wligVC1lG/ZKv/NIm5iPtZuf1cZ6Qgx2
5Rb8FalFRwqajuQt5iB9Gi9k5x5VOtxMAWLi/9pLNQLh0+S3bljsA796Yk1Zh3nChx07neyG8CBM
lCxNZx7H3Hkd3RiO20AiiaO3cJ2yDJB+V8yVpsaSZjFHZLwT+QaDJSdbSdQLtlIcUz1/CINJ9WDk
csKtlWwHw8sY6CctKPkHxlcBhs65GhqFc1EZhAytSfhmguPzfhyfiBJkS3A0+lN5tqZlseKss9bV
et9o7gp+z9voOMHStFtQJCa5BKWNVbIiZCJtqnwuEnR7pdPlG9fjXNbp4v+xdx7LcWNZtP2XN0cF
vBm8ScJkJtPQO00QFCXBe4+vf+uquqootpqMjjftaVVQyEQC995zzt5rP4I5Ow3kMbE41v44q8xc
lu+hZfrM5oSdOHoBPMBUJ6o8K6NT1usrgnu5z092rl6F7WJuLLORiVutr+N2fbEbsk0VInhc+nam
24ogodKs9qPaP6RpdT3IhYyktiaEKE8Dejdkw7YuNe92UMzreYoe6Vs6cKy6Q0QIgzdK+JRsk8fV
7jjiJFnUe9ayyjsrLxO/KjpofFHY+0njPNRheoWRqGGWYx7CyW69pYFJ0xvJi7ysFIJj9WLNGjm0
MyypTgrXXdhXujf1WebXEfSLgjnORlbW2pv1SEc9H91aocUzhZ58RxoQ4hnIfkPJLDwErYb8HOga
mMxDLk3XphI/AzsNCYEtbJ+GwLEw1R1SUUbgkXM5l13n5ZJquFZM4J3IBTJrpd8YZMMwI5wvK/Se
LSkfm2XKXolEfkwL7Wu9TFepCMZVouI7ixQT5agQM6LzOBmyn9p4D8KuHI/O0l1ptfYN5GTN3hrv
tHz5OqXOeVbLW8hGqVsY63PO3IZgKSMKbCNNgzpiUtWH5nNXNWzV6FTTNPuerhThixpu12EiUTiX
zE2nE1nhRMltFUcTL3WS+1KdPZaAhNBxUmqO+ksrp19I/aMl2VeAfSoCEZMK9WplP6StBLxtvKCy
l3E/GARw1hdhBRhrqAasC4qySR3puW8AhaXVsWqLfDNZRJDgsHrqV5V0jEhzdmONNLMryJKc8Hxs
ms7RL9Wsol/RCDnT/7bFn2MlEfr9QS2YgP1aquE3GyN/93ZjZMaCoRFb45/Syb9LQe0PC3cg7hwO
t3CEqJL+NU/SqR8xLRqyiegSUKvOnvmveZKOXsYReyZ4exnlDHz7/2JjRKf5fmPUcS2BoxWQWrya
JqrPtxsjOa/0Eluzuppb2QrKUZ82eq0DotSnXUx5QjdULOfyJF/yJeSDnBcKwGGAZ2A05eopIaPl
xChp3nSa1hAcYOo7Yx6685SF9be6p/1n5WxAcW4teFmwZLo1R2UsRYo0X3Vt0V82aao/S7LZB0qo
Gtj9QgV8XBmW54xZ+zdbim+WOTcuI4UGPu/etF1ts7jv7cV4JvervZ1UYzj1XWwhgikrdo1BygLF
QBipDTLncK1Tv1fGkD8Zcl7uIgMVCeFq3cuIQJYQJPYBq2V3sFJU4Qxz6usJu0U+wBqlgKu9cVJ0
hIES3KlXAIuxflBgDi1zQKt82NL4h6+sR04aE3YiCMwNy0x7acU1k9xImWMi0hxq0knwm9deW63p
bDv4sjZypGMnAhhL/7skr6ye6CdC7UoOplTSyk4GVib4mU3hq5MTOJSrz+aUay+LZBkV4ymzDKLY
NC6WAZFFP1XrC3HV2PxLCFWHaAJSkESKsw3rMfrKk5S4crmuL2EXr99B/z21UhOUUXIhWTh6CsUc
3clo651UTxFmFWVYthlt8EOk9Msxq2ZUDb2T4b4iFitHjx8lQVf0GkXpCOqC1LFH3UowXDnKvZYx
eqglWmsxezF7e9vvzLQzb+24Lva9BHejlhvzPDuN7BVqRRap2hvEg3Ry8R2qmvNVsgjm0fKeFKq5
uEQ7LnltPzLml3B3+VPeNL0HwBTpjlSBW6jD8gaJoVCBruaXCBO5tzpWej+HWXq0yPA8dVKTPish
SslpFf3vbK2e12GWDjy8yBEsrALU8OET1JrpvkxbfFPVTE0Oje0qHjGnl45GRmKp6yPpxB3O1hE1
f+93s9F5FP9sABHqHGTw6nfHJBQ31y6sedKu8dwBhQPHrXyvq3oNGlEJOXUH2Hey/wXW/1+JIpbA
D9biP+2a+Uv78pvlmD99sxwz1yeaGxUoi6cwpv+9HKt/kK+Ogh3LjC6W2L+XYwK9QXKZGk053SJl
gzX3r+VYw6/J6q1i/qSUFeXNf7McY/B8vxwjH8CTg5CeFxVBJB/i7XJsKZGS561REZ2EKRvbssDH
CFnMDF5DnSNlP2GmyzUi7wpOySi04ufCsS6Y3JET1zMQrc7W0OzBxF+uUujLqM8AOFrVkTAzFHlJ
+7DI+pPt1LJnd4z8bKn3xyW7+5N32a+8xxELSJVa13ME24GQspT0SRiKIABtg4G9MsvnlT6AhwRw
3MZEWLqZQd+klHvIvESqrSnVjxJBMwQovoYVQz/ZqHaDORWeFAJxQOMI7hRYC7WY4cVzP3vjKN+P
CifWdPEnte9Qi+mZkO0D3W6NVyjXsVuLAObGgac4jOjDUTolm7BMXx2E+f4SEqg24FNFDMlkt9TD
fV7TvEC/6VelJG9l0iYPhiFNR3jcnErHonT1Nr1PmoLpUI5/ki7bJdJ210iXZDOtetCbwx1qABNr
bHMvVBc1rtKNpsFTJiY60JpQKJTKwSulvGaWJ5NOJ4TyWTOcas75UF6qPCASEpG3cWGU6kORjjdO
yoSfYZxBPJuys7SGyWiWfBuR30Xlel5VIhEHS6foS9unvJfckKOfgAEcB5LMN7WMTTIiYERaUYFW
GUHDXcWUqO5TzctVc5/25nUWUsloE9mP5EL7jV7YwSRVr40KdhMVH/CTydcbaYvL94jv9pLO6UHT
mMQVendgOQfzOXRXTWKSlZpxa2Rmor5OJdQxWO7SYds02skyYnSiTiW5WD6rXaaUXlZL2zaVrrK5
6k5rhhnfaJnqDrZ5w7TnhK5EYIjHmQKLWFEVuPBGq1Y89HrfQTmV4Z1NjNqj7m52wMSNaXmK9PDL
0hDCmEs2ubaayS4kP+hN84XazwJZl1K89KZnJ9F1xOxbmYUMc0Yj6HxrSZ1CbtBxDztzHzUIMJHo
Hvuhu0yqrpGuq8rK1++cLoiMRAbnZPVDFlIXjSuhhkJYWA5ZfZH2znOVyTfw13GALm4L0bJeo4CW
sVd304XTS0Erq4cqj89JVV3MaXcmR/BqLBlXYwNF3x8O094MjR9IDgaaxZOmb5MhtNgmynG9Vc31
FDU0X5WcnFpk9fNm0kyuq2+RDm4n0bKFurOb6OG2xnMnWrrF4NyXNBNzer2t2lKS9QbCNmKp6/Vq
WFXUl+jgFmO4ZrGjDoJxTWYrc1CQBSE9ZQ3KOJAOBCpoCiq6zjjShX/mdq1nAMuiMR2LFrXa9rwo
hVVunUihRyta2Ro9bdAH0a4RbW5VNLwr0fqWBp4cIPsprB8a4wUdcptOuaWXPyo654VooYOeeFjL
6GgoGT4e0WYn4h3CizDpWmn91Ra2XQf/LrBSlglZviqEtReQkHI54fbl/IQRGf/vIIzAhTnfaMIa
rOERZiAd0F15WvAO23iIHWEmJpLYYdCMwXgeosdSWI6x00CKWJAMQjWt2ysHb7JsUmSLTquBazkV
9uXEzHaVMDSTDnxvI83lyqOrOfqdIszPsbBBr8IQXQtrdCOpp1mYpS1c0/TMd7OwUZfCUG2BKlWF
xZoiD0sgrmu+K3PsjNAAhyyDWFize2HShsfoK7i2I+c1wcPd4eXOuCfsA6C2hc27x++NBYk0Tgzg
obCCI5BsN6Owh09juo2FYTwR1vEFD3nCP2cLU7khAiZxmcepmm0QRowHXVjQ+UExo6vzjej0KEUd
e3jNsZ/Y5Q5qKzIYJsb7mTo+lLzMBlhFJw/Lj/VF7taEcAdM9cINHxGnKcXNrYpN3hR+ec6kA4wv
hAwOZvpMjSGBdQQ9G/jsx6Y5RcJ5T9vkdsCKTxeOxpjWbAdM+kZWn9FU5Psa+37UzzfyUvlkSyyM
pa1DhdFfUnD8x+syBBMQgMwZKDws65q5feqvOd7C/9W2f9a2nDw+O09tXtqvvz9R8cd/najI+WGK
qFs0b0go+TnQ/PtEJeMyVmXORvRdRXv4nxOV8YcoiSk8TcfGxSF4fH8JJrU/hC+Y5G8NuwVVqf5f
najen6ccg0OdMDqr9JhhXv56ntJiHpceDdQ5Jpu5O8/z85vb8pvJ429ObIKjqmFCIXnSobXMl3x7
YhvCTodCPg9nYOyiF/hjqfVzHqY3Rtv/gDrgteT3eIWOPU6Ryr1qObu2SQFhgQ42JZMga9I7Sqvd
SZ18lw5xoHf1N4lQiI3qHNEzYzHrkRqtcX6pjIqRHbWxb7TLiBRwAIbJSOSBqrkGfI0FgOCydptJ
NvazEGXQ9zppP3UaOKaB1grxRqPmIfxBBB16p+IeESKPVMg9nEx/HYQABEVchEQ7bg6KkIdEin1p
1ZbEEbB9coSEhJY+2nYhK0nnSWHeidREEaITsl8OIyoUzC0o1Ig0FvKUSQhVchQrpZCutGhYQrQs
GpoWG38W86fyiyTkLgq6lyKTLnshhOlgtgcDiehQ0W+ttNhIaGa0BjcdGpqyHi56IaoxUNfMmX2R
CrlNRDaFgv6msayXUBkngG3pLnIkb8iSl15IdjpLx4Bp73LOeRKaHqMkGht4AXnjFw6an6IxjroQ
AbXqeMq11TNRB7V1szOFXKjSnYdUCIjWLL9qhaSoQ1vUozHCyNCTO55e6ILPLGRIqhAkaat+mwiJ
UizESgOqpUXIlwwhZApRNMlC2lShcRrQOk1onvgtKNhLZKvI9y8IdYbaPj7qJM2TXXE2O5qP6KfQ
k97EQlA1iNaKPp5ilFbVMu0jTJxkFHAyQIuVj9MxVvNbOK+ErqT5I0a3B6rfRzMcggo1l70agTS3
X5hSEPTRw6HXuueKL68uxQzwbf0Ge1IcOly4hp6Wzcd6SsEtNRHW9IVipP8pLCOyPEJpxlsQAMZ6
jsKQQVzXp4HE9N+qmx8LKjUbvJ6Oam1o5WcJFVtnEf2SoWsb0bfJRv51FXo3IXyLUcBlqYgcFqI4
XbJY6h3h5EAul0CUk4viq6MU+JWEqM5eLeOEnLG8SBITKkUNlgI5WOroT4MQ5UFcJ1hcCPXWdLqV
Ue5JAxI+tUHMZzScchD53sxC6DcIyd8YyYIlqXVIhREEqkQS+RMawahHLJigGpSFfJAuDPm5QlIY
/1QXjj+VhsVP1WGxSBiC0mRMzrOQJTZMlj0sJAw0szpy2z/li1Xs6TG7dj5Ist+vuF9LIXiscGf3
HOvkQ22KWPhF3fTkJPQYNmq9Rk8NyWCjaIIupTbdDr1s6kfJcCSFjBFVVpe0oowt3XYqsFllSqrn
tV8BBFHRleWXFrwEID9Sd01BEtFkq1+NdXloQ+3Fypod69spjZXCdRQESksuHUP8PsIVZKBbNGa3
zyuEvsYgCYplmD8OhL1PYzsBKzUvdUKxWVncNtU9zVIGr6rLg9VYLIgKH9qarsuBcLMaVxVr1EXU
hLtca/x0TN0aVVSOdDs24hPpL48ZhiTadheTE+YwYTLobIQ8dEnvTnZoHpSeVmOoJ9ZXumWqC3q1
g2TTTMVdphRTMJIVomHydLWVAwwBRegkk6Q9rXZ21lR05k53rTRkBuUd6lLiwynCsCsrxGLTCoVk
b7b7fBnvEbbfFWqBvGEz5F5HGL2/TH3hsOYMF5NsVl9Kxnusv9IPDviytwyU61wOD2pt6pfUmshB
lswakWjG45b08IUplAPIqOEK6pDflQU0bCQ/zsUAIeyCYzxWbINa09Ls/cChaaNX1p3RVAi6gPtz
1FW7xlv0EPdx1tyZ4XJnl8b6tIZl4uZD1QXGQNvOIiump2u3reWx3FZLU7k5f7hpR2N4ahOgZbO9
JKtLocHZWI/7nY5La5NNGO3tgkFQUT2bY70nQCWYrQUsZXVJSNZF1iz3Mkb8kcESGOf4fsjVO3to
nMO8zOO+ktLWq8J8QcCSEoguy88abW8PGXfzNDC+8eqqWDdZzINuJQN1SKg9qbPT39LynQMO/Shd
B3nxP96eabz/Ko2DlEbzHdUUOHUNosmvmzODKEbPUVqee/hVmHv3BrqZqe2Cjy8jxtu/uQ5qJzQ8
Gq/9+0NAb61FFsXlucjzE8zfe1YlQlyKLyyXIDgWR6SK5LtxroPcznadGoPiUze2Wh5YqY5G2DHW
ya6hyd6Yjexr8eAOTr/BQvG9GmgmLrwC+mqfTTl6+fij//aTQ3OxFF03iDJ41/83iqFK6OqW5wmw
YLTcCWBJXB0/vogjBF+/ShStPxWdUGjAu1rvfgdGDPVSZMN4rqO424AF3qMT1/E6NOwbxLf7oTQ+
SXQHrgkIxsMg7yd7EvFhNQuVJl+vaYF0Zh2uh1hzbkt2paEaURHhntCZursGjFmSWKJzIiUXaLq4
5yrvjVkgvFwEdwuswEvW5y6o1mS7Yh8PO8X04zyBKtZrr1KrBsYMBZVVyQRb6Chu1TDYjuEpsBVx
tInNPVjB74luvSCmwWgmEwFg5SeCr8aNZS3STlam9ASQr9isM6gHuuYJGWRo65QkeggHpbhrJvwB
jkLtWxBr1Jk1TXFl8skLcakjKXZTi/GqrF4aslV684pqSdHyYyi/DHowGNaedfHZlgA4WHSOFqYm
udbGflmXtO1MVOrI4Vedo8fMa+YRzFR56Ot3bV8YjFvmC4gyL1mixq/U6lvZxLBn5fFJrVbUB10T
EKSDg45ysDDNHEgGMiZznQ+N1Z0+fhyYVv3meRATLx4HYbAWLNK3h2YQlFXJ/+vPiB5fNOp0b0UD
cTYl/Lisp1+oEGlCdrGrmDOdnRxyvJafuCvrBpE7rJmoO/WU/9OqnozKftL0MmYYYTTBMMj6vjDU
AToBpo+R7DRfrvRip7Kpe5OSiNgmgNQkC90QsoYOz2huowKSA6FHmByY0mzg4ZBY0gRmsb62lfni
wN3DvlFZbluo96a6cHbGw6T1imfSRnJbQ8rosJhPKQK8KVS/ERefbeqJZcDJd2Y534UOU4ixdZtK
uzWNhSek3gyLemuM4ylL49smMW4KC5LJ0j/ZGWU950bZNxsijuJm9JFsQlEz8JpqqeTJaAU9xZRe
JJ4Jpmnas6JJT0o8Nl7Tr5ofW3IwrtLMgKjyFb3dysBLnXKEl4lFNx49PcOTaNvTwWpTbgnzDIX+
5ZD3d9pUnx173nfAhrRJfm0gAZVoHIyFzznQ3xuzyyqej1ZpBhOCgNgi6i4BsKI6yTXNv2wP9d+v
usU389Arag408AepS3gZR8m5npr+ByyyEEiJoLukQd8PtHm72FOj3lUU0gppFCRaw6/EHN/Xo5W+
KidUGHpHifDGTJkeK4bmJAFeEWaFS4nAmAydDbt4PEU7W8mfx7oLGpCszl5Hw6mwa+bhRFQUKVNt
UXsDgyBinaRtOtmHNQWY4iAEmBT8Sp3MoruqSpBiqjcm+wrA6i4qe2ZpzbEUNJm+zyXSpxCGLLl1
oUfToRahg0Yl5A11gqGe7I64RvHYUSXkJlSMwkdOKUIar0zDt7KJc8y5mANzCSos0tb4iC4PV6p8
AiHQgv3Qj2k8kX8VhuFhUEfL7Zj6u1YalttpXL2ac8OuWmiRk065a0dOIVZF78gKR38MW+WTre2T
N1UTA4u3wtrYWVKnzgaEs8hIu1NRzu5MUyucLrP2BEN28/HaIMTq73eKNyuDwJn9er24pLpgZaiq
74r1bZxvRudYRk/YyT++kJBT/9uVROwNMT4gh3RD7IxvvtnU9bBt5XE+r8oS+XVCFhMouzuji6p9
XBG4ks3joa7huFZwOk92w7DOTCvYJykcnIl/18UT9oMJ/vVcajj4tOFBSqpLolRvc45vVD1u36m3
M2YVr+yjoOiTL2WqP0pxXt9EAxYsA8D1tjAG4ZFirqD4iyJPGPrCbdlr1iMOktuaKDU6KReD1u8T
TT2s0bI3audyymj7sm1bRItlKh1aZM9SbLtzrTwWdesnebifatQiOTDe3iheVnkx3HyKnpvZacmG
Qgqkdlr0yV39VVsuLA8M1d7cVGGJeHNTYRSWSRva89mev8Tr18X+JOHls3//3caBcI8zcpQthB/c
1ilcd+3+k8fi46fipzv2zRcozCKTMzVazoZ6Bepnw22S4+XPruJ/zBT6d2OIuEtAYTmSKghD3j16
M4KduCMi8+yortq/9lPBmeQ+ma1Pfo2fgTf/vE3IHpGJW5ahsNU6HE2Vdxda0gS641qrZ44xr2xq
3l0ehJ7kj5vEfdyUm8c9aV3HrzeJGz/M/gsun6+80d1O2398V9VfZSZ/PhdvXuv3yTzOmDi1w9Tq
3AejJ7uyP98O2+KaIApfILADZct9DpjBbeRN7DtePfr6uXz9+FMYv/sUb5/Od06ZPOxyG9Ttcn6a
96oPFDRwrqwNLoVN7G0fDfdoesXWOcfBvCtvjd1d6JEHsWPd26zbytmAFtvA3/Kk47Art91lzIRk
E3kP1WY4y+6yNfbOvjpMu/a+CG4//ujvDQ7/9mK9O0FLapfktZTwXG7wmQbd9zqo7xSvcVMv9GIv
8cuguKi2V69Hf9gbLgV7egGM4SI9Ry6bjw9J/FvoPnz8qdRfx9X/9rq/J1EnQApay+RTxXtnE7vr
rtiGdyVqeggNG4ypGzKUN/nWPjc79QuNNP/j64vH95/H+6/L//MevVttWGqkpauxqstr5VvTdFil
7DwO8r8wo//xfRWrykfXebfq2ImtjeNKrjNn6s04vcrzboLGpvkN8iKpDj7+Vr9f4/7+Vu+LSQmP
n2Y06XCGG0nld1NH1/9/F3hX82mzTVYpwdjnzDioKX1A5zMD0Cc/zE/V2ZtVVCpqu7QWXrSqPndF
FtQq2Rn2J0eFz+7Tu8WtU/IuHa20P8/iV1lzFzOq+/Gd+ux7vHvAhmrtBvgcy3liZp0QmJ6BUCuu
Pr7IJ0+X9W5VMsNIWmjOsRvMpqs7kH7zHrHd4FqAg9NJBSydfHLrfvu9hAJGYc4iYuV/3aZJp9fC
OumHs178aNOAxGWafNuPv9Zvf54313j30uSRg+Qq1uczYSb076+L4pOuwmcXeLckrlkxa2nVjGeZ
RRuXc6bln9ymn/vjRy++2FDePMdxwtAnzHmOqQ02jRtdjLvsRIngXiDF9nFcborDx3dNqD4/XGvE
t35zSYX+n9KrMXvUE41hYodd5qWbZjO9wCTYj5srIir4HxvDL1xUetfS5qb3xa5+9dxcaRdU7Yik
/aXf7Eo33n728X67kb89urx/cpJ2komd7s/KpdjIpQ0MW31fKu4m2+reY7m5IPbh8ANAhb5p75cD
KJ5PVi9VLE8f/SjvfvdR6sy4cRbOEt7ord6yblRz4xxy7wYPxhGOpPesBojL6dgGcLS2tit9skJ/
9hGsd1WRNA+SXk51fyaOZjN7dDbTb0ZANMRh+D7var84WltpK/2InjV33maXxNN8/+Q5+f3W+88u
8e45yUYNrU7JownKMCBfb5OIU90+c+8Iu97vAU9t1jMmi0c5qLwiqLfW1bBpvcGP96jFv+SfrJQ/
C7N/+1X+ed2Nd7fElhxmQyVLSuPrW3Nrgj0N4Kgck4OyeYWJH2Suva93NPWOs2vd+zang9Lvt1lw
m3jikPCvw8H/pJBitf5gdF9BiaUJ/D6sT/zVXzN7lWgKnZLXAi2AL0qoDP+e2Wt/YFTHcaUylf8T
Gv4X5MgmmgLiILuFIuSJb2f2UIAtZuAk/EFedEhj/K9m9j+Ted48S7h50RIAObJllOk2o/tf10Bk
YUzt5FS+xG8GLsSwmYVqmjm8tungjzoaZLkIs50UIk1KFech7Mk0DlsAbYZhfe2L/NbCeI/STfXw
tsmI9JKvDNv23dgcM4n8ntYAW5Q0sB3MsWf7U75M1hxtSXTrDkXT7JsRSfCaXGq9tCdj+wSaa6O0
Ha5DgtDccQEYanX2rkwQnSDatjSwqJNZuZW0XoGyC8V45UbVenCHFo6yrITCKCnMTaQ7KUYQF44p
a3qSwOwwD3n6lCfLlykCeJYa6U3X0g1om86FanMo5IZ4DVCwS1WpJ7nWL2N0aVhv9MOKnXksh4Pd
hd9qZzokKlauxcyu9RnaWlSGEHZIa49U6Rkev49PVXkh70LwhG1v7dqHRJW/RRatOSKLGhfx0f1s
Sd8Gg6iiCtJtltmnJY9iX+E7hHJ2Stb6BS9bF4xhlvjT0jMqUBvYQkZI5gUcn9Yu7pFiX9Kv/AJQ
BG2ZpR5nu9n2egZNEKYDDVklsLsImIVxmak0vY1p3Q2TQv20MmA3nUBYx6Yx3sq9DZrQTq/BWOju
WM5Hu1uPE/AefwrrpyQ2NBdtfIokNHtoOtwFWdY/Get0gO3cQjopflR2e1IVLTrGGREbsR7ThzGZ
6Q70Gnt114UYnLsmulPzdi/XyJRsi4zHyRxqn4Snb2Vk3Ubhsh0y8qxRoV0slfrTVP0dpvxhRX1v
pv0j/21XVowc9NFGB6cy1Y/T/qrs0vzozMWdeayUDE8QMfMmGhgv1sLYs4buR6E0u9Rqt+ZIEmQ/
tBH51tlJGRq/rpg7yhnBZ2x2t8rYbqHFP+uLggZvgFhtGwfMyY7bV/Rgy7K4HtJ4CaAiBnrPOXil
FbjEzFqhU9hutran2smZMBWi57NoWzWqDpmhB7mD9ziDlqtn00Ua06+KW/YTh3uvh4d+NShu7MRa
Xoeoah9jyhIvjhxgVWZVWjdqzdkygipSSNdy7TQ39MSLfKvMCbBQOQCwZDJNCH9k0fw9NHBKxhVp
6XJjXVjl/NCZ7dc+wy1RV9W1FaE/iLNrBeUXuCHDZXbo1bNF99QaAVDLLS4sjhxarvPlIFVZlgQh
Kt3R+NT9OMS04uTW6qZjV7h1Ung9hFLNXF5mE0zTPH+xQ6YAznLPD01jLpX2SyIdyybexpm0LxGc
kPLsRmnOsD7cpShpMrsERGOTpKmvF1rdPypNCzmIrr9K73YsUPRrCT39hEBK8u7g4FjbyTE3RV3w
gzz0ZD4t8xDgM3fHYtgnUgjUu7QYr3ZenDhPBfYxfKUx5CIH+muTQFkrTGCIGdq7Rj5rvfPa4fmW
e8bIswUbVXc88JInmuZ7kP4142C5PajTxG+LnkQadkPXvg7teEkAitel+p2c4H9zFhL1MgBiulH6
esZbKIOgamZhgszkW2MIvzMN5+kcsWU4kQ25dNwpkTW7UoORXyuuQhktbAy9KE3I8rGJ5Ir14TRZ
5WGWOJ4WWe7qkc0kCn+cae+GknPfIm8J6CRAcXyU1XofIhAkp8DyszRn/ZtLiXFVdaMx4sQ22l7q
crQhpHMniI91Mp5Dc71raCCgq7kO1eGibUaQSbjLZ2fx1lUNTLP1NUnZVwSWeV1VrqzCWuAY/QGD
S2Bj1HEd2EdNLX+l54OOQh2+aIBWXZxC2h5905UivKJRdK2s9tGxlxEhgZQE5jpdyGYGJZogFxQb
pCpIiSDCGsMWeumVlktBli9XqmP/0NQVwE4N3xQPSGtLQZI0pTtJ/eXS11e9Zd/PCbKVwgDhOheG
Q3Kcmj9lWrggahp/pN0AV05+yIcSxXZ1jJ1u3IDwuUG666mY9I2I4fug1Od45nyXrveZojLjHLMH
VmC/K43rVgqRZ8nOs2S2j3MzH6YixtE4FBaxMrbbK/FBhbQZz1inMPbrvdCS68s+bIiTETmzi74j
OTV7GDFlkjwjlUogrf3k2rPt53KyV40MvflUrN5cxd90GtzeMlYzcgjlxVnXS6VFIMVxIfIiZiYz
TgH4rs0Pqx8z8mQplBKL5RLYhUcQ0mOVqldVod7AI4C7XulMKbtXw1a9Hg2EJS2XnTnvV5X1q0VB
AhWgvJ8X6aGeq7s8Qbc6lZpX50i4bdAlY2auLhNxAAg1sndMoNdtn2LoJQRpp5cyGHAU/hDIFeID
PinRVFH1/3M8oatq0bWFnWKCfMQ4Z71vPDSwXxZHcy6V22LzZATjVeOiz3Cdl7ub7gTKyq/cfpcc
jS0Cs10VxBcG0NxT/GeB/b8Drqgd/vMB9+57/PK7A674q78PuAoHXPTsmHZgB/xkWL454MomOgcR
hwZAXAA+/3Jdyn/oJK/ZULNJpKZzzuyJDbmP/+//0RwAnyJBGlemxR/9dzEXhiKq5F+eIIEUV8S1
mH1DCRIl7psiv8x5rnI+xuVIhnTnpZp2HxkyYOVSIkg1gs9CVoIhjQsi72FPNgRnxwIVmjI6F72R
mW7NtCiIUjRAUoV0OsUGXCoJodFm4adD/RqpM1ZhrIlEK5tmNUieJg0PHQKlmwW89tZsTfj4+oJd
ZLY8s0FCWjOgPlEADBsjUmmBW8rXPux+yOHQ7+qpxE+dKgSDVV3mJ/NwsyjztQUY97qpixxDymR7
uCspMfFmbnJHJK4NDvsnfX9U+oVvz1mQRoO0U1KCpVMiqQiUSL4poLlhDYx4YvoyHVmQ2CmxMISb
XmPimIWlchmqKVX2UPLfYqfcWYjSNjWXX5McCrAlK1wFo9DKaWfTanbjOdp0yq3wMq3ii7lUd30L
S6Av1ZcefcfBjDBcV/1oMGNNbyqjcwHzHUZJZucyNebZBe7qNUaB2w4taQqczloyiHywvff12t06
bbursY3ujWa9aqds8TiuPGJGea3a6kyIs7VplfgCkOuV0Yd30YhkbwK/MMI3b2t9Lw/OyegmQtQ6
yQScrVu4PKqndMovYIQ/z2kPPtORfsyRjc6ld4IkH78YpfO9LskKVgjndtOyt6EFcFvGnLOAFkfx
MSHsFOtRl3xRy+rKXtIH/DQFJGR2UjKLZuJQnIljLBqKtesezbF7ts3ZrXS18jOEhGzBpDzUefNQ
aQDgCxlDx2ybkdfJ813FT5/n6qi5ySj3frkqMGng9LiRPlzVHZIU2ZpSH1DGq173T2OcfSuiUg9C
TflW48EkNy8WIHmVo4oNBqm0xsCctdBFvxdxeQDOg4ykRg51bAWJghC11rW9RA7qNrILckTs/8fe
eTS3sW1n+6+c8rxVncPArjIycxZJTbpAEuqcc//679kM94gkpPK54ABf1YUHto+kBrCxw9prrfd5
MxZCZv8cYDHrUfWgCTSMAx1+roRVNGvM6meX5iafFjcV1n4+zdMoXgSjBRHfBbZTOrTZBKwRF4dm
DiB/nLlKgUFJrdGh1S69lqDTt/szrXVXqpGeE6icmZGNGUWwaNQD9EFud+LwTDq+r3JITFNzsOAo
mLeWk5xFaYEUXwuHmRuS8qFkT4PvpkrrO5psgPX08AqyMHfmleWU08zBVq4O8cCL8hNAcctKSm4q
rzmICu+4JopcKSr1aDCfatyu9AafZ6tzmO19f5bE6nhoy/G9XwWnhonM2JQ76yAsrGPVSU6DOl/G
koZyqxpUBGIRjHyTXiTPV8iEeUpw0ITBsdoEx0g+7mMFoonNlWhiKu6Nbhm3TVmdqUmkExtnzqwP
FZPucp2u6BQPbzADqOWaeunpXOYc+oOm0pBcdqZ7Czs/JeSif2YM6Ouu+XfcByiQAafIw+jAHctN
kWr6nCNe6PjUlYwd3dTnxgrZmzCyrf1b1dUu6o5rhRY0AwrbSqfnpDRXUSH/pMx5pAfBceBjWd7H
iILitJjJSXA/mtq1K1x06MsGUE6PBggs5RKQMopfusc9Lb1QJfi0hHs/TadZ1oIUWqS2Sw0cRy0U
Wm6qXrd+dSLTHDuxwGIFpBMmrpVcxAW9WFYgHfpdfBMYdTqT6/7QHGy8cOJhgkTTEOYr8dRMscON
dUx+R9k/AZeKZyAUjJlUxj+90b0ucvrdB4VQRguA6/Z++FTmxGYZgnrZ7sYZIgYQKqYuH3WeNK5q
O19YHRZ/YzFeDMgO51ILOD9yvKseJFOjwox18yO67NuFnpeHIOXAlyi+Ny0QA0B3MulnMyFUgb66
S0p5UXvyGs5HsOxVGgxtSGxAKG5Uoz0eLThTqMbneqsvSsizWDMcBXm5CiuXjncmEappk+Z1XV4O
lvI4KvmJ4bFn98LYIPTnhVJuiL9O6r5Y07c2t2gvnVRDM9U15T4D+gtWl740xH04E66smt3Uqxd6
yySAIsvOnQM7i+0ZqZIYCKx1DQftZNSNTVSzUQaamc3x2lyxuPtJjXZAwWKQRnPnrHRGb6nqHYF0
WYFKAcVmdSVuNSp9MVxtS1qs4DuO0JUHb83ZWc6zwG/olUBZJJNUOrNthIUI6tVlWZV3QaRcGWkT
T7PRuVGs+j6kZ3VSsi9MKmAtEyjvNAX0ymJU7QeNTodl6ZTcNbOHMoT2nNrZU4VhIsxSmtFTXxtP
0yg0Zm5enHPmkZHhz7oc4YDDRammJUzLpQzmf/PkmhFea1bxpOErEoZOhezK5XbZuicKPeYT3Rso
l2dOCzi61pEQ4OPAKiumrm1QKpRZZXmQIvDLFlnjrQaj8OcW+6QENaWT0qshG31g2eGPyKL1G7m6
BnN76bpwZ0Ny6CQNrhQDb6Si5Yo+StYB/uocxSk63JjQCGnvOExNSanOEP7OvCH5SadENsXP4Kyn
IRxYincsawFhcJ3/tKXUQ3zs3HfCAEQq6EBELbmOfMQPOZITGVzqRWmnJ+zmleOe6CR8/EA3JFqZ
ffsAkKpTnGZxnJFEKAMZX+uQdN04lxWn8F/qSP+Jow3Cyj/E0Q1yeaoOHxPF4l+9xdFYvMNfZRmQ
3FVeIuK3OBrdFx0lMPINB8Tpr/QSNPEkgnFxk0UiF9AkJa63ONr4BnySCIionJUPEuyfJIo/Y714
Y+goMp8BdRmJ5w83MQjzcpEmWXM6xsjMuXD/AMRALTOCGyG30NDLGE6xG0yHzD0JADrNDKWrpmXa
nqOfOrDwR55UIDfIfxRwjoIjvwlPBgucL3m8K1mOnlqZy6yUtXROSlDl3E49yUZBU5ZNb5pUwlhZ
vmVv/KFW+p1T4L1u+w5xj8hlONK4iHVJgqzuY+SBq4blSUQ3efgdwfyPfMhuWh9Ke1aDnHJN83uJ
W2Lap7e1I926KXx3wLTQ907ayD+us+BHldnJJHCs81IzHmPSNfOELwYgLzCXEH8p/mX3yUAXPdhg
DIzrIZoWcQcmuLsZVJrCMMBc6DqIPjXU6DPrCIYiyX4qfJw/6Ak4rur4uktHKjWeMTci+zILnCeE
1OeB0ePMVSAukr2wnrsdCJO8vZOj9BEw1L1bqGekYR4pD5Aij0pv3qQdu7WVnENwWcEJQ8Lg/YhV
VDN5bNOHa5IR7fLssVOck0jCYiwZ4C/mKqqrQU8IeQu2RurXx3WFpEt3aQGECcOJtBgAVcplB8LM
WXnwuYex/Rno4cZKymsNpD12NXeJN2InIjgr/EiOXBrE36RLVTksgCgU5gXB74nv9D/j0MlmgLUR
wrvytCnJymMmcqt7xqVeDy6tx9G17qk/G9VsyRmKf240zULXmruElFuVkXAB57poamjjXJRCLlvx
PTzQaKHmDd69hgyJCy5WodTGRNaliTlGC9mioxzsyLKofTI4EWKjJudXQ9mLnMYw8XYhgiqAwJtB
BZGzyo8CNykOhcYAOSESI5LmlxZN3F1qLJpCL0iFuDZP4hZEcEKKZKzocW2YcQYclak9MomHit8w
UXNv3pXjFc4JvGtqU4FoF67cXI22dhh0aLItlVtVVbhkdWK0x20TPZJOvbPxUJ1YZv4gK1kJIMKd
lh3IuE4OVqTbMe2W/JWcSuFMsgBOynJGM7O8VGTcUXFfcFbYKA4TrbU3SVgc233WTvIqzOcoqQ5M
bxhmaoNfuJf0N4jQgH4iaGc2JhNTqx8qLpJTuVTIYo6I2xOyukd6GhGWgY/2DmLV8bVZFHW3qo16
aF5KlR98Zxjc+kytLbiaZmBoC9NN5PTaos05m+l1PmoTp4xFi7mdWOcckoF5PhQAuLWi9+6RqMyr
mCk00X3dPc1RC8FVEEETtSeyOb5FFOYXsvAiMPoLzCEO4QYE2PZZrYY8wI5JmtlmVRw0loyzQBFA
zZ5iLhIncOM0oB4x8AGzL5Yg7NS7qOPycxKjbGSfiX1Mw03rUfaaJuRuOpTUl/HNdjB7inSjmAeB
annXcm3F1b3qth4NYNqogseXE9P9gfWBr5/IKnl57uF9k79Uev9zXIp2wT8dl1ncJOm2A5N/968D
0/kG6VKxqIPS2AkT5pfKKmpockqmhV74w4Fp49NMzVVW1Oe0k5AXvR2YGDXDyOTQBJD5DP76Jwem
+dzU/HfiyRYHsiybkGpU+GE0hZLi+jXxpLQG0yJLkrPR8A81UkR6m3HNZy2NaZgtWsPUJ6Ebn+h5
HC0MTV/JjbIM8vrMbyiUwNrAgukixQqj0ZTDrsrXUaPf01Y5jdL6pB+VY8/RV6OPGCWSsmHqW949
8OMLmtmjuZkka2rH9Dj56D/dmJk5sg5gZAJIiCMOCTup09tM848aWHjHKdUH2xelM8GHGilClk70
YErGQnMVbufZWV4aJKid8A4RgznJUoJ5AwcvtYHqi1IgOGvM7MnMsnBikH7A8csyyV9EyoEx2Md1
jaDGTa61od9Q5TmpdEdUC67JBWSYTHjLzGyOTIN9ImvNMzr8D+MaKxPHN240JJJjVv/ofHNRtWyk
pYI5TOfY57pTAgMGtNNFp2EHNxDRAubv4BlCi1upUkq3jsDYZJATZSM8hgTZ4xc94FsScfYbcUFF
ZVQWvukkCyl0fvScoUbbHOuNnZ3mxQUYm0VC9ZVb2Bmat0Wj9aTiKI2EIKI1EvOaAoUnlu5a3b3l
KrkwG+SnTtsZcA6Th2BobnJJ1mhZwU9E6cPToWXoiqi5kHuX1H5kJt8L/cAcKrtG4+vhxFJY7akn
40RI2XWSoKCbDk175Q/hnP8bW1zqR7O6SL83fAy3wAsuChCf4Ia6NAKZsbERU8nDUdHyO4ShxA4n
2/EsG2w6hQbtMrDpme3cJ73gVAxM81rPzEuJ1O0Ui9hjJyHAaQwUX35OgoVb+aVEudmAjQKWm/J2
X4TXtps+2nIwS90EEkT0FKbld88hAoNM0E09vtQqd5UOMzBOSa7k3pSb9kLTkU0EFsX6LKBFMWhA
hglrwIjyJ31eqhbP0dwOpAiajW0Y+Uw3qatzeN9lWTJ3KFYe+wajXcRVMCWVAcm4V4AcVyXSG5vS
x9gPVBYVJz+BinFTjNGlmzf2VJdDUkEB/QAgTmxA2WRN4xLjBrjQ5GQiqobVXWBax+DVL9MWMasV
OMlUUsZxmaQhpRG37BbOkDIzNfVHnhZXdssPb3TebDDGU7lxn9xWUmZaa2BTaF82nbvqNDKyiuse
WER8E4NJP7FNxKAgZ6clOciJ6kUVxR6isLBAgiuNwxr+UzWF5uxBkOJf11J5WLfojyIS0QPlZSUG
HcTlYIltXTIfoktMXhSqsZgZjWspGtZ1a157fXsdxVBFevscMACJBG/UKcTBC9AC6TtS1RSsiTX3
x3rhD62JlrsgEhTxEp0IyHikYc3vOhwCSMUsKtcB1oAEVyV9o/bVSSxLJ71cp3OMA9M59NI1PKHV
kNfGlFz4wM+FuAc4mwWdIGuE9vsqsVAMFlWtLF3VIyrUTD5PG6ezrmEG8t9/qjGh0mAIUgJKY7IK
0mXRyJsqYUroZhIcZpZ1k5fFaRWDrkHivMlz+cySukUV9uZEUmN9TgBMoVIh8ymP5bGr4GyVAjRI
GPGjIuVLkzAE9FSn9zruwotMYg/2AtuZtm2pA7HyVq5u9qtMGdaFCTTeYWvUo2BR4KUz9Tnhx9o/
q2INb3dLtmdDoF1hiN1BY8nOi0pehqV+nSPyR2h5pXgFmcARAqqcWWvPy7Fn9w9VvtysC2RzYsjN
jWSOyhTX92IeI8uG+86kjir3vjXH+7IuLhEseCsvlgDYKo2w6ESfXzdXua0kszLi90XTN7M1BOGd
BZ3AS8oHIHpsFVg9+s4ZG93SK3xoQXp1jbvh90itb8sCY8c4am51B1CtonbKTJZV/4jolbK/7RvT
wScGzDxAgthTHpRVeJWa2nLMkTa6kXLfRb1M6T8EjuuEU9uhEq/lNAOW6vfWvOiqw9G964Ij3dcu
UoJ3+JffQxKtAa5YppLWSzPNTtU8q0h7K9VKDs2NwkYP4sw5bwOTpa3TDyAZmLVY5hjMY6TLkwBV
WeZ0x1Ueo01SV1Yfs/0Gw3wclCsIgEc+FA7Ai82tVWMoKBf1YVGftiapQgM2v0f1GYJ/MIszJ1iq
RQlpvQxulWFcQn4Lj1OJ7R936xNnsKQF3K1oodV9OBkVTQNXa/Nrucm8y71Dw7GlaWXaPpDozENi
PDSauiL/uLGDxD/p0hqUJzgIw7oNs6RbYkktsEPFOJwqvozko+J3BhFsrjwbLnDgTjP2r0O3Hqls
aiW675EspFvV+kGLwy2tE7aNEnWgONL3KvuxXcw5PELAlIibDOVEzY0DdqNDkwt3ZOtQp9Bokv7U
te+BlbNDtMjy9Epa+YV+quuVt0p9eaMN8gbu1ANHjtDZ9qtBlmaJjcVMJPPV+YyVpmSzqI8f+yCi
8dXzATmHVPVd8sSpZ95BLWmXgwJloiPnVWDbAF1opOVAEh095pHHYOcPtXyo6O5l5ForSepUkPJc
rvMevnSTKNMolm8Yfk5xJd5AdDpsVc9a5NiylpW5DG2QxEht0gXXfa5SpSx80WmKUIruLq17jKvi
KwMjITM2bhKn4CYR1uKud9Dp5gLZ/Tl9TxBIaEtR6vwax4hHNtfz2unSaewzBQKzuFSkcsEGpyw7
He6qowAR8+G1WSP9RWZNj0mYnJHShC/n+tiFOtEwL/ua+dBxN/bN0ad8Vc2THtNQGAQVuCl1PWIb
DlMNuGmA75Rim6cEuXdlmR8jXramWSLNFbSvaB3vOVoWbade0m1xxMpdWUB6JmQuRM0L44cgPukU
jtpIOQ7c+siNs1uyhXfgCDkjUuu2UvuTjNsPlsLQTkMJs2TH8L6TjkinCtDyMTgs9fKk97wFylgK
NoF94Rs5Z7Rk3jR5ezL2eM6nwUOsG3hNoeyutOG47e1mNZQDJafePEkUO52aCRuhRI+SEeBUYOir
KFOPO3k8akpNwwCCXkETa4mwS5Jzje6VmVfbaOO6Up21PhwF3IgFrE+l9SxJ4RWAhYEkUq4qCmEg
0sMHqyOGsfvm3MoRozplmy3pZa+OkwKmQ6F1NOwBCwemvYxizPScpAuJOd2axWXEVFivzVo6hJCb
LE0/O3CItgSFRAtNLNUckujPt5D/XMfE3eX317F7SJZbcpf8m7ermLAPp15vA9EkNQjc4JermPqN
7gDZgDtlyjTAkvH8u8kVNbeO9pzWDjhu75tcNQUTcDpSoS+r5DD/yVWMMv/HHgCKkCb3PjAYlmpb
Dh/i16tYXUIZjtUQuktNFjK3gV+65XWtJv40VMmIjUqaXQetEpPESJKrqnFhRMkKjV6jq0wVwGeg
6d16UujaqUBpzUmX9NPBCkHkgfKtVZmjqGgfnKbLr7OBpqGoiPtzh+N/SiemNXUaN7vWq/aklEk7
1Cne2oGfncGFZxfsUu+SPjBo88Aj5l7rKrNKUW4SyFGrmGavZehoS+ypD7TBvvaKhi50HadE0CHB
WRz0yZRUIGAns1s5nf09HdXgpuBKcOKrQ7rghIFfGSElVhiCM1QW7oIgzlnR9SWalejnr5/h5TkY
89gDaA7iANE3jPOsgoiv5yH9Dk1y3FCpj+ChdwKMXkNIdwQq3YCZLjf6PLI8ea5CU4+gqlPR+s5o
nmQCty4L8Dr3u2SSRv4PAyZ7bzr9BJTErVdEt6WRxnPslrHXgeReC6Q7rV8mqnwYiabnraIRqJVk
ApoXKPg+NQ9NzGuoTBHKO4IXXwtyvO92OJYCk+eHxnjUzK8yyT3VgTrbxKgatoN8E+3JBUgvCTJ9
JBj1ZY26uEAjruGdQFVmPDUyftI672cFiPsI1L2qlbcj6HvJBS6S+f5hBBTfFHR8ilM1wAoAw5xw
B4A4kPw2fTXrwOoDDMKnIBE9X7Sk9pD3M8Hg5wZzn3vjha7rR5SQfagB8PpBV8KCEAx/0y4i+4xD
OtQeREvUcGCRk51jMX0EzHWk5qqU3gwfUdpeLWMj0YSKOTLQH2mgn87lou+EBmXV+LCFPjuxcMae
qIlyrFnc3eOW492VFciDhh0sByOa2wXae9COHESG0U5bu0Tc7EWwSwn9B584K0iAkWahsyA/Tx41
GhnkoHIP0AIi0THo5OxY4FPgICvNyy/jNO2Z2fpBbzvccKJEvk59gCuujh9VlvaEuhBrEOwmbOLd
dNTldKIN7mYY1FUg2cZBZBjXZe3SVpHWU5ytppblnHIbiTncDVo+u0aG8WgeSHapnxHz0asC73qa
KwHup6V+1UbC9aI2juWgy6cOSMmpLBmHJYTxQ2XIjgo9Vg6KjFjcqxHDaneV4p5JnbcAVN0vyNIv
66IMaKlLymU1UCSkEDizi/jBj42FneUsdZZJnls9A5v8yP3qsLe6/CCSLHtGw5xy5nc0ybkNIHXi
e++QewheorZ72hZSBngGD4vBwQQ7FTYkcHHpl+8vBgVXAWywSL8PI+AvVXVXxLKclVWmLwfPdWYy
uI6DvEiPPJ/mzsFrtMPK9EYMQRVpqWeAbLIivzAlCqRjNBzionSXS4l2roaEHOx+0YEU6M7UB7Eq
UY/weg+dapjfF1bo/axSmHQ+y/jCCsMNmnsiIBDcdFH85/x8JjwaHDh/OD+bhy0iEfFvfjk/OT7R
gCDCeCFb/y0SUchKmjJUJbKWlPJ+OT8d/oTDluqfyl/B3+DvVKb9jYNYU6BEciO2/2EPnSa/F0CJ
LkwLapEpKo1o/mGDvD8/47oEBZb18lmNvQ69J8bSjDTpSIXxNqGomV8YbOeiHxlnjwg+XQbbFCCD
flhmRko3KX0vzD7juBTuPqwIIGqduWy75iq2+/ykHKVp3tITVtuPCpZgMzXpVmhQ3NlodgeOay+4
08gz7KqWTUX5O3VE31Gn33RpudIDP70uPK+Zenn+aAIayfDMKRVdWMtowcT0isd4cKJZVuk0zXTd
qs/7HkvYzE8vZM1eKqGun0sa7ixm58zrTnanSSch3cc5mkYsLhhuvbYa79FNbGxZh1See0NeHNip
k0yKTLqEFBufO/Anab4Ddw0oiC7xwbJmbkC6g/YS+DruQBZVxyLH0Z6qwCQcL07tOuD64Ed3gapd
15mTz6RQ3eQR/WPu6N2UFGkCVn1jSj58X2VFM/ET+3AKWMaHrtZfpDKsfVPlOuEdhaNzrYS5hfcw
YpBSla9zi4vbyI9Q+7jmxK6bAkAw1kNTwbm0qjtcEuiLB6QyKaiDdbp8TkuHAqYxuAgcrL+kBDDU
4TCASxzS/KdcctKb6Snn6VE7ZN6BFlaXjenQG2KQehzLpJpaJmYt9KpxOMYza0Q8hOFcAwyBVs9y
4tRxFa3srEzmQVrZZ46aD8sYs78JN9sD3O4c5JflRi0wZXJGy7uQmohkdGA8OmobnRaD+jPODDxW
8NCQZwB2nVMudGjuU9BRbgTwCfhGtEip7Rx6UXaGlxG1rNg+g8dNA5lJZtsbMsiXAL8rhRJuqZ5i
E4CrGjjuSR3oZO0a0OaKAbCmbxHCKM0PM/e/RxEM8LKhp031yd6rkM8rj8GNyePT+jV+twI0S272
kHBRaRQNu6pUulDs/Cfp9zmkz2VT9PY0jcxyKteldmDGxUFuJod9bcDd0c4GJTqj0NnjmI6wQc7C
W7lzb4xEqlZ0Z4C1lKybsvZg8ynqsZurxBw2qWZ6j8JJI8uXyVAfyhxeRRReBoE3N5v4vpPLB8Mp
M9zmFAA2VXtql1Ezg9NNICOnJ9htyTQZSYe0NaIilAXr3RmiGUqcY7lQHm111GZVPdzmGoSnVgGC
UIkEfT2CxgNDF7mjjFRIPu3i7sFnrOemcJBKzaCgop/faVh7OUTCJmZToXCdQt77WMsYW5fU9CXh
TNULj6oobODa4Vo1CP+qdDCeaqFKKtR+kmBxVbilisUWrldkNKGEVT9s7LAIqm8U7LEUGIt8PoI3
3Zg4GGiVgq/MB555Y9sBAIuAyVA6bUb5snK0H4Pw4cIKJMYTEm8uEqfSAfmacpbim9Ji4AXbZeNj
6GWbOHvliY4CRxd+X67FU8YSD7CEOyxo1YZOYq7aCUZhoczF38bzhdJzNU6kDD8xJP+k3G08xsht
0BwrdB/CfwyEP71ZXn8RqjJiOUN+tIVb2f8v5+zrVXq2rtfztA7q4aLZlMPlpqLUW72Z54g/Pc+g
q15n/95f+vODXrtsrod889//tX5KgnQWVHUZPNacnR87cETV8N3J/fzBnj/1H58Tr/l2zRPvoNmi
DKlSOKQLR7x4lzjDy+XljyW4kt842B2VCfDrz/inUfjzF3wZzj//nd9/+F/HwKCh6N/4/nzBv7++
9Y1LPJun4rx8fcqc774+zUsUaSE/kRx4fu3DIHyaCUBf/p2REL/1r0OBAzE9WIRlzy+kCO+GAi2w
SkXaEs5PTLpfFsvvlsOff+TdJsKnMTCgd/8bs+HjGJC3cUwKWi9jQEPa+zFA+YFDpUXd/nm+MF32
cihkxCo7bgwOJjcsewRMLytDDNS7jUFYj9kkpfSX9Nv+zQflozroH++OeKiJK42uq2x+77+9/g0i
F12NqNifX/s6EXYeA04IEo/cmwyxy/D6uCbYIi1eCOZfJt3+TQR190GwWPc6WTA6dd4W/rv5wCAA
arNwZafRVLz2dT687FgvQKt/HeL/MGIACYEuzubnfjcGhAq0LKkOnKC3MdrPzXH3c4KWZoWQiLT/
y6/9cU2IkgJxhaKoe3tCfCya/OPNkY1Bpl7iYL/xm0FQv3FbBByiMDx7ORM+2Vn/80GgjU9TVQLo
1/hwy0ygd4gjxNmL+Jmp//ESIaxOdowV8LYz+JIqRi0vr487A6bfMmUkZT8uEVsGQX75dXbYF3Xl
m0UV0FLFmhCvT/GzTkSla8TPL/vPHp6Tu0eNNvcpIdp4HYNPg8A5ickORrLy3p6Q/G47Lgcs6fF5
pNz5MhFEMPDpoBRyFLqI9vqgFGr0HYdC/4bFmarZ+uvO8HF7VJgwlLYhRb3kH/b2uHw5wnbYH4TY
iaZugwLz67T4MCtEHG0jvbQFXHAvj0tl9/3B/KaRasLk6zcnBYMAd9fhOH2Ze/u3Sb5uXLvMBKJH
ekpwM/h0qyRiouJkaa+CvP379vru9wfrm1jv3BJez4iPWwKxM7gLBTb43q6D3QdBBROi2gbSxpf7
JDHYuyNCMb7hPMxmwU1LvPZ1X1R2v0sRPMr4/tFe9Zt9UaSoHdNkUuzrvrh7BG18g6Qr7pMvP7f4
vd/PB8wTCSy5a+zrvvh6au22LxIfEwiwNzy/mFvvBoEMNJJgBdjkvt6lRG/BbhETKUedVBt9gy9j
IEo87weBgoxga9JNsa/L4StiJYpSnILWa/L543Ig1YQ4jZScaBvZz1jp5YPtshyQ1FvCKYz2mefX
p4NShcBKJ7YlUrJ7OQiv2a9dBoH8ijgXLADkz69PM0HjVm3h1yqumvs5CDvvCWTaVGEeS1T8Mgif
9gRKc2wJMunpfR2EnY9I8iu68wxwQN4qXp+CZ/kbHj1kZJWX99q/4FnIdXc7HbhEmhbCYE1+Ldd/
mgk03CG9paNuX2eCsfslkkSaTelR/l3iWSSZMHGU8Ybe1+XwslnttjGqJnJvDXHC82vLTIBxwy1q
bxPPAvey43LQuEaRR7PN39RhwNLYBvUoc28vUMInbcdBoPRIAy3pxtfEEnPrY8RIuAj6RtvXC7Vw
edpxEGDOQ4JnLrw28mxbDoIkJKsvp8e+xo2CJbrjUGigmGTY/K9Xyc93STIwou1aEe6qvNf+HZSC
tbrjIJBjo++c9oyXRp1t1yj+UKZS8bJ/vgz7/g2FtnuCxYa/RQuHThvf8+vT/iAiK/E/JCDEa2+H
YvdZQdcOgQPigtcMw8ddgvMC3onMTrKnK+N1C98lcCD1CFfNePbSfXdO8OUVMMiMzmtyfl/HYPe4
wSCCVAFqsCbepvy7oRBdr2yf9G/s7UTY/VZpUW+S0exQjn15fYwbhPhVhk6k7e0g7B5Gk2RhMegq
3/T59XFHoBqhOtSrHGe/zwlj57hBNDuSXmY0Xi/Yn84J0q/kGBR6Qvd1Z3iZqLvsjs+NfgjF3vbA
LYNAAwM5qddK2P5FDPruNwpdLHyRWPx9qdp00IQwFd52jv2MI3cPnkyRhIUcKqBq4sXZ8/6koA2a
hhYEkC8b8h7OB7a03YJpdgaaewkNtN+JRLAJg/4KwXVvB2Hn1Jvo79IEqu9NH8Fe83EmmPRJGxQm
9nR7fO2+22V7FP1dXLJFBnJ74MRy0B3uVHvb6SdAHbstB9Lx+GGZZOR/l4R9DrERHIsW6f3cGHcP
oeFN6nj5GebvirUK+hDR2wX+ZD8H4ZN7zD/u/mVjpEHDpMXtNwel0ExxTNIJ/hJe7mvg9AkA/o+H
gsoEl2rxNX+vpMPtisaeV3rq/h2Urx9sl+1RUNAFMJVK1fbtUeagVBXMgPf1jPgEU/rnMwHBkEUz
D1eFjyckRygGABAY9nYd7H6rFgVrhcYtWpyfX4Sg78MEpCE0sNjEU//3ffH/sFj+JVCe+kH89CxN
xjVmm4L5d3/hTa75+c9/0Qw8i27f/U0hVX558xdlgfj//+e9cvk5xfzLn76lnJ/f6fXfv37Fz2/+
7s3evtfbf1wFm3JdPgIieBZsv37Q03WCtvl/Y/7X0/qj4kGUit7+23aZ9b/Cgz8/HZOMzduDDp7+
+78ozmsiSfD233Z5eLJ+ysq3B/3ycBbO3+P4WSD+f/rkE6xst31wZurOz56u43XLT1K9PeuXz858
3/35sLWrTz8po06k9QUPT+ty/dc0q+ptb8F2tvNbzDbxX6dZuXX82Xt2fv48/muWlUyet2f9Mv4E
vjs/f1HiRLXt4QR5Oz98GW/S9O05v3zwr1iuqyZ5yOKn+vPjhUx4549+kOSbMljHb4/6+9MrX7Fk
D9Jhy6CL5tudP/nRptwy5qKHZvdHB6m3ZSMQMoKdn328jrbsYaIJ9QseXVWbbWPyFQv0OKv++t/U
28SbbSPzFUv0ZP3EBvw2Dr9MxK9YoifrMtg2NF+xRMWzQShv+ehCwL3zz3qySZ+yx2Db7iX6FL/g
+eXj5untQX+Pu5D77f7wjM/+9pxfnv0Vy/Qk2zomX7FKeXS9KTfDlk/+FSv1dJ1vmy1fsU5PN+36
c+wIZOQrluhZuWYL2DIoX7FEz+P142ZL7ChKmTvPw3Ooz9uCO9HGtPPDLwNCxyp42jIyoi1m5+df
rR9LrgRpveUsFX0WX/AG6V+TDf5G297gK5bq1Vq8QZmuy6etG5n2FYtWvMks2HjbvsRXrFrx/AUr
4DGoHre9x1csX/Eeh9m6aLadVtpXrGHxDsdNUP119hBU+bbv8RWLWbzLybrebHv+V6xnnl+v/5qs
y4f1tphB1BK/YlXwHlNMBLds1qKM+lXvUDbj28P+PiL1L1nY/nrrnVD/kkVNDmPr0HzJYg6qKBiy
ZsvAfMlazuL1tuhBlH92/1kJTLYZuIsSzu4Pr9fAnuN1U7097Jc58yVLV6RZtpzDAjqy86f/o7f9
cypsh+zTNTE+9MO3j/n3uIgmk90/+p/sRHf+6M0fzdd2ffx3vn2zba0KVcPOI/MHq4JdP/j97ynO
f370trTsv1qGPydr36B+2/7Z+1y0+BuP8WZd/s//AwAA//8=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614796</xdr:colOff>
      <xdr:row>55</xdr:row>
      <xdr:rowOff>35717</xdr:rowOff>
    </xdr:to>
    <xdr:sp macro="" textlink="">
      <xdr:nvSpPr>
        <xdr:cNvPr id="3" name="Rectangle 2">
          <a:extLst>
            <a:ext uri="{FF2B5EF4-FFF2-40B4-BE49-F238E27FC236}">
              <a16:creationId xmlns:a16="http://schemas.microsoft.com/office/drawing/2014/main" id="{D3805571-46EC-4157-B5B4-C64435B499E2}"/>
            </a:ext>
          </a:extLst>
        </xdr:cNvPr>
        <xdr:cNvSpPr/>
      </xdr:nvSpPr>
      <xdr:spPr>
        <a:xfrm>
          <a:off x="0" y="0"/>
          <a:ext cx="17652641" cy="10287000"/>
        </a:xfrm>
        <a:prstGeom prst="rect">
          <a:avLst/>
        </a:prstGeom>
        <a:solidFill>
          <a:schemeClr val="accent6">
            <a:lumMod val="20000"/>
            <a:lumOff val="80000"/>
          </a:schemeClr>
        </a:solidFill>
        <a:ln>
          <a:solidFill>
            <a:schemeClr val="accent6">
              <a:lumMod val="20000"/>
              <a:lumOff val="8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100"/>
            <a:t>sa</a:t>
          </a:r>
        </a:p>
      </xdr:txBody>
    </xdr:sp>
    <xdr:clientData/>
  </xdr:twoCellAnchor>
  <xdr:twoCellAnchor>
    <xdr:from>
      <xdr:col>0</xdr:col>
      <xdr:colOff>0</xdr:colOff>
      <xdr:row>0</xdr:row>
      <xdr:rowOff>11906</xdr:rowOff>
    </xdr:from>
    <xdr:to>
      <xdr:col>2</xdr:col>
      <xdr:colOff>-1</xdr:colOff>
      <xdr:row>55</xdr:row>
      <xdr:rowOff>35717</xdr:rowOff>
    </xdr:to>
    <xdr:sp macro="" textlink="">
      <xdr:nvSpPr>
        <xdr:cNvPr id="2" name="Rectangle 1">
          <a:extLst>
            <a:ext uri="{FF2B5EF4-FFF2-40B4-BE49-F238E27FC236}">
              <a16:creationId xmlns:a16="http://schemas.microsoft.com/office/drawing/2014/main" id="{D4650AE1-AE6D-DBFD-39F1-9C027412C517}"/>
            </a:ext>
          </a:extLst>
        </xdr:cNvPr>
        <xdr:cNvSpPr/>
      </xdr:nvSpPr>
      <xdr:spPr>
        <a:xfrm>
          <a:off x="0" y="11906"/>
          <a:ext cx="2035969" cy="10275094"/>
        </a:xfrm>
        <a:prstGeom prst="rect">
          <a:avLst/>
        </a:prstGeom>
        <a:solidFill>
          <a:schemeClr val="accent6">
            <a:lumMod val="50000"/>
          </a:schemeClr>
        </a:solidFill>
        <a:ln>
          <a:solidFill>
            <a:schemeClr val="accent6">
              <a:lumMod val="50000"/>
            </a:schemeClr>
          </a:solidFill>
        </a:ln>
        <a:effectLst>
          <a:outerShdw blurRad="50800" dist="38100" dir="18900000" algn="b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148056</xdr:rowOff>
    </xdr:from>
    <xdr:to>
      <xdr:col>1</xdr:col>
      <xdr:colOff>1376362</xdr:colOff>
      <xdr:row>7</xdr:row>
      <xdr:rowOff>129006</xdr:rowOff>
    </xdr:to>
    <xdr:sp macro="" textlink="Pivots!G5">
      <xdr:nvSpPr>
        <xdr:cNvPr id="4" name="TextBox 3">
          <a:extLst>
            <a:ext uri="{FF2B5EF4-FFF2-40B4-BE49-F238E27FC236}">
              <a16:creationId xmlns:a16="http://schemas.microsoft.com/office/drawing/2014/main" id="{1AC73951-57AB-6868-1E0F-67AB488426DD}"/>
            </a:ext>
          </a:extLst>
        </xdr:cNvPr>
        <xdr:cNvSpPr txBox="1"/>
      </xdr:nvSpPr>
      <xdr:spPr>
        <a:xfrm>
          <a:off x="0" y="510006"/>
          <a:ext cx="1585912"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CC98CF-44A3-46B0-9D56-55C6B01116E0}" type="TxLink">
            <a:rPr lang="en-US" sz="2400" b="0" i="0" u="none" strike="noStrike">
              <a:solidFill>
                <a:schemeClr val="accent6">
                  <a:lumMod val="40000"/>
                  <a:lumOff val="60000"/>
                </a:schemeClr>
              </a:solidFill>
              <a:latin typeface="Arial Black" panose="020B0A04020102020204" pitchFamily="34" charset="0"/>
            </a:rPr>
            <a:pPr algn="ctr"/>
            <a:t>2,400</a:t>
          </a:fld>
          <a:endParaRPr lang="en-IN" sz="4800">
            <a:solidFill>
              <a:schemeClr val="accent6">
                <a:lumMod val="40000"/>
                <a:lumOff val="60000"/>
              </a:schemeClr>
            </a:solidFill>
            <a:latin typeface="Arial Black" panose="020B0A04020102020204" pitchFamily="34" charset="0"/>
          </a:endParaRPr>
        </a:p>
      </xdr:txBody>
    </xdr:sp>
    <xdr:clientData/>
  </xdr:twoCellAnchor>
  <xdr:twoCellAnchor>
    <xdr:from>
      <xdr:col>0</xdr:col>
      <xdr:colOff>0</xdr:colOff>
      <xdr:row>29</xdr:row>
      <xdr:rowOff>138113</xdr:rowOff>
    </xdr:from>
    <xdr:to>
      <xdr:col>1</xdr:col>
      <xdr:colOff>1376362</xdr:colOff>
      <xdr:row>33</xdr:row>
      <xdr:rowOff>119063</xdr:rowOff>
    </xdr:to>
    <xdr:sp macro="" textlink="Pivots!K5">
      <xdr:nvSpPr>
        <xdr:cNvPr id="6" name="TextBox 5">
          <a:extLst>
            <a:ext uri="{FF2B5EF4-FFF2-40B4-BE49-F238E27FC236}">
              <a16:creationId xmlns:a16="http://schemas.microsoft.com/office/drawing/2014/main" id="{892D9EC2-A41A-41B7-80EC-45864D43F1A3}"/>
            </a:ext>
          </a:extLst>
        </xdr:cNvPr>
        <xdr:cNvSpPr txBox="1"/>
      </xdr:nvSpPr>
      <xdr:spPr>
        <a:xfrm>
          <a:off x="0" y="5205413"/>
          <a:ext cx="1585912"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A4848F-8CF0-4525-9761-E136EF47DD30}" type="TxLink">
            <a:rPr lang="en-US" sz="2400" b="0" i="0" u="none" strike="noStrike">
              <a:solidFill>
                <a:schemeClr val="accent6">
                  <a:lumMod val="40000"/>
                  <a:lumOff val="60000"/>
                </a:schemeClr>
              </a:solidFill>
              <a:latin typeface="Arial Black" panose="020B0A04020102020204" pitchFamily="34" charset="0"/>
              <a:ea typeface="+mn-ea"/>
              <a:cs typeface="+mn-cs"/>
            </a:rPr>
            <a:pPr marL="0" indent="0" algn="ctr"/>
            <a:t>2.3</a:t>
          </a:fld>
          <a:endParaRPr lang="en-IN" sz="2400" b="0" i="0" u="none" strike="noStrike">
            <a:solidFill>
              <a:schemeClr val="accent6">
                <a:lumMod val="40000"/>
                <a:lumOff val="60000"/>
              </a:schemeClr>
            </a:solidFill>
            <a:latin typeface="Arial Black" panose="020B0A04020102020204" pitchFamily="34" charset="0"/>
            <a:ea typeface="+mn-ea"/>
            <a:cs typeface="+mn-cs"/>
          </a:endParaRPr>
        </a:p>
      </xdr:txBody>
    </xdr:sp>
    <xdr:clientData/>
  </xdr:twoCellAnchor>
  <xdr:twoCellAnchor>
    <xdr:from>
      <xdr:col>0</xdr:col>
      <xdr:colOff>0</xdr:colOff>
      <xdr:row>23</xdr:row>
      <xdr:rowOff>50109</xdr:rowOff>
    </xdr:from>
    <xdr:to>
      <xdr:col>1</xdr:col>
      <xdr:colOff>1376362</xdr:colOff>
      <xdr:row>27</xdr:row>
      <xdr:rowOff>31059</xdr:rowOff>
    </xdr:to>
    <xdr:sp macro="" textlink="Pivots!J5">
      <xdr:nvSpPr>
        <xdr:cNvPr id="7" name="TextBox 6">
          <a:extLst>
            <a:ext uri="{FF2B5EF4-FFF2-40B4-BE49-F238E27FC236}">
              <a16:creationId xmlns:a16="http://schemas.microsoft.com/office/drawing/2014/main" id="{7E6C3C66-F673-421F-8F13-D0EAC22789F0}"/>
            </a:ext>
          </a:extLst>
        </xdr:cNvPr>
        <xdr:cNvSpPr txBox="1"/>
      </xdr:nvSpPr>
      <xdr:spPr>
        <a:xfrm>
          <a:off x="0" y="4031559"/>
          <a:ext cx="1585912"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F37332-046F-42F4-9E7A-D507D0B36ECC}" type="TxLink">
            <a:rPr lang="en-US" sz="2400" b="0" i="0" u="none" strike="noStrike">
              <a:solidFill>
                <a:schemeClr val="accent6">
                  <a:lumMod val="40000"/>
                  <a:lumOff val="60000"/>
                </a:schemeClr>
              </a:solidFill>
              <a:latin typeface="Arial Black" panose="020B0A04020102020204" pitchFamily="34" charset="0"/>
              <a:ea typeface="+mn-ea"/>
              <a:cs typeface="+mn-cs"/>
            </a:rPr>
            <a:pPr marL="0" indent="0" algn="ctr"/>
            <a:t>4.0</a:t>
          </a:fld>
          <a:endParaRPr lang="en-IN" sz="2400" b="0" i="0" u="none" strike="noStrike">
            <a:solidFill>
              <a:schemeClr val="accent6">
                <a:lumMod val="40000"/>
                <a:lumOff val="60000"/>
              </a:schemeClr>
            </a:solidFill>
            <a:latin typeface="Arial Black" panose="020B0A04020102020204" pitchFamily="34" charset="0"/>
            <a:ea typeface="+mn-ea"/>
            <a:cs typeface="+mn-cs"/>
          </a:endParaRPr>
        </a:p>
      </xdr:txBody>
    </xdr:sp>
    <xdr:clientData/>
  </xdr:twoCellAnchor>
  <xdr:twoCellAnchor>
    <xdr:from>
      <xdr:col>0</xdr:col>
      <xdr:colOff>0</xdr:colOff>
      <xdr:row>16</xdr:row>
      <xdr:rowOff>143083</xdr:rowOff>
    </xdr:from>
    <xdr:to>
      <xdr:col>1</xdr:col>
      <xdr:colOff>1376362</xdr:colOff>
      <xdr:row>20</xdr:row>
      <xdr:rowOff>124033</xdr:rowOff>
    </xdr:to>
    <xdr:sp macro="" textlink="Pivots!I5">
      <xdr:nvSpPr>
        <xdr:cNvPr id="8" name="TextBox 7">
          <a:extLst>
            <a:ext uri="{FF2B5EF4-FFF2-40B4-BE49-F238E27FC236}">
              <a16:creationId xmlns:a16="http://schemas.microsoft.com/office/drawing/2014/main" id="{B4432AC8-2736-4296-BB93-11C10156802C}"/>
            </a:ext>
          </a:extLst>
        </xdr:cNvPr>
        <xdr:cNvSpPr txBox="1"/>
      </xdr:nvSpPr>
      <xdr:spPr>
        <a:xfrm>
          <a:off x="0" y="2857708"/>
          <a:ext cx="1585912"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4AD3C4-7FFA-439D-A786-ACC8C13F524E}" type="TxLink">
            <a:rPr lang="en-US" sz="2400" b="0" i="0" u="none" strike="noStrike">
              <a:solidFill>
                <a:schemeClr val="accent6">
                  <a:lumMod val="40000"/>
                  <a:lumOff val="60000"/>
                </a:schemeClr>
              </a:solidFill>
              <a:latin typeface="Arial Black" panose="020B0A04020102020204" pitchFamily="34" charset="0"/>
              <a:ea typeface="+mn-ea"/>
              <a:cs typeface="+mn-cs"/>
            </a:rPr>
            <a:pPr marL="0" indent="0" algn="ctr"/>
            <a:t>$649.0k</a:t>
          </a:fld>
          <a:endParaRPr lang="en-IN" sz="2400" b="0" i="0" u="none" strike="noStrike">
            <a:solidFill>
              <a:schemeClr val="accent6">
                <a:lumMod val="40000"/>
                <a:lumOff val="60000"/>
              </a:schemeClr>
            </a:solidFill>
            <a:latin typeface="Arial Black" panose="020B0A04020102020204" pitchFamily="34" charset="0"/>
            <a:ea typeface="+mn-ea"/>
            <a:cs typeface="+mn-cs"/>
          </a:endParaRPr>
        </a:p>
      </xdr:txBody>
    </xdr:sp>
    <xdr:clientData/>
  </xdr:twoCellAnchor>
  <xdr:twoCellAnchor>
    <xdr:from>
      <xdr:col>0</xdr:col>
      <xdr:colOff>0</xdr:colOff>
      <xdr:row>10</xdr:row>
      <xdr:rowOff>55082</xdr:rowOff>
    </xdr:from>
    <xdr:to>
      <xdr:col>1</xdr:col>
      <xdr:colOff>1376362</xdr:colOff>
      <xdr:row>14</xdr:row>
      <xdr:rowOff>36032</xdr:rowOff>
    </xdr:to>
    <xdr:sp macro="" textlink="Pivots!H5">
      <xdr:nvSpPr>
        <xdr:cNvPr id="9" name="TextBox 8">
          <a:extLst>
            <a:ext uri="{FF2B5EF4-FFF2-40B4-BE49-F238E27FC236}">
              <a16:creationId xmlns:a16="http://schemas.microsoft.com/office/drawing/2014/main" id="{0866342A-5F19-43F6-B4FA-EFC62E09B20F}"/>
            </a:ext>
          </a:extLst>
        </xdr:cNvPr>
        <xdr:cNvSpPr txBox="1"/>
      </xdr:nvSpPr>
      <xdr:spPr>
        <a:xfrm>
          <a:off x="0" y="1683857"/>
          <a:ext cx="1585912"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D77A14-A3D8-45C4-A33E-4531D97BBCBD}" type="TxLink">
            <a:rPr lang="en-US" sz="2400" b="0" i="0" u="none" strike="noStrike">
              <a:solidFill>
                <a:schemeClr val="accent6">
                  <a:lumMod val="40000"/>
                  <a:lumOff val="60000"/>
                </a:schemeClr>
              </a:solidFill>
              <a:latin typeface="Arial Black" panose="020B0A04020102020204" pitchFamily="34" charset="0"/>
              <a:ea typeface="+mn-ea"/>
              <a:cs typeface="+mn-cs"/>
            </a:rPr>
            <a:pPr marL="0" indent="0" algn="ctr"/>
            <a:t>11,997</a:t>
          </a:fld>
          <a:endParaRPr lang="en-IN" sz="2400" b="0" i="0" u="none" strike="noStrike">
            <a:solidFill>
              <a:schemeClr val="accent6">
                <a:lumMod val="40000"/>
                <a:lumOff val="60000"/>
              </a:schemeClr>
            </a:solidFill>
            <a:latin typeface="Arial Black" panose="020B0A04020102020204" pitchFamily="34" charset="0"/>
            <a:ea typeface="+mn-ea"/>
            <a:cs typeface="+mn-cs"/>
          </a:endParaRPr>
        </a:p>
      </xdr:txBody>
    </xdr:sp>
    <xdr:clientData/>
  </xdr:twoCellAnchor>
  <xdr:oneCellAnchor>
    <xdr:from>
      <xdr:col>0</xdr:col>
      <xdr:colOff>0</xdr:colOff>
      <xdr:row>1</xdr:row>
      <xdr:rowOff>133351</xdr:rowOff>
    </xdr:from>
    <xdr:ext cx="954557" cy="336631"/>
    <xdr:sp macro="" textlink="">
      <xdr:nvSpPr>
        <xdr:cNvPr id="10" name="TextBox 9">
          <a:extLst>
            <a:ext uri="{FF2B5EF4-FFF2-40B4-BE49-F238E27FC236}">
              <a16:creationId xmlns:a16="http://schemas.microsoft.com/office/drawing/2014/main" id="{324E4882-D51B-B6BF-06E3-4AB056F4E3C4}"/>
            </a:ext>
          </a:extLst>
        </xdr:cNvPr>
        <xdr:cNvSpPr txBox="1"/>
      </xdr:nvSpPr>
      <xdr:spPr>
        <a:xfrm>
          <a:off x="0" y="740571"/>
          <a:ext cx="954557"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i="0" u="none" strike="noStrike">
              <a:solidFill>
                <a:schemeClr val="tx1"/>
              </a:solidFill>
              <a:effectLst/>
              <a:latin typeface="+mn-lt"/>
              <a:ea typeface="+mn-ea"/>
              <a:cs typeface="+mn-cs"/>
            </a:rPr>
            <a:t>🛒</a:t>
          </a:r>
          <a:r>
            <a:rPr lang="en-IN" sz="1400">
              <a:effectLst/>
            </a:rPr>
            <a:t> </a:t>
          </a:r>
          <a:r>
            <a:rPr lang="en-IN" sz="1400">
              <a:solidFill>
                <a:schemeClr val="bg1"/>
              </a:solidFill>
              <a:effectLst/>
            </a:rPr>
            <a:t>Orders</a:t>
          </a:r>
          <a:endParaRPr lang="en-IN" sz="1400">
            <a:solidFill>
              <a:schemeClr val="bg1"/>
            </a:solidFill>
          </a:endParaRPr>
        </a:p>
      </xdr:txBody>
    </xdr:sp>
    <xdr:clientData/>
  </xdr:oneCellAnchor>
  <xdr:oneCellAnchor>
    <xdr:from>
      <xdr:col>0</xdr:col>
      <xdr:colOff>0</xdr:colOff>
      <xdr:row>8</xdr:row>
      <xdr:rowOff>40377</xdr:rowOff>
    </xdr:from>
    <xdr:ext cx="1142942" cy="336631"/>
    <xdr:sp macro="" textlink="">
      <xdr:nvSpPr>
        <xdr:cNvPr id="15" name="TextBox 14">
          <a:extLst>
            <a:ext uri="{FF2B5EF4-FFF2-40B4-BE49-F238E27FC236}">
              <a16:creationId xmlns:a16="http://schemas.microsoft.com/office/drawing/2014/main" id="{C0D463AE-9525-D547-8DBF-85621A95419E}"/>
            </a:ext>
          </a:extLst>
        </xdr:cNvPr>
        <xdr:cNvSpPr txBox="1"/>
      </xdr:nvSpPr>
      <xdr:spPr>
        <a:xfrm>
          <a:off x="0" y="1897752"/>
          <a:ext cx="1142942"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i="0" u="none" strike="noStrike">
              <a:solidFill>
                <a:schemeClr val="tx1"/>
              </a:solidFill>
              <a:effectLst/>
              <a:latin typeface="+mn-lt"/>
              <a:ea typeface="+mn-ea"/>
              <a:cs typeface="+mn-cs"/>
            </a:rPr>
            <a:t>👕</a:t>
          </a:r>
          <a:r>
            <a:rPr lang="en-IN" sz="1400">
              <a:effectLst/>
            </a:rPr>
            <a:t>  </a:t>
          </a:r>
          <a:r>
            <a:rPr lang="en-IN" sz="1400" b="0" i="0" u="none" strike="noStrike">
              <a:solidFill>
                <a:schemeClr val="bg1"/>
              </a:solidFill>
              <a:effectLst/>
              <a:latin typeface="+mn-lt"/>
              <a:ea typeface="+mn-ea"/>
              <a:cs typeface="+mn-cs"/>
            </a:rPr>
            <a:t>Quantity</a:t>
          </a:r>
          <a:r>
            <a:rPr lang="en-IN" sz="1400">
              <a:solidFill>
                <a:schemeClr val="bg1"/>
              </a:solidFill>
              <a:effectLst/>
            </a:rPr>
            <a:t> </a:t>
          </a:r>
          <a:endParaRPr lang="en-IN" sz="1400">
            <a:solidFill>
              <a:schemeClr val="bg1"/>
            </a:solidFill>
          </a:endParaRPr>
        </a:p>
      </xdr:txBody>
    </xdr:sp>
    <xdr:clientData/>
  </xdr:oneCellAnchor>
  <xdr:oneCellAnchor>
    <xdr:from>
      <xdr:col>0</xdr:col>
      <xdr:colOff>0</xdr:colOff>
      <xdr:row>14</xdr:row>
      <xdr:rowOff>128378</xdr:rowOff>
    </xdr:from>
    <xdr:ext cx="1061637" cy="336631"/>
    <xdr:sp macro="" textlink="">
      <xdr:nvSpPr>
        <xdr:cNvPr id="16" name="TextBox 15">
          <a:extLst>
            <a:ext uri="{FF2B5EF4-FFF2-40B4-BE49-F238E27FC236}">
              <a16:creationId xmlns:a16="http://schemas.microsoft.com/office/drawing/2014/main" id="{C2D61EB2-0F17-4002-9323-D066EC93A5AE}"/>
            </a:ext>
          </a:extLst>
        </xdr:cNvPr>
        <xdr:cNvSpPr txBox="1"/>
      </xdr:nvSpPr>
      <xdr:spPr>
        <a:xfrm>
          <a:off x="0" y="3057316"/>
          <a:ext cx="1061637"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i="0" u="none" strike="noStrike">
              <a:solidFill>
                <a:schemeClr val="tx1"/>
              </a:solidFill>
              <a:effectLst/>
              <a:latin typeface="+mn-lt"/>
              <a:ea typeface="+mn-ea"/>
              <a:cs typeface="+mn-cs"/>
            </a:rPr>
            <a:t>💰</a:t>
          </a:r>
          <a:r>
            <a:rPr lang="en-IN" sz="1400">
              <a:solidFill>
                <a:schemeClr val="bg1"/>
              </a:solidFill>
              <a:effectLst/>
            </a:rPr>
            <a:t> </a:t>
          </a:r>
          <a:r>
            <a:rPr lang="en-IN" sz="1400" b="0" i="0" u="none" strike="noStrike">
              <a:solidFill>
                <a:schemeClr val="bg1"/>
              </a:solidFill>
              <a:effectLst/>
              <a:latin typeface="+mn-lt"/>
              <a:ea typeface="+mn-ea"/>
              <a:cs typeface="+mn-cs"/>
            </a:rPr>
            <a:t>Amount</a:t>
          </a:r>
          <a:r>
            <a:rPr lang="en-IN" sz="1400">
              <a:solidFill>
                <a:schemeClr val="bg1"/>
              </a:solidFill>
              <a:effectLst/>
            </a:rPr>
            <a:t> </a:t>
          </a:r>
          <a:endParaRPr lang="en-IN" sz="1400">
            <a:solidFill>
              <a:schemeClr val="bg1"/>
            </a:solidFill>
          </a:endParaRPr>
        </a:p>
      </xdr:txBody>
    </xdr:sp>
    <xdr:clientData/>
  </xdr:oneCellAnchor>
  <xdr:oneCellAnchor>
    <xdr:from>
      <xdr:col>0</xdr:col>
      <xdr:colOff>0</xdr:colOff>
      <xdr:row>21</xdr:row>
      <xdr:rowOff>35404</xdr:rowOff>
    </xdr:from>
    <xdr:ext cx="984308" cy="336631"/>
    <xdr:sp macro="" textlink="">
      <xdr:nvSpPr>
        <xdr:cNvPr id="17" name="TextBox 16">
          <a:extLst>
            <a:ext uri="{FF2B5EF4-FFF2-40B4-BE49-F238E27FC236}">
              <a16:creationId xmlns:a16="http://schemas.microsoft.com/office/drawing/2014/main" id="{0D10B28D-FFFE-4549-A053-5700C790A46C}"/>
            </a:ext>
          </a:extLst>
        </xdr:cNvPr>
        <xdr:cNvSpPr txBox="1"/>
      </xdr:nvSpPr>
      <xdr:spPr>
        <a:xfrm>
          <a:off x="0" y="4214499"/>
          <a:ext cx="984308"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i="0" u="none" strike="noStrike">
              <a:solidFill>
                <a:schemeClr val="tx1"/>
              </a:solidFill>
              <a:effectLst/>
              <a:latin typeface="+mn-lt"/>
              <a:ea typeface="+mn-ea"/>
              <a:cs typeface="+mn-cs"/>
            </a:rPr>
            <a:t>⭐</a:t>
          </a:r>
          <a:r>
            <a:rPr lang="en-IN" sz="1400">
              <a:effectLst/>
            </a:rPr>
            <a:t>  </a:t>
          </a:r>
          <a:r>
            <a:rPr lang="en-IN" sz="1400" b="0" i="0" u="none" strike="noStrike">
              <a:solidFill>
                <a:schemeClr val="bg1"/>
              </a:solidFill>
              <a:effectLst/>
              <a:latin typeface="+mn-lt"/>
              <a:ea typeface="+mn-ea"/>
              <a:cs typeface="+mn-cs"/>
            </a:rPr>
            <a:t>Rating</a:t>
          </a:r>
          <a:r>
            <a:rPr lang="en-IN" sz="1400">
              <a:effectLst/>
            </a:rPr>
            <a:t> </a:t>
          </a:r>
          <a:endParaRPr lang="en-IN" sz="1400">
            <a:solidFill>
              <a:schemeClr val="bg1"/>
            </a:solidFill>
          </a:endParaRPr>
        </a:p>
      </xdr:txBody>
    </xdr:sp>
    <xdr:clientData/>
  </xdr:oneCellAnchor>
  <xdr:oneCellAnchor>
    <xdr:from>
      <xdr:col>0</xdr:col>
      <xdr:colOff>0</xdr:colOff>
      <xdr:row>27</xdr:row>
      <xdr:rowOff>123405</xdr:rowOff>
    </xdr:from>
    <xdr:ext cx="1543499" cy="336631"/>
    <xdr:sp macro="" textlink="">
      <xdr:nvSpPr>
        <xdr:cNvPr id="18" name="TextBox 17">
          <a:extLst>
            <a:ext uri="{FF2B5EF4-FFF2-40B4-BE49-F238E27FC236}">
              <a16:creationId xmlns:a16="http://schemas.microsoft.com/office/drawing/2014/main" id="{9130DD78-C55B-4A76-9C95-4D806FB5FE76}"/>
            </a:ext>
          </a:extLst>
        </xdr:cNvPr>
        <xdr:cNvSpPr txBox="1"/>
      </xdr:nvSpPr>
      <xdr:spPr>
        <a:xfrm>
          <a:off x="0" y="5374063"/>
          <a:ext cx="1543499"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i="0" u="none" strike="noStrike">
              <a:solidFill>
                <a:schemeClr val="tx1"/>
              </a:solidFill>
              <a:effectLst/>
              <a:latin typeface="+mn-lt"/>
              <a:ea typeface="+mn-ea"/>
              <a:cs typeface="+mn-cs"/>
            </a:rPr>
            <a:t>📅</a:t>
          </a:r>
          <a:r>
            <a:rPr lang="en-IN" sz="1400">
              <a:effectLst/>
            </a:rPr>
            <a:t> </a:t>
          </a:r>
          <a:r>
            <a:rPr lang="en-IN" sz="1400" b="0" i="0" u="none" strike="noStrike">
              <a:solidFill>
                <a:schemeClr val="bg1"/>
              </a:solidFill>
              <a:effectLst/>
              <a:latin typeface="+mn-lt"/>
              <a:ea typeface="+mn-ea"/>
              <a:cs typeface="+mn-cs"/>
            </a:rPr>
            <a:t>Days</a:t>
          </a:r>
          <a:r>
            <a:rPr lang="en-IN" sz="1400" b="0" i="0" u="none" strike="noStrike">
              <a:solidFill>
                <a:schemeClr val="tx1"/>
              </a:solidFill>
              <a:effectLst/>
              <a:latin typeface="+mn-lt"/>
              <a:ea typeface="+mn-ea"/>
              <a:cs typeface="+mn-cs"/>
            </a:rPr>
            <a:t> </a:t>
          </a:r>
          <a:r>
            <a:rPr lang="en-IN" sz="1400" b="0" i="0" u="none" strike="noStrike">
              <a:solidFill>
                <a:schemeClr val="bg1"/>
              </a:solidFill>
              <a:effectLst/>
              <a:latin typeface="+mn-lt"/>
              <a:ea typeface="+mn-ea"/>
              <a:cs typeface="+mn-cs"/>
            </a:rPr>
            <a:t>to</a:t>
          </a:r>
          <a:r>
            <a:rPr lang="en-IN" sz="1400" b="0" i="0" u="none" strike="noStrike">
              <a:solidFill>
                <a:schemeClr val="tx1"/>
              </a:solidFill>
              <a:effectLst/>
              <a:latin typeface="+mn-lt"/>
              <a:ea typeface="+mn-ea"/>
              <a:cs typeface="+mn-cs"/>
            </a:rPr>
            <a:t> </a:t>
          </a:r>
          <a:r>
            <a:rPr lang="en-IN" sz="1400" b="0" i="0" u="none" strike="noStrike">
              <a:solidFill>
                <a:schemeClr val="bg1"/>
              </a:solidFill>
              <a:effectLst/>
              <a:latin typeface="+mn-lt"/>
              <a:ea typeface="+mn-ea"/>
              <a:cs typeface="+mn-cs"/>
            </a:rPr>
            <a:t>deliver</a:t>
          </a:r>
          <a:r>
            <a:rPr lang="en-IN" sz="1400">
              <a:effectLst/>
            </a:rPr>
            <a:t> </a:t>
          </a:r>
          <a:endParaRPr lang="en-IN" sz="1400">
            <a:solidFill>
              <a:schemeClr val="bg1"/>
            </a:solidFill>
          </a:endParaRPr>
        </a:p>
      </xdr:txBody>
    </xdr:sp>
    <xdr:clientData/>
  </xdr:oneCellAnchor>
  <xdr:twoCellAnchor>
    <xdr:from>
      <xdr:col>2</xdr:col>
      <xdr:colOff>57149</xdr:colOff>
      <xdr:row>1</xdr:row>
      <xdr:rowOff>152399</xdr:rowOff>
    </xdr:from>
    <xdr:to>
      <xdr:col>10</xdr:col>
      <xdr:colOff>71436</xdr:colOff>
      <xdr:row>18</xdr:row>
      <xdr:rowOff>59529</xdr:rowOff>
    </xdr:to>
    <xdr:graphicFrame macro="">
      <xdr:nvGraphicFramePr>
        <xdr:cNvPr id="19" name="Chart 18">
          <a:extLst>
            <a:ext uri="{FF2B5EF4-FFF2-40B4-BE49-F238E27FC236}">
              <a16:creationId xmlns:a16="http://schemas.microsoft.com/office/drawing/2014/main" id="{4F920A8F-F43C-4B78-A3B7-8FD477DC1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207820</xdr:colOff>
      <xdr:row>1</xdr:row>
      <xdr:rowOff>138545</xdr:rowOff>
    </xdr:from>
    <xdr:to>
      <xdr:col>18</xdr:col>
      <xdr:colOff>416717</xdr:colOff>
      <xdr:row>18</xdr:row>
      <xdr:rowOff>59529</xdr:rowOff>
    </xdr:to>
    <xdr:sp macro="" textlink="">
      <xdr:nvSpPr>
        <xdr:cNvPr id="22" name="Rectangle 21">
          <a:extLst>
            <a:ext uri="{FF2B5EF4-FFF2-40B4-BE49-F238E27FC236}">
              <a16:creationId xmlns:a16="http://schemas.microsoft.com/office/drawing/2014/main" id="{274F9974-A7FB-AFA7-A778-910669FD6362}"/>
            </a:ext>
          </a:extLst>
        </xdr:cNvPr>
        <xdr:cNvSpPr/>
      </xdr:nvSpPr>
      <xdr:spPr>
        <a:xfrm>
          <a:off x="6958665" y="138545"/>
          <a:ext cx="5352397" cy="295707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409142</xdr:colOff>
          <xdr:row>2</xdr:row>
          <xdr:rowOff>93941</xdr:rowOff>
        </xdr:from>
        <xdr:to>
          <xdr:col>18</xdr:col>
          <xdr:colOff>89340</xdr:colOff>
          <xdr:row>17</xdr:row>
          <xdr:rowOff>46187</xdr:rowOff>
        </xdr:to>
        <xdr:pic>
          <xdr:nvPicPr>
            <xdr:cNvPr id="23" name="Picture 22">
              <a:extLst>
                <a:ext uri="{FF2B5EF4-FFF2-40B4-BE49-F238E27FC236}">
                  <a16:creationId xmlns:a16="http://schemas.microsoft.com/office/drawing/2014/main" id="{008E1A56-ED3F-E760-DA2B-5A0B8C2EF83C}"/>
                </a:ext>
              </a:extLst>
            </xdr:cNvPr>
            <xdr:cNvPicPr>
              <a:picLocks noChangeAspect="1" noChangeArrowheads="1"/>
              <a:extLst>
                <a:ext uri="{84589F7E-364E-4C9E-8A38-B11213B215E9}">
                  <a14:cameraTool cellRange="matrix!$H$4:$L$9" spid="_x0000_s3082"/>
                </a:ext>
              </a:extLst>
            </xdr:cNvPicPr>
          </xdr:nvPicPr>
          <xdr:blipFill>
            <a:blip xmlns:r="http://schemas.openxmlformats.org/officeDocument/2006/relationships" r:embed="rId2"/>
            <a:srcRect/>
            <a:stretch>
              <a:fillRect/>
            </a:stretch>
          </xdr:blipFill>
          <xdr:spPr bwMode="auto">
            <a:xfrm>
              <a:off x="7159987" y="272536"/>
              <a:ext cx="4823698" cy="263115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554182</xdr:colOff>
      <xdr:row>1</xdr:row>
      <xdr:rowOff>112571</xdr:rowOff>
    </xdr:from>
    <xdr:to>
      <xdr:col>26</xdr:col>
      <xdr:colOff>500061</xdr:colOff>
      <xdr:row>17</xdr:row>
      <xdr:rowOff>160373</xdr:rowOff>
    </xdr:to>
    <xdr:graphicFrame macro="">
      <xdr:nvGraphicFramePr>
        <xdr:cNvPr id="24" name="Chart 23">
          <a:extLst>
            <a:ext uri="{FF2B5EF4-FFF2-40B4-BE49-F238E27FC236}">
              <a16:creationId xmlns:a16="http://schemas.microsoft.com/office/drawing/2014/main" id="{3E37C7B7-E716-4F39-9581-061456A3E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189417</xdr:colOff>
      <xdr:row>19</xdr:row>
      <xdr:rowOff>15470</xdr:rowOff>
    </xdr:from>
    <xdr:to>
      <xdr:col>10</xdr:col>
      <xdr:colOff>14071</xdr:colOff>
      <xdr:row>54</xdr:row>
      <xdr:rowOff>109006</xdr:rowOff>
    </xdr:to>
    <xdr:graphicFrame macro="">
      <xdr:nvGraphicFramePr>
        <xdr:cNvPr id="25" name="Chart 24">
          <a:extLst>
            <a:ext uri="{FF2B5EF4-FFF2-40B4-BE49-F238E27FC236}">
              <a16:creationId xmlns:a16="http://schemas.microsoft.com/office/drawing/2014/main" id="{D9E2A55F-B1FF-4883-83B3-A7D4E4DB0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536864</xdr:colOff>
      <xdr:row>36</xdr:row>
      <xdr:rowOff>112566</xdr:rowOff>
    </xdr:from>
    <xdr:to>
      <xdr:col>7</xdr:col>
      <xdr:colOff>554180</xdr:colOff>
      <xdr:row>48</xdr:row>
      <xdr:rowOff>138544</xdr:rowOff>
    </xdr:to>
    <xdr:graphicFrame macro="">
      <xdr:nvGraphicFramePr>
        <xdr:cNvPr id="26" name="Chart 25">
          <a:extLst>
            <a:ext uri="{FF2B5EF4-FFF2-40B4-BE49-F238E27FC236}">
              <a16:creationId xmlns:a16="http://schemas.microsoft.com/office/drawing/2014/main" id="{6239A232-1CCB-4D77-A644-C275D6C0A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225137</xdr:colOff>
      <xdr:row>19</xdr:row>
      <xdr:rowOff>0</xdr:rowOff>
    </xdr:from>
    <xdr:to>
      <xdr:col>18</xdr:col>
      <xdr:colOff>233795</xdr:colOff>
      <xdr:row>54</xdr:row>
      <xdr:rowOff>142874</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1A883F3B-727B-4D71-BB93-C4EEE0C2D8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002175" y="3867150"/>
              <a:ext cx="5190258" cy="64769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138545</xdr:colOff>
      <xdr:row>25</xdr:row>
      <xdr:rowOff>17318</xdr:rowOff>
    </xdr:from>
    <xdr:to>
      <xdr:col>17</xdr:col>
      <xdr:colOff>329045</xdr:colOff>
      <xdr:row>35</xdr:row>
      <xdr:rowOff>51954</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7DDD99A5-BF52-44B4-ABEB-45A7955921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54083" y="4970318"/>
              <a:ext cx="1485900" cy="18443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363682</xdr:colOff>
      <xdr:row>18</xdr:row>
      <xdr:rowOff>170509</xdr:rowOff>
    </xdr:from>
    <xdr:to>
      <xdr:col>26</xdr:col>
      <xdr:colOff>523873</xdr:colOff>
      <xdr:row>35</xdr:row>
      <xdr:rowOff>120652</xdr:rowOff>
    </xdr:to>
    <xdr:graphicFrame macro="">
      <xdr:nvGraphicFramePr>
        <xdr:cNvPr id="29" name="Chart 28">
          <a:extLst>
            <a:ext uri="{FF2B5EF4-FFF2-40B4-BE49-F238E27FC236}">
              <a16:creationId xmlns:a16="http://schemas.microsoft.com/office/drawing/2014/main" id="{B65827EA-A106-43FC-B401-0B90639C6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332385</xdr:colOff>
      <xdr:row>36</xdr:row>
      <xdr:rowOff>111777</xdr:rowOff>
    </xdr:from>
    <xdr:to>
      <xdr:col>26</xdr:col>
      <xdr:colOff>559593</xdr:colOff>
      <xdr:row>54</xdr:row>
      <xdr:rowOff>110117</xdr:rowOff>
    </xdr:to>
    <xdr:graphicFrame macro="">
      <xdr:nvGraphicFramePr>
        <xdr:cNvPr id="30" name="Chart 29">
          <a:extLst>
            <a:ext uri="{FF2B5EF4-FFF2-40B4-BE49-F238E27FC236}">
              <a16:creationId xmlns:a16="http://schemas.microsoft.com/office/drawing/2014/main" id="{B46BDFD4-E606-4374-AEBE-ED6A83583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97415</xdr:colOff>
      <xdr:row>33</xdr:row>
      <xdr:rowOff>136381</xdr:rowOff>
    </xdr:from>
    <xdr:to>
      <xdr:col>1</xdr:col>
      <xdr:colOff>1774031</xdr:colOff>
      <xdr:row>43</xdr:row>
      <xdr:rowOff>47624</xdr:rowOff>
    </xdr:to>
    <mc:AlternateContent xmlns:mc="http://schemas.openxmlformats.org/markup-compatibility/2006" xmlns:a14="http://schemas.microsoft.com/office/drawing/2010/main">
      <mc:Choice Requires="a14">
        <xdr:graphicFrame macro="">
          <xdr:nvGraphicFramePr>
            <xdr:cNvPr id="33" name="Order Mode">
              <a:extLst>
                <a:ext uri="{FF2B5EF4-FFF2-40B4-BE49-F238E27FC236}">
                  <a16:creationId xmlns:a16="http://schemas.microsoft.com/office/drawing/2014/main" id="{C4DE3802-D5A7-4EFD-A0B1-D9904476962E}"/>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97415" y="6458601"/>
              <a:ext cx="1890929" cy="1697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101901</xdr:colOff>
      <xdr:row>44</xdr:row>
      <xdr:rowOff>119682</xdr:rowOff>
    </xdr:from>
    <xdr:to>
      <xdr:col>1</xdr:col>
      <xdr:colOff>1714500</xdr:colOff>
      <xdr:row>53</xdr:row>
      <xdr:rowOff>71434</xdr:rowOff>
    </xdr:to>
    <mc:AlternateContent xmlns:mc="http://schemas.openxmlformats.org/markup-compatibility/2006" xmlns:a14="http://schemas.microsoft.com/office/drawing/2010/main">
      <mc:Choice Requires="a14">
        <xdr:graphicFrame macro="">
          <xdr:nvGraphicFramePr>
            <xdr:cNvPr id="34" name="Gender Value">
              <a:extLst>
                <a:ext uri="{FF2B5EF4-FFF2-40B4-BE49-F238E27FC236}">
                  <a16:creationId xmlns:a16="http://schemas.microsoft.com/office/drawing/2014/main" id="{3025B3B9-5161-4E4E-9588-BFC1DA0CD34C}"/>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01901" y="8406432"/>
              <a:ext cx="1826912" cy="1559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130969</xdr:colOff>
      <xdr:row>0</xdr:row>
      <xdr:rowOff>190500</xdr:rowOff>
    </xdr:from>
    <xdr:to>
      <xdr:col>1</xdr:col>
      <xdr:colOff>1536186</xdr:colOff>
      <xdr:row>1</xdr:row>
      <xdr:rowOff>21552</xdr:rowOff>
    </xdr:to>
    <xdr:pic>
      <xdr:nvPicPr>
        <xdr:cNvPr id="12" name="Picture 11">
          <a:extLst>
            <a:ext uri="{FF2B5EF4-FFF2-40B4-BE49-F238E27FC236}">
              <a16:creationId xmlns:a16="http://schemas.microsoft.com/office/drawing/2014/main" id="{01F3C240-8A58-4CCB-BC26-7956BC8C87F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30969" y="190500"/>
          <a:ext cx="1619530" cy="438272"/>
        </a:xfrm>
        <a:prstGeom prst="rect">
          <a:avLst/>
        </a:prstGeom>
      </xdr:spPr>
    </xdr:pic>
    <xdr:clientData/>
  </xdr:twoCellAnchor>
  <xdr:twoCellAnchor>
    <xdr:from>
      <xdr:col>2</xdr:col>
      <xdr:colOff>142875</xdr:colOff>
      <xdr:row>0</xdr:row>
      <xdr:rowOff>166688</xdr:rowOff>
    </xdr:from>
    <xdr:to>
      <xdr:col>26</xdr:col>
      <xdr:colOff>309562</xdr:colOff>
      <xdr:row>1</xdr:row>
      <xdr:rowOff>0</xdr:rowOff>
    </xdr:to>
    <xdr:sp macro="" textlink="">
      <xdr:nvSpPr>
        <xdr:cNvPr id="13" name="TextBox 12">
          <a:extLst>
            <a:ext uri="{FF2B5EF4-FFF2-40B4-BE49-F238E27FC236}">
              <a16:creationId xmlns:a16="http://schemas.microsoft.com/office/drawing/2014/main" id="{4A703853-1CF5-38DF-3DC3-797863568F71}"/>
            </a:ext>
          </a:extLst>
        </xdr:cNvPr>
        <xdr:cNvSpPr txBox="1"/>
      </xdr:nvSpPr>
      <xdr:spPr>
        <a:xfrm>
          <a:off x="2178845" y="166688"/>
          <a:ext cx="15168562" cy="44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latin typeface="Bahnschrift" panose="020B0502040204020203" pitchFamily="34" charset="0"/>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p b" refreshedDate="46020.673893171297" createdVersion="8" refreshedVersion="8" minRefreshableVersion="3" recordCount="2400" xr:uid="{3FC4A808-315B-49A3-9952-01F908F28C6D}">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339238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2134E7-8364-464A-AF9E-276A44B1E85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1">
  <location ref="A81:D139"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sd="0"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8387DD-8242-4C54-A0D5-007F3145DD7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H53:I58" firstHeaderRow="1" firstDataRow="1"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57" format="6" series="1">
      <pivotArea type="data" outline="0" fieldPosition="0">
        <references count="1">
          <reference field="4294967294" count="1" selected="0">
            <x v="0"/>
          </reference>
        </references>
      </pivotArea>
    </chartFormat>
    <chartFormat chart="57" format="7">
      <pivotArea type="data" outline="0" fieldPosition="0">
        <references count="2">
          <reference field="4294967294" count="1" selected="0">
            <x v="0"/>
          </reference>
          <reference field="14" count="1" selected="0">
            <x v="0"/>
          </reference>
        </references>
      </pivotArea>
    </chartFormat>
    <chartFormat chart="57" format="8">
      <pivotArea type="data" outline="0" fieldPosition="0">
        <references count="2">
          <reference field="4294967294" count="1" selected="0">
            <x v="0"/>
          </reference>
          <reference field="14" count="1" selected="0">
            <x v="1"/>
          </reference>
        </references>
      </pivotArea>
    </chartFormat>
    <chartFormat chart="57" format="9">
      <pivotArea type="data" outline="0" fieldPosition="0">
        <references count="2">
          <reference field="4294967294" count="1" selected="0">
            <x v="0"/>
          </reference>
          <reference field="14" count="1" selected="0">
            <x v="2"/>
          </reference>
        </references>
      </pivotArea>
    </chartFormat>
    <chartFormat chart="57" format="10">
      <pivotArea type="data" outline="0" fieldPosition="0">
        <references count="2">
          <reference field="4294967294" count="1" selected="0">
            <x v="0"/>
          </reference>
          <reference field="14"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A46DC1-505C-4888-A0BE-F636043B01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1:C3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23B136-288A-43C5-BE2D-AE6298AFE0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51:F73"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5">
    <chartFormat chart="8" format="4" series="1">
      <pivotArea type="data" outline="0" fieldPosition="0">
        <references count="1">
          <reference field="4294967294" count="1" selected="0">
            <x v="0"/>
          </reference>
        </references>
      </pivotArea>
    </chartFormat>
    <chartFormat chart="49" format="8" series="1">
      <pivotArea type="data" outline="0" fieldPosition="0">
        <references count="2">
          <reference field="4294967294" count="1" selected="0">
            <x v="0"/>
          </reference>
          <reference field="14" count="1" selected="0">
            <x v="0"/>
          </reference>
        </references>
      </pivotArea>
    </chartFormat>
    <chartFormat chart="49" format="9" series="1">
      <pivotArea type="data" outline="0" fieldPosition="0">
        <references count="2">
          <reference field="4294967294" count="1" selected="0">
            <x v="0"/>
          </reference>
          <reference field="14" count="1" selected="0">
            <x v="1"/>
          </reference>
        </references>
      </pivotArea>
    </chartFormat>
    <chartFormat chart="49" format="10" series="1">
      <pivotArea type="data" outline="0" fieldPosition="0">
        <references count="2">
          <reference field="4294967294" count="1" selected="0">
            <x v="0"/>
          </reference>
          <reference field="14" count="1" selected="0">
            <x v="2"/>
          </reference>
        </references>
      </pivotArea>
    </chartFormat>
    <chartFormat chart="49" format="11" series="1">
      <pivotArea type="data" outline="0" fieldPosition="0">
        <references count="2">
          <reference field="4294967294" count="1" selected="0">
            <x v="0"/>
          </reference>
          <reference field="14"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9E7B77-3DAA-4C62-B9A6-B87D112A6D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Average of Rating C" fld="9" subtotal="average" baseField="0" baseItem="1"/>
    <dataField name="Sum of Amount" fld="4" baseField="0" baseItem="0"/>
    <dataField name="Average of Days to Deliver" fld="12" subtotal="average" baseField="0" baseItem="1"/>
    <dataField name="Sum of Quantity" fld="2" baseField="0" baseItem="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8EFC27-7893-41D9-BCA8-4372877772D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0">
  <location ref="A179:G184" firstHeaderRow="1" firstDataRow="2"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23">
    <chartFormat chart="84" format="0" series="1">
      <pivotArea type="data" outline="0" fieldPosition="0">
        <references count="2">
          <reference field="4294967294" count="1" selected="0">
            <x v="0"/>
          </reference>
          <reference field="17" count="1" selected="0">
            <x v="1"/>
          </reference>
        </references>
      </pivotArea>
    </chartFormat>
    <chartFormat chart="84" format="1" series="1">
      <pivotArea type="data" outline="0" fieldPosition="0">
        <references count="2">
          <reference field="4294967294" count="1" selected="0">
            <x v="0"/>
          </reference>
          <reference field="17" count="1" selected="0">
            <x v="2"/>
          </reference>
        </references>
      </pivotArea>
    </chartFormat>
    <chartFormat chart="84" format="2" series="1">
      <pivotArea type="data" outline="0" fieldPosition="0">
        <references count="2">
          <reference field="4294967294" count="1" selected="0">
            <x v="0"/>
          </reference>
          <reference field="17" count="1" selected="0">
            <x v="3"/>
          </reference>
        </references>
      </pivotArea>
    </chartFormat>
    <chartFormat chart="84" format="3" series="1">
      <pivotArea type="data" outline="0" fieldPosition="0">
        <references count="2">
          <reference field="4294967294" count="1" selected="0">
            <x v="0"/>
          </reference>
          <reference field="9" count="1" selected="0">
            <x v="3"/>
          </reference>
        </references>
      </pivotArea>
    </chartFormat>
    <chartFormat chart="84" format="4" series="1">
      <pivotArea type="data" outline="0" fieldPosition="0">
        <references count="2">
          <reference field="4294967294" count="1" selected="0">
            <x v="0"/>
          </reference>
          <reference field="9" count="1" selected="0">
            <x v="4"/>
          </reference>
        </references>
      </pivotArea>
    </chartFormat>
    <chartFormat chart="84" format="5" series="1">
      <pivotArea type="data" outline="0" fieldPosition="0">
        <references count="2">
          <reference field="4294967294" count="1" selected="0">
            <x v="0"/>
          </reference>
          <reference field="9" count="1" selected="0">
            <x v="0"/>
          </reference>
        </references>
      </pivotArea>
    </chartFormat>
    <chartFormat chart="84" format="6" series="1">
      <pivotArea type="data" outline="0" fieldPosition="0">
        <references count="2">
          <reference field="4294967294" count="1" selected="0">
            <x v="0"/>
          </reference>
          <reference field="9" count="1" selected="0">
            <x v="1"/>
          </reference>
        </references>
      </pivotArea>
    </chartFormat>
    <chartFormat chart="84" format="7" series="1">
      <pivotArea type="data" outline="0" fieldPosition="0">
        <references count="2">
          <reference field="4294967294" count="1" selected="0">
            <x v="0"/>
          </reference>
          <reference field="9" count="1" selected="0">
            <x v="2"/>
          </reference>
        </references>
      </pivotArea>
    </chartFormat>
    <chartFormat chart="87" format="8" series="1">
      <pivotArea type="data" outline="0" fieldPosition="0">
        <references count="2">
          <reference field="4294967294" count="1" selected="0">
            <x v="0"/>
          </reference>
          <reference field="9" count="1" selected="0">
            <x v="0"/>
          </reference>
        </references>
      </pivotArea>
    </chartFormat>
    <chartFormat chart="87" format="9" series="1">
      <pivotArea type="data" outline="0" fieldPosition="0">
        <references count="2">
          <reference field="4294967294" count="1" selected="0">
            <x v="0"/>
          </reference>
          <reference field="9" count="1" selected="0">
            <x v="1"/>
          </reference>
        </references>
      </pivotArea>
    </chartFormat>
    <chartFormat chart="87" format="10" series="1">
      <pivotArea type="data" outline="0" fieldPosition="0">
        <references count="2">
          <reference field="4294967294" count="1" selected="0">
            <x v="0"/>
          </reference>
          <reference field="9" count="1" selected="0">
            <x v="2"/>
          </reference>
        </references>
      </pivotArea>
    </chartFormat>
    <chartFormat chart="87" format="11" series="1">
      <pivotArea type="data" outline="0" fieldPosition="0">
        <references count="2">
          <reference field="4294967294" count="1" selected="0">
            <x v="0"/>
          </reference>
          <reference field="9" count="1" selected="0">
            <x v="3"/>
          </reference>
        </references>
      </pivotArea>
    </chartFormat>
    <chartFormat chart="87" format="12" series="1">
      <pivotArea type="data" outline="0" fieldPosition="0">
        <references count="2">
          <reference field="4294967294" count="1" selected="0">
            <x v="0"/>
          </reference>
          <reference field="9" count="1" selected="0">
            <x v="4"/>
          </reference>
        </references>
      </pivotArea>
    </chartFormat>
    <chartFormat chart="88" format="13" series="1">
      <pivotArea type="data" outline="0" fieldPosition="0">
        <references count="2">
          <reference field="4294967294" count="1" selected="0">
            <x v="0"/>
          </reference>
          <reference field="9" count="1" selected="0">
            <x v="0"/>
          </reference>
        </references>
      </pivotArea>
    </chartFormat>
    <chartFormat chart="88" format="14" series="1">
      <pivotArea type="data" outline="0" fieldPosition="0">
        <references count="2">
          <reference field="4294967294" count="1" selected="0">
            <x v="0"/>
          </reference>
          <reference field="9" count="1" selected="0">
            <x v="1"/>
          </reference>
        </references>
      </pivotArea>
    </chartFormat>
    <chartFormat chart="88" format="15" series="1">
      <pivotArea type="data" outline="0" fieldPosition="0">
        <references count="2">
          <reference field="4294967294" count="1" selected="0">
            <x v="0"/>
          </reference>
          <reference field="9" count="1" selected="0">
            <x v="2"/>
          </reference>
        </references>
      </pivotArea>
    </chartFormat>
    <chartFormat chart="88" format="16" series="1">
      <pivotArea type="data" outline="0" fieldPosition="0">
        <references count="2">
          <reference field="4294967294" count="1" selected="0">
            <x v="0"/>
          </reference>
          <reference field="9" count="1" selected="0">
            <x v="3"/>
          </reference>
        </references>
      </pivotArea>
    </chartFormat>
    <chartFormat chart="88" format="17" series="1">
      <pivotArea type="data" outline="0" fieldPosition="0">
        <references count="2">
          <reference field="4294967294" count="1" selected="0">
            <x v="0"/>
          </reference>
          <reference field="9" count="1" selected="0">
            <x v="4"/>
          </reference>
        </references>
      </pivotArea>
    </chartFormat>
    <chartFormat chart="89" format="13" series="1">
      <pivotArea type="data" outline="0" fieldPosition="0">
        <references count="2">
          <reference field="4294967294" count="1" selected="0">
            <x v="0"/>
          </reference>
          <reference field="9" count="1" selected="0">
            <x v="0"/>
          </reference>
        </references>
      </pivotArea>
    </chartFormat>
    <chartFormat chart="89" format="14" series="1">
      <pivotArea type="data" outline="0" fieldPosition="0">
        <references count="2">
          <reference field="4294967294" count="1" selected="0">
            <x v="0"/>
          </reference>
          <reference field="9" count="1" selected="0">
            <x v="1"/>
          </reference>
        </references>
      </pivotArea>
    </chartFormat>
    <chartFormat chart="89" format="15" series="1">
      <pivotArea type="data" outline="0" fieldPosition="0">
        <references count="2">
          <reference field="4294967294" count="1" selected="0">
            <x v="0"/>
          </reference>
          <reference field="9" count="1" selected="0">
            <x v="2"/>
          </reference>
        </references>
      </pivotArea>
    </chartFormat>
    <chartFormat chart="89" format="16" series="1">
      <pivotArea type="data" outline="0" fieldPosition="0">
        <references count="2">
          <reference field="4294967294" count="1" selected="0">
            <x v="0"/>
          </reference>
          <reference field="9" count="1" selected="0">
            <x v="3"/>
          </reference>
        </references>
      </pivotArea>
    </chartFormat>
    <chartFormat chart="89" format="17" series="1">
      <pivotArea type="data" outline="0" fieldPosition="0">
        <references count="2">
          <reference field="4294967294" count="1" selected="0">
            <x v="0"/>
          </reference>
          <reference field="9" count="1" selected="0">
            <x v="4"/>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6466AE-281D-45AF-B202-32D80D15264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0:B48"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08D0B8-FBB2-4157-BB35-816B05FA53F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152:B168"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CACD55-1A84-424B-86B7-0C6AEBF675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ECBC8FF9-40BE-40CC-9E0F-4B7771255EC2}" sourceName="Order Mode">
  <pivotTables>
    <pivotTable tabId="5" name="PivotTable9"/>
    <pivotTable tabId="5" name="PivotTable1"/>
    <pivotTable tabId="5" name="PivotTable2"/>
    <pivotTable tabId="5" name="PivotTable4"/>
    <pivotTable tabId="5" name="PivotTable5"/>
    <pivotTable tabId="5" name="PivotTable7"/>
    <pivotTable tabId="5" name="PivotTable8"/>
  </pivotTables>
  <data>
    <tabular pivotCacheId="33923805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684980B-BBF3-4248-A144-F1AB9F6BF779}" sourceName="Gender Value">
  <pivotTables>
    <pivotTable tabId="5" name="PivotTable9"/>
    <pivotTable tabId="5" name="PivotTable1"/>
    <pivotTable tabId="5" name="PivotTable2"/>
    <pivotTable tabId="5" name="PivotTable4"/>
    <pivotTable tabId="5" name="PivotTable5"/>
    <pivotTable tabId="5" name="PivotTable7"/>
    <pivotTable tabId="5" name="PivotTable8"/>
  </pivotTables>
  <data>
    <tabular pivotCacheId="33923805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42845569-CB34-4A5A-BEF1-6DE6735A233E}" cache="Slicer_Order_Mode" caption="Order Mode" rowHeight="249238"/>
  <slicer name="Gender Value" xr10:uid="{BDA52D5C-70EC-4925-9BD1-D1490E23AAAB}" cache="Slicer_Gender_Value" caption="Gender Value"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32EEAC7A-86FC-461F-9D5F-511044F2AF9D}"/>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_xlfn.IFS(orders[[#This Row],[Customer Gender]]="M","Male", orders[[#This Row],[Customer Gender]]="F","Female", orders[[#This Row],[Customer Gender]]="O","Other", TRUE,"Unknown")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81152-9F9C-46ED-8BB3-7714AC2B6FB7}">
  <dimension ref="A3:L184"/>
  <sheetViews>
    <sheetView zoomScale="70" zoomScaleNormal="70" workbookViewId="0">
      <selection activeCell="E47" sqref="E47"/>
    </sheetView>
  </sheetViews>
  <sheetFormatPr defaultRowHeight="14.25" x14ac:dyDescent="0.45"/>
  <cols>
    <col min="1" max="1" width="13.1328125" bestFit="1" customWidth="1"/>
    <col min="2" max="2" width="12.1328125" bestFit="1" customWidth="1"/>
    <col min="3" max="3" width="13.796875" bestFit="1" customWidth="1"/>
    <col min="4" max="4" width="13.1328125" bestFit="1" customWidth="1"/>
    <col min="5" max="5" width="8.46484375" bestFit="1" customWidth="1"/>
    <col min="6" max="7" width="10.06640625" bestFit="1" customWidth="1"/>
    <col min="8" max="8" width="13.1328125" bestFit="1" customWidth="1"/>
    <col min="9" max="9" width="13.796875" bestFit="1" customWidth="1"/>
    <col min="10" max="32" width="8.73046875" bestFit="1" customWidth="1"/>
    <col min="33" max="89" width="9.1328125" bestFit="1" customWidth="1"/>
    <col min="90" max="90" width="10.06640625" bestFit="1" customWidth="1"/>
  </cols>
  <sheetData>
    <row r="3" spans="1:11" x14ac:dyDescent="0.45">
      <c r="A3" t="s">
        <v>2519</v>
      </c>
      <c r="B3" t="s">
        <v>2522</v>
      </c>
      <c r="C3" t="s">
        <v>2521</v>
      </c>
      <c r="D3" t="s">
        <v>2523</v>
      </c>
      <c r="E3" t="s">
        <v>2520</v>
      </c>
      <c r="G3" t="s">
        <v>2524</v>
      </c>
    </row>
    <row r="4" spans="1:11" x14ac:dyDescent="0.45">
      <c r="A4" s="16">
        <v>2400</v>
      </c>
      <c r="B4" s="16">
        <v>3.9620833333333332</v>
      </c>
      <c r="C4" s="16">
        <v>649019.80000000144</v>
      </c>
      <c r="D4" s="16">
        <v>2.3424999999999998</v>
      </c>
      <c r="E4" s="16">
        <v>11997</v>
      </c>
      <c r="G4" t="s">
        <v>2518</v>
      </c>
      <c r="H4" t="s">
        <v>2525</v>
      </c>
      <c r="I4" t="s">
        <v>4</v>
      </c>
      <c r="J4" t="s">
        <v>2526</v>
      </c>
      <c r="K4" t="s">
        <v>2527</v>
      </c>
    </row>
    <row r="5" spans="1:11" x14ac:dyDescent="0.45">
      <c r="G5" t="str">
        <f>TEXT(GETPIVOTDATA("Count of TX ID",$A$3),"#,##")</f>
        <v>2,400</v>
      </c>
      <c r="H5" t="str">
        <f>TEXT(GETPIVOTDATA("Sum of Quantity",$A$3),"#,##")</f>
        <v>11,997</v>
      </c>
      <c r="I5" t="str">
        <f>TEXT(GETPIVOTDATA("Sum of Amount",$A$3),"$#,##,.0k")</f>
        <v>$649.0k</v>
      </c>
      <c r="J5" t="str">
        <f>TEXT(GETPIVOTDATA("Average of Rating C",$A$3),"0.0")</f>
        <v>4.0</v>
      </c>
      <c r="K5" t="str">
        <f>TEXT(GETPIVOTDATA("Average of Days to Deliver",$A$3),"0.0")</f>
        <v>2.3</v>
      </c>
    </row>
    <row r="21" spans="1:3" x14ac:dyDescent="0.45">
      <c r="A21" s="4" t="s">
        <v>2528</v>
      </c>
      <c r="B21" t="s">
        <v>2520</v>
      </c>
      <c r="C21" t="s">
        <v>2521</v>
      </c>
    </row>
    <row r="22" spans="1:3" x14ac:dyDescent="0.45">
      <c r="A22" s="5">
        <v>1</v>
      </c>
      <c r="B22" s="16">
        <v>546</v>
      </c>
      <c r="C22" s="6">
        <v>32413.300000000003</v>
      </c>
    </row>
    <row r="23" spans="1:3" x14ac:dyDescent="0.45">
      <c r="A23" s="5">
        <v>2</v>
      </c>
      <c r="B23" s="16">
        <v>905</v>
      </c>
      <c r="C23" s="6">
        <v>49562.999999999993</v>
      </c>
    </row>
    <row r="24" spans="1:3" x14ac:dyDescent="0.45">
      <c r="A24" s="5">
        <v>3</v>
      </c>
      <c r="B24" s="16">
        <v>796</v>
      </c>
      <c r="C24" s="6">
        <v>41700.400000000016</v>
      </c>
    </row>
    <row r="25" spans="1:3" x14ac:dyDescent="0.45">
      <c r="A25" s="5">
        <v>4</v>
      </c>
      <c r="B25" s="16">
        <v>913</v>
      </c>
      <c r="C25" s="6">
        <v>46782.599999999984</v>
      </c>
    </row>
    <row r="26" spans="1:3" x14ac:dyDescent="0.45">
      <c r="A26" s="5">
        <v>5</v>
      </c>
      <c r="B26" s="16">
        <v>844</v>
      </c>
      <c r="C26" s="6">
        <v>42676.100000000006</v>
      </c>
    </row>
    <row r="27" spans="1:3" x14ac:dyDescent="0.45">
      <c r="A27" s="5">
        <v>6</v>
      </c>
      <c r="B27" s="16">
        <v>1202</v>
      </c>
      <c r="C27" s="6">
        <v>62910.7</v>
      </c>
    </row>
    <row r="28" spans="1:3" x14ac:dyDescent="0.45">
      <c r="A28" s="5">
        <v>7</v>
      </c>
      <c r="B28" s="16">
        <v>935</v>
      </c>
      <c r="C28" s="6">
        <v>50332.200000000004</v>
      </c>
    </row>
    <row r="29" spans="1:3" x14ac:dyDescent="0.45">
      <c r="A29" s="5">
        <v>8</v>
      </c>
      <c r="B29" s="16">
        <v>1128</v>
      </c>
      <c r="C29" s="6">
        <v>58760.599999999977</v>
      </c>
    </row>
    <row r="30" spans="1:3" x14ac:dyDescent="0.45">
      <c r="A30" s="5">
        <v>9</v>
      </c>
      <c r="B30" s="16">
        <v>1007</v>
      </c>
      <c r="C30" s="6">
        <v>52017.299999999996</v>
      </c>
    </row>
    <row r="31" spans="1:3" x14ac:dyDescent="0.45">
      <c r="A31" s="5">
        <v>10</v>
      </c>
      <c r="B31" s="16">
        <v>1128</v>
      </c>
      <c r="C31" s="6">
        <v>64915.700000000033</v>
      </c>
    </row>
    <row r="32" spans="1:3" x14ac:dyDescent="0.45">
      <c r="A32" s="5">
        <v>11</v>
      </c>
      <c r="B32" s="16">
        <v>861</v>
      </c>
      <c r="C32" s="6">
        <v>45943.80000000001</v>
      </c>
    </row>
    <row r="33" spans="1:3" x14ac:dyDescent="0.45">
      <c r="A33" s="5">
        <v>12</v>
      </c>
      <c r="B33" s="16">
        <v>944</v>
      </c>
      <c r="C33" s="6">
        <v>55077.900000000031</v>
      </c>
    </row>
    <row r="34" spans="1:3" x14ac:dyDescent="0.45">
      <c r="A34" s="5">
        <v>13</v>
      </c>
      <c r="B34" s="16">
        <v>788</v>
      </c>
      <c r="C34" s="6">
        <v>45926.19999999999</v>
      </c>
    </row>
    <row r="35" spans="1:3" x14ac:dyDescent="0.45">
      <c r="A35" s="5" t="s">
        <v>2529</v>
      </c>
      <c r="B35" s="16">
        <v>11997</v>
      </c>
      <c r="C35" s="6">
        <v>649019.79999999993</v>
      </c>
    </row>
    <row r="40" spans="1:3" x14ac:dyDescent="0.45">
      <c r="A40" s="4" t="s">
        <v>2528</v>
      </c>
      <c r="B40" t="s">
        <v>2519</v>
      </c>
    </row>
    <row r="41" spans="1:3" x14ac:dyDescent="0.45">
      <c r="A41" s="5">
        <v>1</v>
      </c>
      <c r="B41" s="16">
        <v>397</v>
      </c>
    </row>
    <row r="42" spans="1:3" x14ac:dyDescent="0.45">
      <c r="A42" s="5">
        <v>2</v>
      </c>
      <c r="B42" s="16">
        <v>540</v>
      </c>
    </row>
    <row r="43" spans="1:3" x14ac:dyDescent="0.45">
      <c r="A43" s="5">
        <v>3</v>
      </c>
      <c r="B43" s="16">
        <v>375</v>
      </c>
    </row>
    <row r="44" spans="1:3" x14ac:dyDescent="0.45">
      <c r="A44" s="5">
        <v>4</v>
      </c>
      <c r="B44" s="16">
        <v>246</v>
      </c>
    </row>
    <row r="45" spans="1:3" x14ac:dyDescent="0.45">
      <c r="A45" s="5">
        <v>5</v>
      </c>
      <c r="B45" s="16">
        <v>195</v>
      </c>
    </row>
    <row r="46" spans="1:3" x14ac:dyDescent="0.45">
      <c r="A46" s="5" t="s">
        <v>2536</v>
      </c>
      <c r="B46" s="16">
        <v>414</v>
      </c>
    </row>
    <row r="47" spans="1:3" x14ac:dyDescent="0.45">
      <c r="A47" s="5" t="s">
        <v>2537</v>
      </c>
      <c r="B47" s="16">
        <v>233</v>
      </c>
    </row>
    <row r="48" spans="1:3" x14ac:dyDescent="0.45">
      <c r="A48" s="5" t="s">
        <v>2529</v>
      </c>
      <c r="B48" s="16">
        <v>2400</v>
      </c>
    </row>
    <row r="51" spans="1:9" x14ac:dyDescent="0.45">
      <c r="A51" s="4" t="s">
        <v>2520</v>
      </c>
      <c r="B51" s="4" t="s">
        <v>2530</v>
      </c>
    </row>
    <row r="52" spans="1:9" x14ac:dyDescent="0.45">
      <c r="A52" s="4" t="s">
        <v>2528</v>
      </c>
      <c r="B52" t="s">
        <v>2531</v>
      </c>
      <c r="C52" t="s">
        <v>2532</v>
      </c>
      <c r="D52" t="s">
        <v>2533</v>
      </c>
      <c r="E52" t="s">
        <v>2534</v>
      </c>
      <c r="F52" t="s">
        <v>2529</v>
      </c>
    </row>
    <row r="53" spans="1:9" x14ac:dyDescent="0.45">
      <c r="A53" s="5" t="s">
        <v>44</v>
      </c>
      <c r="B53" s="16">
        <v>744</v>
      </c>
      <c r="C53" s="16">
        <v>713</v>
      </c>
      <c r="D53" s="16">
        <v>90</v>
      </c>
      <c r="E53" s="16">
        <v>98</v>
      </c>
      <c r="F53" s="16">
        <v>1645</v>
      </c>
      <c r="H53" s="4" t="s">
        <v>2528</v>
      </c>
      <c r="I53" t="s">
        <v>2520</v>
      </c>
    </row>
    <row r="54" spans="1:9" x14ac:dyDescent="0.45">
      <c r="A54" s="5" t="s">
        <v>39</v>
      </c>
      <c r="B54" s="16">
        <v>716</v>
      </c>
      <c r="C54" s="16">
        <v>598</v>
      </c>
      <c r="D54" s="16">
        <v>18</v>
      </c>
      <c r="E54" s="16">
        <v>214</v>
      </c>
      <c r="F54" s="16">
        <v>1546</v>
      </c>
      <c r="H54" s="5" t="s">
        <v>2531</v>
      </c>
      <c r="I54">
        <v>6272</v>
      </c>
    </row>
    <row r="55" spans="1:9" x14ac:dyDescent="0.45">
      <c r="A55" s="5" t="s">
        <v>26</v>
      </c>
      <c r="B55" s="16">
        <v>627</v>
      </c>
      <c r="C55" s="16">
        <v>393</v>
      </c>
      <c r="D55" s="16">
        <v>29</v>
      </c>
      <c r="E55" s="16">
        <v>137</v>
      </c>
      <c r="F55" s="16">
        <v>1186</v>
      </c>
      <c r="H55" s="5" t="s">
        <v>2532</v>
      </c>
      <c r="I55">
        <v>4672</v>
      </c>
    </row>
    <row r="56" spans="1:9" x14ac:dyDescent="0.45">
      <c r="A56" s="5" t="s">
        <v>22</v>
      </c>
      <c r="B56" s="16">
        <v>568</v>
      </c>
      <c r="C56" s="16">
        <v>306</v>
      </c>
      <c r="D56" s="16">
        <v>22</v>
      </c>
      <c r="E56" s="16">
        <v>16</v>
      </c>
      <c r="F56" s="16">
        <v>912</v>
      </c>
      <c r="H56" s="5" t="s">
        <v>2533</v>
      </c>
      <c r="I56">
        <v>317</v>
      </c>
    </row>
    <row r="57" spans="1:9" x14ac:dyDescent="0.45">
      <c r="A57" s="5" t="s">
        <v>54</v>
      </c>
      <c r="B57" s="16">
        <v>482</v>
      </c>
      <c r="C57" s="16">
        <v>295</v>
      </c>
      <c r="D57" s="16">
        <v>8</v>
      </c>
      <c r="E57" s="16">
        <v>22</v>
      </c>
      <c r="F57" s="16">
        <v>807</v>
      </c>
      <c r="H57" s="5" t="s">
        <v>2534</v>
      </c>
      <c r="I57">
        <v>736</v>
      </c>
    </row>
    <row r="58" spans="1:9" x14ac:dyDescent="0.45">
      <c r="A58" s="5" t="s">
        <v>16</v>
      </c>
      <c r="B58" s="16">
        <v>428</v>
      </c>
      <c r="C58" s="16">
        <v>293</v>
      </c>
      <c r="D58" s="16"/>
      <c r="E58" s="16">
        <v>24</v>
      </c>
      <c r="F58" s="16">
        <v>745</v>
      </c>
      <c r="H58" s="5" t="s">
        <v>2529</v>
      </c>
      <c r="I58">
        <v>11997</v>
      </c>
    </row>
    <row r="59" spans="1:9" x14ac:dyDescent="0.45">
      <c r="A59" s="5" t="s">
        <v>46</v>
      </c>
      <c r="B59" s="16">
        <v>445</v>
      </c>
      <c r="C59" s="16">
        <v>202</v>
      </c>
      <c r="D59" s="16">
        <v>14</v>
      </c>
      <c r="E59" s="16">
        <v>39</v>
      </c>
      <c r="F59" s="16">
        <v>700</v>
      </c>
    </row>
    <row r="60" spans="1:9" x14ac:dyDescent="0.45">
      <c r="A60" s="5" t="s">
        <v>32</v>
      </c>
      <c r="B60" s="16">
        <v>431</v>
      </c>
      <c r="C60" s="16">
        <v>187</v>
      </c>
      <c r="D60" s="16">
        <v>14</v>
      </c>
      <c r="E60" s="16">
        <v>15</v>
      </c>
      <c r="F60" s="16">
        <v>647</v>
      </c>
    </row>
    <row r="61" spans="1:9" x14ac:dyDescent="0.45">
      <c r="A61" s="5" t="s">
        <v>42</v>
      </c>
      <c r="B61" s="16">
        <v>264</v>
      </c>
      <c r="C61" s="16">
        <v>318</v>
      </c>
      <c r="D61" s="16">
        <v>15</v>
      </c>
      <c r="E61" s="16">
        <v>9</v>
      </c>
      <c r="F61" s="16">
        <v>606</v>
      </c>
    </row>
    <row r="62" spans="1:9" x14ac:dyDescent="0.45">
      <c r="A62" s="5" t="s">
        <v>37</v>
      </c>
      <c r="B62" s="16">
        <v>296</v>
      </c>
      <c r="C62" s="16">
        <v>275</v>
      </c>
      <c r="D62" s="16">
        <v>9</v>
      </c>
      <c r="E62" s="16">
        <v>23</v>
      </c>
      <c r="F62" s="16">
        <v>603</v>
      </c>
    </row>
    <row r="63" spans="1:9" x14ac:dyDescent="0.45">
      <c r="A63" s="5" t="s">
        <v>123</v>
      </c>
      <c r="B63" s="16">
        <v>153</v>
      </c>
      <c r="C63" s="16">
        <v>246</v>
      </c>
      <c r="D63" s="16">
        <v>30</v>
      </c>
      <c r="E63" s="16">
        <v>8</v>
      </c>
      <c r="F63" s="16">
        <v>437</v>
      </c>
    </row>
    <row r="64" spans="1:9" x14ac:dyDescent="0.45">
      <c r="A64" s="5" t="s">
        <v>146</v>
      </c>
      <c r="B64" s="16">
        <v>189</v>
      </c>
      <c r="C64" s="16">
        <v>168</v>
      </c>
      <c r="D64" s="16">
        <v>10</v>
      </c>
      <c r="E64" s="16">
        <v>31</v>
      </c>
      <c r="F64" s="16">
        <v>398</v>
      </c>
    </row>
    <row r="65" spans="1:6" x14ac:dyDescent="0.45">
      <c r="A65" s="5" t="s">
        <v>69</v>
      </c>
      <c r="B65" s="16">
        <v>234</v>
      </c>
      <c r="C65" s="16">
        <v>93</v>
      </c>
      <c r="D65" s="16">
        <v>19</v>
      </c>
      <c r="E65" s="16">
        <v>24</v>
      </c>
      <c r="F65" s="16">
        <v>370</v>
      </c>
    </row>
    <row r="66" spans="1:6" x14ac:dyDescent="0.45">
      <c r="A66" s="5" t="s">
        <v>30</v>
      </c>
      <c r="B66" s="16">
        <v>146</v>
      </c>
      <c r="C66" s="16">
        <v>94</v>
      </c>
      <c r="D66" s="16">
        <v>4</v>
      </c>
      <c r="E66" s="16">
        <v>28</v>
      </c>
      <c r="F66" s="16">
        <v>272</v>
      </c>
    </row>
    <row r="67" spans="1:6" x14ac:dyDescent="0.45">
      <c r="A67" s="5" t="s">
        <v>135</v>
      </c>
      <c r="B67" s="16">
        <v>127</v>
      </c>
      <c r="C67" s="16">
        <v>118</v>
      </c>
      <c r="D67" s="16">
        <v>13</v>
      </c>
      <c r="E67" s="16">
        <v>12</v>
      </c>
      <c r="F67" s="16">
        <v>270</v>
      </c>
    </row>
    <row r="68" spans="1:6" x14ac:dyDescent="0.45">
      <c r="A68" s="5" t="s">
        <v>67</v>
      </c>
      <c r="B68" s="16">
        <v>179</v>
      </c>
      <c r="C68" s="16">
        <v>76</v>
      </c>
      <c r="D68" s="16">
        <v>3</v>
      </c>
      <c r="E68" s="16"/>
      <c r="F68" s="16">
        <v>258</v>
      </c>
    </row>
    <row r="69" spans="1:6" x14ac:dyDescent="0.45">
      <c r="A69" s="5" t="s">
        <v>128</v>
      </c>
      <c r="B69" s="16">
        <v>99</v>
      </c>
      <c r="C69" s="16">
        <v>69</v>
      </c>
      <c r="D69" s="16">
        <v>3</v>
      </c>
      <c r="E69" s="16">
        <v>24</v>
      </c>
      <c r="F69" s="16">
        <v>195</v>
      </c>
    </row>
    <row r="70" spans="1:6" x14ac:dyDescent="0.45">
      <c r="A70" s="5" t="s">
        <v>76</v>
      </c>
      <c r="B70" s="16">
        <v>75</v>
      </c>
      <c r="C70" s="16">
        <v>103</v>
      </c>
      <c r="D70" s="16">
        <v>4</v>
      </c>
      <c r="E70" s="16">
        <v>6</v>
      </c>
      <c r="F70" s="16">
        <v>188</v>
      </c>
    </row>
    <row r="71" spans="1:6" x14ac:dyDescent="0.45">
      <c r="A71" s="5" t="s">
        <v>81</v>
      </c>
      <c r="B71" s="16">
        <v>43</v>
      </c>
      <c r="C71" s="16">
        <v>90</v>
      </c>
      <c r="D71" s="16">
        <v>8</v>
      </c>
      <c r="E71" s="16">
        <v>6</v>
      </c>
      <c r="F71" s="16">
        <v>147</v>
      </c>
    </row>
    <row r="72" spans="1:6" x14ac:dyDescent="0.45">
      <c r="A72" s="5" t="s">
        <v>171</v>
      </c>
      <c r="B72" s="16">
        <v>26</v>
      </c>
      <c r="C72" s="16">
        <v>35</v>
      </c>
      <c r="D72" s="16">
        <v>4</v>
      </c>
      <c r="E72" s="16"/>
      <c r="F72" s="16">
        <v>65</v>
      </c>
    </row>
    <row r="73" spans="1:6" x14ac:dyDescent="0.45">
      <c r="A73" s="5" t="s">
        <v>2529</v>
      </c>
      <c r="B73" s="16">
        <v>6272</v>
      </c>
      <c r="C73" s="16">
        <v>4672</v>
      </c>
      <c r="D73" s="16">
        <v>317</v>
      </c>
      <c r="E73" s="16">
        <v>736</v>
      </c>
      <c r="F73" s="16">
        <v>11997</v>
      </c>
    </row>
    <row r="81" spans="1:12" x14ac:dyDescent="0.45">
      <c r="A81" s="4" t="s">
        <v>10</v>
      </c>
      <c r="B81" s="4" t="s">
        <v>11</v>
      </c>
      <c r="C81" t="s">
        <v>2520</v>
      </c>
      <c r="D81" t="s">
        <v>2521</v>
      </c>
      <c r="F81" t="s">
        <v>2538</v>
      </c>
      <c r="J81" t="s">
        <v>2539</v>
      </c>
    </row>
    <row r="82" spans="1:12" x14ac:dyDescent="0.45">
      <c r="A82" t="s">
        <v>19</v>
      </c>
      <c r="B82" t="s">
        <v>115</v>
      </c>
      <c r="C82" s="16">
        <v>579</v>
      </c>
      <c r="D82" s="16">
        <v>31884.999999999996</v>
      </c>
    </row>
    <row r="83" spans="1:12" x14ac:dyDescent="0.45">
      <c r="A83" t="s">
        <v>19</v>
      </c>
      <c r="B83" t="s">
        <v>20</v>
      </c>
      <c r="C83" s="16">
        <v>1</v>
      </c>
      <c r="D83" s="16">
        <v>10.9</v>
      </c>
      <c r="F83" s="11" t="s">
        <v>19</v>
      </c>
      <c r="G83" s="9" t="s">
        <v>115</v>
      </c>
      <c r="H83" s="9">
        <v>579</v>
      </c>
      <c r="J83" s="11" t="s">
        <v>19</v>
      </c>
      <c r="K83" s="9" t="s">
        <v>115</v>
      </c>
      <c r="L83" s="9">
        <v>31884.999999999996</v>
      </c>
    </row>
    <row r="84" spans="1:12" x14ac:dyDescent="0.45">
      <c r="A84" t="s">
        <v>19</v>
      </c>
      <c r="B84" t="s">
        <v>641</v>
      </c>
      <c r="C84" s="16">
        <v>9</v>
      </c>
      <c r="D84" s="16">
        <v>800.3</v>
      </c>
      <c r="F84" s="12" t="s">
        <v>19</v>
      </c>
      <c r="G84" s="9" t="s">
        <v>20</v>
      </c>
      <c r="H84" s="9">
        <v>1</v>
      </c>
      <c r="J84" s="12" t="s">
        <v>19</v>
      </c>
      <c r="K84" s="9" t="s">
        <v>20</v>
      </c>
      <c r="L84" s="9">
        <v>10.9</v>
      </c>
    </row>
    <row r="85" spans="1:12" x14ac:dyDescent="0.45">
      <c r="A85" t="s">
        <v>19</v>
      </c>
      <c r="B85" t="s">
        <v>967</v>
      </c>
      <c r="C85" s="16">
        <v>35</v>
      </c>
      <c r="D85" s="16">
        <v>1062.5999999999999</v>
      </c>
      <c r="F85" s="12" t="s">
        <v>19</v>
      </c>
      <c r="G85" s="9" t="s">
        <v>641</v>
      </c>
      <c r="H85" s="9">
        <v>9</v>
      </c>
      <c r="J85" s="12" t="s">
        <v>19</v>
      </c>
      <c r="K85" s="9" t="s">
        <v>641</v>
      </c>
      <c r="L85" s="9">
        <v>800.3</v>
      </c>
    </row>
    <row r="86" spans="1:12" x14ac:dyDescent="0.45">
      <c r="A86" t="s">
        <v>19</v>
      </c>
      <c r="B86" t="s">
        <v>84</v>
      </c>
      <c r="C86" s="16">
        <v>12</v>
      </c>
      <c r="D86" s="16">
        <v>326.20000000000005</v>
      </c>
      <c r="F86" s="12" t="s">
        <v>19</v>
      </c>
      <c r="G86" s="9" t="s">
        <v>967</v>
      </c>
      <c r="H86" s="9">
        <v>35</v>
      </c>
      <c r="J86" s="12" t="s">
        <v>19</v>
      </c>
      <c r="K86" s="9" t="s">
        <v>967</v>
      </c>
      <c r="L86" s="9">
        <v>1062.5999999999999</v>
      </c>
    </row>
    <row r="87" spans="1:12" x14ac:dyDescent="0.45">
      <c r="A87" t="s">
        <v>19</v>
      </c>
      <c r="B87" t="s">
        <v>1383</v>
      </c>
      <c r="C87" s="16">
        <v>4</v>
      </c>
      <c r="D87" s="16">
        <v>167.5</v>
      </c>
      <c r="F87" s="12" t="s">
        <v>19</v>
      </c>
      <c r="G87" s="9" t="s">
        <v>84</v>
      </c>
      <c r="H87" s="9">
        <v>12</v>
      </c>
      <c r="J87" s="12" t="s">
        <v>19</v>
      </c>
      <c r="K87" s="9" t="s">
        <v>84</v>
      </c>
      <c r="L87" s="9">
        <v>326.20000000000005</v>
      </c>
    </row>
    <row r="88" spans="1:12" x14ac:dyDescent="0.45">
      <c r="A88" t="s">
        <v>19</v>
      </c>
      <c r="B88" t="s">
        <v>24</v>
      </c>
      <c r="C88" s="16">
        <v>341</v>
      </c>
      <c r="D88" s="16">
        <v>16168.7</v>
      </c>
      <c r="F88" s="12" t="s">
        <v>19</v>
      </c>
      <c r="G88" s="9" t="s">
        <v>1383</v>
      </c>
      <c r="H88" s="9">
        <v>4</v>
      </c>
      <c r="J88" s="12" t="s">
        <v>19</v>
      </c>
      <c r="K88" s="9" t="s">
        <v>1383</v>
      </c>
      <c r="L88" s="9">
        <v>167.5</v>
      </c>
    </row>
    <row r="89" spans="1:12" x14ac:dyDescent="0.45">
      <c r="A89" t="s">
        <v>19</v>
      </c>
      <c r="B89" t="s">
        <v>2204</v>
      </c>
      <c r="C89" s="16">
        <v>13</v>
      </c>
      <c r="D89" s="16">
        <v>322.40000000000003</v>
      </c>
      <c r="F89" s="12" t="s">
        <v>19</v>
      </c>
      <c r="G89" s="9" t="s">
        <v>24</v>
      </c>
      <c r="H89" s="9">
        <v>341</v>
      </c>
      <c r="J89" s="12" t="s">
        <v>19</v>
      </c>
      <c r="K89" s="9" t="s">
        <v>24</v>
      </c>
      <c r="L89" s="9">
        <v>16168.7</v>
      </c>
    </row>
    <row r="90" spans="1:12" x14ac:dyDescent="0.45">
      <c r="A90" t="s">
        <v>19</v>
      </c>
      <c r="B90" t="s">
        <v>437</v>
      </c>
      <c r="C90" s="16">
        <v>31</v>
      </c>
      <c r="D90" s="16">
        <v>2092.8000000000002</v>
      </c>
      <c r="F90" s="12" t="s">
        <v>19</v>
      </c>
      <c r="G90" s="9" t="s">
        <v>2204</v>
      </c>
      <c r="H90" s="9">
        <v>13</v>
      </c>
      <c r="J90" s="12" t="s">
        <v>19</v>
      </c>
      <c r="K90" s="9" t="s">
        <v>2204</v>
      </c>
      <c r="L90" s="9">
        <v>322.40000000000003</v>
      </c>
    </row>
    <row r="91" spans="1:12" x14ac:dyDescent="0.45">
      <c r="A91" t="s">
        <v>19</v>
      </c>
      <c r="B91" t="s">
        <v>28</v>
      </c>
      <c r="C91" s="16">
        <v>279</v>
      </c>
      <c r="D91" s="16">
        <v>12662.500000000002</v>
      </c>
      <c r="F91" s="12" t="s">
        <v>19</v>
      </c>
      <c r="G91" s="9" t="s">
        <v>437</v>
      </c>
      <c r="H91" s="9">
        <v>31</v>
      </c>
      <c r="J91" s="12" t="s">
        <v>19</v>
      </c>
      <c r="K91" s="9" t="s">
        <v>437</v>
      </c>
      <c r="L91" s="9">
        <v>2092.8000000000002</v>
      </c>
    </row>
    <row r="92" spans="1:12" x14ac:dyDescent="0.45">
      <c r="A92" t="s">
        <v>19</v>
      </c>
      <c r="B92" t="s">
        <v>208</v>
      </c>
      <c r="C92" s="16">
        <v>9</v>
      </c>
      <c r="D92" s="16">
        <v>343.2</v>
      </c>
      <c r="F92" s="12" t="s">
        <v>19</v>
      </c>
      <c r="G92" s="9" t="s">
        <v>28</v>
      </c>
      <c r="H92" s="9">
        <v>279</v>
      </c>
      <c r="J92" s="12" t="s">
        <v>19</v>
      </c>
      <c r="K92" s="9" t="s">
        <v>28</v>
      </c>
      <c r="L92" s="9">
        <v>12662.500000000002</v>
      </c>
    </row>
    <row r="93" spans="1:12" x14ac:dyDescent="0.45">
      <c r="A93" t="s">
        <v>19</v>
      </c>
      <c r="B93" t="s">
        <v>587</v>
      </c>
      <c r="C93" s="16">
        <v>49</v>
      </c>
      <c r="D93" s="16">
        <v>2188.2999999999997</v>
      </c>
      <c r="F93" s="12" t="s">
        <v>19</v>
      </c>
      <c r="G93" s="9" t="s">
        <v>208</v>
      </c>
      <c r="H93" s="9">
        <v>9</v>
      </c>
      <c r="J93" s="12" t="s">
        <v>19</v>
      </c>
      <c r="K93" s="9" t="s">
        <v>208</v>
      </c>
      <c r="L93" s="9">
        <v>343.2</v>
      </c>
    </row>
    <row r="94" spans="1:12" x14ac:dyDescent="0.45">
      <c r="A94" t="s">
        <v>19</v>
      </c>
      <c r="B94" t="s">
        <v>331</v>
      </c>
      <c r="C94" s="16">
        <v>59</v>
      </c>
      <c r="D94" s="16">
        <v>2661.5999999999995</v>
      </c>
      <c r="F94" s="12" t="s">
        <v>19</v>
      </c>
      <c r="G94" s="9" t="s">
        <v>587</v>
      </c>
      <c r="H94" s="9">
        <v>49</v>
      </c>
      <c r="J94" s="12" t="s">
        <v>19</v>
      </c>
      <c r="K94" s="9" t="s">
        <v>587</v>
      </c>
      <c r="L94" s="9">
        <v>2188.2999999999997</v>
      </c>
    </row>
    <row r="95" spans="1:12" x14ac:dyDescent="0.45">
      <c r="A95" t="s">
        <v>19</v>
      </c>
      <c r="B95" t="s">
        <v>86</v>
      </c>
      <c r="C95" s="16">
        <v>8</v>
      </c>
      <c r="D95" s="16">
        <v>887.5</v>
      </c>
      <c r="F95" s="12" t="s">
        <v>19</v>
      </c>
      <c r="G95" s="9" t="s">
        <v>331</v>
      </c>
      <c r="H95" s="9">
        <v>59</v>
      </c>
      <c r="J95" s="12" t="s">
        <v>19</v>
      </c>
      <c r="K95" s="9" t="s">
        <v>331</v>
      </c>
      <c r="L95" s="9">
        <v>2661.5999999999995</v>
      </c>
    </row>
    <row r="96" spans="1:12" x14ac:dyDescent="0.45">
      <c r="A96" t="s">
        <v>19</v>
      </c>
      <c r="B96" t="s">
        <v>147</v>
      </c>
      <c r="C96" s="16">
        <v>222</v>
      </c>
      <c r="D96" s="16">
        <v>11354.199999999993</v>
      </c>
      <c r="F96" s="12" t="s">
        <v>19</v>
      </c>
      <c r="G96" s="9" t="s">
        <v>86</v>
      </c>
      <c r="H96" s="9">
        <v>8</v>
      </c>
      <c r="J96" s="12" t="s">
        <v>19</v>
      </c>
      <c r="K96" s="9" t="s">
        <v>86</v>
      </c>
      <c r="L96" s="9">
        <v>887.5</v>
      </c>
    </row>
    <row r="97" spans="1:12" x14ac:dyDescent="0.45">
      <c r="A97" t="s">
        <v>19</v>
      </c>
      <c r="B97" t="s">
        <v>334</v>
      </c>
      <c r="C97" s="16">
        <v>36</v>
      </c>
      <c r="D97" s="16">
        <v>1558.4</v>
      </c>
      <c r="F97" s="12" t="s">
        <v>19</v>
      </c>
      <c r="G97" s="9" t="s">
        <v>147</v>
      </c>
      <c r="H97" s="9">
        <v>222</v>
      </c>
      <c r="J97" s="12" t="s">
        <v>19</v>
      </c>
      <c r="K97" s="9" t="s">
        <v>147</v>
      </c>
      <c r="L97" s="9">
        <v>11354.199999999993</v>
      </c>
    </row>
    <row r="98" spans="1:12" x14ac:dyDescent="0.45">
      <c r="A98" t="s">
        <v>19</v>
      </c>
      <c r="B98" t="s">
        <v>949</v>
      </c>
      <c r="C98" s="16">
        <v>30</v>
      </c>
      <c r="D98" s="16">
        <v>2223.9</v>
      </c>
      <c r="F98" s="12" t="s">
        <v>19</v>
      </c>
      <c r="G98" s="9" t="s">
        <v>334</v>
      </c>
      <c r="H98" s="9">
        <v>36</v>
      </c>
      <c r="J98" s="12" t="s">
        <v>19</v>
      </c>
      <c r="K98" s="9" t="s">
        <v>334</v>
      </c>
      <c r="L98" s="9">
        <v>1558.4</v>
      </c>
    </row>
    <row r="99" spans="1:12" x14ac:dyDescent="0.45">
      <c r="A99" t="s">
        <v>19</v>
      </c>
      <c r="B99" t="s">
        <v>1426</v>
      </c>
      <c r="C99" s="16">
        <v>1</v>
      </c>
      <c r="D99" s="16">
        <v>26.2</v>
      </c>
      <c r="F99" s="12" t="s">
        <v>19</v>
      </c>
      <c r="G99" s="9" t="s">
        <v>949</v>
      </c>
      <c r="H99" s="9">
        <v>30</v>
      </c>
      <c r="J99" s="12" t="s">
        <v>19</v>
      </c>
      <c r="K99" s="9" t="s">
        <v>949</v>
      </c>
      <c r="L99" s="9">
        <v>2223.9</v>
      </c>
    </row>
    <row r="100" spans="1:12" x14ac:dyDescent="0.45">
      <c r="A100" t="s">
        <v>19</v>
      </c>
      <c r="B100" t="s">
        <v>33</v>
      </c>
      <c r="C100" s="16">
        <v>3991</v>
      </c>
      <c r="D100" s="16">
        <v>215551.19999999981</v>
      </c>
      <c r="F100" s="12" t="s">
        <v>19</v>
      </c>
      <c r="G100" s="9" t="s">
        <v>1426</v>
      </c>
      <c r="H100" s="9">
        <v>1</v>
      </c>
      <c r="J100" s="12" t="s">
        <v>19</v>
      </c>
      <c r="K100" s="9" t="s">
        <v>1426</v>
      </c>
      <c r="L100" s="9">
        <v>26.2</v>
      </c>
    </row>
    <row r="101" spans="1:12" x14ac:dyDescent="0.45">
      <c r="A101" t="s">
        <v>19</v>
      </c>
      <c r="B101" t="s">
        <v>364</v>
      </c>
      <c r="C101" s="16">
        <v>45</v>
      </c>
      <c r="D101" s="16">
        <v>2687.3999999999996</v>
      </c>
      <c r="F101" s="12" t="s">
        <v>19</v>
      </c>
      <c r="G101" s="9" t="s">
        <v>33</v>
      </c>
      <c r="H101" s="9">
        <v>3991</v>
      </c>
      <c r="J101" s="12" t="s">
        <v>19</v>
      </c>
      <c r="K101" s="9" t="s">
        <v>33</v>
      </c>
      <c r="L101" s="9">
        <v>215551.19999999981</v>
      </c>
    </row>
    <row r="102" spans="1:12" x14ac:dyDescent="0.45">
      <c r="A102" t="s">
        <v>19</v>
      </c>
      <c r="B102" t="s">
        <v>545</v>
      </c>
      <c r="C102" s="16">
        <v>39</v>
      </c>
      <c r="D102" s="16">
        <v>1463.3000000000002</v>
      </c>
      <c r="F102" s="12" t="s">
        <v>19</v>
      </c>
      <c r="G102" s="9" t="s">
        <v>364</v>
      </c>
      <c r="H102" s="9">
        <v>45</v>
      </c>
      <c r="J102" s="12" t="s">
        <v>19</v>
      </c>
      <c r="K102" s="9" t="s">
        <v>364</v>
      </c>
      <c r="L102" s="9">
        <v>2687.3999999999996</v>
      </c>
    </row>
    <row r="103" spans="1:12" x14ac:dyDescent="0.45">
      <c r="A103" t="s">
        <v>19</v>
      </c>
      <c r="B103" t="s">
        <v>416</v>
      </c>
      <c r="C103" s="16">
        <v>6</v>
      </c>
      <c r="D103" s="16">
        <v>445.79999999999995</v>
      </c>
      <c r="F103" s="12" t="s">
        <v>19</v>
      </c>
      <c r="G103" s="9" t="s">
        <v>545</v>
      </c>
      <c r="H103" s="9">
        <v>39</v>
      </c>
      <c r="J103" s="12" t="s">
        <v>19</v>
      </c>
      <c r="K103" s="9" t="s">
        <v>545</v>
      </c>
      <c r="L103" s="9">
        <v>1463.3000000000002</v>
      </c>
    </row>
    <row r="104" spans="1:12" x14ac:dyDescent="0.45">
      <c r="A104" t="s">
        <v>19</v>
      </c>
      <c r="B104" t="s">
        <v>258</v>
      </c>
      <c r="C104" s="16">
        <v>9</v>
      </c>
      <c r="D104" s="16">
        <v>273.59999999999997</v>
      </c>
      <c r="F104" s="12" t="s">
        <v>19</v>
      </c>
      <c r="G104" s="9" t="s">
        <v>416</v>
      </c>
      <c r="H104" s="9">
        <v>6</v>
      </c>
      <c r="J104" s="12" t="s">
        <v>19</v>
      </c>
      <c r="K104" s="9" t="s">
        <v>416</v>
      </c>
      <c r="L104" s="9">
        <v>445.79999999999995</v>
      </c>
    </row>
    <row r="105" spans="1:12" x14ac:dyDescent="0.45">
      <c r="A105" t="s">
        <v>19</v>
      </c>
      <c r="B105" t="s">
        <v>186</v>
      </c>
      <c r="C105" s="16">
        <v>60</v>
      </c>
      <c r="D105" s="16">
        <v>2690.4</v>
      </c>
      <c r="F105" s="12" t="s">
        <v>19</v>
      </c>
      <c r="G105" s="9" t="s">
        <v>258</v>
      </c>
      <c r="H105" s="9">
        <v>9</v>
      </c>
      <c r="J105" s="12" t="s">
        <v>19</v>
      </c>
      <c r="K105" s="9" t="s">
        <v>258</v>
      </c>
      <c r="L105" s="9">
        <v>273.59999999999997</v>
      </c>
    </row>
    <row r="106" spans="1:12" x14ac:dyDescent="0.45">
      <c r="A106" t="s">
        <v>19</v>
      </c>
      <c r="B106" t="s">
        <v>392</v>
      </c>
      <c r="C106" s="16">
        <v>2</v>
      </c>
      <c r="D106" s="16">
        <v>28.4</v>
      </c>
      <c r="F106" s="12" t="s">
        <v>19</v>
      </c>
      <c r="G106" s="9" t="s">
        <v>186</v>
      </c>
      <c r="H106" s="9">
        <v>60</v>
      </c>
      <c r="J106" s="12" t="s">
        <v>19</v>
      </c>
      <c r="K106" s="9" t="s">
        <v>186</v>
      </c>
      <c r="L106" s="9">
        <v>2690.4</v>
      </c>
    </row>
    <row r="107" spans="1:12" x14ac:dyDescent="0.45">
      <c r="A107" t="s">
        <v>19</v>
      </c>
      <c r="B107" t="s">
        <v>670</v>
      </c>
      <c r="C107" s="16">
        <v>4</v>
      </c>
      <c r="D107" s="16">
        <v>204.8</v>
      </c>
      <c r="F107" s="12" t="s">
        <v>19</v>
      </c>
      <c r="G107" s="9" t="s">
        <v>392</v>
      </c>
      <c r="H107" s="9">
        <v>2</v>
      </c>
      <c r="J107" s="12" t="s">
        <v>19</v>
      </c>
      <c r="K107" s="9" t="s">
        <v>392</v>
      </c>
      <c r="L107" s="9">
        <v>28.4</v>
      </c>
    </row>
    <row r="108" spans="1:12" x14ac:dyDescent="0.45">
      <c r="A108" t="s">
        <v>19</v>
      </c>
      <c r="B108" t="s">
        <v>802</v>
      </c>
      <c r="C108" s="16">
        <v>31</v>
      </c>
      <c r="D108" s="16">
        <v>1607.8999999999999</v>
      </c>
      <c r="F108" s="12" t="s">
        <v>19</v>
      </c>
      <c r="G108" s="9" t="s">
        <v>670</v>
      </c>
      <c r="H108" s="9">
        <v>4</v>
      </c>
      <c r="J108" s="12" t="s">
        <v>19</v>
      </c>
      <c r="K108" s="9" t="s">
        <v>670</v>
      </c>
      <c r="L108" s="9">
        <v>204.8</v>
      </c>
    </row>
    <row r="109" spans="1:12" x14ac:dyDescent="0.45">
      <c r="A109" t="s">
        <v>19</v>
      </c>
      <c r="B109" t="s">
        <v>98</v>
      </c>
      <c r="C109" s="16">
        <v>88</v>
      </c>
      <c r="D109" s="16">
        <v>6444.9</v>
      </c>
      <c r="F109" s="12" t="s">
        <v>19</v>
      </c>
      <c r="G109" s="9" t="s">
        <v>802</v>
      </c>
      <c r="H109" s="9">
        <v>31</v>
      </c>
      <c r="J109" s="12" t="s">
        <v>19</v>
      </c>
      <c r="K109" s="9" t="s">
        <v>802</v>
      </c>
      <c r="L109" s="9">
        <v>1607.8999999999999</v>
      </c>
    </row>
    <row r="110" spans="1:12" x14ac:dyDescent="0.45">
      <c r="A110" t="s">
        <v>19</v>
      </c>
      <c r="B110" t="s">
        <v>49</v>
      </c>
      <c r="C110" s="16">
        <v>25</v>
      </c>
      <c r="D110" s="16">
        <v>1809.3</v>
      </c>
      <c r="F110" s="12" t="s">
        <v>19</v>
      </c>
      <c r="G110" s="9" t="s">
        <v>98</v>
      </c>
      <c r="H110" s="9">
        <v>88</v>
      </c>
      <c r="J110" s="12" t="s">
        <v>19</v>
      </c>
      <c r="K110" s="9" t="s">
        <v>98</v>
      </c>
      <c r="L110" s="9">
        <v>6444.9</v>
      </c>
    </row>
    <row r="111" spans="1:12" x14ac:dyDescent="0.45">
      <c r="A111" t="s">
        <v>19</v>
      </c>
      <c r="B111" t="s">
        <v>188</v>
      </c>
      <c r="C111" s="16">
        <v>178</v>
      </c>
      <c r="D111" s="16">
        <v>9680.399999999996</v>
      </c>
      <c r="F111" s="12" t="s">
        <v>19</v>
      </c>
      <c r="G111" s="9" t="s">
        <v>49</v>
      </c>
      <c r="H111" s="9">
        <v>25</v>
      </c>
      <c r="J111" s="12" t="s">
        <v>19</v>
      </c>
      <c r="K111" s="9" t="s">
        <v>49</v>
      </c>
      <c r="L111" s="9">
        <v>1809.3</v>
      </c>
    </row>
    <row r="112" spans="1:12" x14ac:dyDescent="0.45">
      <c r="A112" t="s">
        <v>19</v>
      </c>
      <c r="B112" t="s">
        <v>52</v>
      </c>
      <c r="C112" s="16">
        <v>141</v>
      </c>
      <c r="D112" s="16">
        <v>9414.7999999999993</v>
      </c>
      <c r="F112" s="12" t="s">
        <v>19</v>
      </c>
      <c r="G112" s="9" t="s">
        <v>188</v>
      </c>
      <c r="H112" s="9">
        <v>178</v>
      </c>
      <c r="J112" s="12" t="s">
        <v>19</v>
      </c>
      <c r="K112" s="9" t="s">
        <v>188</v>
      </c>
      <c r="L112" s="9">
        <v>9680.399999999996</v>
      </c>
    </row>
    <row r="113" spans="1:12" x14ac:dyDescent="0.45">
      <c r="A113" t="s">
        <v>19</v>
      </c>
      <c r="B113" t="s">
        <v>338</v>
      </c>
      <c r="C113" s="16">
        <v>6</v>
      </c>
      <c r="D113" s="16">
        <v>206.1</v>
      </c>
      <c r="F113" s="12" t="s">
        <v>19</v>
      </c>
      <c r="G113" s="9" t="s">
        <v>52</v>
      </c>
      <c r="H113" s="9">
        <v>141</v>
      </c>
      <c r="J113" s="12" t="s">
        <v>19</v>
      </c>
      <c r="K113" s="9" t="s">
        <v>52</v>
      </c>
      <c r="L113" s="9">
        <v>9414.7999999999993</v>
      </c>
    </row>
    <row r="114" spans="1:12" x14ac:dyDescent="0.45">
      <c r="A114" t="s">
        <v>19</v>
      </c>
      <c r="B114" t="s">
        <v>158</v>
      </c>
      <c r="C114" s="16">
        <v>178</v>
      </c>
      <c r="D114" s="16">
        <v>7691.3</v>
      </c>
      <c r="F114" s="12" t="s">
        <v>19</v>
      </c>
      <c r="G114" s="9" t="s">
        <v>338</v>
      </c>
      <c r="H114" s="9">
        <v>6</v>
      </c>
      <c r="J114" s="12" t="s">
        <v>19</v>
      </c>
      <c r="K114" s="9" t="s">
        <v>338</v>
      </c>
      <c r="L114" s="9">
        <v>206.1</v>
      </c>
    </row>
    <row r="115" spans="1:12" x14ac:dyDescent="0.45">
      <c r="A115" t="s">
        <v>19</v>
      </c>
      <c r="B115" t="s">
        <v>55</v>
      </c>
      <c r="C115" s="16">
        <v>699</v>
      </c>
      <c r="D115" s="16">
        <v>37784.900000000016</v>
      </c>
      <c r="F115" s="12" t="s">
        <v>19</v>
      </c>
      <c r="G115" s="9" t="s">
        <v>158</v>
      </c>
      <c r="H115" s="9">
        <v>178</v>
      </c>
      <c r="J115" s="12" t="s">
        <v>19</v>
      </c>
      <c r="K115" s="9" t="s">
        <v>158</v>
      </c>
      <c r="L115" s="9">
        <v>7691.3</v>
      </c>
    </row>
    <row r="116" spans="1:12" x14ac:dyDescent="0.45">
      <c r="A116" t="s">
        <v>19</v>
      </c>
      <c r="B116" t="s">
        <v>342</v>
      </c>
      <c r="C116" s="16">
        <v>23</v>
      </c>
      <c r="D116" s="16">
        <v>1129.7</v>
      </c>
      <c r="F116" s="12" t="s">
        <v>19</v>
      </c>
      <c r="G116" s="9" t="s">
        <v>55</v>
      </c>
      <c r="H116" s="9">
        <v>699</v>
      </c>
      <c r="J116" s="12" t="s">
        <v>19</v>
      </c>
      <c r="K116" s="9" t="s">
        <v>55</v>
      </c>
      <c r="L116" s="9">
        <v>37784.900000000016</v>
      </c>
    </row>
    <row r="117" spans="1:12" x14ac:dyDescent="0.45">
      <c r="A117" t="s">
        <v>19</v>
      </c>
      <c r="B117" t="s">
        <v>59</v>
      </c>
      <c r="C117" s="16">
        <v>356</v>
      </c>
      <c r="D117" s="16">
        <v>20988.9</v>
      </c>
      <c r="F117" s="12" t="s">
        <v>19</v>
      </c>
      <c r="G117" s="9" t="s">
        <v>342</v>
      </c>
      <c r="H117" s="9">
        <v>23</v>
      </c>
      <c r="J117" s="12" t="s">
        <v>19</v>
      </c>
      <c r="K117" s="9" t="s">
        <v>342</v>
      </c>
      <c r="L117" s="9">
        <v>1129.7</v>
      </c>
    </row>
    <row r="118" spans="1:12" x14ac:dyDescent="0.45">
      <c r="A118" t="s">
        <v>19</v>
      </c>
      <c r="B118" t="s">
        <v>62</v>
      </c>
      <c r="C118" s="16">
        <v>1768</v>
      </c>
      <c r="D118" s="16">
        <v>98367.099999999977</v>
      </c>
      <c r="F118" s="12" t="s">
        <v>19</v>
      </c>
      <c r="G118" s="9" t="s">
        <v>59</v>
      </c>
      <c r="H118" s="9">
        <v>356</v>
      </c>
      <c r="J118" s="12" t="s">
        <v>19</v>
      </c>
      <c r="K118" s="9" t="s">
        <v>59</v>
      </c>
      <c r="L118" s="9">
        <v>20988.9</v>
      </c>
    </row>
    <row r="119" spans="1:12" x14ac:dyDescent="0.45">
      <c r="A119" t="s">
        <v>19</v>
      </c>
      <c r="B119" t="s">
        <v>103</v>
      </c>
      <c r="C119" s="16">
        <v>307</v>
      </c>
      <c r="D119" s="16">
        <v>21911.9</v>
      </c>
      <c r="F119" s="12" t="s">
        <v>19</v>
      </c>
      <c r="G119" s="9" t="s">
        <v>62</v>
      </c>
      <c r="H119" s="9">
        <v>1768</v>
      </c>
      <c r="J119" s="12" t="s">
        <v>19</v>
      </c>
      <c r="K119" s="9" t="s">
        <v>62</v>
      </c>
      <c r="L119" s="9">
        <v>98367.099999999977</v>
      </c>
    </row>
    <row r="120" spans="1:12" x14ac:dyDescent="0.45">
      <c r="A120" t="s">
        <v>19</v>
      </c>
      <c r="B120" t="s">
        <v>201</v>
      </c>
      <c r="C120" s="16">
        <v>117</v>
      </c>
      <c r="D120" s="16">
        <v>5441.2</v>
      </c>
      <c r="F120" s="12" t="s">
        <v>19</v>
      </c>
      <c r="G120" s="9" t="s">
        <v>103</v>
      </c>
      <c r="H120" s="9">
        <v>307</v>
      </c>
      <c r="J120" s="12" t="s">
        <v>19</v>
      </c>
      <c r="K120" s="9" t="s">
        <v>103</v>
      </c>
      <c r="L120" s="9">
        <v>21911.9</v>
      </c>
    </row>
    <row r="121" spans="1:12" x14ac:dyDescent="0.45">
      <c r="A121" t="s">
        <v>19</v>
      </c>
      <c r="B121" t="s">
        <v>429</v>
      </c>
      <c r="C121" s="16">
        <v>13</v>
      </c>
      <c r="D121" s="16">
        <v>392.8</v>
      </c>
      <c r="F121" s="12" t="s">
        <v>19</v>
      </c>
      <c r="G121" s="9" t="s">
        <v>201</v>
      </c>
      <c r="H121" s="9">
        <v>117</v>
      </c>
      <c r="J121" s="12" t="s">
        <v>19</v>
      </c>
      <c r="K121" s="9" t="s">
        <v>201</v>
      </c>
      <c r="L121" s="9">
        <v>5441.2</v>
      </c>
    </row>
    <row r="122" spans="1:12" x14ac:dyDescent="0.45">
      <c r="A122" t="s">
        <v>19</v>
      </c>
      <c r="B122" t="s">
        <v>72</v>
      </c>
      <c r="C122" s="16">
        <v>364</v>
      </c>
      <c r="D122" s="16">
        <v>16172.000000000005</v>
      </c>
      <c r="F122" s="12" t="s">
        <v>19</v>
      </c>
      <c r="G122" s="9" t="s">
        <v>429</v>
      </c>
      <c r="H122" s="9">
        <v>13</v>
      </c>
      <c r="J122" s="12" t="s">
        <v>19</v>
      </c>
      <c r="K122" s="9" t="s">
        <v>429</v>
      </c>
      <c r="L122" s="9">
        <v>392.8</v>
      </c>
    </row>
    <row r="123" spans="1:12" x14ac:dyDescent="0.45">
      <c r="A123" t="s">
        <v>19</v>
      </c>
      <c r="B123" t="s">
        <v>74</v>
      </c>
      <c r="C123" s="16">
        <v>95</v>
      </c>
      <c r="D123" s="16">
        <v>4334.9999999999991</v>
      </c>
      <c r="F123" s="12" t="s">
        <v>19</v>
      </c>
      <c r="G123" s="9" t="s">
        <v>72</v>
      </c>
      <c r="H123" s="9">
        <v>364</v>
      </c>
      <c r="J123" s="12" t="s">
        <v>19</v>
      </c>
      <c r="K123" s="9" t="s">
        <v>72</v>
      </c>
      <c r="L123" s="9">
        <v>16172.000000000005</v>
      </c>
    </row>
    <row r="124" spans="1:12" x14ac:dyDescent="0.45">
      <c r="A124" t="s">
        <v>19</v>
      </c>
      <c r="B124" t="s">
        <v>77</v>
      </c>
      <c r="C124" s="16">
        <v>737</v>
      </c>
      <c r="D124" s="16">
        <v>37449.000000000007</v>
      </c>
      <c r="F124" s="12" t="s">
        <v>19</v>
      </c>
      <c r="G124" s="9" t="s">
        <v>74</v>
      </c>
      <c r="H124" s="9">
        <v>95</v>
      </c>
      <c r="J124" s="12" t="s">
        <v>19</v>
      </c>
      <c r="K124" s="9" t="s">
        <v>74</v>
      </c>
      <c r="L124" s="9">
        <v>4334.9999999999991</v>
      </c>
    </row>
    <row r="125" spans="1:12" x14ac:dyDescent="0.45">
      <c r="A125" t="s">
        <v>19</v>
      </c>
      <c r="B125" t="s">
        <v>309</v>
      </c>
      <c r="C125" s="16">
        <v>39</v>
      </c>
      <c r="D125" s="16">
        <v>2447.5</v>
      </c>
      <c r="F125" s="12" t="s">
        <v>19</v>
      </c>
      <c r="G125" s="9" t="s">
        <v>77</v>
      </c>
      <c r="H125" s="9">
        <v>737</v>
      </c>
      <c r="J125" s="12" t="s">
        <v>19</v>
      </c>
      <c r="K125" s="9" t="s">
        <v>77</v>
      </c>
      <c r="L125" s="9">
        <v>37449.000000000007</v>
      </c>
    </row>
    <row r="126" spans="1:12" x14ac:dyDescent="0.45">
      <c r="A126" t="s">
        <v>19</v>
      </c>
      <c r="B126" t="s">
        <v>1116</v>
      </c>
      <c r="C126" s="16">
        <v>56</v>
      </c>
      <c r="D126" s="16">
        <v>3391.1</v>
      </c>
      <c r="F126" s="12" t="s">
        <v>19</v>
      </c>
      <c r="G126" s="9" t="s">
        <v>309</v>
      </c>
      <c r="H126" s="9">
        <v>39</v>
      </c>
      <c r="J126" s="12" t="s">
        <v>19</v>
      </c>
      <c r="K126" s="9" t="s">
        <v>309</v>
      </c>
      <c r="L126" s="9">
        <v>2447.5</v>
      </c>
    </row>
    <row r="127" spans="1:12" x14ac:dyDescent="0.45">
      <c r="A127" t="s">
        <v>19</v>
      </c>
      <c r="B127" t="s">
        <v>700</v>
      </c>
      <c r="C127" s="16">
        <v>2</v>
      </c>
      <c r="D127" s="16">
        <v>30.8</v>
      </c>
      <c r="F127" s="12" t="s">
        <v>19</v>
      </c>
      <c r="G127" s="9" t="s">
        <v>1116</v>
      </c>
      <c r="H127" s="9">
        <v>56</v>
      </c>
      <c r="J127" s="12" t="s">
        <v>19</v>
      </c>
      <c r="K127" s="9" t="s">
        <v>1116</v>
      </c>
      <c r="L127" s="9">
        <v>3391.1</v>
      </c>
    </row>
    <row r="128" spans="1:12" x14ac:dyDescent="0.45">
      <c r="A128" t="s">
        <v>19</v>
      </c>
      <c r="B128" t="s">
        <v>268</v>
      </c>
      <c r="C128" s="16">
        <v>8</v>
      </c>
      <c r="D128" s="16">
        <v>332.3</v>
      </c>
      <c r="F128" s="12" t="s">
        <v>19</v>
      </c>
      <c r="G128" s="9" t="s">
        <v>700</v>
      </c>
      <c r="H128" s="9">
        <v>2</v>
      </c>
      <c r="J128" s="12" t="s">
        <v>19</v>
      </c>
      <c r="K128" s="9" t="s">
        <v>700</v>
      </c>
      <c r="L128" s="9">
        <v>30.8</v>
      </c>
    </row>
    <row r="129" spans="1:12" x14ac:dyDescent="0.45">
      <c r="A129" t="s">
        <v>19</v>
      </c>
      <c r="B129" t="s">
        <v>377</v>
      </c>
      <c r="C129" s="16">
        <v>52</v>
      </c>
      <c r="D129" s="16">
        <v>3175.9999999999995</v>
      </c>
      <c r="F129" s="12" t="s">
        <v>19</v>
      </c>
      <c r="G129" s="9" t="s">
        <v>268</v>
      </c>
      <c r="H129" s="9">
        <v>8</v>
      </c>
      <c r="J129" s="12" t="s">
        <v>19</v>
      </c>
      <c r="K129" s="9" t="s">
        <v>268</v>
      </c>
      <c r="L129" s="9">
        <v>332.3</v>
      </c>
    </row>
    <row r="130" spans="1:12" x14ac:dyDescent="0.45">
      <c r="A130" t="s">
        <v>19</v>
      </c>
      <c r="B130" t="s">
        <v>108</v>
      </c>
      <c r="C130" s="16">
        <v>295</v>
      </c>
      <c r="D130" s="16">
        <v>20939.600000000002</v>
      </c>
      <c r="F130" s="12" t="s">
        <v>19</v>
      </c>
      <c r="G130" s="9" t="s">
        <v>377</v>
      </c>
      <c r="H130" s="9">
        <v>52</v>
      </c>
      <c r="J130" s="12" t="s">
        <v>19</v>
      </c>
      <c r="K130" s="9" t="s">
        <v>377</v>
      </c>
      <c r="L130" s="9">
        <v>3175.9999999999995</v>
      </c>
    </row>
    <row r="131" spans="1:12" x14ac:dyDescent="0.45">
      <c r="A131" t="s">
        <v>19</v>
      </c>
      <c r="B131" t="s">
        <v>110</v>
      </c>
      <c r="C131" s="16">
        <v>195</v>
      </c>
      <c r="D131" s="16">
        <v>10185.899999999996</v>
      </c>
      <c r="F131" s="12" t="s">
        <v>19</v>
      </c>
      <c r="G131" s="9" t="s">
        <v>108</v>
      </c>
      <c r="H131" s="9">
        <v>295</v>
      </c>
      <c r="J131" s="12" t="s">
        <v>19</v>
      </c>
      <c r="K131" s="9" t="s">
        <v>108</v>
      </c>
      <c r="L131" s="9">
        <v>20939.600000000002</v>
      </c>
    </row>
    <row r="132" spans="1:12" x14ac:dyDescent="0.45">
      <c r="A132" t="s">
        <v>19</v>
      </c>
      <c r="B132" t="s">
        <v>292</v>
      </c>
      <c r="C132" s="16">
        <v>20</v>
      </c>
      <c r="D132" s="16">
        <v>958.7</v>
      </c>
      <c r="F132" s="12" t="s">
        <v>19</v>
      </c>
      <c r="G132" s="9" t="s">
        <v>110</v>
      </c>
      <c r="H132" s="9">
        <v>195</v>
      </c>
      <c r="J132" s="12" t="s">
        <v>19</v>
      </c>
      <c r="K132" s="9" t="s">
        <v>110</v>
      </c>
      <c r="L132" s="9">
        <v>10185.899999999996</v>
      </c>
    </row>
    <row r="133" spans="1:12" x14ac:dyDescent="0.45">
      <c r="A133" t="s">
        <v>19</v>
      </c>
      <c r="B133" t="s">
        <v>79</v>
      </c>
      <c r="C133" s="16">
        <v>6</v>
      </c>
      <c r="D133" s="16">
        <v>323</v>
      </c>
      <c r="F133" s="12" t="s">
        <v>19</v>
      </c>
      <c r="G133" s="9" t="s">
        <v>292</v>
      </c>
      <c r="H133" s="9">
        <v>20</v>
      </c>
      <c r="J133" s="12" t="s">
        <v>19</v>
      </c>
      <c r="K133" s="9" t="s">
        <v>292</v>
      </c>
      <c r="L133" s="9">
        <v>958.7</v>
      </c>
    </row>
    <row r="134" spans="1:12" x14ac:dyDescent="0.45">
      <c r="A134" t="s">
        <v>19</v>
      </c>
      <c r="B134" t="s">
        <v>608</v>
      </c>
      <c r="C134" s="16">
        <v>5</v>
      </c>
      <c r="D134" s="16">
        <v>167.70000000000002</v>
      </c>
      <c r="F134" s="12" t="s">
        <v>19</v>
      </c>
      <c r="G134" s="9" t="s">
        <v>79</v>
      </c>
      <c r="H134" s="9">
        <v>6</v>
      </c>
      <c r="J134" s="12" t="s">
        <v>19</v>
      </c>
      <c r="K134" s="9" t="s">
        <v>79</v>
      </c>
      <c r="L134" s="9">
        <v>323</v>
      </c>
    </row>
    <row r="135" spans="1:12" x14ac:dyDescent="0.45">
      <c r="A135" t="s">
        <v>19</v>
      </c>
      <c r="B135" t="s">
        <v>113</v>
      </c>
      <c r="C135" s="16">
        <v>94</v>
      </c>
      <c r="D135" s="16">
        <v>3978.5</v>
      </c>
      <c r="F135" s="12" t="s">
        <v>19</v>
      </c>
      <c r="G135" s="9" t="s">
        <v>608</v>
      </c>
      <c r="H135" s="9">
        <v>5</v>
      </c>
      <c r="J135" s="12" t="s">
        <v>19</v>
      </c>
      <c r="K135" s="9" t="s">
        <v>608</v>
      </c>
      <c r="L135" s="9">
        <v>167.70000000000002</v>
      </c>
    </row>
    <row r="136" spans="1:12" x14ac:dyDescent="0.45">
      <c r="A136" t="s">
        <v>19</v>
      </c>
      <c r="B136" t="s">
        <v>997</v>
      </c>
      <c r="C136" s="16">
        <v>28</v>
      </c>
      <c r="D136" s="16">
        <v>1405</v>
      </c>
      <c r="F136" s="12" t="s">
        <v>19</v>
      </c>
      <c r="G136" s="9" t="s">
        <v>113</v>
      </c>
      <c r="H136" s="9">
        <v>94</v>
      </c>
      <c r="J136" s="12" t="s">
        <v>19</v>
      </c>
      <c r="K136" s="9" t="s">
        <v>113</v>
      </c>
      <c r="L136" s="9">
        <v>3978.5</v>
      </c>
    </row>
    <row r="137" spans="1:12" x14ac:dyDescent="0.45">
      <c r="A137" t="s">
        <v>19</v>
      </c>
      <c r="B137" t="s">
        <v>82</v>
      </c>
      <c r="C137" s="16">
        <v>179</v>
      </c>
      <c r="D137" s="16">
        <v>9869.0999999999985</v>
      </c>
      <c r="F137" s="12" t="s">
        <v>19</v>
      </c>
      <c r="G137" s="9" t="s">
        <v>997</v>
      </c>
      <c r="H137" s="9">
        <v>28</v>
      </c>
      <c r="J137" s="12" t="s">
        <v>19</v>
      </c>
      <c r="K137" s="9" t="s">
        <v>997</v>
      </c>
      <c r="L137" s="9">
        <v>1405</v>
      </c>
    </row>
    <row r="138" spans="1:12" x14ac:dyDescent="0.45">
      <c r="A138" t="s">
        <v>19</v>
      </c>
      <c r="B138" t="s">
        <v>243</v>
      </c>
      <c r="C138" s="16">
        <v>15</v>
      </c>
      <c r="D138" s="16">
        <v>615.29999999999995</v>
      </c>
      <c r="F138" s="12" t="s">
        <v>19</v>
      </c>
      <c r="G138" s="9" t="s">
        <v>82</v>
      </c>
      <c r="H138" s="9">
        <v>179</v>
      </c>
      <c r="J138" s="12" t="s">
        <v>19</v>
      </c>
      <c r="K138" s="9" t="s">
        <v>82</v>
      </c>
      <c r="L138" s="9">
        <v>9869.0999999999985</v>
      </c>
    </row>
    <row r="139" spans="1:12" x14ac:dyDescent="0.45">
      <c r="A139" t="s">
        <v>19</v>
      </c>
      <c r="B139" t="s">
        <v>1911</v>
      </c>
      <c r="C139" s="16">
        <v>3</v>
      </c>
      <c r="D139" s="16">
        <v>285</v>
      </c>
      <c r="F139" s="12" t="s">
        <v>19</v>
      </c>
      <c r="G139" s="9" t="s">
        <v>243</v>
      </c>
      <c r="H139" s="9">
        <v>15</v>
      </c>
      <c r="J139" s="12" t="s">
        <v>19</v>
      </c>
      <c r="K139" s="9" t="s">
        <v>243</v>
      </c>
      <c r="L139" s="9">
        <v>615.29999999999995</v>
      </c>
    </row>
    <row r="140" spans="1:12" x14ac:dyDescent="0.45">
      <c r="F140" s="13" t="s">
        <v>19</v>
      </c>
      <c r="G140" s="10" t="s">
        <v>1911</v>
      </c>
      <c r="H140" s="10">
        <v>3</v>
      </c>
      <c r="J140" s="13" t="s">
        <v>19</v>
      </c>
      <c r="K140" s="10" t="s">
        <v>1911</v>
      </c>
      <c r="L140" s="10">
        <v>285</v>
      </c>
    </row>
    <row r="152" spans="1:2" x14ac:dyDescent="0.45">
      <c r="A152" s="4" t="s">
        <v>2528</v>
      </c>
      <c r="B152" t="s">
        <v>2519</v>
      </c>
    </row>
    <row r="153" spans="1:2" x14ac:dyDescent="0.45">
      <c r="A153" s="5">
        <v>0</v>
      </c>
      <c r="B153" s="16">
        <v>175</v>
      </c>
    </row>
    <row r="154" spans="1:2" x14ac:dyDescent="0.45">
      <c r="A154" s="5">
        <v>1</v>
      </c>
      <c r="B154" s="16">
        <v>888</v>
      </c>
    </row>
    <row r="155" spans="1:2" x14ac:dyDescent="0.45">
      <c r="A155" s="5">
        <v>2</v>
      </c>
      <c r="B155" s="16">
        <v>538</v>
      </c>
    </row>
    <row r="156" spans="1:2" x14ac:dyDescent="0.45">
      <c r="A156" s="5">
        <v>3</v>
      </c>
      <c r="B156" s="16">
        <v>344</v>
      </c>
    </row>
    <row r="157" spans="1:2" x14ac:dyDescent="0.45">
      <c r="A157" s="5">
        <v>4</v>
      </c>
      <c r="B157" s="16">
        <v>200</v>
      </c>
    </row>
    <row r="158" spans="1:2" x14ac:dyDescent="0.45">
      <c r="A158" s="5">
        <v>5</v>
      </c>
      <c r="B158" s="16">
        <v>94</v>
      </c>
    </row>
    <row r="159" spans="1:2" x14ac:dyDescent="0.45">
      <c r="A159" s="5">
        <v>6</v>
      </c>
      <c r="B159" s="16">
        <v>51</v>
      </c>
    </row>
    <row r="160" spans="1:2" x14ac:dyDescent="0.45">
      <c r="A160" s="5">
        <v>7</v>
      </c>
      <c r="B160" s="16">
        <v>32</v>
      </c>
    </row>
    <row r="161" spans="1:2" x14ac:dyDescent="0.45">
      <c r="A161" s="5">
        <v>8</v>
      </c>
      <c r="B161" s="16">
        <v>23</v>
      </c>
    </row>
    <row r="162" spans="1:2" x14ac:dyDescent="0.45">
      <c r="A162" s="5">
        <v>9</v>
      </c>
      <c r="B162" s="16">
        <v>9</v>
      </c>
    </row>
    <row r="163" spans="1:2" x14ac:dyDescent="0.45">
      <c r="A163" s="5">
        <v>10</v>
      </c>
      <c r="B163" s="16">
        <v>8</v>
      </c>
    </row>
    <row r="164" spans="1:2" x14ac:dyDescent="0.45">
      <c r="A164" s="5">
        <v>11</v>
      </c>
      <c r="B164" s="16">
        <v>11</v>
      </c>
    </row>
    <row r="165" spans="1:2" x14ac:dyDescent="0.45">
      <c r="A165" s="5">
        <v>12</v>
      </c>
      <c r="B165" s="16">
        <v>4</v>
      </c>
    </row>
    <row r="166" spans="1:2" x14ac:dyDescent="0.45">
      <c r="A166" s="5">
        <v>13</v>
      </c>
      <c r="B166" s="16">
        <v>10</v>
      </c>
    </row>
    <row r="167" spans="1:2" x14ac:dyDescent="0.45">
      <c r="A167" s="5">
        <v>14</v>
      </c>
      <c r="B167" s="16">
        <v>13</v>
      </c>
    </row>
    <row r="168" spans="1:2" x14ac:dyDescent="0.45">
      <c r="A168" s="5" t="s">
        <v>2529</v>
      </c>
      <c r="B168" s="16">
        <v>2400</v>
      </c>
    </row>
    <row r="179" spans="1:7" x14ac:dyDescent="0.45">
      <c r="A179" s="4" t="s">
        <v>2519</v>
      </c>
      <c r="B179" s="4" t="s">
        <v>2530</v>
      </c>
    </row>
    <row r="180" spans="1:7" x14ac:dyDescent="0.45">
      <c r="A180" s="4" t="s">
        <v>2528</v>
      </c>
      <c r="B180">
        <v>1</v>
      </c>
      <c r="C180">
        <v>2</v>
      </c>
      <c r="D180">
        <v>3</v>
      </c>
      <c r="E180">
        <v>4</v>
      </c>
      <c r="F180">
        <v>5</v>
      </c>
      <c r="G180" t="s">
        <v>2529</v>
      </c>
    </row>
    <row r="181" spans="1:7" x14ac:dyDescent="0.45">
      <c r="A181" s="5" t="s">
        <v>2540</v>
      </c>
      <c r="B181" s="16">
        <v>7</v>
      </c>
      <c r="C181" s="16">
        <v>37</v>
      </c>
      <c r="D181" s="16">
        <v>150</v>
      </c>
      <c r="E181" s="16">
        <v>312</v>
      </c>
      <c r="F181" s="16">
        <v>224</v>
      </c>
      <c r="G181" s="16">
        <v>730</v>
      </c>
    </row>
    <row r="182" spans="1:7" x14ac:dyDescent="0.45">
      <c r="A182" s="5" t="s">
        <v>2541</v>
      </c>
      <c r="B182" s="16">
        <v>8</v>
      </c>
      <c r="C182" s="16">
        <v>51</v>
      </c>
      <c r="D182" s="16">
        <v>182</v>
      </c>
      <c r="E182" s="16">
        <v>373</v>
      </c>
      <c r="F182" s="16">
        <v>247</v>
      </c>
      <c r="G182" s="16">
        <v>861</v>
      </c>
    </row>
    <row r="183" spans="1:7" x14ac:dyDescent="0.45">
      <c r="A183" s="5" t="s">
        <v>2542</v>
      </c>
      <c r="B183" s="16">
        <v>6</v>
      </c>
      <c r="C183" s="16">
        <v>39</v>
      </c>
      <c r="D183" s="16">
        <v>163</v>
      </c>
      <c r="E183" s="16">
        <v>351</v>
      </c>
      <c r="F183" s="16">
        <v>250</v>
      </c>
      <c r="G183" s="16">
        <v>809</v>
      </c>
    </row>
    <row r="184" spans="1:7" x14ac:dyDescent="0.45">
      <c r="A184" s="5" t="s">
        <v>2529</v>
      </c>
      <c r="B184" s="16">
        <v>21</v>
      </c>
      <c r="C184" s="16">
        <v>127</v>
      </c>
      <c r="D184" s="16">
        <v>495</v>
      </c>
      <c r="E184" s="16">
        <v>1036</v>
      </c>
      <c r="F184" s="16">
        <v>721</v>
      </c>
      <c r="G184" s="16">
        <v>2400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79027-6D3C-4334-BA4A-3ACB48334906}">
  <sheetPr>
    <tabColor theme="9" tint="-0.249977111117893"/>
  </sheetPr>
  <dimension ref="A1"/>
  <sheetViews>
    <sheetView showGridLines="0" tabSelected="1" topLeftCell="A7" zoomScale="40" zoomScaleNormal="40" workbookViewId="0">
      <selection activeCell="AT40" sqref="AT40"/>
    </sheetView>
  </sheetViews>
  <sheetFormatPr defaultRowHeight="14.25" x14ac:dyDescent="0.45"/>
  <cols>
    <col min="1" max="1" width="2.9296875" customWidth="1"/>
    <col min="2" max="2" width="25.53125" customWidth="1"/>
    <col min="3" max="3" width="2.9296875" customWidth="1"/>
  </cols>
  <sheetData>
    <row r="1" customFormat="1" ht="48" customHeight="1" x14ac:dyDescent="0.4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50432-7564-4135-B111-160E90151267}">
  <dimension ref="A2:L10"/>
  <sheetViews>
    <sheetView showGridLines="0" workbookViewId="0">
      <selection activeCell="I23" sqref="I23"/>
    </sheetView>
  </sheetViews>
  <sheetFormatPr defaultRowHeight="14.25" x14ac:dyDescent="0.45"/>
  <cols>
    <col min="1" max="1" width="12.86328125" bestFit="1" customWidth="1"/>
    <col min="2" max="2" width="14.73046875" bestFit="1" customWidth="1"/>
    <col min="3" max="3" width="6.73046875" bestFit="1" customWidth="1"/>
    <col min="4" max="4" width="5.73046875" bestFit="1" customWidth="1"/>
    <col min="5" max="5" width="8.19921875" bestFit="1" customWidth="1"/>
    <col min="6" max="6" width="9.86328125" bestFit="1" customWidth="1"/>
    <col min="8" max="8" width="11.9296875" customWidth="1"/>
  </cols>
  <sheetData>
    <row r="2" spans="1:12" x14ac:dyDescent="0.45">
      <c r="H2" t="s">
        <v>2535</v>
      </c>
    </row>
    <row r="3" spans="1:12" x14ac:dyDescent="0.45">
      <c r="A3" s="4" t="s">
        <v>2521</v>
      </c>
      <c r="B3" s="4" t="s">
        <v>2530</v>
      </c>
    </row>
    <row r="4" spans="1:12" ht="14.65" thickBot="1" x14ac:dyDescent="0.5">
      <c r="A4" s="4" t="s">
        <v>2528</v>
      </c>
      <c r="B4" t="s">
        <v>2531</v>
      </c>
      <c r="C4" t="s">
        <v>2532</v>
      </c>
      <c r="D4" t="s">
        <v>2533</v>
      </c>
      <c r="E4" t="s">
        <v>2534</v>
      </c>
      <c r="F4" t="s">
        <v>2529</v>
      </c>
      <c r="I4" t="str">
        <f>B4</f>
        <v>Female</v>
      </c>
      <c r="J4" t="str">
        <f>C4</f>
        <v>Male</v>
      </c>
      <c r="K4" t="str">
        <f>D4</f>
        <v>Other</v>
      </c>
      <c r="L4" t="str">
        <f>E4</f>
        <v>Unknown</v>
      </c>
    </row>
    <row r="5" spans="1:12" ht="15" thickTop="1" thickBot="1" x14ac:dyDescent="0.5">
      <c r="A5" s="5" t="s">
        <v>18</v>
      </c>
      <c r="B5" s="7">
        <v>0.18961825201634841</v>
      </c>
      <c r="C5" s="7">
        <v>0.12262322351336576</v>
      </c>
      <c r="D5" s="7">
        <v>1.060537752469185E-2</v>
      </c>
      <c r="E5" s="7">
        <v>3.0599220547662797E-2</v>
      </c>
      <c r="F5" s="7">
        <v>0.35344607360206881</v>
      </c>
      <c r="H5" t="str">
        <f>A5</f>
        <v>App</v>
      </c>
      <c r="I5" s="8">
        <f t="shared" ref="I5:L9" si="0">B5</f>
        <v>0.18961825201634841</v>
      </c>
      <c r="J5" s="8">
        <f t="shared" si="0"/>
        <v>0.12262322351336576</v>
      </c>
      <c r="K5" s="8">
        <f t="shared" si="0"/>
        <v>1.060537752469185E-2</v>
      </c>
      <c r="L5" s="8">
        <f t="shared" si="0"/>
        <v>3.0599220547662797E-2</v>
      </c>
    </row>
    <row r="6" spans="1:12" ht="15" thickTop="1" thickBot="1" x14ac:dyDescent="0.5">
      <c r="A6" s="5" t="s">
        <v>51</v>
      </c>
      <c r="B6" s="7">
        <v>5.0283982091147303E-2</v>
      </c>
      <c r="C6" s="7">
        <v>4.3060781812819873E-2</v>
      </c>
      <c r="D6" s="7">
        <v>1.5320025675641944E-3</v>
      </c>
      <c r="E6" s="7">
        <v>1.7794988689097006E-2</v>
      </c>
      <c r="F6" s="7">
        <v>0.11267175516062837</v>
      </c>
      <c r="H6" t="str">
        <f>A6</f>
        <v>Instagram</v>
      </c>
      <c r="I6" s="8">
        <f t="shared" si="0"/>
        <v>5.0283982091147303E-2</v>
      </c>
      <c r="J6" s="8">
        <f t="shared" si="0"/>
        <v>4.3060781812819873E-2</v>
      </c>
      <c r="K6" s="8">
        <f t="shared" si="0"/>
        <v>1.5320025675641944E-3</v>
      </c>
      <c r="L6" s="8">
        <f t="shared" si="0"/>
        <v>1.7794988689097006E-2</v>
      </c>
    </row>
    <row r="7" spans="1:12" ht="15" thickTop="1" thickBot="1" x14ac:dyDescent="0.5">
      <c r="A7" s="5" t="s">
        <v>70</v>
      </c>
      <c r="B7" s="7">
        <v>6.3496059750411282E-2</v>
      </c>
      <c r="C7" s="7">
        <v>4.6071629863988765E-2</v>
      </c>
      <c r="D7" s="7">
        <v>2.306247051322625E-3</v>
      </c>
      <c r="E7" s="7">
        <v>3.8927934093844286E-3</v>
      </c>
      <c r="F7" s="7">
        <v>0.11576673007510711</v>
      </c>
      <c r="H7" t="str">
        <f>A7</f>
        <v>Partner App</v>
      </c>
      <c r="I7" s="8">
        <f t="shared" si="0"/>
        <v>6.3496059750411282E-2</v>
      </c>
      <c r="J7" s="8">
        <f t="shared" si="0"/>
        <v>4.6071629863988765E-2</v>
      </c>
      <c r="K7" s="8">
        <f t="shared" si="0"/>
        <v>2.306247051322625E-3</v>
      </c>
      <c r="L7" s="8">
        <f t="shared" si="0"/>
        <v>3.8927934093844286E-3</v>
      </c>
    </row>
    <row r="8" spans="1:12" ht="15" thickTop="1" thickBot="1" x14ac:dyDescent="0.5">
      <c r="A8" s="5" t="s">
        <v>40</v>
      </c>
      <c r="B8" s="7">
        <v>9.6337892927149532E-2</v>
      </c>
      <c r="C8" s="7">
        <v>6.7920115842382611E-2</v>
      </c>
      <c r="D8" s="7">
        <v>5.4979832664581261E-3</v>
      </c>
      <c r="E8" s="7">
        <v>1.2933041488102518E-2</v>
      </c>
      <c r="F8" s="7">
        <v>0.1826890335240928</v>
      </c>
      <c r="H8" t="str">
        <f>A8</f>
        <v>Target.com</v>
      </c>
      <c r="I8" s="8">
        <f t="shared" si="0"/>
        <v>9.6337892927149532E-2</v>
      </c>
      <c r="J8" s="8">
        <f t="shared" si="0"/>
        <v>6.7920115842382611E-2</v>
      </c>
      <c r="K8" s="8">
        <f t="shared" si="0"/>
        <v>5.4979832664581261E-3</v>
      </c>
      <c r="L8" s="8">
        <f t="shared" si="0"/>
        <v>1.2933041488102518E-2</v>
      </c>
    </row>
    <row r="9" spans="1:12" ht="15" thickTop="1" thickBot="1" x14ac:dyDescent="0.5">
      <c r="A9" s="5" t="s">
        <v>35</v>
      </c>
      <c r="B9" s="7">
        <v>0.12522098709469262</v>
      </c>
      <c r="C9" s="7">
        <v>9.1492740283116228E-2</v>
      </c>
      <c r="D9" s="7">
        <v>6.3042760790965081E-3</v>
      </c>
      <c r="E9" s="7">
        <v>1.2408404181197551E-2</v>
      </c>
      <c r="F9" s="7">
        <v>0.23542640763810288</v>
      </c>
      <c r="H9" t="str">
        <f>A9</f>
        <v>Website</v>
      </c>
      <c r="I9" s="8">
        <f t="shared" si="0"/>
        <v>0.12522098709469262</v>
      </c>
      <c r="J9" s="8">
        <f t="shared" si="0"/>
        <v>9.1492740283116228E-2</v>
      </c>
      <c r="K9" s="8">
        <f t="shared" si="0"/>
        <v>6.3042760790965081E-3</v>
      </c>
      <c r="L9" s="8">
        <f t="shared" si="0"/>
        <v>1.2408404181197551E-2</v>
      </c>
    </row>
    <row r="10" spans="1:12" ht="14.65" thickTop="1" x14ac:dyDescent="0.45">
      <c r="A10" s="5" t="s">
        <v>2529</v>
      </c>
      <c r="B10" s="7">
        <v>0.52495717387974916</v>
      </c>
      <c r="C10" s="7">
        <v>0.3711684913156732</v>
      </c>
      <c r="D10" s="7">
        <v>2.6245886489133303E-2</v>
      </c>
      <c r="E10" s="7">
        <v>7.7628448315444312E-2</v>
      </c>
      <c r="F10" s="7">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73" workbookViewId="0">
      <selection activeCell="K2" sqref="K2"/>
    </sheetView>
  </sheetViews>
  <sheetFormatPr defaultRowHeight="14.25" x14ac:dyDescent="0.45"/>
  <cols>
    <col min="2" max="2" width="19.1328125" bestFit="1" customWidth="1"/>
    <col min="3" max="3" width="8.1328125" bestFit="1" customWidth="1"/>
    <col min="4" max="4" width="9.1328125" bestFit="1" customWidth="1"/>
    <col min="5" max="5" width="7.46484375" bestFit="1" customWidth="1"/>
    <col min="6" max="6" width="10" bestFit="1" customWidth="1"/>
    <col min="7" max="7" width="9.46484375" bestFit="1" customWidth="1"/>
    <col min="8" max="8" width="15.6640625" bestFit="1" customWidth="1"/>
    <col min="9" max="9" width="10.6640625" bestFit="1" customWidth="1"/>
    <col min="10" max="10" width="7.796875" bestFit="1" customWidth="1"/>
    <col min="11" max="11" width="8.796875" bestFit="1" customWidth="1"/>
    <col min="12" max="12" width="19.6640625" bestFit="1" customWidth="1"/>
    <col min="13" max="13" width="13.33203125" bestFit="1" customWidth="1"/>
    <col min="14" max="14" width="9.33203125" bestFit="1" customWidth="1"/>
    <col min="15" max="15" width="12.1328125" bestFit="1" customWidth="1"/>
  </cols>
  <sheetData>
    <row r="1" spans="1:15" x14ac:dyDescent="0.45">
      <c r="A1" t="s">
        <v>0</v>
      </c>
      <c r="B1" t="s">
        <v>1</v>
      </c>
      <c r="C1" t="s">
        <v>2</v>
      </c>
      <c r="D1" t="s">
        <v>3</v>
      </c>
      <c r="E1" t="s">
        <v>4</v>
      </c>
      <c r="F1" t="s">
        <v>5</v>
      </c>
      <c r="G1" t="s">
        <v>6</v>
      </c>
      <c r="H1" t="s">
        <v>7</v>
      </c>
      <c r="I1" t="s">
        <v>8</v>
      </c>
      <c r="J1" t="s">
        <v>9</v>
      </c>
      <c r="K1" t="s">
        <v>10</v>
      </c>
      <c r="L1" t="s">
        <v>11</v>
      </c>
      <c r="M1" s="2" t="s">
        <v>12</v>
      </c>
      <c r="N1" s="2" t="s">
        <v>13</v>
      </c>
      <c r="O1" s="2" t="s">
        <v>14</v>
      </c>
    </row>
    <row r="2" spans="1:15" x14ac:dyDescent="0.4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_xlfn.IFS(orders[[#This Row],[Customer Gender]]="M","Male", orders[[#This Row],[Customer Gender]]="F","Female", orders[[#This Row],[Customer Gender]]="O","Other", TRUE,"Unknown")</f>
        <v>Unknown</v>
      </c>
    </row>
    <row r="3" spans="1:15" x14ac:dyDescent="0.4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_xlfn.IFS(orders[[#This Row],[Customer Gender]]="M","Male", orders[[#This Row],[Customer Gender]]="F","Female", orders[[#This Row],[Customer Gender]]="O","Other", TRUE,"Unknown")</f>
        <v>Male</v>
      </c>
    </row>
    <row r="4" spans="1:15" x14ac:dyDescent="0.4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_xlfn.IFS(orders[[#This Row],[Customer Gender]]="M","Male", orders[[#This Row],[Customer Gender]]="F","Female", orders[[#This Row],[Customer Gender]]="O","Other", TRUE,"Unknown")</f>
        <v>Female</v>
      </c>
    </row>
    <row r="5" spans="1:15" x14ac:dyDescent="0.4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_xlfn.IFS(orders[[#This Row],[Customer Gender]]="M","Male", orders[[#This Row],[Customer Gender]]="F","Female", orders[[#This Row],[Customer Gender]]="O","Other", TRUE,"Unknown")</f>
        <v>Female</v>
      </c>
    </row>
    <row r="6" spans="1:15" x14ac:dyDescent="0.4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_xlfn.IFS(orders[[#This Row],[Customer Gender]]="M","Male", orders[[#This Row],[Customer Gender]]="F","Female", orders[[#This Row],[Customer Gender]]="O","Other", TRUE,"Unknown")</f>
        <v>Female</v>
      </c>
    </row>
    <row r="7" spans="1:15" x14ac:dyDescent="0.4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_xlfn.IFS(orders[[#This Row],[Customer Gender]]="M","Male", orders[[#This Row],[Customer Gender]]="F","Female", orders[[#This Row],[Customer Gender]]="O","Other", TRUE,"Unknown")</f>
        <v>Male</v>
      </c>
    </row>
    <row r="8" spans="1:15" x14ac:dyDescent="0.4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_xlfn.IFS(orders[[#This Row],[Customer Gender]]="M","Male", orders[[#This Row],[Customer Gender]]="F","Female", orders[[#This Row],[Customer Gender]]="O","Other", TRUE,"Unknown")</f>
        <v>Female</v>
      </c>
    </row>
    <row r="9" spans="1:15" x14ac:dyDescent="0.4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_xlfn.IFS(orders[[#This Row],[Customer Gender]]="M","Male", orders[[#This Row],[Customer Gender]]="F","Female", orders[[#This Row],[Customer Gender]]="O","Other", TRUE,"Unknown")</f>
        <v>Male</v>
      </c>
    </row>
    <row r="10" spans="1:15" x14ac:dyDescent="0.4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_xlfn.IFS(orders[[#This Row],[Customer Gender]]="M","Male", orders[[#This Row],[Customer Gender]]="F","Female", orders[[#This Row],[Customer Gender]]="O","Other", TRUE,"Unknown")</f>
        <v>Female</v>
      </c>
    </row>
    <row r="11" spans="1:15" x14ac:dyDescent="0.4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_xlfn.IFS(orders[[#This Row],[Customer Gender]]="M","Male", orders[[#This Row],[Customer Gender]]="F","Female", orders[[#This Row],[Customer Gender]]="O","Other", TRUE,"Unknown")</f>
        <v>Male</v>
      </c>
    </row>
    <row r="12" spans="1:15" x14ac:dyDescent="0.4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_xlfn.IFS(orders[[#This Row],[Customer Gender]]="M","Male", orders[[#This Row],[Customer Gender]]="F","Female", orders[[#This Row],[Customer Gender]]="O","Other", TRUE,"Unknown")</f>
        <v>Female</v>
      </c>
    </row>
    <row r="13" spans="1:15" x14ac:dyDescent="0.4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_xlfn.IFS(orders[[#This Row],[Customer Gender]]="M","Male", orders[[#This Row],[Customer Gender]]="F","Female", orders[[#This Row],[Customer Gender]]="O","Other", TRUE,"Unknown")</f>
        <v>Female</v>
      </c>
    </row>
    <row r="14" spans="1:15" x14ac:dyDescent="0.4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_xlfn.IFS(orders[[#This Row],[Customer Gender]]="M","Male", orders[[#This Row],[Customer Gender]]="F","Female", orders[[#This Row],[Customer Gender]]="O","Other", TRUE,"Unknown")</f>
        <v>Female</v>
      </c>
    </row>
    <row r="15" spans="1:15" x14ac:dyDescent="0.4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_xlfn.IFS(orders[[#This Row],[Customer Gender]]="M","Male", orders[[#This Row],[Customer Gender]]="F","Female", orders[[#This Row],[Customer Gender]]="O","Other", TRUE,"Unknown")</f>
        <v>Male</v>
      </c>
    </row>
    <row r="16" spans="1:15" x14ac:dyDescent="0.4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_xlfn.IFS(orders[[#This Row],[Customer Gender]]="M","Male", orders[[#This Row],[Customer Gender]]="F","Female", orders[[#This Row],[Customer Gender]]="O","Other", TRUE,"Unknown")</f>
        <v>Male</v>
      </c>
    </row>
    <row r="17" spans="1:15" x14ac:dyDescent="0.4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_xlfn.IFS(orders[[#This Row],[Customer Gender]]="M","Male", orders[[#This Row],[Customer Gender]]="F","Female", orders[[#This Row],[Customer Gender]]="O","Other", TRUE,"Unknown")</f>
        <v>Male</v>
      </c>
    </row>
    <row r="18" spans="1:15" x14ac:dyDescent="0.4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_xlfn.IFS(orders[[#This Row],[Customer Gender]]="M","Male", orders[[#This Row],[Customer Gender]]="F","Female", orders[[#This Row],[Customer Gender]]="O","Other", TRUE,"Unknown")</f>
        <v>Female</v>
      </c>
    </row>
    <row r="19" spans="1:15" x14ac:dyDescent="0.4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_xlfn.IFS(orders[[#This Row],[Customer Gender]]="M","Male", orders[[#This Row],[Customer Gender]]="F","Female", orders[[#This Row],[Customer Gender]]="O","Other", TRUE,"Unknown")</f>
        <v>Female</v>
      </c>
    </row>
    <row r="20" spans="1:15" x14ac:dyDescent="0.4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_xlfn.IFS(orders[[#This Row],[Customer Gender]]="M","Male", orders[[#This Row],[Customer Gender]]="F","Female", orders[[#This Row],[Customer Gender]]="O","Other", TRUE,"Unknown")</f>
        <v>Female</v>
      </c>
    </row>
    <row r="21" spans="1:15" x14ac:dyDescent="0.4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_xlfn.IFS(orders[[#This Row],[Customer Gender]]="M","Male", orders[[#This Row],[Customer Gender]]="F","Female", orders[[#This Row],[Customer Gender]]="O","Other", TRUE,"Unknown")</f>
        <v>Female</v>
      </c>
    </row>
    <row r="22" spans="1:15" x14ac:dyDescent="0.4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_xlfn.IFS(orders[[#This Row],[Customer Gender]]="M","Male", orders[[#This Row],[Customer Gender]]="F","Female", orders[[#This Row],[Customer Gender]]="O","Other", TRUE,"Unknown")</f>
        <v>Female</v>
      </c>
    </row>
    <row r="23" spans="1:15" x14ac:dyDescent="0.4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_xlfn.IFS(orders[[#This Row],[Customer Gender]]="M","Male", orders[[#This Row],[Customer Gender]]="F","Female", orders[[#This Row],[Customer Gender]]="O","Other", TRUE,"Unknown")</f>
        <v>Female</v>
      </c>
    </row>
    <row r="24" spans="1:15" x14ac:dyDescent="0.4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_xlfn.IFS(orders[[#This Row],[Customer Gender]]="M","Male", orders[[#This Row],[Customer Gender]]="F","Female", orders[[#This Row],[Customer Gender]]="O","Other", TRUE,"Unknown")</f>
        <v>Male</v>
      </c>
    </row>
    <row r="25" spans="1:15" x14ac:dyDescent="0.4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_xlfn.IFS(orders[[#This Row],[Customer Gender]]="M","Male", orders[[#This Row],[Customer Gender]]="F","Female", orders[[#This Row],[Customer Gender]]="O","Other", TRUE,"Unknown")</f>
        <v>Female</v>
      </c>
    </row>
    <row r="26" spans="1:15" x14ac:dyDescent="0.4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_xlfn.IFS(orders[[#This Row],[Customer Gender]]="M","Male", orders[[#This Row],[Customer Gender]]="F","Female", orders[[#This Row],[Customer Gender]]="O","Other", TRUE,"Unknown")</f>
        <v>Female</v>
      </c>
    </row>
    <row r="27" spans="1:15" x14ac:dyDescent="0.4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_xlfn.IFS(orders[[#This Row],[Customer Gender]]="M","Male", orders[[#This Row],[Customer Gender]]="F","Female", orders[[#This Row],[Customer Gender]]="O","Other", TRUE,"Unknown")</f>
        <v>Female</v>
      </c>
    </row>
    <row r="28" spans="1:15" x14ac:dyDescent="0.4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_xlfn.IFS(orders[[#This Row],[Customer Gender]]="M","Male", orders[[#This Row],[Customer Gender]]="F","Female", orders[[#This Row],[Customer Gender]]="O","Other", TRUE,"Unknown")</f>
        <v>Male</v>
      </c>
    </row>
    <row r="29" spans="1:15" x14ac:dyDescent="0.4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_xlfn.IFS(orders[[#This Row],[Customer Gender]]="M","Male", orders[[#This Row],[Customer Gender]]="F","Female", orders[[#This Row],[Customer Gender]]="O","Other", TRUE,"Unknown")</f>
        <v>Unknown</v>
      </c>
    </row>
    <row r="30" spans="1:15" x14ac:dyDescent="0.4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_xlfn.IFS(orders[[#This Row],[Customer Gender]]="M","Male", orders[[#This Row],[Customer Gender]]="F","Female", orders[[#This Row],[Customer Gender]]="O","Other", TRUE,"Unknown")</f>
        <v>Unknown</v>
      </c>
    </row>
    <row r="31" spans="1:15" x14ac:dyDescent="0.4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_xlfn.IFS(orders[[#This Row],[Customer Gender]]="M","Male", orders[[#This Row],[Customer Gender]]="F","Female", orders[[#This Row],[Customer Gender]]="O","Other", TRUE,"Unknown")</f>
        <v>Female</v>
      </c>
    </row>
    <row r="32" spans="1:15" x14ac:dyDescent="0.4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_xlfn.IFS(orders[[#This Row],[Customer Gender]]="M","Male", orders[[#This Row],[Customer Gender]]="F","Female", orders[[#This Row],[Customer Gender]]="O","Other", TRUE,"Unknown")</f>
        <v>Male</v>
      </c>
    </row>
    <row r="33" spans="1:15" x14ac:dyDescent="0.4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_xlfn.IFS(orders[[#This Row],[Customer Gender]]="M","Male", orders[[#This Row],[Customer Gender]]="F","Female", orders[[#This Row],[Customer Gender]]="O","Other", TRUE,"Unknown")</f>
        <v>Male</v>
      </c>
    </row>
    <row r="34" spans="1:15" x14ac:dyDescent="0.4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_xlfn.IFS(orders[[#This Row],[Customer Gender]]="M","Male", orders[[#This Row],[Customer Gender]]="F","Female", orders[[#This Row],[Customer Gender]]="O","Other", TRUE,"Unknown")</f>
        <v>Male</v>
      </c>
    </row>
    <row r="35" spans="1:15" x14ac:dyDescent="0.4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_xlfn.IFS(orders[[#This Row],[Customer Gender]]="M","Male", orders[[#This Row],[Customer Gender]]="F","Female", orders[[#This Row],[Customer Gender]]="O","Other", TRUE,"Unknown")</f>
        <v>Other</v>
      </c>
    </row>
    <row r="36" spans="1:15" x14ac:dyDescent="0.4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_xlfn.IFS(orders[[#This Row],[Customer Gender]]="M","Male", orders[[#This Row],[Customer Gender]]="F","Female", orders[[#This Row],[Customer Gender]]="O","Other", TRUE,"Unknown")</f>
        <v>Male</v>
      </c>
    </row>
    <row r="37" spans="1:15" x14ac:dyDescent="0.4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_xlfn.IFS(orders[[#This Row],[Customer Gender]]="M","Male", orders[[#This Row],[Customer Gender]]="F","Female", orders[[#This Row],[Customer Gender]]="O","Other", TRUE,"Unknown")</f>
        <v>Male</v>
      </c>
    </row>
    <row r="38" spans="1:15" x14ac:dyDescent="0.4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_xlfn.IFS(orders[[#This Row],[Customer Gender]]="M","Male", orders[[#This Row],[Customer Gender]]="F","Female", orders[[#This Row],[Customer Gender]]="O","Other", TRUE,"Unknown")</f>
        <v>Male</v>
      </c>
    </row>
    <row r="39" spans="1:15" x14ac:dyDescent="0.4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_xlfn.IFS(orders[[#This Row],[Customer Gender]]="M","Male", orders[[#This Row],[Customer Gender]]="F","Female", orders[[#This Row],[Customer Gender]]="O","Other", TRUE,"Unknown")</f>
        <v>Male</v>
      </c>
    </row>
    <row r="40" spans="1:15" x14ac:dyDescent="0.4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_xlfn.IFS(orders[[#This Row],[Customer Gender]]="M","Male", orders[[#This Row],[Customer Gender]]="F","Female", orders[[#This Row],[Customer Gender]]="O","Other", TRUE,"Unknown")</f>
        <v>Male</v>
      </c>
    </row>
    <row r="41" spans="1:15" x14ac:dyDescent="0.4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_xlfn.IFS(orders[[#This Row],[Customer Gender]]="M","Male", orders[[#This Row],[Customer Gender]]="F","Female", orders[[#This Row],[Customer Gender]]="O","Other", TRUE,"Unknown")</f>
        <v>Female</v>
      </c>
    </row>
    <row r="42" spans="1:15" x14ac:dyDescent="0.4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_xlfn.IFS(orders[[#This Row],[Customer Gender]]="M","Male", orders[[#This Row],[Customer Gender]]="F","Female", orders[[#This Row],[Customer Gender]]="O","Other", TRUE,"Unknown")</f>
        <v>Female</v>
      </c>
    </row>
    <row r="43" spans="1:15" x14ac:dyDescent="0.4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_xlfn.IFS(orders[[#This Row],[Customer Gender]]="M","Male", orders[[#This Row],[Customer Gender]]="F","Female", orders[[#This Row],[Customer Gender]]="O","Other", TRUE,"Unknown")</f>
        <v>Male</v>
      </c>
    </row>
    <row r="44" spans="1:15" x14ac:dyDescent="0.4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_xlfn.IFS(orders[[#This Row],[Customer Gender]]="M","Male", orders[[#This Row],[Customer Gender]]="F","Female", orders[[#This Row],[Customer Gender]]="O","Other", TRUE,"Unknown")</f>
        <v>Male</v>
      </c>
    </row>
    <row r="45" spans="1:15" x14ac:dyDescent="0.4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_xlfn.IFS(orders[[#This Row],[Customer Gender]]="M","Male", orders[[#This Row],[Customer Gender]]="F","Female", orders[[#This Row],[Customer Gender]]="O","Other", TRUE,"Unknown")</f>
        <v>Female</v>
      </c>
    </row>
    <row r="46" spans="1:15" x14ac:dyDescent="0.4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_xlfn.IFS(orders[[#This Row],[Customer Gender]]="M","Male", orders[[#This Row],[Customer Gender]]="F","Female", orders[[#This Row],[Customer Gender]]="O","Other", TRUE,"Unknown")</f>
        <v>Female</v>
      </c>
    </row>
    <row r="47" spans="1:15" x14ac:dyDescent="0.4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_xlfn.IFS(orders[[#This Row],[Customer Gender]]="M","Male", orders[[#This Row],[Customer Gender]]="F","Female", orders[[#This Row],[Customer Gender]]="O","Other", TRUE,"Unknown")</f>
        <v>Female</v>
      </c>
    </row>
    <row r="48" spans="1:15" x14ac:dyDescent="0.4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_xlfn.IFS(orders[[#This Row],[Customer Gender]]="M","Male", orders[[#This Row],[Customer Gender]]="F","Female", orders[[#This Row],[Customer Gender]]="O","Other", TRUE,"Unknown")</f>
        <v>Male</v>
      </c>
    </row>
    <row r="49" spans="1:15" x14ac:dyDescent="0.4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_xlfn.IFS(orders[[#This Row],[Customer Gender]]="M","Male", orders[[#This Row],[Customer Gender]]="F","Female", orders[[#This Row],[Customer Gender]]="O","Other", TRUE,"Unknown")</f>
        <v>Female</v>
      </c>
    </row>
    <row r="50" spans="1:15" x14ac:dyDescent="0.4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_xlfn.IFS(orders[[#This Row],[Customer Gender]]="M","Male", orders[[#This Row],[Customer Gender]]="F","Female", orders[[#This Row],[Customer Gender]]="O","Other", TRUE,"Unknown")</f>
        <v>Female</v>
      </c>
    </row>
    <row r="51" spans="1:15" x14ac:dyDescent="0.4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_xlfn.IFS(orders[[#This Row],[Customer Gender]]="M","Male", orders[[#This Row],[Customer Gender]]="F","Female", orders[[#This Row],[Customer Gender]]="O","Other", TRUE,"Unknown")</f>
        <v>Female</v>
      </c>
    </row>
    <row r="52" spans="1:15" x14ac:dyDescent="0.4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_xlfn.IFS(orders[[#This Row],[Customer Gender]]="M","Male", orders[[#This Row],[Customer Gender]]="F","Female", orders[[#This Row],[Customer Gender]]="O","Other", TRUE,"Unknown")</f>
        <v>Male</v>
      </c>
    </row>
    <row r="53" spans="1:15" x14ac:dyDescent="0.4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_xlfn.IFS(orders[[#This Row],[Customer Gender]]="M","Male", orders[[#This Row],[Customer Gender]]="F","Female", orders[[#This Row],[Customer Gender]]="O","Other", TRUE,"Unknown")</f>
        <v>Female</v>
      </c>
    </row>
    <row r="54" spans="1:15" x14ac:dyDescent="0.4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_xlfn.IFS(orders[[#This Row],[Customer Gender]]="M","Male", orders[[#This Row],[Customer Gender]]="F","Female", orders[[#This Row],[Customer Gender]]="O","Other", TRUE,"Unknown")</f>
        <v>Male</v>
      </c>
    </row>
    <row r="55" spans="1:15" x14ac:dyDescent="0.4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_xlfn.IFS(orders[[#This Row],[Customer Gender]]="M","Male", orders[[#This Row],[Customer Gender]]="F","Female", orders[[#This Row],[Customer Gender]]="O","Other", TRUE,"Unknown")</f>
        <v>Female</v>
      </c>
    </row>
    <row r="56" spans="1:15" x14ac:dyDescent="0.4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_xlfn.IFS(orders[[#This Row],[Customer Gender]]="M","Male", orders[[#This Row],[Customer Gender]]="F","Female", orders[[#This Row],[Customer Gender]]="O","Other", TRUE,"Unknown")</f>
        <v>Male</v>
      </c>
    </row>
    <row r="57" spans="1:15" x14ac:dyDescent="0.4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_xlfn.IFS(orders[[#This Row],[Customer Gender]]="M","Male", orders[[#This Row],[Customer Gender]]="F","Female", orders[[#This Row],[Customer Gender]]="O","Other", TRUE,"Unknown")</f>
        <v>Male</v>
      </c>
    </row>
    <row r="58" spans="1:15" x14ac:dyDescent="0.4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_xlfn.IFS(orders[[#This Row],[Customer Gender]]="M","Male", orders[[#This Row],[Customer Gender]]="F","Female", orders[[#This Row],[Customer Gender]]="O","Other", TRUE,"Unknown")</f>
        <v>Female</v>
      </c>
    </row>
    <row r="59" spans="1:15" x14ac:dyDescent="0.4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_xlfn.IFS(orders[[#This Row],[Customer Gender]]="M","Male", orders[[#This Row],[Customer Gender]]="F","Female", orders[[#This Row],[Customer Gender]]="O","Other", TRUE,"Unknown")</f>
        <v>Female</v>
      </c>
    </row>
    <row r="60" spans="1:15" x14ac:dyDescent="0.4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_xlfn.IFS(orders[[#This Row],[Customer Gender]]="M","Male", orders[[#This Row],[Customer Gender]]="F","Female", orders[[#This Row],[Customer Gender]]="O","Other", TRUE,"Unknown")</f>
        <v>Male</v>
      </c>
    </row>
    <row r="61" spans="1:15" x14ac:dyDescent="0.4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_xlfn.IFS(orders[[#This Row],[Customer Gender]]="M","Male", orders[[#This Row],[Customer Gender]]="F","Female", orders[[#This Row],[Customer Gender]]="O","Other", TRUE,"Unknown")</f>
        <v>Female</v>
      </c>
    </row>
    <row r="62" spans="1:15" x14ac:dyDescent="0.4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_xlfn.IFS(orders[[#This Row],[Customer Gender]]="M","Male", orders[[#This Row],[Customer Gender]]="F","Female", orders[[#This Row],[Customer Gender]]="O","Other", TRUE,"Unknown")</f>
        <v>Female</v>
      </c>
    </row>
    <row r="63" spans="1:15" x14ac:dyDescent="0.4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_xlfn.IFS(orders[[#This Row],[Customer Gender]]="M","Male", orders[[#This Row],[Customer Gender]]="F","Female", orders[[#This Row],[Customer Gender]]="O","Other", TRUE,"Unknown")</f>
        <v>Female</v>
      </c>
    </row>
    <row r="64" spans="1:15" x14ac:dyDescent="0.4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_xlfn.IFS(orders[[#This Row],[Customer Gender]]="M","Male", orders[[#This Row],[Customer Gender]]="F","Female", orders[[#This Row],[Customer Gender]]="O","Other", TRUE,"Unknown")</f>
        <v>Female</v>
      </c>
    </row>
    <row r="65" spans="1:15" x14ac:dyDescent="0.4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_xlfn.IFS(orders[[#This Row],[Customer Gender]]="M","Male", orders[[#This Row],[Customer Gender]]="F","Female", orders[[#This Row],[Customer Gender]]="O","Other", TRUE,"Unknown")</f>
        <v>Male</v>
      </c>
    </row>
    <row r="66" spans="1:15" x14ac:dyDescent="0.4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_xlfn.IFS(orders[[#This Row],[Customer Gender]]="M","Male", orders[[#This Row],[Customer Gender]]="F","Female", orders[[#This Row],[Customer Gender]]="O","Other", TRUE,"Unknown")</f>
        <v>Female</v>
      </c>
    </row>
    <row r="67" spans="1:15" x14ac:dyDescent="0.4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_xlfn.IFS(orders[[#This Row],[Customer Gender]]="M","Male", orders[[#This Row],[Customer Gender]]="F","Female", orders[[#This Row],[Customer Gender]]="O","Other", TRUE,"Unknown")</f>
        <v>Female</v>
      </c>
    </row>
    <row r="68" spans="1:15" x14ac:dyDescent="0.4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_xlfn.IFS(orders[[#This Row],[Customer Gender]]="M","Male", orders[[#This Row],[Customer Gender]]="F","Female", orders[[#This Row],[Customer Gender]]="O","Other", TRUE,"Unknown")</f>
        <v>Male</v>
      </c>
    </row>
    <row r="69" spans="1:15" x14ac:dyDescent="0.4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_xlfn.IFS(orders[[#This Row],[Customer Gender]]="M","Male", orders[[#This Row],[Customer Gender]]="F","Female", orders[[#This Row],[Customer Gender]]="O","Other", TRUE,"Unknown")</f>
        <v>Female</v>
      </c>
    </row>
    <row r="70" spans="1:15" x14ac:dyDescent="0.4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_xlfn.IFS(orders[[#This Row],[Customer Gender]]="M","Male", orders[[#This Row],[Customer Gender]]="F","Female", orders[[#This Row],[Customer Gender]]="O","Other", TRUE,"Unknown")</f>
        <v>Female</v>
      </c>
    </row>
    <row r="71" spans="1:15" x14ac:dyDescent="0.4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_xlfn.IFS(orders[[#This Row],[Customer Gender]]="M","Male", orders[[#This Row],[Customer Gender]]="F","Female", orders[[#This Row],[Customer Gender]]="O","Other", TRUE,"Unknown")</f>
        <v>Male</v>
      </c>
    </row>
    <row r="72" spans="1:15" x14ac:dyDescent="0.4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_xlfn.IFS(orders[[#This Row],[Customer Gender]]="M","Male", orders[[#This Row],[Customer Gender]]="F","Female", orders[[#This Row],[Customer Gender]]="O","Other", TRUE,"Unknown")</f>
        <v>Male</v>
      </c>
    </row>
    <row r="73" spans="1:15" x14ac:dyDescent="0.4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_xlfn.IFS(orders[[#This Row],[Customer Gender]]="M","Male", orders[[#This Row],[Customer Gender]]="F","Female", orders[[#This Row],[Customer Gender]]="O","Other", TRUE,"Unknown")</f>
        <v>Female</v>
      </c>
    </row>
    <row r="74" spans="1:15" x14ac:dyDescent="0.4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_xlfn.IFS(orders[[#This Row],[Customer Gender]]="M","Male", orders[[#This Row],[Customer Gender]]="F","Female", orders[[#This Row],[Customer Gender]]="O","Other", TRUE,"Unknown")</f>
        <v>Female</v>
      </c>
    </row>
    <row r="75" spans="1:15" x14ac:dyDescent="0.4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_xlfn.IFS(orders[[#This Row],[Customer Gender]]="M","Male", orders[[#This Row],[Customer Gender]]="F","Female", orders[[#This Row],[Customer Gender]]="O","Other", TRUE,"Unknown")</f>
        <v>Female</v>
      </c>
    </row>
    <row r="76" spans="1:15" x14ac:dyDescent="0.4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_xlfn.IFS(orders[[#This Row],[Customer Gender]]="M","Male", orders[[#This Row],[Customer Gender]]="F","Female", orders[[#This Row],[Customer Gender]]="O","Other", TRUE,"Unknown")</f>
        <v>Male</v>
      </c>
    </row>
    <row r="77" spans="1:15" x14ac:dyDescent="0.4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_xlfn.IFS(orders[[#This Row],[Customer Gender]]="M","Male", orders[[#This Row],[Customer Gender]]="F","Female", orders[[#This Row],[Customer Gender]]="O","Other", TRUE,"Unknown")</f>
        <v>Other</v>
      </c>
    </row>
    <row r="78" spans="1:15" x14ac:dyDescent="0.4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_xlfn.IFS(orders[[#This Row],[Customer Gender]]="M","Male", orders[[#This Row],[Customer Gender]]="F","Female", orders[[#This Row],[Customer Gender]]="O","Other", TRUE,"Unknown")</f>
        <v>Female</v>
      </c>
    </row>
    <row r="79" spans="1:15" x14ac:dyDescent="0.4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_xlfn.IFS(orders[[#This Row],[Customer Gender]]="M","Male", orders[[#This Row],[Customer Gender]]="F","Female", orders[[#This Row],[Customer Gender]]="O","Other", TRUE,"Unknown")</f>
        <v>Male</v>
      </c>
    </row>
    <row r="80" spans="1:15" x14ac:dyDescent="0.4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_xlfn.IFS(orders[[#This Row],[Customer Gender]]="M","Male", orders[[#This Row],[Customer Gender]]="F","Female", orders[[#This Row],[Customer Gender]]="O","Other", TRUE,"Unknown")</f>
        <v>Female</v>
      </c>
    </row>
    <row r="81" spans="1:15" x14ac:dyDescent="0.4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_xlfn.IFS(orders[[#This Row],[Customer Gender]]="M","Male", orders[[#This Row],[Customer Gender]]="F","Female", orders[[#This Row],[Customer Gender]]="O","Other", TRUE,"Unknown")</f>
        <v>Female</v>
      </c>
    </row>
    <row r="82" spans="1:15" x14ac:dyDescent="0.4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_xlfn.IFS(orders[[#This Row],[Customer Gender]]="M","Male", orders[[#This Row],[Customer Gender]]="F","Female", orders[[#This Row],[Customer Gender]]="O","Other", TRUE,"Unknown")</f>
        <v>Male</v>
      </c>
    </row>
    <row r="83" spans="1:15" x14ac:dyDescent="0.4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_xlfn.IFS(orders[[#This Row],[Customer Gender]]="M","Male", orders[[#This Row],[Customer Gender]]="F","Female", orders[[#This Row],[Customer Gender]]="O","Other", TRUE,"Unknown")</f>
        <v>Female</v>
      </c>
    </row>
    <row r="84" spans="1:15" x14ac:dyDescent="0.4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_xlfn.IFS(orders[[#This Row],[Customer Gender]]="M","Male", orders[[#This Row],[Customer Gender]]="F","Female", orders[[#This Row],[Customer Gender]]="O","Other", TRUE,"Unknown")</f>
        <v>Male</v>
      </c>
    </row>
    <row r="85" spans="1:15" x14ac:dyDescent="0.4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_xlfn.IFS(orders[[#This Row],[Customer Gender]]="M","Male", orders[[#This Row],[Customer Gender]]="F","Female", orders[[#This Row],[Customer Gender]]="O","Other", TRUE,"Unknown")</f>
        <v>Female</v>
      </c>
    </row>
    <row r="86" spans="1:15" x14ac:dyDescent="0.4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_xlfn.IFS(orders[[#This Row],[Customer Gender]]="M","Male", orders[[#This Row],[Customer Gender]]="F","Female", orders[[#This Row],[Customer Gender]]="O","Other", TRUE,"Unknown")</f>
        <v>Male</v>
      </c>
    </row>
    <row r="87" spans="1:15" x14ac:dyDescent="0.4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_xlfn.IFS(orders[[#This Row],[Customer Gender]]="M","Male", orders[[#This Row],[Customer Gender]]="F","Female", orders[[#This Row],[Customer Gender]]="O","Other", TRUE,"Unknown")</f>
        <v>Male</v>
      </c>
    </row>
    <row r="88" spans="1:15" x14ac:dyDescent="0.4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_xlfn.IFS(orders[[#This Row],[Customer Gender]]="M","Male", orders[[#This Row],[Customer Gender]]="F","Female", orders[[#This Row],[Customer Gender]]="O","Other", TRUE,"Unknown")</f>
        <v>Female</v>
      </c>
    </row>
    <row r="89" spans="1:15" x14ac:dyDescent="0.4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_xlfn.IFS(orders[[#This Row],[Customer Gender]]="M","Male", orders[[#This Row],[Customer Gender]]="F","Female", orders[[#This Row],[Customer Gender]]="O","Other", TRUE,"Unknown")</f>
        <v>Male</v>
      </c>
    </row>
    <row r="90" spans="1:15" x14ac:dyDescent="0.4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_xlfn.IFS(orders[[#This Row],[Customer Gender]]="M","Male", orders[[#This Row],[Customer Gender]]="F","Female", orders[[#This Row],[Customer Gender]]="O","Other", TRUE,"Unknown")</f>
        <v>Male</v>
      </c>
    </row>
    <row r="91" spans="1:15" x14ac:dyDescent="0.4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_xlfn.IFS(orders[[#This Row],[Customer Gender]]="M","Male", orders[[#This Row],[Customer Gender]]="F","Female", orders[[#This Row],[Customer Gender]]="O","Other", TRUE,"Unknown")</f>
        <v>Female</v>
      </c>
    </row>
    <row r="92" spans="1:15" x14ac:dyDescent="0.4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_xlfn.IFS(orders[[#This Row],[Customer Gender]]="M","Male", orders[[#This Row],[Customer Gender]]="F","Female", orders[[#This Row],[Customer Gender]]="O","Other", TRUE,"Unknown")</f>
        <v>Unknown</v>
      </c>
    </row>
    <row r="93" spans="1:15" x14ac:dyDescent="0.4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_xlfn.IFS(orders[[#This Row],[Customer Gender]]="M","Male", orders[[#This Row],[Customer Gender]]="F","Female", orders[[#This Row],[Customer Gender]]="O","Other", TRUE,"Unknown")</f>
        <v>Female</v>
      </c>
    </row>
    <row r="94" spans="1:15" x14ac:dyDescent="0.4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_xlfn.IFS(orders[[#This Row],[Customer Gender]]="M","Male", orders[[#This Row],[Customer Gender]]="F","Female", orders[[#This Row],[Customer Gender]]="O","Other", TRUE,"Unknown")</f>
        <v>Male</v>
      </c>
    </row>
    <row r="95" spans="1:15" x14ac:dyDescent="0.4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_xlfn.IFS(orders[[#This Row],[Customer Gender]]="M","Male", orders[[#This Row],[Customer Gender]]="F","Female", orders[[#This Row],[Customer Gender]]="O","Other", TRUE,"Unknown")</f>
        <v>Unknown</v>
      </c>
    </row>
    <row r="96" spans="1:15" x14ac:dyDescent="0.4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_xlfn.IFS(orders[[#This Row],[Customer Gender]]="M","Male", orders[[#This Row],[Customer Gender]]="F","Female", orders[[#This Row],[Customer Gender]]="O","Other", TRUE,"Unknown")</f>
        <v>Female</v>
      </c>
    </row>
    <row r="97" spans="1:15" x14ac:dyDescent="0.4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_xlfn.IFS(orders[[#This Row],[Customer Gender]]="M","Male", orders[[#This Row],[Customer Gender]]="F","Female", orders[[#This Row],[Customer Gender]]="O","Other", TRUE,"Unknown")</f>
        <v>Female</v>
      </c>
    </row>
    <row r="98" spans="1:15" x14ac:dyDescent="0.4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_xlfn.IFS(orders[[#This Row],[Customer Gender]]="M","Male", orders[[#This Row],[Customer Gender]]="F","Female", orders[[#This Row],[Customer Gender]]="O","Other", TRUE,"Unknown")</f>
        <v>Male</v>
      </c>
    </row>
    <row r="99" spans="1:15" x14ac:dyDescent="0.4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_xlfn.IFS(orders[[#This Row],[Customer Gender]]="M","Male", orders[[#This Row],[Customer Gender]]="F","Female", orders[[#This Row],[Customer Gender]]="O","Other", TRUE,"Unknown")</f>
        <v>Male</v>
      </c>
    </row>
    <row r="100" spans="1:15" x14ac:dyDescent="0.4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_xlfn.IFS(orders[[#This Row],[Customer Gender]]="M","Male", orders[[#This Row],[Customer Gender]]="F","Female", orders[[#This Row],[Customer Gender]]="O","Other", TRUE,"Unknown")</f>
        <v>Male</v>
      </c>
    </row>
    <row r="101" spans="1:15" x14ac:dyDescent="0.4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_xlfn.IFS(orders[[#This Row],[Customer Gender]]="M","Male", orders[[#This Row],[Customer Gender]]="F","Female", orders[[#This Row],[Customer Gender]]="O","Other", TRUE,"Unknown")</f>
        <v>Female</v>
      </c>
    </row>
    <row r="102" spans="1:15" x14ac:dyDescent="0.4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_xlfn.IFS(orders[[#This Row],[Customer Gender]]="M","Male", orders[[#This Row],[Customer Gender]]="F","Female", orders[[#This Row],[Customer Gender]]="O","Other", TRUE,"Unknown")</f>
        <v>Male</v>
      </c>
    </row>
    <row r="103" spans="1:15" x14ac:dyDescent="0.4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_xlfn.IFS(orders[[#This Row],[Customer Gender]]="M","Male", orders[[#This Row],[Customer Gender]]="F","Female", orders[[#This Row],[Customer Gender]]="O","Other", TRUE,"Unknown")</f>
        <v>Male</v>
      </c>
    </row>
    <row r="104" spans="1:15" x14ac:dyDescent="0.4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_xlfn.IFS(orders[[#This Row],[Customer Gender]]="M","Male", orders[[#This Row],[Customer Gender]]="F","Female", orders[[#This Row],[Customer Gender]]="O","Other", TRUE,"Unknown")</f>
        <v>Female</v>
      </c>
    </row>
    <row r="105" spans="1:15" x14ac:dyDescent="0.4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_xlfn.IFS(orders[[#This Row],[Customer Gender]]="M","Male", orders[[#This Row],[Customer Gender]]="F","Female", orders[[#This Row],[Customer Gender]]="O","Other", TRUE,"Unknown")</f>
        <v>Male</v>
      </c>
    </row>
    <row r="106" spans="1:15" x14ac:dyDescent="0.4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_xlfn.IFS(orders[[#This Row],[Customer Gender]]="M","Male", orders[[#This Row],[Customer Gender]]="F","Female", orders[[#This Row],[Customer Gender]]="O","Other", TRUE,"Unknown")</f>
        <v>Female</v>
      </c>
    </row>
    <row r="107" spans="1:15" x14ac:dyDescent="0.4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_xlfn.IFS(orders[[#This Row],[Customer Gender]]="M","Male", orders[[#This Row],[Customer Gender]]="F","Female", orders[[#This Row],[Customer Gender]]="O","Other", TRUE,"Unknown")</f>
        <v>Female</v>
      </c>
    </row>
    <row r="108" spans="1:15" x14ac:dyDescent="0.4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_xlfn.IFS(orders[[#This Row],[Customer Gender]]="M","Male", orders[[#This Row],[Customer Gender]]="F","Female", orders[[#This Row],[Customer Gender]]="O","Other", TRUE,"Unknown")</f>
        <v>Female</v>
      </c>
    </row>
    <row r="109" spans="1:15" x14ac:dyDescent="0.4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_xlfn.IFS(orders[[#This Row],[Customer Gender]]="M","Male", orders[[#This Row],[Customer Gender]]="F","Female", orders[[#This Row],[Customer Gender]]="O","Other", TRUE,"Unknown")</f>
        <v>Male</v>
      </c>
    </row>
    <row r="110" spans="1:15" x14ac:dyDescent="0.4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_xlfn.IFS(orders[[#This Row],[Customer Gender]]="M","Male", orders[[#This Row],[Customer Gender]]="F","Female", orders[[#This Row],[Customer Gender]]="O","Other", TRUE,"Unknown")</f>
        <v>Male</v>
      </c>
    </row>
    <row r="111" spans="1:15" x14ac:dyDescent="0.4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_xlfn.IFS(orders[[#This Row],[Customer Gender]]="M","Male", orders[[#This Row],[Customer Gender]]="F","Female", orders[[#This Row],[Customer Gender]]="O","Other", TRUE,"Unknown")</f>
        <v>Female</v>
      </c>
    </row>
    <row r="112" spans="1:15" x14ac:dyDescent="0.4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_xlfn.IFS(orders[[#This Row],[Customer Gender]]="M","Male", orders[[#This Row],[Customer Gender]]="F","Female", orders[[#This Row],[Customer Gender]]="O","Other", TRUE,"Unknown")</f>
        <v>Male</v>
      </c>
    </row>
    <row r="113" spans="1:15" x14ac:dyDescent="0.4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_xlfn.IFS(orders[[#This Row],[Customer Gender]]="M","Male", orders[[#This Row],[Customer Gender]]="F","Female", orders[[#This Row],[Customer Gender]]="O","Other", TRUE,"Unknown")</f>
        <v>Female</v>
      </c>
    </row>
    <row r="114" spans="1:15" x14ac:dyDescent="0.4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_xlfn.IFS(orders[[#This Row],[Customer Gender]]="M","Male", orders[[#This Row],[Customer Gender]]="F","Female", orders[[#This Row],[Customer Gender]]="O","Other", TRUE,"Unknown")</f>
        <v>Male</v>
      </c>
    </row>
    <row r="115" spans="1:15" x14ac:dyDescent="0.4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_xlfn.IFS(orders[[#This Row],[Customer Gender]]="M","Male", orders[[#This Row],[Customer Gender]]="F","Female", orders[[#This Row],[Customer Gender]]="O","Other", TRUE,"Unknown")</f>
        <v>Male</v>
      </c>
    </row>
    <row r="116" spans="1:15" x14ac:dyDescent="0.4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_xlfn.IFS(orders[[#This Row],[Customer Gender]]="M","Male", orders[[#This Row],[Customer Gender]]="F","Female", orders[[#This Row],[Customer Gender]]="O","Other", TRUE,"Unknown")</f>
        <v>Male</v>
      </c>
    </row>
    <row r="117" spans="1:15" x14ac:dyDescent="0.4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_xlfn.IFS(orders[[#This Row],[Customer Gender]]="M","Male", orders[[#This Row],[Customer Gender]]="F","Female", orders[[#This Row],[Customer Gender]]="O","Other", TRUE,"Unknown")</f>
        <v>Female</v>
      </c>
    </row>
    <row r="118" spans="1:15" x14ac:dyDescent="0.4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_xlfn.IFS(orders[[#This Row],[Customer Gender]]="M","Male", orders[[#This Row],[Customer Gender]]="F","Female", orders[[#This Row],[Customer Gender]]="O","Other", TRUE,"Unknown")</f>
        <v>Female</v>
      </c>
    </row>
    <row r="119" spans="1:15" x14ac:dyDescent="0.4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_xlfn.IFS(orders[[#This Row],[Customer Gender]]="M","Male", orders[[#This Row],[Customer Gender]]="F","Female", orders[[#This Row],[Customer Gender]]="O","Other", TRUE,"Unknown")</f>
        <v>Female</v>
      </c>
    </row>
    <row r="120" spans="1:15" x14ac:dyDescent="0.4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_xlfn.IFS(orders[[#This Row],[Customer Gender]]="M","Male", orders[[#This Row],[Customer Gender]]="F","Female", orders[[#This Row],[Customer Gender]]="O","Other", TRUE,"Unknown")</f>
        <v>Male</v>
      </c>
    </row>
    <row r="121" spans="1:15" x14ac:dyDescent="0.4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_xlfn.IFS(orders[[#This Row],[Customer Gender]]="M","Male", orders[[#This Row],[Customer Gender]]="F","Female", orders[[#This Row],[Customer Gender]]="O","Other", TRUE,"Unknown")</f>
        <v>Female</v>
      </c>
    </row>
    <row r="122" spans="1:15" x14ac:dyDescent="0.4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_xlfn.IFS(orders[[#This Row],[Customer Gender]]="M","Male", orders[[#This Row],[Customer Gender]]="F","Female", orders[[#This Row],[Customer Gender]]="O","Other", TRUE,"Unknown")</f>
        <v>Unknown</v>
      </c>
    </row>
    <row r="123" spans="1:15" x14ac:dyDescent="0.4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_xlfn.IFS(orders[[#This Row],[Customer Gender]]="M","Male", orders[[#This Row],[Customer Gender]]="F","Female", orders[[#This Row],[Customer Gender]]="O","Other", TRUE,"Unknown")</f>
        <v>Male</v>
      </c>
    </row>
    <row r="124" spans="1:15" x14ac:dyDescent="0.4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_xlfn.IFS(orders[[#This Row],[Customer Gender]]="M","Male", orders[[#This Row],[Customer Gender]]="F","Female", orders[[#This Row],[Customer Gender]]="O","Other", TRUE,"Unknown")</f>
        <v>Female</v>
      </c>
    </row>
    <row r="125" spans="1:15" x14ac:dyDescent="0.4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_xlfn.IFS(orders[[#This Row],[Customer Gender]]="M","Male", orders[[#This Row],[Customer Gender]]="F","Female", orders[[#This Row],[Customer Gender]]="O","Other", TRUE,"Unknown")</f>
        <v>Female</v>
      </c>
    </row>
    <row r="126" spans="1:15" x14ac:dyDescent="0.4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_xlfn.IFS(orders[[#This Row],[Customer Gender]]="M","Male", orders[[#This Row],[Customer Gender]]="F","Female", orders[[#This Row],[Customer Gender]]="O","Other", TRUE,"Unknown")</f>
        <v>Male</v>
      </c>
    </row>
    <row r="127" spans="1:15" x14ac:dyDescent="0.4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_xlfn.IFS(orders[[#This Row],[Customer Gender]]="M","Male", orders[[#This Row],[Customer Gender]]="F","Female", orders[[#This Row],[Customer Gender]]="O","Other", TRUE,"Unknown")</f>
        <v>Male</v>
      </c>
    </row>
    <row r="128" spans="1:15" x14ac:dyDescent="0.4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_xlfn.IFS(orders[[#This Row],[Customer Gender]]="M","Male", orders[[#This Row],[Customer Gender]]="F","Female", orders[[#This Row],[Customer Gender]]="O","Other", TRUE,"Unknown")</f>
        <v>Female</v>
      </c>
    </row>
    <row r="129" spans="1:15" x14ac:dyDescent="0.4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_xlfn.IFS(orders[[#This Row],[Customer Gender]]="M","Male", orders[[#This Row],[Customer Gender]]="F","Female", orders[[#This Row],[Customer Gender]]="O","Other", TRUE,"Unknown")</f>
        <v>Male</v>
      </c>
    </row>
    <row r="130" spans="1:15" x14ac:dyDescent="0.4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_xlfn.IFS(orders[[#This Row],[Customer Gender]]="M","Male", orders[[#This Row],[Customer Gender]]="F","Female", orders[[#This Row],[Customer Gender]]="O","Other", TRUE,"Unknown")</f>
        <v>Male</v>
      </c>
    </row>
    <row r="131" spans="1:15" x14ac:dyDescent="0.4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_xlfn.IFS(orders[[#This Row],[Customer Gender]]="M","Male", orders[[#This Row],[Customer Gender]]="F","Female", orders[[#This Row],[Customer Gender]]="O","Other", TRUE,"Unknown")</f>
        <v>Male</v>
      </c>
    </row>
    <row r="132" spans="1:15" x14ac:dyDescent="0.4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_xlfn.IFS(orders[[#This Row],[Customer Gender]]="M","Male", orders[[#This Row],[Customer Gender]]="F","Female", orders[[#This Row],[Customer Gender]]="O","Other", TRUE,"Unknown")</f>
        <v>Other</v>
      </c>
    </row>
    <row r="133" spans="1:15" x14ac:dyDescent="0.4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_xlfn.IFS(orders[[#This Row],[Customer Gender]]="M","Male", orders[[#This Row],[Customer Gender]]="F","Female", orders[[#This Row],[Customer Gender]]="O","Other", TRUE,"Unknown")</f>
        <v>Female</v>
      </c>
    </row>
    <row r="134" spans="1:15" x14ac:dyDescent="0.4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_xlfn.IFS(orders[[#This Row],[Customer Gender]]="M","Male", orders[[#This Row],[Customer Gender]]="F","Female", orders[[#This Row],[Customer Gender]]="O","Other", TRUE,"Unknown")</f>
        <v>Male</v>
      </c>
    </row>
    <row r="135" spans="1:15" x14ac:dyDescent="0.4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_xlfn.IFS(orders[[#This Row],[Customer Gender]]="M","Male", orders[[#This Row],[Customer Gender]]="F","Female", orders[[#This Row],[Customer Gender]]="O","Other", TRUE,"Unknown")</f>
        <v>Other</v>
      </c>
    </row>
    <row r="136" spans="1:15" x14ac:dyDescent="0.4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_xlfn.IFS(orders[[#This Row],[Customer Gender]]="M","Male", orders[[#This Row],[Customer Gender]]="F","Female", orders[[#This Row],[Customer Gender]]="O","Other", TRUE,"Unknown")</f>
        <v>Female</v>
      </c>
    </row>
    <row r="137" spans="1:15" x14ac:dyDescent="0.4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_xlfn.IFS(orders[[#This Row],[Customer Gender]]="M","Male", orders[[#This Row],[Customer Gender]]="F","Female", orders[[#This Row],[Customer Gender]]="O","Other", TRUE,"Unknown")</f>
        <v>Female</v>
      </c>
    </row>
    <row r="138" spans="1:15" x14ac:dyDescent="0.4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_xlfn.IFS(orders[[#This Row],[Customer Gender]]="M","Male", orders[[#This Row],[Customer Gender]]="F","Female", orders[[#This Row],[Customer Gender]]="O","Other", TRUE,"Unknown")</f>
        <v>Female</v>
      </c>
    </row>
    <row r="139" spans="1:15" x14ac:dyDescent="0.4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_xlfn.IFS(orders[[#This Row],[Customer Gender]]="M","Male", orders[[#This Row],[Customer Gender]]="F","Female", orders[[#This Row],[Customer Gender]]="O","Other", TRUE,"Unknown")</f>
        <v>Female</v>
      </c>
    </row>
    <row r="140" spans="1:15" x14ac:dyDescent="0.4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_xlfn.IFS(orders[[#This Row],[Customer Gender]]="M","Male", orders[[#This Row],[Customer Gender]]="F","Female", orders[[#This Row],[Customer Gender]]="O","Other", TRUE,"Unknown")</f>
        <v>Female</v>
      </c>
    </row>
    <row r="141" spans="1:15" x14ac:dyDescent="0.4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_xlfn.IFS(orders[[#This Row],[Customer Gender]]="M","Male", orders[[#This Row],[Customer Gender]]="F","Female", orders[[#This Row],[Customer Gender]]="O","Other", TRUE,"Unknown")</f>
        <v>Male</v>
      </c>
    </row>
    <row r="142" spans="1:15" x14ac:dyDescent="0.4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_xlfn.IFS(orders[[#This Row],[Customer Gender]]="M","Male", orders[[#This Row],[Customer Gender]]="F","Female", orders[[#This Row],[Customer Gender]]="O","Other", TRUE,"Unknown")</f>
        <v>Male</v>
      </c>
    </row>
    <row r="143" spans="1:15" x14ac:dyDescent="0.4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_xlfn.IFS(orders[[#This Row],[Customer Gender]]="M","Male", orders[[#This Row],[Customer Gender]]="F","Female", orders[[#This Row],[Customer Gender]]="O","Other", TRUE,"Unknown")</f>
        <v>Unknown</v>
      </c>
    </row>
    <row r="144" spans="1:15" x14ac:dyDescent="0.4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_xlfn.IFS(orders[[#This Row],[Customer Gender]]="M","Male", orders[[#This Row],[Customer Gender]]="F","Female", orders[[#This Row],[Customer Gender]]="O","Other", TRUE,"Unknown")</f>
        <v>Female</v>
      </c>
    </row>
    <row r="145" spans="1:15" x14ac:dyDescent="0.4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_xlfn.IFS(orders[[#This Row],[Customer Gender]]="M","Male", orders[[#This Row],[Customer Gender]]="F","Female", orders[[#This Row],[Customer Gender]]="O","Other", TRUE,"Unknown")</f>
        <v>Unknown</v>
      </c>
    </row>
    <row r="146" spans="1:15" x14ac:dyDescent="0.4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_xlfn.IFS(orders[[#This Row],[Customer Gender]]="M","Male", orders[[#This Row],[Customer Gender]]="F","Female", orders[[#This Row],[Customer Gender]]="O","Other", TRUE,"Unknown")</f>
        <v>Female</v>
      </c>
    </row>
    <row r="147" spans="1:15" x14ac:dyDescent="0.4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_xlfn.IFS(orders[[#This Row],[Customer Gender]]="M","Male", orders[[#This Row],[Customer Gender]]="F","Female", orders[[#This Row],[Customer Gender]]="O","Other", TRUE,"Unknown")</f>
        <v>Male</v>
      </c>
    </row>
    <row r="148" spans="1:15" x14ac:dyDescent="0.4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_xlfn.IFS(orders[[#This Row],[Customer Gender]]="M","Male", orders[[#This Row],[Customer Gender]]="F","Female", orders[[#This Row],[Customer Gender]]="O","Other", TRUE,"Unknown")</f>
        <v>Male</v>
      </c>
    </row>
    <row r="149" spans="1:15" x14ac:dyDescent="0.4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_xlfn.IFS(orders[[#This Row],[Customer Gender]]="M","Male", orders[[#This Row],[Customer Gender]]="F","Female", orders[[#This Row],[Customer Gender]]="O","Other", TRUE,"Unknown")</f>
        <v>Male</v>
      </c>
    </row>
    <row r="150" spans="1:15" x14ac:dyDescent="0.4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_xlfn.IFS(orders[[#This Row],[Customer Gender]]="M","Male", orders[[#This Row],[Customer Gender]]="F","Female", orders[[#This Row],[Customer Gender]]="O","Other", TRUE,"Unknown")</f>
        <v>Male</v>
      </c>
    </row>
    <row r="151" spans="1:15" x14ac:dyDescent="0.4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_xlfn.IFS(orders[[#This Row],[Customer Gender]]="M","Male", orders[[#This Row],[Customer Gender]]="F","Female", orders[[#This Row],[Customer Gender]]="O","Other", TRUE,"Unknown")</f>
        <v>Female</v>
      </c>
    </row>
    <row r="152" spans="1:15" x14ac:dyDescent="0.4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_xlfn.IFS(orders[[#This Row],[Customer Gender]]="M","Male", orders[[#This Row],[Customer Gender]]="F","Female", orders[[#This Row],[Customer Gender]]="O","Other", TRUE,"Unknown")</f>
        <v>Male</v>
      </c>
    </row>
    <row r="153" spans="1:15" x14ac:dyDescent="0.4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_xlfn.IFS(orders[[#This Row],[Customer Gender]]="M","Male", orders[[#This Row],[Customer Gender]]="F","Female", orders[[#This Row],[Customer Gender]]="O","Other", TRUE,"Unknown")</f>
        <v>Male</v>
      </c>
    </row>
    <row r="154" spans="1:15" x14ac:dyDescent="0.4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_xlfn.IFS(orders[[#This Row],[Customer Gender]]="M","Male", orders[[#This Row],[Customer Gender]]="F","Female", orders[[#This Row],[Customer Gender]]="O","Other", TRUE,"Unknown")</f>
        <v>Female</v>
      </c>
    </row>
    <row r="155" spans="1:15" x14ac:dyDescent="0.4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_xlfn.IFS(orders[[#This Row],[Customer Gender]]="M","Male", orders[[#This Row],[Customer Gender]]="F","Female", orders[[#This Row],[Customer Gender]]="O","Other", TRUE,"Unknown")</f>
        <v>Female</v>
      </c>
    </row>
    <row r="156" spans="1:15" x14ac:dyDescent="0.4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_xlfn.IFS(orders[[#This Row],[Customer Gender]]="M","Male", orders[[#This Row],[Customer Gender]]="F","Female", orders[[#This Row],[Customer Gender]]="O","Other", TRUE,"Unknown")</f>
        <v>Female</v>
      </c>
    </row>
    <row r="157" spans="1:15" x14ac:dyDescent="0.4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_xlfn.IFS(orders[[#This Row],[Customer Gender]]="M","Male", orders[[#This Row],[Customer Gender]]="F","Female", orders[[#This Row],[Customer Gender]]="O","Other", TRUE,"Unknown")</f>
        <v>Female</v>
      </c>
    </row>
    <row r="158" spans="1:15" x14ac:dyDescent="0.4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_xlfn.IFS(orders[[#This Row],[Customer Gender]]="M","Male", orders[[#This Row],[Customer Gender]]="F","Female", orders[[#This Row],[Customer Gender]]="O","Other", TRUE,"Unknown")</f>
        <v>Female</v>
      </c>
    </row>
    <row r="159" spans="1:15" x14ac:dyDescent="0.4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_xlfn.IFS(orders[[#This Row],[Customer Gender]]="M","Male", orders[[#This Row],[Customer Gender]]="F","Female", orders[[#This Row],[Customer Gender]]="O","Other", TRUE,"Unknown")</f>
        <v>Female</v>
      </c>
    </row>
    <row r="160" spans="1:15" x14ac:dyDescent="0.4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_xlfn.IFS(orders[[#This Row],[Customer Gender]]="M","Male", orders[[#This Row],[Customer Gender]]="F","Female", orders[[#This Row],[Customer Gender]]="O","Other", TRUE,"Unknown")</f>
        <v>Female</v>
      </c>
    </row>
    <row r="161" spans="1:15" x14ac:dyDescent="0.4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_xlfn.IFS(orders[[#This Row],[Customer Gender]]="M","Male", orders[[#This Row],[Customer Gender]]="F","Female", orders[[#This Row],[Customer Gender]]="O","Other", TRUE,"Unknown")</f>
        <v>Male</v>
      </c>
    </row>
    <row r="162" spans="1:15" x14ac:dyDescent="0.4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_xlfn.IFS(orders[[#This Row],[Customer Gender]]="M","Male", orders[[#This Row],[Customer Gender]]="F","Female", orders[[#This Row],[Customer Gender]]="O","Other", TRUE,"Unknown")</f>
        <v>Female</v>
      </c>
    </row>
    <row r="163" spans="1:15" x14ac:dyDescent="0.4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_xlfn.IFS(orders[[#This Row],[Customer Gender]]="M","Male", orders[[#This Row],[Customer Gender]]="F","Female", orders[[#This Row],[Customer Gender]]="O","Other", TRUE,"Unknown")</f>
        <v>Male</v>
      </c>
    </row>
    <row r="164" spans="1:15" x14ac:dyDescent="0.4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_xlfn.IFS(orders[[#This Row],[Customer Gender]]="M","Male", orders[[#This Row],[Customer Gender]]="F","Female", orders[[#This Row],[Customer Gender]]="O","Other", TRUE,"Unknown")</f>
        <v>Unknown</v>
      </c>
    </row>
    <row r="165" spans="1:15" x14ac:dyDescent="0.4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_xlfn.IFS(orders[[#This Row],[Customer Gender]]="M","Male", orders[[#This Row],[Customer Gender]]="F","Female", orders[[#This Row],[Customer Gender]]="O","Other", TRUE,"Unknown")</f>
        <v>Female</v>
      </c>
    </row>
    <row r="166" spans="1:15" x14ac:dyDescent="0.4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_xlfn.IFS(orders[[#This Row],[Customer Gender]]="M","Male", orders[[#This Row],[Customer Gender]]="F","Female", orders[[#This Row],[Customer Gender]]="O","Other", TRUE,"Unknown")</f>
        <v>Male</v>
      </c>
    </row>
    <row r="167" spans="1:15" x14ac:dyDescent="0.4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_xlfn.IFS(orders[[#This Row],[Customer Gender]]="M","Male", orders[[#This Row],[Customer Gender]]="F","Female", orders[[#This Row],[Customer Gender]]="O","Other", TRUE,"Unknown")</f>
        <v>Female</v>
      </c>
    </row>
    <row r="168" spans="1:15" x14ac:dyDescent="0.4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_xlfn.IFS(orders[[#This Row],[Customer Gender]]="M","Male", orders[[#This Row],[Customer Gender]]="F","Female", orders[[#This Row],[Customer Gender]]="O","Other", TRUE,"Unknown")</f>
        <v>Female</v>
      </c>
    </row>
    <row r="169" spans="1:15" x14ac:dyDescent="0.4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_xlfn.IFS(orders[[#This Row],[Customer Gender]]="M","Male", orders[[#This Row],[Customer Gender]]="F","Female", orders[[#This Row],[Customer Gender]]="O","Other", TRUE,"Unknown")</f>
        <v>Female</v>
      </c>
    </row>
    <row r="170" spans="1:15" x14ac:dyDescent="0.4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_xlfn.IFS(orders[[#This Row],[Customer Gender]]="M","Male", orders[[#This Row],[Customer Gender]]="F","Female", orders[[#This Row],[Customer Gender]]="O","Other", TRUE,"Unknown")</f>
        <v>Female</v>
      </c>
    </row>
    <row r="171" spans="1:15" x14ac:dyDescent="0.4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_xlfn.IFS(orders[[#This Row],[Customer Gender]]="M","Male", orders[[#This Row],[Customer Gender]]="F","Female", orders[[#This Row],[Customer Gender]]="O","Other", TRUE,"Unknown")</f>
        <v>Female</v>
      </c>
    </row>
    <row r="172" spans="1:15" x14ac:dyDescent="0.4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_xlfn.IFS(orders[[#This Row],[Customer Gender]]="M","Male", orders[[#This Row],[Customer Gender]]="F","Female", orders[[#This Row],[Customer Gender]]="O","Other", TRUE,"Unknown")</f>
        <v>Female</v>
      </c>
    </row>
    <row r="173" spans="1:15" x14ac:dyDescent="0.4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_xlfn.IFS(orders[[#This Row],[Customer Gender]]="M","Male", orders[[#This Row],[Customer Gender]]="F","Female", orders[[#This Row],[Customer Gender]]="O","Other", TRUE,"Unknown")</f>
        <v>Male</v>
      </c>
    </row>
    <row r="174" spans="1:15" x14ac:dyDescent="0.4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_xlfn.IFS(orders[[#This Row],[Customer Gender]]="M","Male", orders[[#This Row],[Customer Gender]]="F","Female", orders[[#This Row],[Customer Gender]]="O","Other", TRUE,"Unknown")</f>
        <v>Male</v>
      </c>
    </row>
    <row r="175" spans="1:15" x14ac:dyDescent="0.4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_xlfn.IFS(orders[[#This Row],[Customer Gender]]="M","Male", orders[[#This Row],[Customer Gender]]="F","Female", orders[[#This Row],[Customer Gender]]="O","Other", TRUE,"Unknown")</f>
        <v>Female</v>
      </c>
    </row>
    <row r="176" spans="1:15" x14ac:dyDescent="0.4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_xlfn.IFS(orders[[#This Row],[Customer Gender]]="M","Male", orders[[#This Row],[Customer Gender]]="F","Female", orders[[#This Row],[Customer Gender]]="O","Other", TRUE,"Unknown")</f>
        <v>Female</v>
      </c>
    </row>
    <row r="177" spans="1:15" x14ac:dyDescent="0.4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_xlfn.IFS(orders[[#This Row],[Customer Gender]]="M","Male", orders[[#This Row],[Customer Gender]]="F","Female", orders[[#This Row],[Customer Gender]]="O","Other", TRUE,"Unknown")</f>
        <v>Female</v>
      </c>
    </row>
    <row r="178" spans="1:15" x14ac:dyDescent="0.4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_xlfn.IFS(orders[[#This Row],[Customer Gender]]="M","Male", orders[[#This Row],[Customer Gender]]="F","Female", orders[[#This Row],[Customer Gender]]="O","Other", TRUE,"Unknown")</f>
        <v>Female</v>
      </c>
    </row>
    <row r="179" spans="1:15" x14ac:dyDescent="0.4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_xlfn.IFS(orders[[#This Row],[Customer Gender]]="M","Male", orders[[#This Row],[Customer Gender]]="F","Female", orders[[#This Row],[Customer Gender]]="O","Other", TRUE,"Unknown")</f>
        <v>Male</v>
      </c>
    </row>
    <row r="180" spans="1:15" x14ac:dyDescent="0.4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_xlfn.IFS(orders[[#This Row],[Customer Gender]]="M","Male", orders[[#This Row],[Customer Gender]]="F","Female", orders[[#This Row],[Customer Gender]]="O","Other", TRUE,"Unknown")</f>
        <v>Female</v>
      </c>
    </row>
    <row r="181" spans="1:15" x14ac:dyDescent="0.4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_xlfn.IFS(orders[[#This Row],[Customer Gender]]="M","Male", orders[[#This Row],[Customer Gender]]="F","Female", orders[[#This Row],[Customer Gender]]="O","Other", TRUE,"Unknown")</f>
        <v>Unknown</v>
      </c>
    </row>
    <row r="182" spans="1:15" x14ac:dyDescent="0.4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_xlfn.IFS(orders[[#This Row],[Customer Gender]]="M","Male", orders[[#This Row],[Customer Gender]]="F","Female", orders[[#This Row],[Customer Gender]]="O","Other", TRUE,"Unknown")</f>
        <v>Female</v>
      </c>
    </row>
    <row r="183" spans="1:15" x14ac:dyDescent="0.4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_xlfn.IFS(orders[[#This Row],[Customer Gender]]="M","Male", orders[[#This Row],[Customer Gender]]="F","Female", orders[[#This Row],[Customer Gender]]="O","Other", TRUE,"Unknown")</f>
        <v>Male</v>
      </c>
    </row>
    <row r="184" spans="1:15" x14ac:dyDescent="0.4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_xlfn.IFS(orders[[#This Row],[Customer Gender]]="M","Male", orders[[#This Row],[Customer Gender]]="F","Female", orders[[#This Row],[Customer Gender]]="O","Other", TRUE,"Unknown")</f>
        <v>Female</v>
      </c>
    </row>
    <row r="185" spans="1:15" x14ac:dyDescent="0.4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_xlfn.IFS(orders[[#This Row],[Customer Gender]]="M","Male", orders[[#This Row],[Customer Gender]]="F","Female", orders[[#This Row],[Customer Gender]]="O","Other", TRUE,"Unknown")</f>
        <v>Female</v>
      </c>
    </row>
    <row r="186" spans="1:15" x14ac:dyDescent="0.4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_xlfn.IFS(orders[[#This Row],[Customer Gender]]="M","Male", orders[[#This Row],[Customer Gender]]="F","Female", orders[[#This Row],[Customer Gender]]="O","Other", TRUE,"Unknown")</f>
        <v>Male</v>
      </c>
    </row>
    <row r="187" spans="1:15" x14ac:dyDescent="0.4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_xlfn.IFS(orders[[#This Row],[Customer Gender]]="M","Male", orders[[#This Row],[Customer Gender]]="F","Female", orders[[#This Row],[Customer Gender]]="O","Other", TRUE,"Unknown")</f>
        <v>Male</v>
      </c>
    </row>
    <row r="188" spans="1:15" x14ac:dyDescent="0.4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_xlfn.IFS(orders[[#This Row],[Customer Gender]]="M","Male", orders[[#This Row],[Customer Gender]]="F","Female", orders[[#This Row],[Customer Gender]]="O","Other", TRUE,"Unknown")</f>
        <v>Female</v>
      </c>
    </row>
    <row r="189" spans="1:15" x14ac:dyDescent="0.4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_xlfn.IFS(orders[[#This Row],[Customer Gender]]="M","Male", orders[[#This Row],[Customer Gender]]="F","Female", orders[[#This Row],[Customer Gender]]="O","Other", TRUE,"Unknown")</f>
        <v>Female</v>
      </c>
    </row>
    <row r="190" spans="1:15" x14ac:dyDescent="0.4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_xlfn.IFS(orders[[#This Row],[Customer Gender]]="M","Male", orders[[#This Row],[Customer Gender]]="F","Female", orders[[#This Row],[Customer Gender]]="O","Other", TRUE,"Unknown")</f>
        <v>Male</v>
      </c>
    </row>
    <row r="191" spans="1:15" x14ac:dyDescent="0.4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_xlfn.IFS(orders[[#This Row],[Customer Gender]]="M","Male", orders[[#This Row],[Customer Gender]]="F","Female", orders[[#This Row],[Customer Gender]]="O","Other", TRUE,"Unknown")</f>
        <v>Female</v>
      </c>
    </row>
    <row r="192" spans="1:15" x14ac:dyDescent="0.4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_xlfn.IFS(orders[[#This Row],[Customer Gender]]="M","Male", orders[[#This Row],[Customer Gender]]="F","Female", orders[[#This Row],[Customer Gender]]="O","Other", TRUE,"Unknown")</f>
        <v>Unknown</v>
      </c>
    </row>
    <row r="193" spans="1:15" x14ac:dyDescent="0.4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_xlfn.IFS(orders[[#This Row],[Customer Gender]]="M","Male", orders[[#This Row],[Customer Gender]]="F","Female", orders[[#This Row],[Customer Gender]]="O","Other", TRUE,"Unknown")</f>
        <v>Unknown</v>
      </c>
    </row>
    <row r="194" spans="1:15" x14ac:dyDescent="0.4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_xlfn.IFS(orders[[#This Row],[Customer Gender]]="M","Male", orders[[#This Row],[Customer Gender]]="F","Female", orders[[#This Row],[Customer Gender]]="O","Other", TRUE,"Unknown")</f>
        <v>Male</v>
      </c>
    </row>
    <row r="195" spans="1:15" x14ac:dyDescent="0.4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_xlfn.IFS(orders[[#This Row],[Customer Gender]]="M","Male", orders[[#This Row],[Customer Gender]]="F","Female", orders[[#This Row],[Customer Gender]]="O","Other", TRUE,"Unknown")</f>
        <v>Female</v>
      </c>
    </row>
    <row r="196" spans="1:15" x14ac:dyDescent="0.4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_xlfn.IFS(orders[[#This Row],[Customer Gender]]="M","Male", orders[[#This Row],[Customer Gender]]="F","Female", orders[[#This Row],[Customer Gender]]="O","Other", TRUE,"Unknown")</f>
        <v>Female</v>
      </c>
    </row>
    <row r="197" spans="1:15" x14ac:dyDescent="0.4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_xlfn.IFS(orders[[#This Row],[Customer Gender]]="M","Male", orders[[#This Row],[Customer Gender]]="F","Female", orders[[#This Row],[Customer Gender]]="O","Other", TRUE,"Unknown")</f>
        <v>Female</v>
      </c>
    </row>
    <row r="198" spans="1:15" x14ac:dyDescent="0.4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_xlfn.IFS(orders[[#This Row],[Customer Gender]]="M","Male", orders[[#This Row],[Customer Gender]]="F","Female", orders[[#This Row],[Customer Gender]]="O","Other", TRUE,"Unknown")</f>
        <v>Female</v>
      </c>
    </row>
    <row r="199" spans="1:15" x14ac:dyDescent="0.4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_xlfn.IFS(orders[[#This Row],[Customer Gender]]="M","Male", orders[[#This Row],[Customer Gender]]="F","Female", orders[[#This Row],[Customer Gender]]="O","Other", TRUE,"Unknown")</f>
        <v>Female</v>
      </c>
    </row>
    <row r="200" spans="1:15" x14ac:dyDescent="0.4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_xlfn.IFS(orders[[#This Row],[Customer Gender]]="M","Male", orders[[#This Row],[Customer Gender]]="F","Female", orders[[#This Row],[Customer Gender]]="O","Other", TRUE,"Unknown")</f>
        <v>Male</v>
      </c>
    </row>
    <row r="201" spans="1:15" x14ac:dyDescent="0.4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_xlfn.IFS(orders[[#This Row],[Customer Gender]]="M","Male", orders[[#This Row],[Customer Gender]]="F","Female", orders[[#This Row],[Customer Gender]]="O","Other", TRUE,"Unknown")</f>
        <v>Male</v>
      </c>
    </row>
    <row r="202" spans="1:15" x14ac:dyDescent="0.4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_xlfn.IFS(orders[[#This Row],[Customer Gender]]="M","Male", orders[[#This Row],[Customer Gender]]="F","Female", orders[[#This Row],[Customer Gender]]="O","Other", TRUE,"Unknown")</f>
        <v>Male</v>
      </c>
    </row>
    <row r="203" spans="1:15" x14ac:dyDescent="0.4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_xlfn.IFS(orders[[#This Row],[Customer Gender]]="M","Male", orders[[#This Row],[Customer Gender]]="F","Female", orders[[#This Row],[Customer Gender]]="O","Other", TRUE,"Unknown")</f>
        <v>Male</v>
      </c>
    </row>
    <row r="204" spans="1:15" x14ac:dyDescent="0.4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_xlfn.IFS(orders[[#This Row],[Customer Gender]]="M","Male", orders[[#This Row],[Customer Gender]]="F","Female", orders[[#This Row],[Customer Gender]]="O","Other", TRUE,"Unknown")</f>
        <v>Female</v>
      </c>
    </row>
    <row r="205" spans="1:15" x14ac:dyDescent="0.4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_xlfn.IFS(orders[[#This Row],[Customer Gender]]="M","Male", orders[[#This Row],[Customer Gender]]="F","Female", orders[[#This Row],[Customer Gender]]="O","Other", TRUE,"Unknown")</f>
        <v>Female</v>
      </c>
    </row>
    <row r="206" spans="1:15" x14ac:dyDescent="0.4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_xlfn.IFS(orders[[#This Row],[Customer Gender]]="M","Male", orders[[#This Row],[Customer Gender]]="F","Female", orders[[#This Row],[Customer Gender]]="O","Other", TRUE,"Unknown")</f>
        <v>Female</v>
      </c>
    </row>
    <row r="207" spans="1:15" x14ac:dyDescent="0.4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_xlfn.IFS(orders[[#This Row],[Customer Gender]]="M","Male", orders[[#This Row],[Customer Gender]]="F","Female", orders[[#This Row],[Customer Gender]]="O","Other", TRUE,"Unknown")</f>
        <v>Female</v>
      </c>
    </row>
    <row r="208" spans="1:15" x14ac:dyDescent="0.4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_xlfn.IFS(orders[[#This Row],[Customer Gender]]="M","Male", orders[[#This Row],[Customer Gender]]="F","Female", orders[[#This Row],[Customer Gender]]="O","Other", TRUE,"Unknown")</f>
        <v>Female</v>
      </c>
    </row>
    <row r="209" spans="1:15" x14ac:dyDescent="0.4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_xlfn.IFS(orders[[#This Row],[Customer Gender]]="M","Male", orders[[#This Row],[Customer Gender]]="F","Female", orders[[#This Row],[Customer Gender]]="O","Other", TRUE,"Unknown")</f>
        <v>Female</v>
      </c>
    </row>
    <row r="210" spans="1:15" x14ac:dyDescent="0.4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_xlfn.IFS(orders[[#This Row],[Customer Gender]]="M","Male", orders[[#This Row],[Customer Gender]]="F","Female", orders[[#This Row],[Customer Gender]]="O","Other", TRUE,"Unknown")</f>
        <v>Female</v>
      </c>
    </row>
    <row r="211" spans="1:15" x14ac:dyDescent="0.4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_xlfn.IFS(orders[[#This Row],[Customer Gender]]="M","Male", orders[[#This Row],[Customer Gender]]="F","Female", orders[[#This Row],[Customer Gender]]="O","Other", TRUE,"Unknown")</f>
        <v>Male</v>
      </c>
    </row>
    <row r="212" spans="1:15" x14ac:dyDescent="0.4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_xlfn.IFS(orders[[#This Row],[Customer Gender]]="M","Male", orders[[#This Row],[Customer Gender]]="F","Female", orders[[#This Row],[Customer Gender]]="O","Other", TRUE,"Unknown")</f>
        <v>Female</v>
      </c>
    </row>
    <row r="213" spans="1:15" x14ac:dyDescent="0.4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_xlfn.IFS(orders[[#This Row],[Customer Gender]]="M","Male", orders[[#This Row],[Customer Gender]]="F","Female", orders[[#This Row],[Customer Gender]]="O","Other", TRUE,"Unknown")</f>
        <v>Female</v>
      </c>
    </row>
    <row r="214" spans="1:15" x14ac:dyDescent="0.4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_xlfn.IFS(orders[[#This Row],[Customer Gender]]="M","Male", orders[[#This Row],[Customer Gender]]="F","Female", orders[[#This Row],[Customer Gender]]="O","Other", TRUE,"Unknown")</f>
        <v>Male</v>
      </c>
    </row>
    <row r="215" spans="1:15" x14ac:dyDescent="0.4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_xlfn.IFS(orders[[#This Row],[Customer Gender]]="M","Male", orders[[#This Row],[Customer Gender]]="F","Female", orders[[#This Row],[Customer Gender]]="O","Other", TRUE,"Unknown")</f>
        <v>Female</v>
      </c>
    </row>
    <row r="216" spans="1:15" x14ac:dyDescent="0.4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_xlfn.IFS(orders[[#This Row],[Customer Gender]]="M","Male", orders[[#This Row],[Customer Gender]]="F","Female", orders[[#This Row],[Customer Gender]]="O","Other", TRUE,"Unknown")</f>
        <v>Female</v>
      </c>
    </row>
    <row r="217" spans="1:15" x14ac:dyDescent="0.4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_xlfn.IFS(orders[[#This Row],[Customer Gender]]="M","Male", orders[[#This Row],[Customer Gender]]="F","Female", orders[[#This Row],[Customer Gender]]="O","Other", TRUE,"Unknown")</f>
        <v>Female</v>
      </c>
    </row>
    <row r="218" spans="1:15" x14ac:dyDescent="0.4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_xlfn.IFS(orders[[#This Row],[Customer Gender]]="M","Male", orders[[#This Row],[Customer Gender]]="F","Female", orders[[#This Row],[Customer Gender]]="O","Other", TRUE,"Unknown")</f>
        <v>Female</v>
      </c>
    </row>
    <row r="219" spans="1:15" x14ac:dyDescent="0.4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_xlfn.IFS(orders[[#This Row],[Customer Gender]]="M","Male", orders[[#This Row],[Customer Gender]]="F","Female", orders[[#This Row],[Customer Gender]]="O","Other", TRUE,"Unknown")</f>
        <v>Male</v>
      </c>
    </row>
    <row r="220" spans="1:15" x14ac:dyDescent="0.4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_xlfn.IFS(orders[[#This Row],[Customer Gender]]="M","Male", orders[[#This Row],[Customer Gender]]="F","Female", orders[[#This Row],[Customer Gender]]="O","Other", TRUE,"Unknown")</f>
        <v>Female</v>
      </c>
    </row>
    <row r="221" spans="1:15" x14ac:dyDescent="0.4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_xlfn.IFS(orders[[#This Row],[Customer Gender]]="M","Male", orders[[#This Row],[Customer Gender]]="F","Female", orders[[#This Row],[Customer Gender]]="O","Other", TRUE,"Unknown")</f>
        <v>Male</v>
      </c>
    </row>
    <row r="222" spans="1:15" x14ac:dyDescent="0.4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_xlfn.IFS(orders[[#This Row],[Customer Gender]]="M","Male", orders[[#This Row],[Customer Gender]]="F","Female", orders[[#This Row],[Customer Gender]]="O","Other", TRUE,"Unknown")</f>
        <v>Unknown</v>
      </c>
    </row>
    <row r="223" spans="1:15" x14ac:dyDescent="0.4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_xlfn.IFS(orders[[#This Row],[Customer Gender]]="M","Male", orders[[#This Row],[Customer Gender]]="F","Female", orders[[#This Row],[Customer Gender]]="O","Other", TRUE,"Unknown")</f>
        <v>Male</v>
      </c>
    </row>
    <row r="224" spans="1:15" x14ac:dyDescent="0.4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_xlfn.IFS(orders[[#This Row],[Customer Gender]]="M","Male", orders[[#This Row],[Customer Gender]]="F","Female", orders[[#This Row],[Customer Gender]]="O","Other", TRUE,"Unknown")</f>
        <v>Female</v>
      </c>
    </row>
    <row r="225" spans="1:15" x14ac:dyDescent="0.4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_xlfn.IFS(orders[[#This Row],[Customer Gender]]="M","Male", orders[[#This Row],[Customer Gender]]="F","Female", orders[[#This Row],[Customer Gender]]="O","Other", TRUE,"Unknown")</f>
        <v>Female</v>
      </c>
    </row>
    <row r="226" spans="1:15" x14ac:dyDescent="0.4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_xlfn.IFS(orders[[#This Row],[Customer Gender]]="M","Male", orders[[#This Row],[Customer Gender]]="F","Female", orders[[#This Row],[Customer Gender]]="O","Other", TRUE,"Unknown")</f>
        <v>Male</v>
      </c>
    </row>
    <row r="227" spans="1:15" x14ac:dyDescent="0.4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_xlfn.IFS(orders[[#This Row],[Customer Gender]]="M","Male", orders[[#This Row],[Customer Gender]]="F","Female", orders[[#This Row],[Customer Gender]]="O","Other", TRUE,"Unknown")</f>
        <v>Female</v>
      </c>
    </row>
    <row r="228" spans="1:15" x14ac:dyDescent="0.4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_xlfn.IFS(orders[[#This Row],[Customer Gender]]="M","Male", orders[[#This Row],[Customer Gender]]="F","Female", orders[[#This Row],[Customer Gender]]="O","Other", TRUE,"Unknown")</f>
        <v>Male</v>
      </c>
    </row>
    <row r="229" spans="1:15" x14ac:dyDescent="0.4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_xlfn.IFS(orders[[#This Row],[Customer Gender]]="M","Male", orders[[#This Row],[Customer Gender]]="F","Female", orders[[#This Row],[Customer Gender]]="O","Other", TRUE,"Unknown")</f>
        <v>Female</v>
      </c>
    </row>
    <row r="230" spans="1:15" x14ac:dyDescent="0.4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_xlfn.IFS(orders[[#This Row],[Customer Gender]]="M","Male", orders[[#This Row],[Customer Gender]]="F","Female", orders[[#This Row],[Customer Gender]]="O","Other", TRUE,"Unknown")</f>
        <v>Female</v>
      </c>
    </row>
    <row r="231" spans="1:15" x14ac:dyDescent="0.4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_xlfn.IFS(orders[[#This Row],[Customer Gender]]="M","Male", orders[[#This Row],[Customer Gender]]="F","Female", orders[[#This Row],[Customer Gender]]="O","Other", TRUE,"Unknown")</f>
        <v>Male</v>
      </c>
    </row>
    <row r="232" spans="1:15" x14ac:dyDescent="0.4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_xlfn.IFS(orders[[#This Row],[Customer Gender]]="M","Male", orders[[#This Row],[Customer Gender]]="F","Female", orders[[#This Row],[Customer Gender]]="O","Other", TRUE,"Unknown")</f>
        <v>Female</v>
      </c>
    </row>
    <row r="233" spans="1:15" x14ac:dyDescent="0.4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_xlfn.IFS(orders[[#This Row],[Customer Gender]]="M","Male", orders[[#This Row],[Customer Gender]]="F","Female", orders[[#This Row],[Customer Gender]]="O","Other", TRUE,"Unknown")</f>
        <v>Female</v>
      </c>
    </row>
    <row r="234" spans="1:15" x14ac:dyDescent="0.4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_xlfn.IFS(orders[[#This Row],[Customer Gender]]="M","Male", orders[[#This Row],[Customer Gender]]="F","Female", orders[[#This Row],[Customer Gender]]="O","Other", TRUE,"Unknown")</f>
        <v>Male</v>
      </c>
    </row>
    <row r="235" spans="1:15" x14ac:dyDescent="0.4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_xlfn.IFS(orders[[#This Row],[Customer Gender]]="M","Male", orders[[#This Row],[Customer Gender]]="F","Female", orders[[#This Row],[Customer Gender]]="O","Other", TRUE,"Unknown")</f>
        <v>Female</v>
      </c>
    </row>
    <row r="236" spans="1:15" x14ac:dyDescent="0.4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_xlfn.IFS(orders[[#This Row],[Customer Gender]]="M","Male", orders[[#This Row],[Customer Gender]]="F","Female", orders[[#This Row],[Customer Gender]]="O","Other", TRUE,"Unknown")</f>
        <v>Male</v>
      </c>
    </row>
    <row r="237" spans="1:15" x14ac:dyDescent="0.4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_xlfn.IFS(orders[[#This Row],[Customer Gender]]="M","Male", orders[[#This Row],[Customer Gender]]="F","Female", orders[[#This Row],[Customer Gender]]="O","Other", TRUE,"Unknown")</f>
        <v>Female</v>
      </c>
    </row>
    <row r="238" spans="1:15" x14ac:dyDescent="0.4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_xlfn.IFS(orders[[#This Row],[Customer Gender]]="M","Male", orders[[#This Row],[Customer Gender]]="F","Female", orders[[#This Row],[Customer Gender]]="O","Other", TRUE,"Unknown")</f>
        <v>Female</v>
      </c>
    </row>
    <row r="239" spans="1:15" x14ac:dyDescent="0.4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_xlfn.IFS(orders[[#This Row],[Customer Gender]]="M","Male", orders[[#This Row],[Customer Gender]]="F","Female", orders[[#This Row],[Customer Gender]]="O","Other", TRUE,"Unknown")</f>
        <v>Female</v>
      </c>
    </row>
    <row r="240" spans="1:15" x14ac:dyDescent="0.4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_xlfn.IFS(orders[[#This Row],[Customer Gender]]="M","Male", orders[[#This Row],[Customer Gender]]="F","Female", orders[[#This Row],[Customer Gender]]="O","Other", TRUE,"Unknown")</f>
        <v>Male</v>
      </c>
    </row>
    <row r="241" spans="1:15" x14ac:dyDescent="0.4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_xlfn.IFS(orders[[#This Row],[Customer Gender]]="M","Male", orders[[#This Row],[Customer Gender]]="F","Female", orders[[#This Row],[Customer Gender]]="O","Other", TRUE,"Unknown")</f>
        <v>Female</v>
      </c>
    </row>
    <row r="242" spans="1:15" x14ac:dyDescent="0.4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_xlfn.IFS(orders[[#This Row],[Customer Gender]]="M","Male", orders[[#This Row],[Customer Gender]]="F","Female", orders[[#This Row],[Customer Gender]]="O","Other", TRUE,"Unknown")</f>
        <v>Female</v>
      </c>
    </row>
    <row r="243" spans="1:15" x14ac:dyDescent="0.4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_xlfn.IFS(orders[[#This Row],[Customer Gender]]="M","Male", orders[[#This Row],[Customer Gender]]="F","Female", orders[[#This Row],[Customer Gender]]="O","Other", TRUE,"Unknown")</f>
        <v>Male</v>
      </c>
    </row>
    <row r="244" spans="1:15" x14ac:dyDescent="0.4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_xlfn.IFS(orders[[#This Row],[Customer Gender]]="M","Male", orders[[#This Row],[Customer Gender]]="F","Female", orders[[#This Row],[Customer Gender]]="O","Other", TRUE,"Unknown")</f>
        <v>Male</v>
      </c>
    </row>
    <row r="245" spans="1:15" x14ac:dyDescent="0.4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_xlfn.IFS(orders[[#This Row],[Customer Gender]]="M","Male", orders[[#This Row],[Customer Gender]]="F","Female", orders[[#This Row],[Customer Gender]]="O","Other", TRUE,"Unknown")</f>
        <v>Male</v>
      </c>
    </row>
    <row r="246" spans="1:15" x14ac:dyDescent="0.4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_xlfn.IFS(orders[[#This Row],[Customer Gender]]="M","Male", orders[[#This Row],[Customer Gender]]="F","Female", orders[[#This Row],[Customer Gender]]="O","Other", TRUE,"Unknown")</f>
        <v>Female</v>
      </c>
    </row>
    <row r="247" spans="1:15" x14ac:dyDescent="0.4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_xlfn.IFS(orders[[#This Row],[Customer Gender]]="M","Male", orders[[#This Row],[Customer Gender]]="F","Female", orders[[#This Row],[Customer Gender]]="O","Other", TRUE,"Unknown")</f>
        <v>Male</v>
      </c>
    </row>
    <row r="248" spans="1:15" x14ac:dyDescent="0.4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_xlfn.IFS(orders[[#This Row],[Customer Gender]]="M","Male", orders[[#This Row],[Customer Gender]]="F","Female", orders[[#This Row],[Customer Gender]]="O","Other", TRUE,"Unknown")</f>
        <v>Male</v>
      </c>
    </row>
    <row r="249" spans="1:15" x14ac:dyDescent="0.4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_xlfn.IFS(orders[[#This Row],[Customer Gender]]="M","Male", orders[[#This Row],[Customer Gender]]="F","Female", orders[[#This Row],[Customer Gender]]="O","Other", TRUE,"Unknown")</f>
        <v>Male</v>
      </c>
    </row>
    <row r="250" spans="1:15" x14ac:dyDescent="0.4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_xlfn.IFS(orders[[#This Row],[Customer Gender]]="M","Male", orders[[#This Row],[Customer Gender]]="F","Female", orders[[#This Row],[Customer Gender]]="O","Other", TRUE,"Unknown")</f>
        <v>Female</v>
      </c>
    </row>
    <row r="251" spans="1:15" x14ac:dyDescent="0.4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_xlfn.IFS(orders[[#This Row],[Customer Gender]]="M","Male", orders[[#This Row],[Customer Gender]]="F","Female", orders[[#This Row],[Customer Gender]]="O","Other", TRUE,"Unknown")</f>
        <v>Female</v>
      </c>
    </row>
    <row r="252" spans="1:15" x14ac:dyDescent="0.4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_xlfn.IFS(orders[[#This Row],[Customer Gender]]="M","Male", orders[[#This Row],[Customer Gender]]="F","Female", orders[[#This Row],[Customer Gender]]="O","Other", TRUE,"Unknown")</f>
        <v>Male</v>
      </c>
    </row>
    <row r="253" spans="1:15" x14ac:dyDescent="0.4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_xlfn.IFS(orders[[#This Row],[Customer Gender]]="M","Male", orders[[#This Row],[Customer Gender]]="F","Female", orders[[#This Row],[Customer Gender]]="O","Other", TRUE,"Unknown")</f>
        <v>Male</v>
      </c>
    </row>
    <row r="254" spans="1:15" x14ac:dyDescent="0.4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_xlfn.IFS(orders[[#This Row],[Customer Gender]]="M","Male", orders[[#This Row],[Customer Gender]]="F","Female", orders[[#This Row],[Customer Gender]]="O","Other", TRUE,"Unknown")</f>
        <v>Other</v>
      </c>
    </row>
    <row r="255" spans="1:15" x14ac:dyDescent="0.4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_xlfn.IFS(orders[[#This Row],[Customer Gender]]="M","Male", orders[[#This Row],[Customer Gender]]="F","Female", orders[[#This Row],[Customer Gender]]="O","Other", TRUE,"Unknown")</f>
        <v>Male</v>
      </c>
    </row>
    <row r="256" spans="1:15" x14ac:dyDescent="0.4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_xlfn.IFS(orders[[#This Row],[Customer Gender]]="M","Male", orders[[#This Row],[Customer Gender]]="F","Female", orders[[#This Row],[Customer Gender]]="O","Other", TRUE,"Unknown")</f>
        <v>Male</v>
      </c>
    </row>
    <row r="257" spans="1:15" x14ac:dyDescent="0.4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_xlfn.IFS(orders[[#This Row],[Customer Gender]]="M","Male", orders[[#This Row],[Customer Gender]]="F","Female", orders[[#This Row],[Customer Gender]]="O","Other", TRUE,"Unknown")</f>
        <v>Female</v>
      </c>
    </row>
    <row r="258" spans="1:15" x14ac:dyDescent="0.4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_xlfn.IFS(orders[[#This Row],[Customer Gender]]="M","Male", orders[[#This Row],[Customer Gender]]="F","Female", orders[[#This Row],[Customer Gender]]="O","Other", TRUE,"Unknown")</f>
        <v>Male</v>
      </c>
    </row>
    <row r="259" spans="1:15" x14ac:dyDescent="0.4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_xlfn.IFS(orders[[#This Row],[Customer Gender]]="M","Male", orders[[#This Row],[Customer Gender]]="F","Female", orders[[#This Row],[Customer Gender]]="O","Other", TRUE,"Unknown")</f>
        <v>Male</v>
      </c>
    </row>
    <row r="260" spans="1:15" x14ac:dyDescent="0.4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_xlfn.IFS(orders[[#This Row],[Customer Gender]]="M","Male", orders[[#This Row],[Customer Gender]]="F","Female", orders[[#This Row],[Customer Gender]]="O","Other", TRUE,"Unknown")</f>
        <v>Female</v>
      </c>
    </row>
    <row r="261" spans="1:15" x14ac:dyDescent="0.4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_xlfn.IFS(orders[[#This Row],[Customer Gender]]="M","Male", orders[[#This Row],[Customer Gender]]="F","Female", orders[[#This Row],[Customer Gender]]="O","Other", TRUE,"Unknown")</f>
        <v>Female</v>
      </c>
    </row>
    <row r="262" spans="1:15" x14ac:dyDescent="0.4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_xlfn.IFS(orders[[#This Row],[Customer Gender]]="M","Male", orders[[#This Row],[Customer Gender]]="F","Female", orders[[#This Row],[Customer Gender]]="O","Other", TRUE,"Unknown")</f>
        <v>Male</v>
      </c>
    </row>
    <row r="263" spans="1:15" x14ac:dyDescent="0.4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_xlfn.IFS(orders[[#This Row],[Customer Gender]]="M","Male", orders[[#This Row],[Customer Gender]]="F","Female", orders[[#This Row],[Customer Gender]]="O","Other", TRUE,"Unknown")</f>
        <v>Female</v>
      </c>
    </row>
    <row r="264" spans="1:15" x14ac:dyDescent="0.4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_xlfn.IFS(orders[[#This Row],[Customer Gender]]="M","Male", orders[[#This Row],[Customer Gender]]="F","Female", orders[[#This Row],[Customer Gender]]="O","Other", TRUE,"Unknown")</f>
        <v>Male</v>
      </c>
    </row>
    <row r="265" spans="1:15" x14ac:dyDescent="0.4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_xlfn.IFS(orders[[#This Row],[Customer Gender]]="M","Male", orders[[#This Row],[Customer Gender]]="F","Female", orders[[#This Row],[Customer Gender]]="O","Other", TRUE,"Unknown")</f>
        <v>Female</v>
      </c>
    </row>
    <row r="266" spans="1:15" x14ac:dyDescent="0.4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_xlfn.IFS(orders[[#This Row],[Customer Gender]]="M","Male", orders[[#This Row],[Customer Gender]]="F","Female", orders[[#This Row],[Customer Gender]]="O","Other", TRUE,"Unknown")</f>
        <v>Male</v>
      </c>
    </row>
    <row r="267" spans="1:15" x14ac:dyDescent="0.4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_xlfn.IFS(orders[[#This Row],[Customer Gender]]="M","Male", orders[[#This Row],[Customer Gender]]="F","Female", orders[[#This Row],[Customer Gender]]="O","Other", TRUE,"Unknown")</f>
        <v>Female</v>
      </c>
    </row>
    <row r="268" spans="1:15" x14ac:dyDescent="0.4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_xlfn.IFS(orders[[#This Row],[Customer Gender]]="M","Male", orders[[#This Row],[Customer Gender]]="F","Female", orders[[#This Row],[Customer Gender]]="O","Other", TRUE,"Unknown")</f>
        <v>Unknown</v>
      </c>
    </row>
    <row r="269" spans="1:15" x14ac:dyDescent="0.4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_xlfn.IFS(orders[[#This Row],[Customer Gender]]="M","Male", orders[[#This Row],[Customer Gender]]="F","Female", orders[[#This Row],[Customer Gender]]="O","Other", TRUE,"Unknown")</f>
        <v>Female</v>
      </c>
    </row>
    <row r="270" spans="1:15" x14ac:dyDescent="0.4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_xlfn.IFS(orders[[#This Row],[Customer Gender]]="M","Male", orders[[#This Row],[Customer Gender]]="F","Female", orders[[#This Row],[Customer Gender]]="O","Other", TRUE,"Unknown")</f>
        <v>Female</v>
      </c>
    </row>
    <row r="271" spans="1:15" x14ac:dyDescent="0.4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_xlfn.IFS(orders[[#This Row],[Customer Gender]]="M","Male", orders[[#This Row],[Customer Gender]]="F","Female", orders[[#This Row],[Customer Gender]]="O","Other", TRUE,"Unknown")</f>
        <v>Female</v>
      </c>
    </row>
    <row r="272" spans="1:15" x14ac:dyDescent="0.4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_xlfn.IFS(orders[[#This Row],[Customer Gender]]="M","Male", orders[[#This Row],[Customer Gender]]="F","Female", orders[[#This Row],[Customer Gender]]="O","Other", TRUE,"Unknown")</f>
        <v>Female</v>
      </c>
    </row>
    <row r="273" spans="1:15" x14ac:dyDescent="0.4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_xlfn.IFS(orders[[#This Row],[Customer Gender]]="M","Male", orders[[#This Row],[Customer Gender]]="F","Female", orders[[#This Row],[Customer Gender]]="O","Other", TRUE,"Unknown")</f>
        <v>Female</v>
      </c>
    </row>
    <row r="274" spans="1:15" x14ac:dyDescent="0.4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_xlfn.IFS(orders[[#This Row],[Customer Gender]]="M","Male", orders[[#This Row],[Customer Gender]]="F","Female", orders[[#This Row],[Customer Gender]]="O","Other", TRUE,"Unknown")</f>
        <v>Female</v>
      </c>
    </row>
    <row r="275" spans="1:15" x14ac:dyDescent="0.4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_xlfn.IFS(orders[[#This Row],[Customer Gender]]="M","Male", orders[[#This Row],[Customer Gender]]="F","Female", orders[[#This Row],[Customer Gender]]="O","Other", TRUE,"Unknown")</f>
        <v>Male</v>
      </c>
    </row>
    <row r="276" spans="1:15" x14ac:dyDescent="0.4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_xlfn.IFS(orders[[#This Row],[Customer Gender]]="M","Male", orders[[#This Row],[Customer Gender]]="F","Female", orders[[#This Row],[Customer Gender]]="O","Other", TRUE,"Unknown")</f>
        <v>Male</v>
      </c>
    </row>
    <row r="277" spans="1:15" x14ac:dyDescent="0.4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_xlfn.IFS(orders[[#This Row],[Customer Gender]]="M","Male", orders[[#This Row],[Customer Gender]]="F","Female", orders[[#This Row],[Customer Gender]]="O","Other", TRUE,"Unknown")</f>
        <v>Female</v>
      </c>
    </row>
    <row r="278" spans="1:15" x14ac:dyDescent="0.4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_xlfn.IFS(orders[[#This Row],[Customer Gender]]="M","Male", orders[[#This Row],[Customer Gender]]="F","Female", orders[[#This Row],[Customer Gender]]="O","Other", TRUE,"Unknown")</f>
        <v>Unknown</v>
      </c>
    </row>
    <row r="279" spans="1:15" x14ac:dyDescent="0.4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_xlfn.IFS(orders[[#This Row],[Customer Gender]]="M","Male", orders[[#This Row],[Customer Gender]]="F","Female", orders[[#This Row],[Customer Gender]]="O","Other", TRUE,"Unknown")</f>
        <v>Female</v>
      </c>
    </row>
    <row r="280" spans="1:15" x14ac:dyDescent="0.4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_xlfn.IFS(orders[[#This Row],[Customer Gender]]="M","Male", orders[[#This Row],[Customer Gender]]="F","Female", orders[[#This Row],[Customer Gender]]="O","Other", TRUE,"Unknown")</f>
        <v>Female</v>
      </c>
    </row>
    <row r="281" spans="1:15" x14ac:dyDescent="0.4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_xlfn.IFS(orders[[#This Row],[Customer Gender]]="M","Male", orders[[#This Row],[Customer Gender]]="F","Female", orders[[#This Row],[Customer Gender]]="O","Other", TRUE,"Unknown")</f>
        <v>Female</v>
      </c>
    </row>
    <row r="282" spans="1:15" x14ac:dyDescent="0.4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_xlfn.IFS(orders[[#This Row],[Customer Gender]]="M","Male", orders[[#This Row],[Customer Gender]]="F","Female", orders[[#This Row],[Customer Gender]]="O","Other", TRUE,"Unknown")</f>
        <v>Male</v>
      </c>
    </row>
    <row r="283" spans="1:15" x14ac:dyDescent="0.4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_xlfn.IFS(orders[[#This Row],[Customer Gender]]="M","Male", orders[[#This Row],[Customer Gender]]="F","Female", orders[[#This Row],[Customer Gender]]="O","Other", TRUE,"Unknown")</f>
        <v>Male</v>
      </c>
    </row>
    <row r="284" spans="1:15" x14ac:dyDescent="0.4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_xlfn.IFS(orders[[#This Row],[Customer Gender]]="M","Male", orders[[#This Row],[Customer Gender]]="F","Female", orders[[#This Row],[Customer Gender]]="O","Other", TRUE,"Unknown")</f>
        <v>Female</v>
      </c>
    </row>
    <row r="285" spans="1:15" x14ac:dyDescent="0.4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_xlfn.IFS(orders[[#This Row],[Customer Gender]]="M","Male", orders[[#This Row],[Customer Gender]]="F","Female", orders[[#This Row],[Customer Gender]]="O","Other", TRUE,"Unknown")</f>
        <v>Male</v>
      </c>
    </row>
    <row r="286" spans="1:15" x14ac:dyDescent="0.4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_xlfn.IFS(orders[[#This Row],[Customer Gender]]="M","Male", orders[[#This Row],[Customer Gender]]="F","Female", orders[[#This Row],[Customer Gender]]="O","Other", TRUE,"Unknown")</f>
        <v>Male</v>
      </c>
    </row>
    <row r="287" spans="1:15" x14ac:dyDescent="0.4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_xlfn.IFS(orders[[#This Row],[Customer Gender]]="M","Male", orders[[#This Row],[Customer Gender]]="F","Female", orders[[#This Row],[Customer Gender]]="O","Other", TRUE,"Unknown")</f>
        <v>Female</v>
      </c>
    </row>
    <row r="288" spans="1:15" x14ac:dyDescent="0.4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_xlfn.IFS(orders[[#This Row],[Customer Gender]]="M","Male", orders[[#This Row],[Customer Gender]]="F","Female", orders[[#This Row],[Customer Gender]]="O","Other", TRUE,"Unknown")</f>
        <v>Female</v>
      </c>
    </row>
    <row r="289" spans="1:15" x14ac:dyDescent="0.4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_xlfn.IFS(orders[[#This Row],[Customer Gender]]="M","Male", orders[[#This Row],[Customer Gender]]="F","Female", orders[[#This Row],[Customer Gender]]="O","Other", TRUE,"Unknown")</f>
        <v>Male</v>
      </c>
    </row>
    <row r="290" spans="1:15" x14ac:dyDescent="0.4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_xlfn.IFS(orders[[#This Row],[Customer Gender]]="M","Male", orders[[#This Row],[Customer Gender]]="F","Female", orders[[#This Row],[Customer Gender]]="O","Other", TRUE,"Unknown")</f>
        <v>Male</v>
      </c>
    </row>
    <row r="291" spans="1:15" x14ac:dyDescent="0.4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_xlfn.IFS(orders[[#This Row],[Customer Gender]]="M","Male", orders[[#This Row],[Customer Gender]]="F","Female", orders[[#This Row],[Customer Gender]]="O","Other", TRUE,"Unknown")</f>
        <v>Male</v>
      </c>
    </row>
    <row r="292" spans="1:15" x14ac:dyDescent="0.4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_xlfn.IFS(orders[[#This Row],[Customer Gender]]="M","Male", orders[[#This Row],[Customer Gender]]="F","Female", orders[[#This Row],[Customer Gender]]="O","Other", TRUE,"Unknown")</f>
        <v>Male</v>
      </c>
    </row>
    <row r="293" spans="1:15" x14ac:dyDescent="0.4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_xlfn.IFS(orders[[#This Row],[Customer Gender]]="M","Male", orders[[#This Row],[Customer Gender]]="F","Female", orders[[#This Row],[Customer Gender]]="O","Other", TRUE,"Unknown")</f>
        <v>Male</v>
      </c>
    </row>
    <row r="294" spans="1:15" x14ac:dyDescent="0.4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_xlfn.IFS(orders[[#This Row],[Customer Gender]]="M","Male", orders[[#This Row],[Customer Gender]]="F","Female", orders[[#This Row],[Customer Gender]]="O","Other", TRUE,"Unknown")</f>
        <v>Female</v>
      </c>
    </row>
    <row r="295" spans="1:15" x14ac:dyDescent="0.4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_xlfn.IFS(orders[[#This Row],[Customer Gender]]="M","Male", orders[[#This Row],[Customer Gender]]="F","Female", orders[[#This Row],[Customer Gender]]="O","Other", TRUE,"Unknown")</f>
        <v>Male</v>
      </c>
    </row>
    <row r="296" spans="1:15" x14ac:dyDescent="0.4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_xlfn.IFS(orders[[#This Row],[Customer Gender]]="M","Male", orders[[#This Row],[Customer Gender]]="F","Female", orders[[#This Row],[Customer Gender]]="O","Other", TRUE,"Unknown")</f>
        <v>Male</v>
      </c>
    </row>
    <row r="297" spans="1:15" x14ac:dyDescent="0.4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_xlfn.IFS(orders[[#This Row],[Customer Gender]]="M","Male", orders[[#This Row],[Customer Gender]]="F","Female", orders[[#This Row],[Customer Gender]]="O","Other", TRUE,"Unknown")</f>
        <v>Female</v>
      </c>
    </row>
    <row r="298" spans="1:15" x14ac:dyDescent="0.4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_xlfn.IFS(orders[[#This Row],[Customer Gender]]="M","Male", orders[[#This Row],[Customer Gender]]="F","Female", orders[[#This Row],[Customer Gender]]="O","Other", TRUE,"Unknown")</f>
        <v>Female</v>
      </c>
    </row>
    <row r="299" spans="1:15" x14ac:dyDescent="0.4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_xlfn.IFS(orders[[#This Row],[Customer Gender]]="M","Male", orders[[#This Row],[Customer Gender]]="F","Female", orders[[#This Row],[Customer Gender]]="O","Other", TRUE,"Unknown")</f>
        <v>Male</v>
      </c>
    </row>
    <row r="300" spans="1:15" x14ac:dyDescent="0.4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_xlfn.IFS(orders[[#This Row],[Customer Gender]]="M","Male", orders[[#This Row],[Customer Gender]]="F","Female", orders[[#This Row],[Customer Gender]]="O","Other", TRUE,"Unknown")</f>
        <v>Female</v>
      </c>
    </row>
    <row r="301" spans="1:15" x14ac:dyDescent="0.4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_xlfn.IFS(orders[[#This Row],[Customer Gender]]="M","Male", orders[[#This Row],[Customer Gender]]="F","Female", orders[[#This Row],[Customer Gender]]="O","Other", TRUE,"Unknown")</f>
        <v>Male</v>
      </c>
    </row>
    <row r="302" spans="1:15" x14ac:dyDescent="0.4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_xlfn.IFS(orders[[#This Row],[Customer Gender]]="M","Male", orders[[#This Row],[Customer Gender]]="F","Female", orders[[#This Row],[Customer Gender]]="O","Other", TRUE,"Unknown")</f>
        <v>Female</v>
      </c>
    </row>
    <row r="303" spans="1:15" x14ac:dyDescent="0.4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_xlfn.IFS(orders[[#This Row],[Customer Gender]]="M","Male", orders[[#This Row],[Customer Gender]]="F","Female", orders[[#This Row],[Customer Gender]]="O","Other", TRUE,"Unknown")</f>
        <v>Female</v>
      </c>
    </row>
    <row r="304" spans="1:15" x14ac:dyDescent="0.4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_xlfn.IFS(orders[[#This Row],[Customer Gender]]="M","Male", orders[[#This Row],[Customer Gender]]="F","Female", orders[[#This Row],[Customer Gender]]="O","Other", TRUE,"Unknown")</f>
        <v>Female</v>
      </c>
    </row>
    <row r="305" spans="1:15" x14ac:dyDescent="0.4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_xlfn.IFS(orders[[#This Row],[Customer Gender]]="M","Male", orders[[#This Row],[Customer Gender]]="F","Female", orders[[#This Row],[Customer Gender]]="O","Other", TRUE,"Unknown")</f>
        <v>Female</v>
      </c>
    </row>
    <row r="306" spans="1:15" x14ac:dyDescent="0.4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_xlfn.IFS(orders[[#This Row],[Customer Gender]]="M","Male", orders[[#This Row],[Customer Gender]]="F","Female", orders[[#This Row],[Customer Gender]]="O","Other", TRUE,"Unknown")</f>
        <v>Male</v>
      </c>
    </row>
    <row r="307" spans="1:15" x14ac:dyDescent="0.4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_xlfn.IFS(orders[[#This Row],[Customer Gender]]="M","Male", orders[[#This Row],[Customer Gender]]="F","Female", orders[[#This Row],[Customer Gender]]="O","Other", TRUE,"Unknown")</f>
        <v>Female</v>
      </c>
    </row>
    <row r="308" spans="1:15" x14ac:dyDescent="0.4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_xlfn.IFS(orders[[#This Row],[Customer Gender]]="M","Male", orders[[#This Row],[Customer Gender]]="F","Female", orders[[#This Row],[Customer Gender]]="O","Other", TRUE,"Unknown")</f>
        <v>Female</v>
      </c>
    </row>
    <row r="309" spans="1:15" x14ac:dyDescent="0.4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_xlfn.IFS(orders[[#This Row],[Customer Gender]]="M","Male", orders[[#This Row],[Customer Gender]]="F","Female", orders[[#This Row],[Customer Gender]]="O","Other", TRUE,"Unknown")</f>
        <v>Female</v>
      </c>
    </row>
    <row r="310" spans="1:15" x14ac:dyDescent="0.4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_xlfn.IFS(orders[[#This Row],[Customer Gender]]="M","Male", orders[[#This Row],[Customer Gender]]="F","Female", orders[[#This Row],[Customer Gender]]="O","Other", TRUE,"Unknown")</f>
        <v>Male</v>
      </c>
    </row>
    <row r="311" spans="1:15" x14ac:dyDescent="0.4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_xlfn.IFS(orders[[#This Row],[Customer Gender]]="M","Male", orders[[#This Row],[Customer Gender]]="F","Female", orders[[#This Row],[Customer Gender]]="O","Other", TRUE,"Unknown")</f>
        <v>Female</v>
      </c>
    </row>
    <row r="312" spans="1:15" x14ac:dyDescent="0.4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_xlfn.IFS(orders[[#This Row],[Customer Gender]]="M","Male", orders[[#This Row],[Customer Gender]]="F","Female", orders[[#This Row],[Customer Gender]]="O","Other", TRUE,"Unknown")</f>
        <v>Male</v>
      </c>
    </row>
    <row r="313" spans="1:15" x14ac:dyDescent="0.4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_xlfn.IFS(orders[[#This Row],[Customer Gender]]="M","Male", orders[[#This Row],[Customer Gender]]="F","Female", orders[[#This Row],[Customer Gender]]="O","Other", TRUE,"Unknown")</f>
        <v>Male</v>
      </c>
    </row>
    <row r="314" spans="1:15" x14ac:dyDescent="0.4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_xlfn.IFS(orders[[#This Row],[Customer Gender]]="M","Male", orders[[#This Row],[Customer Gender]]="F","Female", orders[[#This Row],[Customer Gender]]="O","Other", TRUE,"Unknown")</f>
        <v>Male</v>
      </c>
    </row>
    <row r="315" spans="1:15" x14ac:dyDescent="0.4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_xlfn.IFS(orders[[#This Row],[Customer Gender]]="M","Male", orders[[#This Row],[Customer Gender]]="F","Female", orders[[#This Row],[Customer Gender]]="O","Other", TRUE,"Unknown")</f>
        <v>Female</v>
      </c>
    </row>
    <row r="316" spans="1:15" x14ac:dyDescent="0.4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_xlfn.IFS(orders[[#This Row],[Customer Gender]]="M","Male", orders[[#This Row],[Customer Gender]]="F","Female", orders[[#This Row],[Customer Gender]]="O","Other", TRUE,"Unknown")</f>
        <v>Male</v>
      </c>
    </row>
    <row r="317" spans="1:15" x14ac:dyDescent="0.4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_xlfn.IFS(orders[[#This Row],[Customer Gender]]="M","Male", orders[[#This Row],[Customer Gender]]="F","Female", orders[[#This Row],[Customer Gender]]="O","Other", TRUE,"Unknown")</f>
        <v>Female</v>
      </c>
    </row>
    <row r="318" spans="1:15" x14ac:dyDescent="0.4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_xlfn.IFS(orders[[#This Row],[Customer Gender]]="M","Male", orders[[#This Row],[Customer Gender]]="F","Female", orders[[#This Row],[Customer Gender]]="O","Other", TRUE,"Unknown")</f>
        <v>Unknown</v>
      </c>
    </row>
    <row r="319" spans="1:15" x14ac:dyDescent="0.4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_xlfn.IFS(orders[[#This Row],[Customer Gender]]="M","Male", orders[[#This Row],[Customer Gender]]="F","Female", orders[[#This Row],[Customer Gender]]="O","Other", TRUE,"Unknown")</f>
        <v>Female</v>
      </c>
    </row>
    <row r="320" spans="1:15" x14ac:dyDescent="0.4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_xlfn.IFS(orders[[#This Row],[Customer Gender]]="M","Male", orders[[#This Row],[Customer Gender]]="F","Female", orders[[#This Row],[Customer Gender]]="O","Other", TRUE,"Unknown")</f>
        <v>Female</v>
      </c>
    </row>
    <row r="321" spans="1:15" x14ac:dyDescent="0.4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_xlfn.IFS(orders[[#This Row],[Customer Gender]]="M","Male", orders[[#This Row],[Customer Gender]]="F","Female", orders[[#This Row],[Customer Gender]]="O","Other", TRUE,"Unknown")</f>
        <v>Male</v>
      </c>
    </row>
    <row r="322" spans="1:15" x14ac:dyDescent="0.4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_xlfn.IFS(orders[[#This Row],[Customer Gender]]="M","Male", orders[[#This Row],[Customer Gender]]="F","Female", orders[[#This Row],[Customer Gender]]="O","Other", TRUE,"Unknown")</f>
        <v>Other</v>
      </c>
    </row>
    <row r="323" spans="1:15" x14ac:dyDescent="0.4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_xlfn.IFS(orders[[#This Row],[Customer Gender]]="M","Male", orders[[#This Row],[Customer Gender]]="F","Female", orders[[#This Row],[Customer Gender]]="O","Other", TRUE,"Unknown")</f>
        <v>Unknown</v>
      </c>
    </row>
    <row r="324" spans="1:15" x14ac:dyDescent="0.4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_xlfn.IFS(orders[[#This Row],[Customer Gender]]="M","Male", orders[[#This Row],[Customer Gender]]="F","Female", orders[[#This Row],[Customer Gender]]="O","Other", TRUE,"Unknown")</f>
        <v>Female</v>
      </c>
    </row>
    <row r="325" spans="1:15" x14ac:dyDescent="0.4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_xlfn.IFS(orders[[#This Row],[Customer Gender]]="M","Male", orders[[#This Row],[Customer Gender]]="F","Female", orders[[#This Row],[Customer Gender]]="O","Other", TRUE,"Unknown")</f>
        <v>Male</v>
      </c>
    </row>
    <row r="326" spans="1:15" x14ac:dyDescent="0.4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_xlfn.IFS(orders[[#This Row],[Customer Gender]]="M","Male", orders[[#This Row],[Customer Gender]]="F","Female", orders[[#This Row],[Customer Gender]]="O","Other", TRUE,"Unknown")</f>
        <v>Female</v>
      </c>
    </row>
    <row r="327" spans="1:15" x14ac:dyDescent="0.4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_xlfn.IFS(orders[[#This Row],[Customer Gender]]="M","Male", orders[[#This Row],[Customer Gender]]="F","Female", orders[[#This Row],[Customer Gender]]="O","Other", TRUE,"Unknown")</f>
        <v>Female</v>
      </c>
    </row>
    <row r="328" spans="1:15" x14ac:dyDescent="0.4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_xlfn.IFS(orders[[#This Row],[Customer Gender]]="M","Male", orders[[#This Row],[Customer Gender]]="F","Female", orders[[#This Row],[Customer Gender]]="O","Other", TRUE,"Unknown")</f>
        <v>Male</v>
      </c>
    </row>
    <row r="329" spans="1:15" x14ac:dyDescent="0.4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_xlfn.IFS(orders[[#This Row],[Customer Gender]]="M","Male", orders[[#This Row],[Customer Gender]]="F","Female", orders[[#This Row],[Customer Gender]]="O","Other", TRUE,"Unknown")</f>
        <v>Male</v>
      </c>
    </row>
    <row r="330" spans="1:15" x14ac:dyDescent="0.4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_xlfn.IFS(orders[[#This Row],[Customer Gender]]="M","Male", orders[[#This Row],[Customer Gender]]="F","Female", orders[[#This Row],[Customer Gender]]="O","Other", TRUE,"Unknown")</f>
        <v>Female</v>
      </c>
    </row>
    <row r="331" spans="1:15" x14ac:dyDescent="0.4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_xlfn.IFS(orders[[#This Row],[Customer Gender]]="M","Male", orders[[#This Row],[Customer Gender]]="F","Female", orders[[#This Row],[Customer Gender]]="O","Other", TRUE,"Unknown")</f>
        <v>Female</v>
      </c>
    </row>
    <row r="332" spans="1:15" x14ac:dyDescent="0.4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_xlfn.IFS(orders[[#This Row],[Customer Gender]]="M","Male", orders[[#This Row],[Customer Gender]]="F","Female", orders[[#This Row],[Customer Gender]]="O","Other", TRUE,"Unknown")</f>
        <v>Female</v>
      </c>
    </row>
    <row r="333" spans="1:15" x14ac:dyDescent="0.4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_xlfn.IFS(orders[[#This Row],[Customer Gender]]="M","Male", orders[[#This Row],[Customer Gender]]="F","Female", orders[[#This Row],[Customer Gender]]="O","Other", TRUE,"Unknown")</f>
        <v>Female</v>
      </c>
    </row>
    <row r="334" spans="1:15" x14ac:dyDescent="0.4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_xlfn.IFS(orders[[#This Row],[Customer Gender]]="M","Male", orders[[#This Row],[Customer Gender]]="F","Female", orders[[#This Row],[Customer Gender]]="O","Other", TRUE,"Unknown")</f>
        <v>Male</v>
      </c>
    </row>
    <row r="335" spans="1:15" x14ac:dyDescent="0.4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_xlfn.IFS(orders[[#This Row],[Customer Gender]]="M","Male", orders[[#This Row],[Customer Gender]]="F","Female", orders[[#This Row],[Customer Gender]]="O","Other", TRUE,"Unknown")</f>
        <v>Female</v>
      </c>
    </row>
    <row r="336" spans="1:15" x14ac:dyDescent="0.4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_xlfn.IFS(orders[[#This Row],[Customer Gender]]="M","Male", orders[[#This Row],[Customer Gender]]="F","Female", orders[[#This Row],[Customer Gender]]="O","Other", TRUE,"Unknown")</f>
        <v>Female</v>
      </c>
    </row>
    <row r="337" spans="1:15" x14ac:dyDescent="0.4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_xlfn.IFS(orders[[#This Row],[Customer Gender]]="M","Male", orders[[#This Row],[Customer Gender]]="F","Female", orders[[#This Row],[Customer Gender]]="O","Other", TRUE,"Unknown")</f>
        <v>Male</v>
      </c>
    </row>
    <row r="338" spans="1:15" x14ac:dyDescent="0.4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_xlfn.IFS(orders[[#This Row],[Customer Gender]]="M","Male", orders[[#This Row],[Customer Gender]]="F","Female", orders[[#This Row],[Customer Gender]]="O","Other", TRUE,"Unknown")</f>
        <v>Unknown</v>
      </c>
    </row>
    <row r="339" spans="1:15" x14ac:dyDescent="0.4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_xlfn.IFS(orders[[#This Row],[Customer Gender]]="M","Male", orders[[#This Row],[Customer Gender]]="F","Female", orders[[#This Row],[Customer Gender]]="O","Other", TRUE,"Unknown")</f>
        <v>Female</v>
      </c>
    </row>
    <row r="340" spans="1:15" x14ac:dyDescent="0.4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_xlfn.IFS(orders[[#This Row],[Customer Gender]]="M","Male", orders[[#This Row],[Customer Gender]]="F","Female", orders[[#This Row],[Customer Gender]]="O","Other", TRUE,"Unknown")</f>
        <v>Male</v>
      </c>
    </row>
    <row r="341" spans="1:15" x14ac:dyDescent="0.4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_xlfn.IFS(orders[[#This Row],[Customer Gender]]="M","Male", orders[[#This Row],[Customer Gender]]="F","Female", orders[[#This Row],[Customer Gender]]="O","Other", TRUE,"Unknown")</f>
        <v>Female</v>
      </c>
    </row>
    <row r="342" spans="1:15" x14ac:dyDescent="0.4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_xlfn.IFS(orders[[#This Row],[Customer Gender]]="M","Male", orders[[#This Row],[Customer Gender]]="F","Female", orders[[#This Row],[Customer Gender]]="O","Other", TRUE,"Unknown")</f>
        <v>Female</v>
      </c>
    </row>
    <row r="343" spans="1:15" x14ac:dyDescent="0.4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_xlfn.IFS(orders[[#This Row],[Customer Gender]]="M","Male", orders[[#This Row],[Customer Gender]]="F","Female", orders[[#This Row],[Customer Gender]]="O","Other", TRUE,"Unknown")</f>
        <v>Male</v>
      </c>
    </row>
    <row r="344" spans="1:15" x14ac:dyDescent="0.4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_xlfn.IFS(orders[[#This Row],[Customer Gender]]="M","Male", orders[[#This Row],[Customer Gender]]="F","Female", orders[[#This Row],[Customer Gender]]="O","Other", TRUE,"Unknown")</f>
        <v>Female</v>
      </c>
    </row>
    <row r="345" spans="1:15" x14ac:dyDescent="0.4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_xlfn.IFS(orders[[#This Row],[Customer Gender]]="M","Male", orders[[#This Row],[Customer Gender]]="F","Female", orders[[#This Row],[Customer Gender]]="O","Other", TRUE,"Unknown")</f>
        <v>Female</v>
      </c>
    </row>
    <row r="346" spans="1:15" x14ac:dyDescent="0.4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_xlfn.IFS(orders[[#This Row],[Customer Gender]]="M","Male", orders[[#This Row],[Customer Gender]]="F","Female", orders[[#This Row],[Customer Gender]]="O","Other", TRUE,"Unknown")</f>
        <v>Female</v>
      </c>
    </row>
    <row r="347" spans="1:15" x14ac:dyDescent="0.4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_xlfn.IFS(orders[[#This Row],[Customer Gender]]="M","Male", orders[[#This Row],[Customer Gender]]="F","Female", orders[[#This Row],[Customer Gender]]="O","Other", TRUE,"Unknown")</f>
        <v>Unknown</v>
      </c>
    </row>
    <row r="348" spans="1:15" x14ac:dyDescent="0.4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_xlfn.IFS(orders[[#This Row],[Customer Gender]]="M","Male", orders[[#This Row],[Customer Gender]]="F","Female", orders[[#This Row],[Customer Gender]]="O","Other", TRUE,"Unknown")</f>
        <v>Male</v>
      </c>
    </row>
    <row r="349" spans="1:15" x14ac:dyDescent="0.4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_xlfn.IFS(orders[[#This Row],[Customer Gender]]="M","Male", orders[[#This Row],[Customer Gender]]="F","Female", orders[[#This Row],[Customer Gender]]="O","Other", TRUE,"Unknown")</f>
        <v>Male</v>
      </c>
    </row>
    <row r="350" spans="1:15" x14ac:dyDescent="0.4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_xlfn.IFS(orders[[#This Row],[Customer Gender]]="M","Male", orders[[#This Row],[Customer Gender]]="F","Female", orders[[#This Row],[Customer Gender]]="O","Other", TRUE,"Unknown")</f>
        <v>Male</v>
      </c>
    </row>
    <row r="351" spans="1:15" x14ac:dyDescent="0.4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_xlfn.IFS(orders[[#This Row],[Customer Gender]]="M","Male", orders[[#This Row],[Customer Gender]]="F","Female", orders[[#This Row],[Customer Gender]]="O","Other", TRUE,"Unknown")</f>
        <v>Female</v>
      </c>
    </row>
    <row r="352" spans="1:15" x14ac:dyDescent="0.4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_xlfn.IFS(orders[[#This Row],[Customer Gender]]="M","Male", orders[[#This Row],[Customer Gender]]="F","Female", orders[[#This Row],[Customer Gender]]="O","Other", TRUE,"Unknown")</f>
        <v>Male</v>
      </c>
    </row>
    <row r="353" spans="1:15" x14ac:dyDescent="0.4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_xlfn.IFS(orders[[#This Row],[Customer Gender]]="M","Male", orders[[#This Row],[Customer Gender]]="F","Female", orders[[#This Row],[Customer Gender]]="O","Other", TRUE,"Unknown")</f>
        <v>Female</v>
      </c>
    </row>
    <row r="354" spans="1:15" x14ac:dyDescent="0.4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_xlfn.IFS(orders[[#This Row],[Customer Gender]]="M","Male", orders[[#This Row],[Customer Gender]]="F","Female", orders[[#This Row],[Customer Gender]]="O","Other", TRUE,"Unknown")</f>
        <v>Female</v>
      </c>
    </row>
    <row r="355" spans="1:15" x14ac:dyDescent="0.4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_xlfn.IFS(orders[[#This Row],[Customer Gender]]="M","Male", orders[[#This Row],[Customer Gender]]="F","Female", orders[[#This Row],[Customer Gender]]="O","Other", TRUE,"Unknown")</f>
        <v>Male</v>
      </c>
    </row>
    <row r="356" spans="1:15" x14ac:dyDescent="0.4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_xlfn.IFS(orders[[#This Row],[Customer Gender]]="M","Male", orders[[#This Row],[Customer Gender]]="F","Female", orders[[#This Row],[Customer Gender]]="O","Other", TRUE,"Unknown")</f>
        <v>Male</v>
      </c>
    </row>
    <row r="357" spans="1:15" x14ac:dyDescent="0.4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_xlfn.IFS(orders[[#This Row],[Customer Gender]]="M","Male", orders[[#This Row],[Customer Gender]]="F","Female", orders[[#This Row],[Customer Gender]]="O","Other", TRUE,"Unknown")</f>
        <v>Unknown</v>
      </c>
    </row>
    <row r="358" spans="1:15" x14ac:dyDescent="0.4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_xlfn.IFS(orders[[#This Row],[Customer Gender]]="M","Male", orders[[#This Row],[Customer Gender]]="F","Female", orders[[#This Row],[Customer Gender]]="O","Other", TRUE,"Unknown")</f>
        <v>Female</v>
      </c>
    </row>
    <row r="359" spans="1:15" x14ac:dyDescent="0.4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_xlfn.IFS(orders[[#This Row],[Customer Gender]]="M","Male", orders[[#This Row],[Customer Gender]]="F","Female", orders[[#This Row],[Customer Gender]]="O","Other", TRUE,"Unknown")</f>
        <v>Female</v>
      </c>
    </row>
    <row r="360" spans="1:15" x14ac:dyDescent="0.4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_xlfn.IFS(orders[[#This Row],[Customer Gender]]="M","Male", orders[[#This Row],[Customer Gender]]="F","Female", orders[[#This Row],[Customer Gender]]="O","Other", TRUE,"Unknown")</f>
        <v>Female</v>
      </c>
    </row>
    <row r="361" spans="1:15" x14ac:dyDescent="0.4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_xlfn.IFS(orders[[#This Row],[Customer Gender]]="M","Male", orders[[#This Row],[Customer Gender]]="F","Female", orders[[#This Row],[Customer Gender]]="O","Other", TRUE,"Unknown")</f>
        <v>Male</v>
      </c>
    </row>
    <row r="362" spans="1:15" x14ac:dyDescent="0.4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_xlfn.IFS(orders[[#This Row],[Customer Gender]]="M","Male", orders[[#This Row],[Customer Gender]]="F","Female", orders[[#This Row],[Customer Gender]]="O","Other", TRUE,"Unknown")</f>
        <v>Female</v>
      </c>
    </row>
    <row r="363" spans="1:15" x14ac:dyDescent="0.4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_xlfn.IFS(orders[[#This Row],[Customer Gender]]="M","Male", orders[[#This Row],[Customer Gender]]="F","Female", orders[[#This Row],[Customer Gender]]="O","Other", TRUE,"Unknown")</f>
        <v>Other</v>
      </c>
    </row>
    <row r="364" spans="1:15" x14ac:dyDescent="0.4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_xlfn.IFS(orders[[#This Row],[Customer Gender]]="M","Male", orders[[#This Row],[Customer Gender]]="F","Female", orders[[#This Row],[Customer Gender]]="O","Other", TRUE,"Unknown")</f>
        <v>Male</v>
      </c>
    </row>
    <row r="365" spans="1:15" x14ac:dyDescent="0.4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_xlfn.IFS(orders[[#This Row],[Customer Gender]]="M","Male", orders[[#This Row],[Customer Gender]]="F","Female", orders[[#This Row],[Customer Gender]]="O","Other", TRUE,"Unknown")</f>
        <v>Female</v>
      </c>
    </row>
    <row r="366" spans="1:15" x14ac:dyDescent="0.4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_xlfn.IFS(orders[[#This Row],[Customer Gender]]="M","Male", orders[[#This Row],[Customer Gender]]="F","Female", orders[[#This Row],[Customer Gender]]="O","Other", TRUE,"Unknown")</f>
        <v>Male</v>
      </c>
    </row>
    <row r="367" spans="1:15" x14ac:dyDescent="0.4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_xlfn.IFS(orders[[#This Row],[Customer Gender]]="M","Male", orders[[#This Row],[Customer Gender]]="F","Female", orders[[#This Row],[Customer Gender]]="O","Other", TRUE,"Unknown")</f>
        <v>Female</v>
      </c>
    </row>
    <row r="368" spans="1:15" x14ac:dyDescent="0.4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_xlfn.IFS(orders[[#This Row],[Customer Gender]]="M","Male", orders[[#This Row],[Customer Gender]]="F","Female", orders[[#This Row],[Customer Gender]]="O","Other", TRUE,"Unknown")</f>
        <v>Unknown</v>
      </c>
    </row>
    <row r="369" spans="1:15" x14ac:dyDescent="0.4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_xlfn.IFS(orders[[#This Row],[Customer Gender]]="M","Male", orders[[#This Row],[Customer Gender]]="F","Female", orders[[#This Row],[Customer Gender]]="O","Other", TRUE,"Unknown")</f>
        <v>Female</v>
      </c>
    </row>
    <row r="370" spans="1:15" x14ac:dyDescent="0.4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_xlfn.IFS(orders[[#This Row],[Customer Gender]]="M","Male", orders[[#This Row],[Customer Gender]]="F","Female", orders[[#This Row],[Customer Gender]]="O","Other", TRUE,"Unknown")</f>
        <v>Male</v>
      </c>
    </row>
    <row r="371" spans="1:15" x14ac:dyDescent="0.4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_xlfn.IFS(orders[[#This Row],[Customer Gender]]="M","Male", orders[[#This Row],[Customer Gender]]="F","Female", orders[[#This Row],[Customer Gender]]="O","Other", TRUE,"Unknown")</f>
        <v>Female</v>
      </c>
    </row>
    <row r="372" spans="1:15" x14ac:dyDescent="0.4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_xlfn.IFS(orders[[#This Row],[Customer Gender]]="M","Male", orders[[#This Row],[Customer Gender]]="F","Female", orders[[#This Row],[Customer Gender]]="O","Other", TRUE,"Unknown")</f>
        <v>Female</v>
      </c>
    </row>
    <row r="373" spans="1:15" x14ac:dyDescent="0.4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_xlfn.IFS(orders[[#This Row],[Customer Gender]]="M","Male", orders[[#This Row],[Customer Gender]]="F","Female", orders[[#This Row],[Customer Gender]]="O","Other", TRUE,"Unknown")</f>
        <v>Male</v>
      </c>
    </row>
    <row r="374" spans="1:15" x14ac:dyDescent="0.4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_xlfn.IFS(orders[[#This Row],[Customer Gender]]="M","Male", orders[[#This Row],[Customer Gender]]="F","Female", orders[[#This Row],[Customer Gender]]="O","Other", TRUE,"Unknown")</f>
        <v>Male</v>
      </c>
    </row>
    <row r="375" spans="1:15" x14ac:dyDescent="0.4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_xlfn.IFS(orders[[#This Row],[Customer Gender]]="M","Male", orders[[#This Row],[Customer Gender]]="F","Female", orders[[#This Row],[Customer Gender]]="O","Other", TRUE,"Unknown")</f>
        <v>Unknown</v>
      </c>
    </row>
    <row r="376" spans="1:15" x14ac:dyDescent="0.4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_xlfn.IFS(orders[[#This Row],[Customer Gender]]="M","Male", orders[[#This Row],[Customer Gender]]="F","Female", orders[[#This Row],[Customer Gender]]="O","Other", TRUE,"Unknown")</f>
        <v>Male</v>
      </c>
    </row>
    <row r="377" spans="1:15" x14ac:dyDescent="0.4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_xlfn.IFS(orders[[#This Row],[Customer Gender]]="M","Male", orders[[#This Row],[Customer Gender]]="F","Female", orders[[#This Row],[Customer Gender]]="O","Other", TRUE,"Unknown")</f>
        <v>Female</v>
      </c>
    </row>
    <row r="378" spans="1:15" x14ac:dyDescent="0.4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_xlfn.IFS(orders[[#This Row],[Customer Gender]]="M","Male", orders[[#This Row],[Customer Gender]]="F","Female", orders[[#This Row],[Customer Gender]]="O","Other", TRUE,"Unknown")</f>
        <v>Other</v>
      </c>
    </row>
    <row r="379" spans="1:15" x14ac:dyDescent="0.4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_xlfn.IFS(orders[[#This Row],[Customer Gender]]="M","Male", orders[[#This Row],[Customer Gender]]="F","Female", orders[[#This Row],[Customer Gender]]="O","Other", TRUE,"Unknown")</f>
        <v>Female</v>
      </c>
    </row>
    <row r="380" spans="1:15" x14ac:dyDescent="0.4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_xlfn.IFS(orders[[#This Row],[Customer Gender]]="M","Male", orders[[#This Row],[Customer Gender]]="F","Female", orders[[#This Row],[Customer Gender]]="O","Other", TRUE,"Unknown")</f>
        <v>Female</v>
      </c>
    </row>
    <row r="381" spans="1:15" x14ac:dyDescent="0.4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_xlfn.IFS(orders[[#This Row],[Customer Gender]]="M","Male", orders[[#This Row],[Customer Gender]]="F","Female", orders[[#This Row],[Customer Gender]]="O","Other", TRUE,"Unknown")</f>
        <v>Female</v>
      </c>
    </row>
    <row r="382" spans="1:15" x14ac:dyDescent="0.4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_xlfn.IFS(orders[[#This Row],[Customer Gender]]="M","Male", orders[[#This Row],[Customer Gender]]="F","Female", orders[[#This Row],[Customer Gender]]="O","Other", TRUE,"Unknown")</f>
        <v>Male</v>
      </c>
    </row>
    <row r="383" spans="1:15" x14ac:dyDescent="0.4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_xlfn.IFS(orders[[#This Row],[Customer Gender]]="M","Male", orders[[#This Row],[Customer Gender]]="F","Female", orders[[#This Row],[Customer Gender]]="O","Other", TRUE,"Unknown")</f>
        <v>Other</v>
      </c>
    </row>
    <row r="384" spans="1:15" x14ac:dyDescent="0.4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_xlfn.IFS(orders[[#This Row],[Customer Gender]]="M","Male", orders[[#This Row],[Customer Gender]]="F","Female", orders[[#This Row],[Customer Gender]]="O","Other", TRUE,"Unknown")</f>
        <v>Male</v>
      </c>
    </row>
    <row r="385" spans="1:15" x14ac:dyDescent="0.4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_xlfn.IFS(orders[[#This Row],[Customer Gender]]="M","Male", orders[[#This Row],[Customer Gender]]="F","Female", orders[[#This Row],[Customer Gender]]="O","Other", TRUE,"Unknown")</f>
        <v>Female</v>
      </c>
    </row>
    <row r="386" spans="1:15" x14ac:dyDescent="0.4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_xlfn.IFS(orders[[#This Row],[Customer Gender]]="M","Male", orders[[#This Row],[Customer Gender]]="F","Female", orders[[#This Row],[Customer Gender]]="O","Other", TRUE,"Unknown")</f>
        <v>Female</v>
      </c>
    </row>
    <row r="387" spans="1:15" x14ac:dyDescent="0.4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_xlfn.IFS(orders[[#This Row],[Customer Gender]]="M","Male", orders[[#This Row],[Customer Gender]]="F","Female", orders[[#This Row],[Customer Gender]]="O","Other", TRUE,"Unknown")</f>
        <v>Unknown</v>
      </c>
    </row>
    <row r="388" spans="1:15" x14ac:dyDescent="0.4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_xlfn.IFS(orders[[#This Row],[Customer Gender]]="M","Male", orders[[#This Row],[Customer Gender]]="F","Female", orders[[#This Row],[Customer Gender]]="O","Other", TRUE,"Unknown")</f>
        <v>Male</v>
      </c>
    </row>
    <row r="389" spans="1:15" x14ac:dyDescent="0.4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_xlfn.IFS(orders[[#This Row],[Customer Gender]]="M","Male", orders[[#This Row],[Customer Gender]]="F","Female", orders[[#This Row],[Customer Gender]]="O","Other", TRUE,"Unknown")</f>
        <v>Male</v>
      </c>
    </row>
    <row r="390" spans="1:15" x14ac:dyDescent="0.4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_xlfn.IFS(orders[[#This Row],[Customer Gender]]="M","Male", orders[[#This Row],[Customer Gender]]="F","Female", orders[[#This Row],[Customer Gender]]="O","Other", TRUE,"Unknown")</f>
        <v>Female</v>
      </c>
    </row>
    <row r="391" spans="1:15" x14ac:dyDescent="0.4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_xlfn.IFS(orders[[#This Row],[Customer Gender]]="M","Male", orders[[#This Row],[Customer Gender]]="F","Female", orders[[#This Row],[Customer Gender]]="O","Other", TRUE,"Unknown")</f>
        <v>Male</v>
      </c>
    </row>
    <row r="392" spans="1:15" x14ac:dyDescent="0.4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_xlfn.IFS(orders[[#This Row],[Customer Gender]]="M","Male", orders[[#This Row],[Customer Gender]]="F","Female", orders[[#This Row],[Customer Gender]]="O","Other", TRUE,"Unknown")</f>
        <v>Female</v>
      </c>
    </row>
    <row r="393" spans="1:15" x14ac:dyDescent="0.4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_xlfn.IFS(orders[[#This Row],[Customer Gender]]="M","Male", orders[[#This Row],[Customer Gender]]="F","Female", orders[[#This Row],[Customer Gender]]="O","Other", TRUE,"Unknown")</f>
        <v>Male</v>
      </c>
    </row>
    <row r="394" spans="1:15" x14ac:dyDescent="0.4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_xlfn.IFS(orders[[#This Row],[Customer Gender]]="M","Male", orders[[#This Row],[Customer Gender]]="F","Female", orders[[#This Row],[Customer Gender]]="O","Other", TRUE,"Unknown")</f>
        <v>Female</v>
      </c>
    </row>
    <row r="395" spans="1:15" x14ac:dyDescent="0.4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_xlfn.IFS(orders[[#This Row],[Customer Gender]]="M","Male", orders[[#This Row],[Customer Gender]]="F","Female", orders[[#This Row],[Customer Gender]]="O","Other", TRUE,"Unknown")</f>
        <v>Male</v>
      </c>
    </row>
    <row r="396" spans="1:15" x14ac:dyDescent="0.4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_xlfn.IFS(orders[[#This Row],[Customer Gender]]="M","Male", orders[[#This Row],[Customer Gender]]="F","Female", orders[[#This Row],[Customer Gender]]="O","Other", TRUE,"Unknown")</f>
        <v>Male</v>
      </c>
    </row>
    <row r="397" spans="1:15" x14ac:dyDescent="0.4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_xlfn.IFS(orders[[#This Row],[Customer Gender]]="M","Male", orders[[#This Row],[Customer Gender]]="F","Female", orders[[#This Row],[Customer Gender]]="O","Other", TRUE,"Unknown")</f>
        <v>Other</v>
      </c>
    </row>
    <row r="398" spans="1:15" x14ac:dyDescent="0.4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_xlfn.IFS(orders[[#This Row],[Customer Gender]]="M","Male", orders[[#This Row],[Customer Gender]]="F","Female", orders[[#This Row],[Customer Gender]]="O","Other", TRUE,"Unknown")</f>
        <v>Male</v>
      </c>
    </row>
    <row r="399" spans="1:15" x14ac:dyDescent="0.4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_xlfn.IFS(orders[[#This Row],[Customer Gender]]="M","Male", orders[[#This Row],[Customer Gender]]="F","Female", orders[[#This Row],[Customer Gender]]="O","Other", TRUE,"Unknown")</f>
        <v>Female</v>
      </c>
    </row>
    <row r="400" spans="1:15" x14ac:dyDescent="0.4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_xlfn.IFS(orders[[#This Row],[Customer Gender]]="M","Male", orders[[#This Row],[Customer Gender]]="F","Female", orders[[#This Row],[Customer Gender]]="O","Other", TRUE,"Unknown")</f>
        <v>Male</v>
      </c>
    </row>
    <row r="401" spans="1:15" x14ac:dyDescent="0.4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_xlfn.IFS(orders[[#This Row],[Customer Gender]]="M","Male", orders[[#This Row],[Customer Gender]]="F","Female", orders[[#This Row],[Customer Gender]]="O","Other", TRUE,"Unknown")</f>
        <v>Male</v>
      </c>
    </row>
    <row r="402" spans="1:15" x14ac:dyDescent="0.4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_xlfn.IFS(orders[[#This Row],[Customer Gender]]="M","Male", orders[[#This Row],[Customer Gender]]="F","Female", orders[[#This Row],[Customer Gender]]="O","Other", TRUE,"Unknown")</f>
        <v>Male</v>
      </c>
    </row>
    <row r="403" spans="1:15" x14ac:dyDescent="0.4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_xlfn.IFS(orders[[#This Row],[Customer Gender]]="M","Male", orders[[#This Row],[Customer Gender]]="F","Female", orders[[#This Row],[Customer Gender]]="O","Other", TRUE,"Unknown")</f>
        <v>Female</v>
      </c>
    </row>
    <row r="404" spans="1:15" x14ac:dyDescent="0.4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_xlfn.IFS(orders[[#This Row],[Customer Gender]]="M","Male", orders[[#This Row],[Customer Gender]]="F","Female", orders[[#This Row],[Customer Gender]]="O","Other", TRUE,"Unknown")</f>
        <v>Female</v>
      </c>
    </row>
    <row r="405" spans="1:15" x14ac:dyDescent="0.4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_xlfn.IFS(orders[[#This Row],[Customer Gender]]="M","Male", orders[[#This Row],[Customer Gender]]="F","Female", orders[[#This Row],[Customer Gender]]="O","Other", TRUE,"Unknown")</f>
        <v>Other</v>
      </c>
    </row>
    <row r="406" spans="1:15" x14ac:dyDescent="0.4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_xlfn.IFS(orders[[#This Row],[Customer Gender]]="M","Male", orders[[#This Row],[Customer Gender]]="F","Female", orders[[#This Row],[Customer Gender]]="O","Other", TRUE,"Unknown")</f>
        <v>Female</v>
      </c>
    </row>
    <row r="407" spans="1:15" x14ac:dyDescent="0.4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_xlfn.IFS(orders[[#This Row],[Customer Gender]]="M","Male", orders[[#This Row],[Customer Gender]]="F","Female", orders[[#This Row],[Customer Gender]]="O","Other", TRUE,"Unknown")</f>
        <v>Female</v>
      </c>
    </row>
    <row r="408" spans="1:15" x14ac:dyDescent="0.4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_xlfn.IFS(orders[[#This Row],[Customer Gender]]="M","Male", orders[[#This Row],[Customer Gender]]="F","Female", orders[[#This Row],[Customer Gender]]="O","Other", TRUE,"Unknown")</f>
        <v>Female</v>
      </c>
    </row>
    <row r="409" spans="1:15" x14ac:dyDescent="0.4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_xlfn.IFS(orders[[#This Row],[Customer Gender]]="M","Male", orders[[#This Row],[Customer Gender]]="F","Female", orders[[#This Row],[Customer Gender]]="O","Other", TRUE,"Unknown")</f>
        <v>Male</v>
      </c>
    </row>
    <row r="410" spans="1:15" x14ac:dyDescent="0.4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_xlfn.IFS(orders[[#This Row],[Customer Gender]]="M","Male", orders[[#This Row],[Customer Gender]]="F","Female", orders[[#This Row],[Customer Gender]]="O","Other", TRUE,"Unknown")</f>
        <v>Male</v>
      </c>
    </row>
    <row r="411" spans="1:15" x14ac:dyDescent="0.4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_xlfn.IFS(orders[[#This Row],[Customer Gender]]="M","Male", orders[[#This Row],[Customer Gender]]="F","Female", orders[[#This Row],[Customer Gender]]="O","Other", TRUE,"Unknown")</f>
        <v>Male</v>
      </c>
    </row>
    <row r="412" spans="1:15" x14ac:dyDescent="0.4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_xlfn.IFS(orders[[#This Row],[Customer Gender]]="M","Male", orders[[#This Row],[Customer Gender]]="F","Female", orders[[#This Row],[Customer Gender]]="O","Other", TRUE,"Unknown")</f>
        <v>Female</v>
      </c>
    </row>
    <row r="413" spans="1:15" x14ac:dyDescent="0.4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_xlfn.IFS(orders[[#This Row],[Customer Gender]]="M","Male", orders[[#This Row],[Customer Gender]]="F","Female", orders[[#This Row],[Customer Gender]]="O","Other", TRUE,"Unknown")</f>
        <v>Male</v>
      </c>
    </row>
    <row r="414" spans="1:15" x14ac:dyDescent="0.4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_xlfn.IFS(orders[[#This Row],[Customer Gender]]="M","Male", orders[[#This Row],[Customer Gender]]="F","Female", orders[[#This Row],[Customer Gender]]="O","Other", TRUE,"Unknown")</f>
        <v>Male</v>
      </c>
    </row>
    <row r="415" spans="1:15" x14ac:dyDescent="0.4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_xlfn.IFS(orders[[#This Row],[Customer Gender]]="M","Male", orders[[#This Row],[Customer Gender]]="F","Female", orders[[#This Row],[Customer Gender]]="O","Other", TRUE,"Unknown")</f>
        <v>Female</v>
      </c>
    </row>
    <row r="416" spans="1:15" x14ac:dyDescent="0.4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_xlfn.IFS(orders[[#This Row],[Customer Gender]]="M","Male", orders[[#This Row],[Customer Gender]]="F","Female", orders[[#This Row],[Customer Gender]]="O","Other", TRUE,"Unknown")</f>
        <v>Unknown</v>
      </c>
    </row>
    <row r="417" spans="1:15" x14ac:dyDescent="0.4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_xlfn.IFS(orders[[#This Row],[Customer Gender]]="M","Male", orders[[#This Row],[Customer Gender]]="F","Female", orders[[#This Row],[Customer Gender]]="O","Other", TRUE,"Unknown")</f>
        <v>Female</v>
      </c>
    </row>
    <row r="418" spans="1:15" x14ac:dyDescent="0.4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_xlfn.IFS(orders[[#This Row],[Customer Gender]]="M","Male", orders[[#This Row],[Customer Gender]]="F","Female", orders[[#This Row],[Customer Gender]]="O","Other", TRUE,"Unknown")</f>
        <v>Other</v>
      </c>
    </row>
    <row r="419" spans="1:15" x14ac:dyDescent="0.4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_xlfn.IFS(orders[[#This Row],[Customer Gender]]="M","Male", orders[[#This Row],[Customer Gender]]="F","Female", orders[[#This Row],[Customer Gender]]="O","Other", TRUE,"Unknown")</f>
        <v>Male</v>
      </c>
    </row>
    <row r="420" spans="1:15" x14ac:dyDescent="0.4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_xlfn.IFS(orders[[#This Row],[Customer Gender]]="M","Male", orders[[#This Row],[Customer Gender]]="F","Female", orders[[#This Row],[Customer Gender]]="O","Other", TRUE,"Unknown")</f>
        <v>Female</v>
      </c>
    </row>
    <row r="421" spans="1:15" x14ac:dyDescent="0.4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_xlfn.IFS(orders[[#This Row],[Customer Gender]]="M","Male", orders[[#This Row],[Customer Gender]]="F","Female", orders[[#This Row],[Customer Gender]]="O","Other", TRUE,"Unknown")</f>
        <v>Male</v>
      </c>
    </row>
    <row r="422" spans="1:15" x14ac:dyDescent="0.4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_xlfn.IFS(orders[[#This Row],[Customer Gender]]="M","Male", orders[[#This Row],[Customer Gender]]="F","Female", orders[[#This Row],[Customer Gender]]="O","Other", TRUE,"Unknown")</f>
        <v>Male</v>
      </c>
    </row>
    <row r="423" spans="1:15" x14ac:dyDescent="0.4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_xlfn.IFS(orders[[#This Row],[Customer Gender]]="M","Male", orders[[#This Row],[Customer Gender]]="F","Female", orders[[#This Row],[Customer Gender]]="O","Other", TRUE,"Unknown")</f>
        <v>Female</v>
      </c>
    </row>
    <row r="424" spans="1:15" x14ac:dyDescent="0.4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_xlfn.IFS(orders[[#This Row],[Customer Gender]]="M","Male", orders[[#This Row],[Customer Gender]]="F","Female", orders[[#This Row],[Customer Gender]]="O","Other", TRUE,"Unknown")</f>
        <v>Male</v>
      </c>
    </row>
    <row r="425" spans="1:15" x14ac:dyDescent="0.4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_xlfn.IFS(orders[[#This Row],[Customer Gender]]="M","Male", orders[[#This Row],[Customer Gender]]="F","Female", orders[[#This Row],[Customer Gender]]="O","Other", TRUE,"Unknown")</f>
        <v>Other</v>
      </c>
    </row>
    <row r="426" spans="1:15" x14ac:dyDescent="0.4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_xlfn.IFS(orders[[#This Row],[Customer Gender]]="M","Male", orders[[#This Row],[Customer Gender]]="F","Female", orders[[#This Row],[Customer Gender]]="O","Other", TRUE,"Unknown")</f>
        <v>Female</v>
      </c>
    </row>
    <row r="427" spans="1:15" x14ac:dyDescent="0.4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_xlfn.IFS(orders[[#This Row],[Customer Gender]]="M","Male", orders[[#This Row],[Customer Gender]]="F","Female", orders[[#This Row],[Customer Gender]]="O","Other", TRUE,"Unknown")</f>
        <v>Female</v>
      </c>
    </row>
    <row r="428" spans="1:15" x14ac:dyDescent="0.4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_xlfn.IFS(orders[[#This Row],[Customer Gender]]="M","Male", orders[[#This Row],[Customer Gender]]="F","Female", orders[[#This Row],[Customer Gender]]="O","Other", TRUE,"Unknown")</f>
        <v>Female</v>
      </c>
    </row>
    <row r="429" spans="1:15" x14ac:dyDescent="0.4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_xlfn.IFS(orders[[#This Row],[Customer Gender]]="M","Male", orders[[#This Row],[Customer Gender]]="F","Female", orders[[#This Row],[Customer Gender]]="O","Other", TRUE,"Unknown")</f>
        <v>Male</v>
      </c>
    </row>
    <row r="430" spans="1:15" x14ac:dyDescent="0.4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_xlfn.IFS(orders[[#This Row],[Customer Gender]]="M","Male", orders[[#This Row],[Customer Gender]]="F","Female", orders[[#This Row],[Customer Gender]]="O","Other", TRUE,"Unknown")</f>
        <v>Female</v>
      </c>
    </row>
    <row r="431" spans="1:15" x14ac:dyDescent="0.4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_xlfn.IFS(orders[[#This Row],[Customer Gender]]="M","Male", orders[[#This Row],[Customer Gender]]="F","Female", orders[[#This Row],[Customer Gender]]="O","Other", TRUE,"Unknown")</f>
        <v>Female</v>
      </c>
    </row>
    <row r="432" spans="1:15" x14ac:dyDescent="0.4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_xlfn.IFS(orders[[#This Row],[Customer Gender]]="M","Male", orders[[#This Row],[Customer Gender]]="F","Female", orders[[#This Row],[Customer Gender]]="O","Other", TRUE,"Unknown")</f>
        <v>Female</v>
      </c>
    </row>
    <row r="433" spans="1:15" x14ac:dyDescent="0.4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_xlfn.IFS(orders[[#This Row],[Customer Gender]]="M","Male", orders[[#This Row],[Customer Gender]]="F","Female", orders[[#This Row],[Customer Gender]]="O","Other", TRUE,"Unknown")</f>
        <v>Female</v>
      </c>
    </row>
    <row r="434" spans="1:15" x14ac:dyDescent="0.4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_xlfn.IFS(orders[[#This Row],[Customer Gender]]="M","Male", orders[[#This Row],[Customer Gender]]="F","Female", orders[[#This Row],[Customer Gender]]="O","Other", TRUE,"Unknown")</f>
        <v>Female</v>
      </c>
    </row>
    <row r="435" spans="1:15" x14ac:dyDescent="0.4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_xlfn.IFS(orders[[#This Row],[Customer Gender]]="M","Male", orders[[#This Row],[Customer Gender]]="F","Female", orders[[#This Row],[Customer Gender]]="O","Other", TRUE,"Unknown")</f>
        <v>Male</v>
      </c>
    </row>
    <row r="436" spans="1:15" x14ac:dyDescent="0.4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_xlfn.IFS(orders[[#This Row],[Customer Gender]]="M","Male", orders[[#This Row],[Customer Gender]]="F","Female", orders[[#This Row],[Customer Gender]]="O","Other", TRUE,"Unknown")</f>
        <v>Female</v>
      </c>
    </row>
    <row r="437" spans="1:15" x14ac:dyDescent="0.4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_xlfn.IFS(orders[[#This Row],[Customer Gender]]="M","Male", orders[[#This Row],[Customer Gender]]="F","Female", orders[[#This Row],[Customer Gender]]="O","Other", TRUE,"Unknown")</f>
        <v>Male</v>
      </c>
    </row>
    <row r="438" spans="1:15" x14ac:dyDescent="0.4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_xlfn.IFS(orders[[#This Row],[Customer Gender]]="M","Male", orders[[#This Row],[Customer Gender]]="F","Female", orders[[#This Row],[Customer Gender]]="O","Other", TRUE,"Unknown")</f>
        <v>Female</v>
      </c>
    </row>
    <row r="439" spans="1:15" x14ac:dyDescent="0.4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_xlfn.IFS(orders[[#This Row],[Customer Gender]]="M","Male", orders[[#This Row],[Customer Gender]]="F","Female", orders[[#This Row],[Customer Gender]]="O","Other", TRUE,"Unknown")</f>
        <v>Male</v>
      </c>
    </row>
    <row r="440" spans="1:15" x14ac:dyDescent="0.4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_xlfn.IFS(orders[[#This Row],[Customer Gender]]="M","Male", orders[[#This Row],[Customer Gender]]="F","Female", orders[[#This Row],[Customer Gender]]="O","Other", TRUE,"Unknown")</f>
        <v>Female</v>
      </c>
    </row>
    <row r="441" spans="1:15" x14ac:dyDescent="0.4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_xlfn.IFS(orders[[#This Row],[Customer Gender]]="M","Male", orders[[#This Row],[Customer Gender]]="F","Female", orders[[#This Row],[Customer Gender]]="O","Other", TRUE,"Unknown")</f>
        <v>Female</v>
      </c>
    </row>
    <row r="442" spans="1:15" x14ac:dyDescent="0.4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_xlfn.IFS(orders[[#This Row],[Customer Gender]]="M","Male", orders[[#This Row],[Customer Gender]]="F","Female", orders[[#This Row],[Customer Gender]]="O","Other", TRUE,"Unknown")</f>
        <v>Male</v>
      </c>
    </row>
    <row r="443" spans="1:15" x14ac:dyDescent="0.4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_xlfn.IFS(orders[[#This Row],[Customer Gender]]="M","Male", orders[[#This Row],[Customer Gender]]="F","Female", orders[[#This Row],[Customer Gender]]="O","Other", TRUE,"Unknown")</f>
        <v>Female</v>
      </c>
    </row>
    <row r="444" spans="1:15" x14ac:dyDescent="0.4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_xlfn.IFS(orders[[#This Row],[Customer Gender]]="M","Male", orders[[#This Row],[Customer Gender]]="F","Female", orders[[#This Row],[Customer Gender]]="O","Other", TRUE,"Unknown")</f>
        <v>Other</v>
      </c>
    </row>
    <row r="445" spans="1:15" x14ac:dyDescent="0.4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_xlfn.IFS(orders[[#This Row],[Customer Gender]]="M","Male", orders[[#This Row],[Customer Gender]]="F","Female", orders[[#This Row],[Customer Gender]]="O","Other", TRUE,"Unknown")</f>
        <v>Male</v>
      </c>
    </row>
    <row r="446" spans="1:15" x14ac:dyDescent="0.4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_xlfn.IFS(orders[[#This Row],[Customer Gender]]="M","Male", orders[[#This Row],[Customer Gender]]="F","Female", orders[[#This Row],[Customer Gender]]="O","Other", TRUE,"Unknown")</f>
        <v>Female</v>
      </c>
    </row>
    <row r="447" spans="1:15" x14ac:dyDescent="0.4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_xlfn.IFS(orders[[#This Row],[Customer Gender]]="M","Male", orders[[#This Row],[Customer Gender]]="F","Female", orders[[#This Row],[Customer Gender]]="O","Other", TRUE,"Unknown")</f>
        <v>Female</v>
      </c>
    </row>
    <row r="448" spans="1:15" x14ac:dyDescent="0.4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_xlfn.IFS(orders[[#This Row],[Customer Gender]]="M","Male", orders[[#This Row],[Customer Gender]]="F","Female", orders[[#This Row],[Customer Gender]]="O","Other", TRUE,"Unknown")</f>
        <v>Female</v>
      </c>
    </row>
    <row r="449" spans="1:15" x14ac:dyDescent="0.4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_xlfn.IFS(orders[[#This Row],[Customer Gender]]="M","Male", orders[[#This Row],[Customer Gender]]="F","Female", orders[[#This Row],[Customer Gender]]="O","Other", TRUE,"Unknown")</f>
        <v>Male</v>
      </c>
    </row>
    <row r="450" spans="1:15" x14ac:dyDescent="0.4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_xlfn.IFS(orders[[#This Row],[Customer Gender]]="M","Male", orders[[#This Row],[Customer Gender]]="F","Female", orders[[#This Row],[Customer Gender]]="O","Other", TRUE,"Unknown")</f>
        <v>Female</v>
      </c>
    </row>
    <row r="451" spans="1:15" x14ac:dyDescent="0.4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_xlfn.IFS(orders[[#This Row],[Customer Gender]]="M","Male", orders[[#This Row],[Customer Gender]]="F","Female", orders[[#This Row],[Customer Gender]]="O","Other", TRUE,"Unknown")</f>
        <v>Female</v>
      </c>
    </row>
    <row r="452" spans="1:15" x14ac:dyDescent="0.4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_xlfn.IFS(orders[[#This Row],[Customer Gender]]="M","Male", orders[[#This Row],[Customer Gender]]="F","Female", orders[[#This Row],[Customer Gender]]="O","Other", TRUE,"Unknown")</f>
        <v>Unknown</v>
      </c>
    </row>
    <row r="453" spans="1:15" x14ac:dyDescent="0.4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_xlfn.IFS(orders[[#This Row],[Customer Gender]]="M","Male", orders[[#This Row],[Customer Gender]]="F","Female", orders[[#This Row],[Customer Gender]]="O","Other", TRUE,"Unknown")</f>
        <v>Female</v>
      </c>
    </row>
    <row r="454" spans="1:15" x14ac:dyDescent="0.4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_xlfn.IFS(orders[[#This Row],[Customer Gender]]="M","Male", orders[[#This Row],[Customer Gender]]="F","Female", orders[[#This Row],[Customer Gender]]="O","Other", TRUE,"Unknown")</f>
        <v>Female</v>
      </c>
    </row>
    <row r="455" spans="1:15" x14ac:dyDescent="0.4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_xlfn.IFS(orders[[#This Row],[Customer Gender]]="M","Male", orders[[#This Row],[Customer Gender]]="F","Female", orders[[#This Row],[Customer Gender]]="O","Other", TRUE,"Unknown")</f>
        <v>Female</v>
      </c>
    </row>
    <row r="456" spans="1:15" x14ac:dyDescent="0.4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_xlfn.IFS(orders[[#This Row],[Customer Gender]]="M","Male", orders[[#This Row],[Customer Gender]]="F","Female", orders[[#This Row],[Customer Gender]]="O","Other", TRUE,"Unknown")</f>
        <v>Female</v>
      </c>
    </row>
    <row r="457" spans="1:15" x14ac:dyDescent="0.4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_xlfn.IFS(orders[[#This Row],[Customer Gender]]="M","Male", orders[[#This Row],[Customer Gender]]="F","Female", orders[[#This Row],[Customer Gender]]="O","Other", TRUE,"Unknown")</f>
        <v>Female</v>
      </c>
    </row>
    <row r="458" spans="1:15" x14ac:dyDescent="0.4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_xlfn.IFS(orders[[#This Row],[Customer Gender]]="M","Male", orders[[#This Row],[Customer Gender]]="F","Female", orders[[#This Row],[Customer Gender]]="O","Other", TRUE,"Unknown")</f>
        <v>Female</v>
      </c>
    </row>
    <row r="459" spans="1:15" x14ac:dyDescent="0.4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_xlfn.IFS(orders[[#This Row],[Customer Gender]]="M","Male", orders[[#This Row],[Customer Gender]]="F","Female", orders[[#This Row],[Customer Gender]]="O","Other", TRUE,"Unknown")</f>
        <v>Female</v>
      </c>
    </row>
    <row r="460" spans="1:15" x14ac:dyDescent="0.4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_xlfn.IFS(orders[[#This Row],[Customer Gender]]="M","Male", orders[[#This Row],[Customer Gender]]="F","Female", orders[[#This Row],[Customer Gender]]="O","Other", TRUE,"Unknown")</f>
        <v>Female</v>
      </c>
    </row>
    <row r="461" spans="1:15" x14ac:dyDescent="0.4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_xlfn.IFS(orders[[#This Row],[Customer Gender]]="M","Male", orders[[#This Row],[Customer Gender]]="F","Female", orders[[#This Row],[Customer Gender]]="O","Other", TRUE,"Unknown")</f>
        <v>Male</v>
      </c>
    </row>
    <row r="462" spans="1:15" x14ac:dyDescent="0.4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_xlfn.IFS(orders[[#This Row],[Customer Gender]]="M","Male", orders[[#This Row],[Customer Gender]]="F","Female", orders[[#This Row],[Customer Gender]]="O","Other", TRUE,"Unknown")</f>
        <v>Female</v>
      </c>
    </row>
    <row r="463" spans="1:15" x14ac:dyDescent="0.4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_xlfn.IFS(orders[[#This Row],[Customer Gender]]="M","Male", orders[[#This Row],[Customer Gender]]="F","Female", orders[[#This Row],[Customer Gender]]="O","Other", TRUE,"Unknown")</f>
        <v>Male</v>
      </c>
    </row>
    <row r="464" spans="1:15" x14ac:dyDescent="0.4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_xlfn.IFS(orders[[#This Row],[Customer Gender]]="M","Male", orders[[#This Row],[Customer Gender]]="F","Female", orders[[#This Row],[Customer Gender]]="O","Other", TRUE,"Unknown")</f>
        <v>Male</v>
      </c>
    </row>
    <row r="465" spans="1:15" x14ac:dyDescent="0.4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_xlfn.IFS(orders[[#This Row],[Customer Gender]]="M","Male", orders[[#This Row],[Customer Gender]]="F","Female", orders[[#This Row],[Customer Gender]]="O","Other", TRUE,"Unknown")</f>
        <v>Male</v>
      </c>
    </row>
    <row r="466" spans="1:15" x14ac:dyDescent="0.4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_xlfn.IFS(orders[[#This Row],[Customer Gender]]="M","Male", orders[[#This Row],[Customer Gender]]="F","Female", orders[[#This Row],[Customer Gender]]="O","Other", TRUE,"Unknown")</f>
        <v>Unknown</v>
      </c>
    </row>
    <row r="467" spans="1:15" x14ac:dyDescent="0.4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_xlfn.IFS(orders[[#This Row],[Customer Gender]]="M","Male", orders[[#This Row],[Customer Gender]]="F","Female", orders[[#This Row],[Customer Gender]]="O","Other", TRUE,"Unknown")</f>
        <v>Male</v>
      </c>
    </row>
    <row r="468" spans="1:15" x14ac:dyDescent="0.4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_xlfn.IFS(orders[[#This Row],[Customer Gender]]="M","Male", orders[[#This Row],[Customer Gender]]="F","Female", orders[[#This Row],[Customer Gender]]="O","Other", TRUE,"Unknown")</f>
        <v>Female</v>
      </c>
    </row>
    <row r="469" spans="1:15" x14ac:dyDescent="0.4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_xlfn.IFS(orders[[#This Row],[Customer Gender]]="M","Male", orders[[#This Row],[Customer Gender]]="F","Female", orders[[#This Row],[Customer Gender]]="O","Other", TRUE,"Unknown")</f>
        <v>Female</v>
      </c>
    </row>
    <row r="470" spans="1:15" x14ac:dyDescent="0.4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_xlfn.IFS(orders[[#This Row],[Customer Gender]]="M","Male", orders[[#This Row],[Customer Gender]]="F","Female", orders[[#This Row],[Customer Gender]]="O","Other", TRUE,"Unknown")</f>
        <v>Male</v>
      </c>
    </row>
    <row r="471" spans="1:15" x14ac:dyDescent="0.4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_xlfn.IFS(orders[[#This Row],[Customer Gender]]="M","Male", orders[[#This Row],[Customer Gender]]="F","Female", orders[[#This Row],[Customer Gender]]="O","Other", TRUE,"Unknown")</f>
        <v>Male</v>
      </c>
    </row>
    <row r="472" spans="1:15" x14ac:dyDescent="0.4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_xlfn.IFS(orders[[#This Row],[Customer Gender]]="M","Male", orders[[#This Row],[Customer Gender]]="F","Female", orders[[#This Row],[Customer Gender]]="O","Other", TRUE,"Unknown")</f>
        <v>Female</v>
      </c>
    </row>
    <row r="473" spans="1:15" x14ac:dyDescent="0.4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_xlfn.IFS(orders[[#This Row],[Customer Gender]]="M","Male", orders[[#This Row],[Customer Gender]]="F","Female", orders[[#This Row],[Customer Gender]]="O","Other", TRUE,"Unknown")</f>
        <v>Other</v>
      </c>
    </row>
    <row r="474" spans="1:15" x14ac:dyDescent="0.4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_xlfn.IFS(orders[[#This Row],[Customer Gender]]="M","Male", orders[[#This Row],[Customer Gender]]="F","Female", orders[[#This Row],[Customer Gender]]="O","Other", TRUE,"Unknown")</f>
        <v>Male</v>
      </c>
    </row>
    <row r="475" spans="1:15" x14ac:dyDescent="0.4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_xlfn.IFS(orders[[#This Row],[Customer Gender]]="M","Male", orders[[#This Row],[Customer Gender]]="F","Female", orders[[#This Row],[Customer Gender]]="O","Other", TRUE,"Unknown")</f>
        <v>Unknown</v>
      </c>
    </row>
    <row r="476" spans="1:15" x14ac:dyDescent="0.4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_xlfn.IFS(orders[[#This Row],[Customer Gender]]="M","Male", orders[[#This Row],[Customer Gender]]="F","Female", orders[[#This Row],[Customer Gender]]="O","Other", TRUE,"Unknown")</f>
        <v>Female</v>
      </c>
    </row>
    <row r="477" spans="1:15" x14ac:dyDescent="0.4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_xlfn.IFS(orders[[#This Row],[Customer Gender]]="M","Male", orders[[#This Row],[Customer Gender]]="F","Female", orders[[#This Row],[Customer Gender]]="O","Other", TRUE,"Unknown")</f>
        <v>Male</v>
      </c>
    </row>
    <row r="478" spans="1:15" x14ac:dyDescent="0.4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_xlfn.IFS(orders[[#This Row],[Customer Gender]]="M","Male", orders[[#This Row],[Customer Gender]]="F","Female", orders[[#This Row],[Customer Gender]]="O","Other", TRUE,"Unknown")</f>
        <v>Female</v>
      </c>
    </row>
    <row r="479" spans="1:15" x14ac:dyDescent="0.4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_xlfn.IFS(orders[[#This Row],[Customer Gender]]="M","Male", orders[[#This Row],[Customer Gender]]="F","Female", orders[[#This Row],[Customer Gender]]="O","Other", TRUE,"Unknown")</f>
        <v>Female</v>
      </c>
    </row>
    <row r="480" spans="1:15" x14ac:dyDescent="0.4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_xlfn.IFS(orders[[#This Row],[Customer Gender]]="M","Male", orders[[#This Row],[Customer Gender]]="F","Female", orders[[#This Row],[Customer Gender]]="O","Other", TRUE,"Unknown")</f>
        <v>Female</v>
      </c>
    </row>
    <row r="481" spans="1:15" x14ac:dyDescent="0.4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_xlfn.IFS(orders[[#This Row],[Customer Gender]]="M","Male", orders[[#This Row],[Customer Gender]]="F","Female", orders[[#This Row],[Customer Gender]]="O","Other", TRUE,"Unknown")</f>
        <v>Male</v>
      </c>
    </row>
    <row r="482" spans="1:15" x14ac:dyDescent="0.4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_xlfn.IFS(orders[[#This Row],[Customer Gender]]="M","Male", orders[[#This Row],[Customer Gender]]="F","Female", orders[[#This Row],[Customer Gender]]="O","Other", TRUE,"Unknown")</f>
        <v>Male</v>
      </c>
    </row>
    <row r="483" spans="1:15" x14ac:dyDescent="0.4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_xlfn.IFS(orders[[#This Row],[Customer Gender]]="M","Male", orders[[#This Row],[Customer Gender]]="F","Female", orders[[#This Row],[Customer Gender]]="O","Other", TRUE,"Unknown")</f>
        <v>Male</v>
      </c>
    </row>
    <row r="484" spans="1:15" x14ac:dyDescent="0.4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_xlfn.IFS(orders[[#This Row],[Customer Gender]]="M","Male", orders[[#This Row],[Customer Gender]]="F","Female", orders[[#This Row],[Customer Gender]]="O","Other", TRUE,"Unknown")</f>
        <v>Female</v>
      </c>
    </row>
    <row r="485" spans="1:15" x14ac:dyDescent="0.4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_xlfn.IFS(orders[[#This Row],[Customer Gender]]="M","Male", orders[[#This Row],[Customer Gender]]="F","Female", orders[[#This Row],[Customer Gender]]="O","Other", TRUE,"Unknown")</f>
        <v>Male</v>
      </c>
    </row>
    <row r="486" spans="1:15" x14ac:dyDescent="0.4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_xlfn.IFS(orders[[#This Row],[Customer Gender]]="M","Male", orders[[#This Row],[Customer Gender]]="F","Female", orders[[#This Row],[Customer Gender]]="O","Other", TRUE,"Unknown")</f>
        <v>Female</v>
      </c>
    </row>
    <row r="487" spans="1:15" x14ac:dyDescent="0.4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_xlfn.IFS(orders[[#This Row],[Customer Gender]]="M","Male", orders[[#This Row],[Customer Gender]]="F","Female", orders[[#This Row],[Customer Gender]]="O","Other", TRUE,"Unknown")</f>
        <v>Female</v>
      </c>
    </row>
    <row r="488" spans="1:15" x14ac:dyDescent="0.4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_xlfn.IFS(orders[[#This Row],[Customer Gender]]="M","Male", orders[[#This Row],[Customer Gender]]="F","Female", orders[[#This Row],[Customer Gender]]="O","Other", TRUE,"Unknown")</f>
        <v>Male</v>
      </c>
    </row>
    <row r="489" spans="1:15" x14ac:dyDescent="0.4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_xlfn.IFS(orders[[#This Row],[Customer Gender]]="M","Male", orders[[#This Row],[Customer Gender]]="F","Female", orders[[#This Row],[Customer Gender]]="O","Other", TRUE,"Unknown")</f>
        <v>Male</v>
      </c>
    </row>
    <row r="490" spans="1:15" x14ac:dyDescent="0.4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_xlfn.IFS(orders[[#This Row],[Customer Gender]]="M","Male", orders[[#This Row],[Customer Gender]]="F","Female", orders[[#This Row],[Customer Gender]]="O","Other", TRUE,"Unknown")</f>
        <v>Unknown</v>
      </c>
    </row>
    <row r="491" spans="1:15" x14ac:dyDescent="0.4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_xlfn.IFS(orders[[#This Row],[Customer Gender]]="M","Male", orders[[#This Row],[Customer Gender]]="F","Female", orders[[#This Row],[Customer Gender]]="O","Other", TRUE,"Unknown")</f>
        <v>Female</v>
      </c>
    </row>
    <row r="492" spans="1:15" x14ac:dyDescent="0.4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_xlfn.IFS(orders[[#This Row],[Customer Gender]]="M","Male", orders[[#This Row],[Customer Gender]]="F","Female", orders[[#This Row],[Customer Gender]]="O","Other", TRUE,"Unknown")</f>
        <v>Female</v>
      </c>
    </row>
    <row r="493" spans="1:15" x14ac:dyDescent="0.4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_xlfn.IFS(orders[[#This Row],[Customer Gender]]="M","Male", orders[[#This Row],[Customer Gender]]="F","Female", orders[[#This Row],[Customer Gender]]="O","Other", TRUE,"Unknown")</f>
        <v>Female</v>
      </c>
    </row>
    <row r="494" spans="1:15" x14ac:dyDescent="0.4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_xlfn.IFS(orders[[#This Row],[Customer Gender]]="M","Male", orders[[#This Row],[Customer Gender]]="F","Female", orders[[#This Row],[Customer Gender]]="O","Other", TRUE,"Unknown")</f>
        <v>Female</v>
      </c>
    </row>
    <row r="495" spans="1:15" x14ac:dyDescent="0.4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_xlfn.IFS(orders[[#This Row],[Customer Gender]]="M","Male", orders[[#This Row],[Customer Gender]]="F","Female", orders[[#This Row],[Customer Gender]]="O","Other", TRUE,"Unknown")</f>
        <v>Female</v>
      </c>
    </row>
    <row r="496" spans="1:15" x14ac:dyDescent="0.4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_xlfn.IFS(orders[[#This Row],[Customer Gender]]="M","Male", orders[[#This Row],[Customer Gender]]="F","Female", orders[[#This Row],[Customer Gender]]="O","Other", TRUE,"Unknown")</f>
        <v>Female</v>
      </c>
    </row>
    <row r="497" spans="1:15" x14ac:dyDescent="0.4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_xlfn.IFS(orders[[#This Row],[Customer Gender]]="M","Male", orders[[#This Row],[Customer Gender]]="F","Female", orders[[#This Row],[Customer Gender]]="O","Other", TRUE,"Unknown")</f>
        <v>Female</v>
      </c>
    </row>
    <row r="498" spans="1:15" x14ac:dyDescent="0.4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_xlfn.IFS(orders[[#This Row],[Customer Gender]]="M","Male", orders[[#This Row],[Customer Gender]]="F","Female", orders[[#This Row],[Customer Gender]]="O","Other", TRUE,"Unknown")</f>
        <v>Male</v>
      </c>
    </row>
    <row r="499" spans="1:15" x14ac:dyDescent="0.4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_xlfn.IFS(orders[[#This Row],[Customer Gender]]="M","Male", orders[[#This Row],[Customer Gender]]="F","Female", orders[[#This Row],[Customer Gender]]="O","Other", TRUE,"Unknown")</f>
        <v>Female</v>
      </c>
    </row>
    <row r="500" spans="1:15" x14ac:dyDescent="0.4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_xlfn.IFS(orders[[#This Row],[Customer Gender]]="M","Male", orders[[#This Row],[Customer Gender]]="F","Female", orders[[#This Row],[Customer Gender]]="O","Other", TRUE,"Unknown")</f>
        <v>Male</v>
      </c>
    </row>
    <row r="501" spans="1:15" x14ac:dyDescent="0.4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_xlfn.IFS(orders[[#This Row],[Customer Gender]]="M","Male", orders[[#This Row],[Customer Gender]]="F","Female", orders[[#This Row],[Customer Gender]]="O","Other", TRUE,"Unknown")</f>
        <v>Other</v>
      </c>
    </row>
    <row r="502" spans="1:15" x14ac:dyDescent="0.4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_xlfn.IFS(orders[[#This Row],[Customer Gender]]="M","Male", orders[[#This Row],[Customer Gender]]="F","Female", orders[[#This Row],[Customer Gender]]="O","Other", TRUE,"Unknown")</f>
        <v>Unknown</v>
      </c>
    </row>
    <row r="503" spans="1:15" x14ac:dyDescent="0.4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_xlfn.IFS(orders[[#This Row],[Customer Gender]]="M","Male", orders[[#This Row],[Customer Gender]]="F","Female", orders[[#This Row],[Customer Gender]]="O","Other", TRUE,"Unknown")</f>
        <v>Male</v>
      </c>
    </row>
    <row r="504" spans="1:15" x14ac:dyDescent="0.4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_xlfn.IFS(orders[[#This Row],[Customer Gender]]="M","Male", orders[[#This Row],[Customer Gender]]="F","Female", orders[[#This Row],[Customer Gender]]="O","Other", TRUE,"Unknown")</f>
        <v>Female</v>
      </c>
    </row>
    <row r="505" spans="1:15" x14ac:dyDescent="0.4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_xlfn.IFS(orders[[#This Row],[Customer Gender]]="M","Male", orders[[#This Row],[Customer Gender]]="F","Female", orders[[#This Row],[Customer Gender]]="O","Other", TRUE,"Unknown")</f>
        <v>Female</v>
      </c>
    </row>
    <row r="506" spans="1:15" x14ac:dyDescent="0.4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_xlfn.IFS(orders[[#This Row],[Customer Gender]]="M","Male", orders[[#This Row],[Customer Gender]]="F","Female", orders[[#This Row],[Customer Gender]]="O","Other", TRUE,"Unknown")</f>
        <v>Female</v>
      </c>
    </row>
    <row r="507" spans="1:15" x14ac:dyDescent="0.4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_xlfn.IFS(orders[[#This Row],[Customer Gender]]="M","Male", orders[[#This Row],[Customer Gender]]="F","Female", orders[[#This Row],[Customer Gender]]="O","Other", TRUE,"Unknown")</f>
        <v>Female</v>
      </c>
    </row>
    <row r="508" spans="1:15" x14ac:dyDescent="0.4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_xlfn.IFS(orders[[#This Row],[Customer Gender]]="M","Male", orders[[#This Row],[Customer Gender]]="F","Female", orders[[#This Row],[Customer Gender]]="O","Other", TRUE,"Unknown")</f>
        <v>Female</v>
      </c>
    </row>
    <row r="509" spans="1:15" x14ac:dyDescent="0.4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_xlfn.IFS(orders[[#This Row],[Customer Gender]]="M","Male", orders[[#This Row],[Customer Gender]]="F","Female", orders[[#This Row],[Customer Gender]]="O","Other", TRUE,"Unknown")</f>
        <v>Male</v>
      </c>
    </row>
    <row r="510" spans="1:15" x14ac:dyDescent="0.4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_xlfn.IFS(orders[[#This Row],[Customer Gender]]="M","Male", orders[[#This Row],[Customer Gender]]="F","Female", orders[[#This Row],[Customer Gender]]="O","Other", TRUE,"Unknown")</f>
        <v>Male</v>
      </c>
    </row>
    <row r="511" spans="1:15" x14ac:dyDescent="0.4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_xlfn.IFS(orders[[#This Row],[Customer Gender]]="M","Male", orders[[#This Row],[Customer Gender]]="F","Female", orders[[#This Row],[Customer Gender]]="O","Other", TRUE,"Unknown")</f>
        <v>Female</v>
      </c>
    </row>
    <row r="512" spans="1:15" x14ac:dyDescent="0.4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_xlfn.IFS(orders[[#This Row],[Customer Gender]]="M","Male", orders[[#This Row],[Customer Gender]]="F","Female", orders[[#This Row],[Customer Gender]]="O","Other", TRUE,"Unknown")</f>
        <v>Female</v>
      </c>
    </row>
    <row r="513" spans="1:15" x14ac:dyDescent="0.4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_xlfn.IFS(orders[[#This Row],[Customer Gender]]="M","Male", orders[[#This Row],[Customer Gender]]="F","Female", orders[[#This Row],[Customer Gender]]="O","Other", TRUE,"Unknown")</f>
        <v>Unknown</v>
      </c>
    </row>
    <row r="514" spans="1:15" x14ac:dyDescent="0.4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_xlfn.IFS(orders[[#This Row],[Customer Gender]]="M","Male", orders[[#This Row],[Customer Gender]]="F","Female", orders[[#This Row],[Customer Gender]]="O","Other", TRUE,"Unknown")</f>
        <v>Female</v>
      </c>
    </row>
    <row r="515" spans="1:15" x14ac:dyDescent="0.4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_xlfn.IFS(orders[[#This Row],[Customer Gender]]="M","Male", orders[[#This Row],[Customer Gender]]="F","Female", orders[[#This Row],[Customer Gender]]="O","Other", TRUE,"Unknown")</f>
        <v>Male</v>
      </c>
    </row>
    <row r="516" spans="1:15" x14ac:dyDescent="0.4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_xlfn.IFS(orders[[#This Row],[Customer Gender]]="M","Male", orders[[#This Row],[Customer Gender]]="F","Female", orders[[#This Row],[Customer Gender]]="O","Other", TRUE,"Unknown")</f>
        <v>Male</v>
      </c>
    </row>
    <row r="517" spans="1:15" x14ac:dyDescent="0.4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_xlfn.IFS(orders[[#This Row],[Customer Gender]]="M","Male", orders[[#This Row],[Customer Gender]]="F","Female", orders[[#This Row],[Customer Gender]]="O","Other", TRUE,"Unknown")</f>
        <v>Unknown</v>
      </c>
    </row>
    <row r="518" spans="1:15" x14ac:dyDescent="0.4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_xlfn.IFS(orders[[#This Row],[Customer Gender]]="M","Male", orders[[#This Row],[Customer Gender]]="F","Female", orders[[#This Row],[Customer Gender]]="O","Other", TRUE,"Unknown")</f>
        <v>Female</v>
      </c>
    </row>
    <row r="519" spans="1:15" x14ac:dyDescent="0.4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_xlfn.IFS(orders[[#This Row],[Customer Gender]]="M","Male", orders[[#This Row],[Customer Gender]]="F","Female", orders[[#This Row],[Customer Gender]]="O","Other", TRUE,"Unknown")</f>
        <v>Female</v>
      </c>
    </row>
    <row r="520" spans="1:15" x14ac:dyDescent="0.4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_xlfn.IFS(orders[[#This Row],[Customer Gender]]="M","Male", orders[[#This Row],[Customer Gender]]="F","Female", orders[[#This Row],[Customer Gender]]="O","Other", TRUE,"Unknown")</f>
        <v>Female</v>
      </c>
    </row>
    <row r="521" spans="1:15" x14ac:dyDescent="0.4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_xlfn.IFS(orders[[#This Row],[Customer Gender]]="M","Male", orders[[#This Row],[Customer Gender]]="F","Female", orders[[#This Row],[Customer Gender]]="O","Other", TRUE,"Unknown")</f>
        <v>Female</v>
      </c>
    </row>
    <row r="522" spans="1:15" x14ac:dyDescent="0.4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_xlfn.IFS(orders[[#This Row],[Customer Gender]]="M","Male", orders[[#This Row],[Customer Gender]]="F","Female", orders[[#This Row],[Customer Gender]]="O","Other", TRUE,"Unknown")</f>
        <v>Male</v>
      </c>
    </row>
    <row r="523" spans="1:15" x14ac:dyDescent="0.4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_xlfn.IFS(orders[[#This Row],[Customer Gender]]="M","Male", orders[[#This Row],[Customer Gender]]="F","Female", orders[[#This Row],[Customer Gender]]="O","Other", TRUE,"Unknown")</f>
        <v>Female</v>
      </c>
    </row>
    <row r="524" spans="1:15" x14ac:dyDescent="0.4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_xlfn.IFS(orders[[#This Row],[Customer Gender]]="M","Male", orders[[#This Row],[Customer Gender]]="F","Female", orders[[#This Row],[Customer Gender]]="O","Other", TRUE,"Unknown")</f>
        <v>Unknown</v>
      </c>
    </row>
    <row r="525" spans="1:15" x14ac:dyDescent="0.4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_xlfn.IFS(orders[[#This Row],[Customer Gender]]="M","Male", orders[[#This Row],[Customer Gender]]="F","Female", orders[[#This Row],[Customer Gender]]="O","Other", TRUE,"Unknown")</f>
        <v>Female</v>
      </c>
    </row>
    <row r="526" spans="1:15" x14ac:dyDescent="0.4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_xlfn.IFS(orders[[#This Row],[Customer Gender]]="M","Male", orders[[#This Row],[Customer Gender]]="F","Female", orders[[#This Row],[Customer Gender]]="O","Other", TRUE,"Unknown")</f>
        <v>Female</v>
      </c>
    </row>
    <row r="527" spans="1:15" x14ac:dyDescent="0.4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_xlfn.IFS(orders[[#This Row],[Customer Gender]]="M","Male", orders[[#This Row],[Customer Gender]]="F","Female", orders[[#This Row],[Customer Gender]]="O","Other", TRUE,"Unknown")</f>
        <v>Male</v>
      </c>
    </row>
    <row r="528" spans="1:15" x14ac:dyDescent="0.4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_xlfn.IFS(orders[[#This Row],[Customer Gender]]="M","Male", orders[[#This Row],[Customer Gender]]="F","Female", orders[[#This Row],[Customer Gender]]="O","Other", TRUE,"Unknown")</f>
        <v>Male</v>
      </c>
    </row>
    <row r="529" spans="1:15" x14ac:dyDescent="0.4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_xlfn.IFS(orders[[#This Row],[Customer Gender]]="M","Male", orders[[#This Row],[Customer Gender]]="F","Female", orders[[#This Row],[Customer Gender]]="O","Other", TRUE,"Unknown")</f>
        <v>Female</v>
      </c>
    </row>
    <row r="530" spans="1:15" x14ac:dyDescent="0.4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_xlfn.IFS(orders[[#This Row],[Customer Gender]]="M","Male", orders[[#This Row],[Customer Gender]]="F","Female", orders[[#This Row],[Customer Gender]]="O","Other", TRUE,"Unknown")</f>
        <v>Female</v>
      </c>
    </row>
    <row r="531" spans="1:15" x14ac:dyDescent="0.4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_xlfn.IFS(orders[[#This Row],[Customer Gender]]="M","Male", orders[[#This Row],[Customer Gender]]="F","Female", orders[[#This Row],[Customer Gender]]="O","Other", TRUE,"Unknown")</f>
        <v>Female</v>
      </c>
    </row>
    <row r="532" spans="1:15" x14ac:dyDescent="0.4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_xlfn.IFS(orders[[#This Row],[Customer Gender]]="M","Male", orders[[#This Row],[Customer Gender]]="F","Female", orders[[#This Row],[Customer Gender]]="O","Other", TRUE,"Unknown")</f>
        <v>Female</v>
      </c>
    </row>
    <row r="533" spans="1:15" x14ac:dyDescent="0.4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_xlfn.IFS(orders[[#This Row],[Customer Gender]]="M","Male", orders[[#This Row],[Customer Gender]]="F","Female", orders[[#This Row],[Customer Gender]]="O","Other", TRUE,"Unknown")</f>
        <v>Female</v>
      </c>
    </row>
    <row r="534" spans="1:15" x14ac:dyDescent="0.4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_xlfn.IFS(orders[[#This Row],[Customer Gender]]="M","Male", orders[[#This Row],[Customer Gender]]="F","Female", orders[[#This Row],[Customer Gender]]="O","Other", TRUE,"Unknown")</f>
        <v>Female</v>
      </c>
    </row>
    <row r="535" spans="1:15" x14ac:dyDescent="0.4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_xlfn.IFS(orders[[#This Row],[Customer Gender]]="M","Male", orders[[#This Row],[Customer Gender]]="F","Female", orders[[#This Row],[Customer Gender]]="O","Other", TRUE,"Unknown")</f>
        <v>Female</v>
      </c>
    </row>
    <row r="536" spans="1:15" x14ac:dyDescent="0.4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_xlfn.IFS(orders[[#This Row],[Customer Gender]]="M","Male", orders[[#This Row],[Customer Gender]]="F","Female", orders[[#This Row],[Customer Gender]]="O","Other", TRUE,"Unknown")</f>
        <v>Female</v>
      </c>
    </row>
    <row r="537" spans="1:15" x14ac:dyDescent="0.4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_xlfn.IFS(orders[[#This Row],[Customer Gender]]="M","Male", orders[[#This Row],[Customer Gender]]="F","Female", orders[[#This Row],[Customer Gender]]="O","Other", TRUE,"Unknown")</f>
        <v>Female</v>
      </c>
    </row>
    <row r="538" spans="1:15" x14ac:dyDescent="0.4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_xlfn.IFS(orders[[#This Row],[Customer Gender]]="M","Male", orders[[#This Row],[Customer Gender]]="F","Female", orders[[#This Row],[Customer Gender]]="O","Other", TRUE,"Unknown")</f>
        <v>Male</v>
      </c>
    </row>
    <row r="539" spans="1:15" x14ac:dyDescent="0.4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_xlfn.IFS(orders[[#This Row],[Customer Gender]]="M","Male", orders[[#This Row],[Customer Gender]]="F","Female", orders[[#This Row],[Customer Gender]]="O","Other", TRUE,"Unknown")</f>
        <v>Female</v>
      </c>
    </row>
    <row r="540" spans="1:15" x14ac:dyDescent="0.4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_xlfn.IFS(orders[[#This Row],[Customer Gender]]="M","Male", orders[[#This Row],[Customer Gender]]="F","Female", orders[[#This Row],[Customer Gender]]="O","Other", TRUE,"Unknown")</f>
        <v>Male</v>
      </c>
    </row>
    <row r="541" spans="1:15" x14ac:dyDescent="0.4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_xlfn.IFS(orders[[#This Row],[Customer Gender]]="M","Male", orders[[#This Row],[Customer Gender]]="F","Female", orders[[#This Row],[Customer Gender]]="O","Other", TRUE,"Unknown")</f>
        <v>Female</v>
      </c>
    </row>
    <row r="542" spans="1:15" x14ac:dyDescent="0.4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_xlfn.IFS(orders[[#This Row],[Customer Gender]]="M","Male", orders[[#This Row],[Customer Gender]]="F","Female", orders[[#This Row],[Customer Gender]]="O","Other", TRUE,"Unknown")</f>
        <v>Male</v>
      </c>
    </row>
    <row r="543" spans="1:15" x14ac:dyDescent="0.4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_xlfn.IFS(orders[[#This Row],[Customer Gender]]="M","Male", orders[[#This Row],[Customer Gender]]="F","Female", orders[[#This Row],[Customer Gender]]="O","Other", TRUE,"Unknown")</f>
        <v>Male</v>
      </c>
    </row>
    <row r="544" spans="1:15" x14ac:dyDescent="0.4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_xlfn.IFS(orders[[#This Row],[Customer Gender]]="M","Male", orders[[#This Row],[Customer Gender]]="F","Female", orders[[#This Row],[Customer Gender]]="O","Other", TRUE,"Unknown")</f>
        <v>Female</v>
      </c>
    </row>
    <row r="545" spans="1:15" x14ac:dyDescent="0.4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_xlfn.IFS(orders[[#This Row],[Customer Gender]]="M","Male", orders[[#This Row],[Customer Gender]]="F","Female", orders[[#This Row],[Customer Gender]]="O","Other", TRUE,"Unknown")</f>
        <v>Female</v>
      </c>
    </row>
    <row r="546" spans="1:15" x14ac:dyDescent="0.4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_xlfn.IFS(orders[[#This Row],[Customer Gender]]="M","Male", orders[[#This Row],[Customer Gender]]="F","Female", orders[[#This Row],[Customer Gender]]="O","Other", TRUE,"Unknown")</f>
        <v>Female</v>
      </c>
    </row>
    <row r="547" spans="1:15" x14ac:dyDescent="0.4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_xlfn.IFS(orders[[#This Row],[Customer Gender]]="M","Male", orders[[#This Row],[Customer Gender]]="F","Female", orders[[#This Row],[Customer Gender]]="O","Other", TRUE,"Unknown")</f>
        <v>Female</v>
      </c>
    </row>
    <row r="548" spans="1:15" x14ac:dyDescent="0.4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_xlfn.IFS(orders[[#This Row],[Customer Gender]]="M","Male", orders[[#This Row],[Customer Gender]]="F","Female", orders[[#This Row],[Customer Gender]]="O","Other", TRUE,"Unknown")</f>
        <v>Unknown</v>
      </c>
    </row>
    <row r="549" spans="1:15" x14ac:dyDescent="0.4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_xlfn.IFS(orders[[#This Row],[Customer Gender]]="M","Male", orders[[#This Row],[Customer Gender]]="F","Female", orders[[#This Row],[Customer Gender]]="O","Other", TRUE,"Unknown")</f>
        <v>Male</v>
      </c>
    </row>
    <row r="550" spans="1:15" x14ac:dyDescent="0.4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_xlfn.IFS(orders[[#This Row],[Customer Gender]]="M","Male", orders[[#This Row],[Customer Gender]]="F","Female", orders[[#This Row],[Customer Gender]]="O","Other", TRUE,"Unknown")</f>
        <v>Female</v>
      </c>
    </row>
    <row r="551" spans="1:15" x14ac:dyDescent="0.4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_xlfn.IFS(orders[[#This Row],[Customer Gender]]="M","Male", orders[[#This Row],[Customer Gender]]="F","Female", orders[[#This Row],[Customer Gender]]="O","Other", TRUE,"Unknown")</f>
        <v>Other</v>
      </c>
    </row>
    <row r="552" spans="1:15" x14ac:dyDescent="0.4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_xlfn.IFS(orders[[#This Row],[Customer Gender]]="M","Male", orders[[#This Row],[Customer Gender]]="F","Female", orders[[#This Row],[Customer Gender]]="O","Other", TRUE,"Unknown")</f>
        <v>Male</v>
      </c>
    </row>
    <row r="553" spans="1:15" x14ac:dyDescent="0.4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_xlfn.IFS(orders[[#This Row],[Customer Gender]]="M","Male", orders[[#This Row],[Customer Gender]]="F","Female", orders[[#This Row],[Customer Gender]]="O","Other", TRUE,"Unknown")</f>
        <v>Female</v>
      </c>
    </row>
    <row r="554" spans="1:15" x14ac:dyDescent="0.4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_xlfn.IFS(orders[[#This Row],[Customer Gender]]="M","Male", orders[[#This Row],[Customer Gender]]="F","Female", orders[[#This Row],[Customer Gender]]="O","Other", TRUE,"Unknown")</f>
        <v>Female</v>
      </c>
    </row>
    <row r="555" spans="1:15" x14ac:dyDescent="0.4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_xlfn.IFS(orders[[#This Row],[Customer Gender]]="M","Male", orders[[#This Row],[Customer Gender]]="F","Female", orders[[#This Row],[Customer Gender]]="O","Other", TRUE,"Unknown")</f>
        <v>Female</v>
      </c>
    </row>
    <row r="556" spans="1:15" x14ac:dyDescent="0.4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_xlfn.IFS(orders[[#This Row],[Customer Gender]]="M","Male", orders[[#This Row],[Customer Gender]]="F","Female", orders[[#This Row],[Customer Gender]]="O","Other", TRUE,"Unknown")</f>
        <v>Female</v>
      </c>
    </row>
    <row r="557" spans="1:15" x14ac:dyDescent="0.4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_xlfn.IFS(orders[[#This Row],[Customer Gender]]="M","Male", orders[[#This Row],[Customer Gender]]="F","Female", orders[[#This Row],[Customer Gender]]="O","Other", TRUE,"Unknown")</f>
        <v>Female</v>
      </c>
    </row>
    <row r="558" spans="1:15" x14ac:dyDescent="0.4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_xlfn.IFS(orders[[#This Row],[Customer Gender]]="M","Male", orders[[#This Row],[Customer Gender]]="F","Female", orders[[#This Row],[Customer Gender]]="O","Other", TRUE,"Unknown")</f>
        <v>Female</v>
      </c>
    </row>
    <row r="559" spans="1:15" x14ac:dyDescent="0.4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_xlfn.IFS(orders[[#This Row],[Customer Gender]]="M","Male", orders[[#This Row],[Customer Gender]]="F","Female", orders[[#This Row],[Customer Gender]]="O","Other", TRUE,"Unknown")</f>
        <v>Female</v>
      </c>
    </row>
    <row r="560" spans="1:15" x14ac:dyDescent="0.4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_xlfn.IFS(orders[[#This Row],[Customer Gender]]="M","Male", orders[[#This Row],[Customer Gender]]="F","Female", orders[[#This Row],[Customer Gender]]="O","Other", TRUE,"Unknown")</f>
        <v>Male</v>
      </c>
    </row>
    <row r="561" spans="1:15" x14ac:dyDescent="0.4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_xlfn.IFS(orders[[#This Row],[Customer Gender]]="M","Male", orders[[#This Row],[Customer Gender]]="F","Female", orders[[#This Row],[Customer Gender]]="O","Other", TRUE,"Unknown")</f>
        <v>Male</v>
      </c>
    </row>
    <row r="562" spans="1:15" x14ac:dyDescent="0.4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_xlfn.IFS(orders[[#This Row],[Customer Gender]]="M","Male", orders[[#This Row],[Customer Gender]]="F","Female", orders[[#This Row],[Customer Gender]]="O","Other", TRUE,"Unknown")</f>
        <v>Female</v>
      </c>
    </row>
    <row r="563" spans="1:15" x14ac:dyDescent="0.4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_xlfn.IFS(orders[[#This Row],[Customer Gender]]="M","Male", orders[[#This Row],[Customer Gender]]="F","Female", orders[[#This Row],[Customer Gender]]="O","Other", TRUE,"Unknown")</f>
        <v>Male</v>
      </c>
    </row>
    <row r="564" spans="1:15" x14ac:dyDescent="0.4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_xlfn.IFS(orders[[#This Row],[Customer Gender]]="M","Male", orders[[#This Row],[Customer Gender]]="F","Female", orders[[#This Row],[Customer Gender]]="O","Other", TRUE,"Unknown")</f>
        <v>Male</v>
      </c>
    </row>
    <row r="565" spans="1:15" x14ac:dyDescent="0.4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_xlfn.IFS(orders[[#This Row],[Customer Gender]]="M","Male", orders[[#This Row],[Customer Gender]]="F","Female", orders[[#This Row],[Customer Gender]]="O","Other", TRUE,"Unknown")</f>
        <v>Male</v>
      </c>
    </row>
    <row r="566" spans="1:15" x14ac:dyDescent="0.4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_xlfn.IFS(orders[[#This Row],[Customer Gender]]="M","Male", orders[[#This Row],[Customer Gender]]="F","Female", orders[[#This Row],[Customer Gender]]="O","Other", TRUE,"Unknown")</f>
        <v>Female</v>
      </c>
    </row>
    <row r="567" spans="1:15" x14ac:dyDescent="0.4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_xlfn.IFS(orders[[#This Row],[Customer Gender]]="M","Male", orders[[#This Row],[Customer Gender]]="F","Female", orders[[#This Row],[Customer Gender]]="O","Other", TRUE,"Unknown")</f>
        <v>Male</v>
      </c>
    </row>
    <row r="568" spans="1:15" x14ac:dyDescent="0.4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_xlfn.IFS(orders[[#This Row],[Customer Gender]]="M","Male", orders[[#This Row],[Customer Gender]]="F","Female", orders[[#This Row],[Customer Gender]]="O","Other", TRUE,"Unknown")</f>
        <v>Female</v>
      </c>
    </row>
    <row r="569" spans="1:15" x14ac:dyDescent="0.4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_xlfn.IFS(orders[[#This Row],[Customer Gender]]="M","Male", orders[[#This Row],[Customer Gender]]="F","Female", orders[[#This Row],[Customer Gender]]="O","Other", TRUE,"Unknown")</f>
        <v>Female</v>
      </c>
    </row>
    <row r="570" spans="1:15" x14ac:dyDescent="0.4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_xlfn.IFS(orders[[#This Row],[Customer Gender]]="M","Male", orders[[#This Row],[Customer Gender]]="F","Female", orders[[#This Row],[Customer Gender]]="O","Other", TRUE,"Unknown")</f>
        <v>Female</v>
      </c>
    </row>
    <row r="571" spans="1:15" x14ac:dyDescent="0.4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_xlfn.IFS(orders[[#This Row],[Customer Gender]]="M","Male", orders[[#This Row],[Customer Gender]]="F","Female", orders[[#This Row],[Customer Gender]]="O","Other", TRUE,"Unknown")</f>
        <v>Male</v>
      </c>
    </row>
    <row r="572" spans="1:15" x14ac:dyDescent="0.4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_xlfn.IFS(orders[[#This Row],[Customer Gender]]="M","Male", orders[[#This Row],[Customer Gender]]="F","Female", orders[[#This Row],[Customer Gender]]="O","Other", TRUE,"Unknown")</f>
        <v>Male</v>
      </c>
    </row>
    <row r="573" spans="1:15" x14ac:dyDescent="0.4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_xlfn.IFS(orders[[#This Row],[Customer Gender]]="M","Male", orders[[#This Row],[Customer Gender]]="F","Female", orders[[#This Row],[Customer Gender]]="O","Other", TRUE,"Unknown")</f>
        <v>Female</v>
      </c>
    </row>
    <row r="574" spans="1:15" x14ac:dyDescent="0.4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_xlfn.IFS(orders[[#This Row],[Customer Gender]]="M","Male", orders[[#This Row],[Customer Gender]]="F","Female", orders[[#This Row],[Customer Gender]]="O","Other", TRUE,"Unknown")</f>
        <v>Male</v>
      </c>
    </row>
    <row r="575" spans="1:15" x14ac:dyDescent="0.4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_xlfn.IFS(orders[[#This Row],[Customer Gender]]="M","Male", orders[[#This Row],[Customer Gender]]="F","Female", orders[[#This Row],[Customer Gender]]="O","Other", TRUE,"Unknown")</f>
        <v>Female</v>
      </c>
    </row>
    <row r="576" spans="1:15" x14ac:dyDescent="0.4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_xlfn.IFS(orders[[#This Row],[Customer Gender]]="M","Male", orders[[#This Row],[Customer Gender]]="F","Female", orders[[#This Row],[Customer Gender]]="O","Other", TRUE,"Unknown")</f>
        <v>Female</v>
      </c>
    </row>
    <row r="577" spans="1:15" x14ac:dyDescent="0.4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_xlfn.IFS(orders[[#This Row],[Customer Gender]]="M","Male", orders[[#This Row],[Customer Gender]]="F","Female", orders[[#This Row],[Customer Gender]]="O","Other", TRUE,"Unknown")</f>
        <v>Male</v>
      </c>
    </row>
    <row r="578" spans="1:15" x14ac:dyDescent="0.4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_xlfn.IFS(orders[[#This Row],[Customer Gender]]="M","Male", orders[[#This Row],[Customer Gender]]="F","Female", orders[[#This Row],[Customer Gender]]="O","Other", TRUE,"Unknown")</f>
        <v>Male</v>
      </c>
    </row>
    <row r="579" spans="1:15" x14ac:dyDescent="0.4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_xlfn.IFS(orders[[#This Row],[Customer Gender]]="M","Male", orders[[#This Row],[Customer Gender]]="F","Female", orders[[#This Row],[Customer Gender]]="O","Other", TRUE,"Unknown")</f>
        <v>Female</v>
      </c>
    </row>
    <row r="580" spans="1:15" x14ac:dyDescent="0.4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_xlfn.IFS(orders[[#This Row],[Customer Gender]]="M","Male", orders[[#This Row],[Customer Gender]]="F","Female", orders[[#This Row],[Customer Gender]]="O","Other", TRUE,"Unknown")</f>
        <v>Female</v>
      </c>
    </row>
    <row r="581" spans="1:15" x14ac:dyDescent="0.4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_xlfn.IFS(orders[[#This Row],[Customer Gender]]="M","Male", orders[[#This Row],[Customer Gender]]="F","Female", orders[[#This Row],[Customer Gender]]="O","Other", TRUE,"Unknown")</f>
        <v>Female</v>
      </c>
    </row>
    <row r="582" spans="1:15" x14ac:dyDescent="0.4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_xlfn.IFS(orders[[#This Row],[Customer Gender]]="M","Male", orders[[#This Row],[Customer Gender]]="F","Female", orders[[#This Row],[Customer Gender]]="O","Other", TRUE,"Unknown")</f>
        <v>Female</v>
      </c>
    </row>
    <row r="583" spans="1:15" x14ac:dyDescent="0.4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_xlfn.IFS(orders[[#This Row],[Customer Gender]]="M","Male", orders[[#This Row],[Customer Gender]]="F","Female", orders[[#This Row],[Customer Gender]]="O","Other", TRUE,"Unknown")</f>
        <v>Female</v>
      </c>
    </row>
    <row r="584" spans="1:15" x14ac:dyDescent="0.4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_xlfn.IFS(orders[[#This Row],[Customer Gender]]="M","Male", orders[[#This Row],[Customer Gender]]="F","Female", orders[[#This Row],[Customer Gender]]="O","Other", TRUE,"Unknown")</f>
        <v>Female</v>
      </c>
    </row>
    <row r="585" spans="1:15" x14ac:dyDescent="0.4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_xlfn.IFS(orders[[#This Row],[Customer Gender]]="M","Male", orders[[#This Row],[Customer Gender]]="F","Female", orders[[#This Row],[Customer Gender]]="O","Other", TRUE,"Unknown")</f>
        <v>Male</v>
      </c>
    </row>
    <row r="586" spans="1:15" x14ac:dyDescent="0.4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_xlfn.IFS(orders[[#This Row],[Customer Gender]]="M","Male", orders[[#This Row],[Customer Gender]]="F","Female", orders[[#This Row],[Customer Gender]]="O","Other", TRUE,"Unknown")</f>
        <v>Female</v>
      </c>
    </row>
    <row r="587" spans="1:15" x14ac:dyDescent="0.4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_xlfn.IFS(orders[[#This Row],[Customer Gender]]="M","Male", orders[[#This Row],[Customer Gender]]="F","Female", orders[[#This Row],[Customer Gender]]="O","Other", TRUE,"Unknown")</f>
        <v>Female</v>
      </c>
    </row>
    <row r="588" spans="1:15" x14ac:dyDescent="0.4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_xlfn.IFS(orders[[#This Row],[Customer Gender]]="M","Male", orders[[#This Row],[Customer Gender]]="F","Female", orders[[#This Row],[Customer Gender]]="O","Other", TRUE,"Unknown")</f>
        <v>Female</v>
      </c>
    </row>
    <row r="589" spans="1:15" x14ac:dyDescent="0.4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_xlfn.IFS(orders[[#This Row],[Customer Gender]]="M","Male", orders[[#This Row],[Customer Gender]]="F","Female", orders[[#This Row],[Customer Gender]]="O","Other", TRUE,"Unknown")</f>
        <v>Male</v>
      </c>
    </row>
    <row r="590" spans="1:15" x14ac:dyDescent="0.4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_xlfn.IFS(orders[[#This Row],[Customer Gender]]="M","Male", orders[[#This Row],[Customer Gender]]="F","Female", orders[[#This Row],[Customer Gender]]="O","Other", TRUE,"Unknown")</f>
        <v>Female</v>
      </c>
    </row>
    <row r="591" spans="1:15" x14ac:dyDescent="0.4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_xlfn.IFS(orders[[#This Row],[Customer Gender]]="M","Male", orders[[#This Row],[Customer Gender]]="F","Female", orders[[#This Row],[Customer Gender]]="O","Other", TRUE,"Unknown")</f>
        <v>Female</v>
      </c>
    </row>
    <row r="592" spans="1:15" x14ac:dyDescent="0.4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_xlfn.IFS(orders[[#This Row],[Customer Gender]]="M","Male", orders[[#This Row],[Customer Gender]]="F","Female", orders[[#This Row],[Customer Gender]]="O","Other", TRUE,"Unknown")</f>
        <v>Male</v>
      </c>
    </row>
    <row r="593" spans="1:15" x14ac:dyDescent="0.4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_xlfn.IFS(orders[[#This Row],[Customer Gender]]="M","Male", orders[[#This Row],[Customer Gender]]="F","Female", orders[[#This Row],[Customer Gender]]="O","Other", TRUE,"Unknown")</f>
        <v>Female</v>
      </c>
    </row>
    <row r="594" spans="1:15" x14ac:dyDescent="0.4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_xlfn.IFS(orders[[#This Row],[Customer Gender]]="M","Male", orders[[#This Row],[Customer Gender]]="F","Female", orders[[#This Row],[Customer Gender]]="O","Other", TRUE,"Unknown")</f>
        <v>Female</v>
      </c>
    </row>
    <row r="595" spans="1:15" x14ac:dyDescent="0.4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_xlfn.IFS(orders[[#This Row],[Customer Gender]]="M","Male", orders[[#This Row],[Customer Gender]]="F","Female", orders[[#This Row],[Customer Gender]]="O","Other", TRUE,"Unknown")</f>
        <v>Female</v>
      </c>
    </row>
    <row r="596" spans="1:15" x14ac:dyDescent="0.4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_xlfn.IFS(orders[[#This Row],[Customer Gender]]="M","Male", orders[[#This Row],[Customer Gender]]="F","Female", orders[[#This Row],[Customer Gender]]="O","Other", TRUE,"Unknown")</f>
        <v>Male</v>
      </c>
    </row>
    <row r="597" spans="1:15" x14ac:dyDescent="0.4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_xlfn.IFS(orders[[#This Row],[Customer Gender]]="M","Male", orders[[#This Row],[Customer Gender]]="F","Female", orders[[#This Row],[Customer Gender]]="O","Other", TRUE,"Unknown")</f>
        <v>Male</v>
      </c>
    </row>
    <row r="598" spans="1:15" x14ac:dyDescent="0.4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_xlfn.IFS(orders[[#This Row],[Customer Gender]]="M","Male", orders[[#This Row],[Customer Gender]]="F","Female", orders[[#This Row],[Customer Gender]]="O","Other", TRUE,"Unknown")</f>
        <v>Female</v>
      </c>
    </row>
    <row r="599" spans="1:15" x14ac:dyDescent="0.4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_xlfn.IFS(orders[[#This Row],[Customer Gender]]="M","Male", orders[[#This Row],[Customer Gender]]="F","Female", orders[[#This Row],[Customer Gender]]="O","Other", TRUE,"Unknown")</f>
        <v>Female</v>
      </c>
    </row>
    <row r="600" spans="1:15" x14ac:dyDescent="0.4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_xlfn.IFS(orders[[#This Row],[Customer Gender]]="M","Male", orders[[#This Row],[Customer Gender]]="F","Female", orders[[#This Row],[Customer Gender]]="O","Other", TRUE,"Unknown")</f>
        <v>Male</v>
      </c>
    </row>
    <row r="601" spans="1:15" x14ac:dyDescent="0.4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_xlfn.IFS(orders[[#This Row],[Customer Gender]]="M","Male", orders[[#This Row],[Customer Gender]]="F","Female", orders[[#This Row],[Customer Gender]]="O","Other", TRUE,"Unknown")</f>
        <v>Female</v>
      </c>
    </row>
    <row r="602" spans="1:15" x14ac:dyDescent="0.4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_xlfn.IFS(orders[[#This Row],[Customer Gender]]="M","Male", orders[[#This Row],[Customer Gender]]="F","Female", orders[[#This Row],[Customer Gender]]="O","Other", TRUE,"Unknown")</f>
        <v>Male</v>
      </c>
    </row>
    <row r="603" spans="1:15" x14ac:dyDescent="0.4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_xlfn.IFS(orders[[#This Row],[Customer Gender]]="M","Male", orders[[#This Row],[Customer Gender]]="F","Female", orders[[#This Row],[Customer Gender]]="O","Other", TRUE,"Unknown")</f>
        <v>Female</v>
      </c>
    </row>
    <row r="604" spans="1:15" x14ac:dyDescent="0.4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_xlfn.IFS(orders[[#This Row],[Customer Gender]]="M","Male", orders[[#This Row],[Customer Gender]]="F","Female", orders[[#This Row],[Customer Gender]]="O","Other", TRUE,"Unknown")</f>
        <v>Female</v>
      </c>
    </row>
    <row r="605" spans="1:15" x14ac:dyDescent="0.4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_xlfn.IFS(orders[[#This Row],[Customer Gender]]="M","Male", orders[[#This Row],[Customer Gender]]="F","Female", orders[[#This Row],[Customer Gender]]="O","Other", TRUE,"Unknown")</f>
        <v>Male</v>
      </c>
    </row>
    <row r="606" spans="1:15" x14ac:dyDescent="0.4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_xlfn.IFS(orders[[#This Row],[Customer Gender]]="M","Male", orders[[#This Row],[Customer Gender]]="F","Female", orders[[#This Row],[Customer Gender]]="O","Other", TRUE,"Unknown")</f>
        <v>Male</v>
      </c>
    </row>
    <row r="607" spans="1:15" x14ac:dyDescent="0.4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_xlfn.IFS(orders[[#This Row],[Customer Gender]]="M","Male", orders[[#This Row],[Customer Gender]]="F","Female", orders[[#This Row],[Customer Gender]]="O","Other", TRUE,"Unknown")</f>
        <v>Female</v>
      </c>
    </row>
    <row r="608" spans="1:15" x14ac:dyDescent="0.4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_xlfn.IFS(orders[[#This Row],[Customer Gender]]="M","Male", orders[[#This Row],[Customer Gender]]="F","Female", orders[[#This Row],[Customer Gender]]="O","Other", TRUE,"Unknown")</f>
        <v>Female</v>
      </c>
    </row>
    <row r="609" spans="1:15" x14ac:dyDescent="0.4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_xlfn.IFS(orders[[#This Row],[Customer Gender]]="M","Male", orders[[#This Row],[Customer Gender]]="F","Female", orders[[#This Row],[Customer Gender]]="O","Other", TRUE,"Unknown")</f>
        <v>Male</v>
      </c>
    </row>
    <row r="610" spans="1:15" x14ac:dyDescent="0.4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_xlfn.IFS(orders[[#This Row],[Customer Gender]]="M","Male", orders[[#This Row],[Customer Gender]]="F","Female", orders[[#This Row],[Customer Gender]]="O","Other", TRUE,"Unknown")</f>
        <v>Female</v>
      </c>
    </row>
    <row r="611" spans="1:15" x14ac:dyDescent="0.4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_xlfn.IFS(orders[[#This Row],[Customer Gender]]="M","Male", orders[[#This Row],[Customer Gender]]="F","Female", orders[[#This Row],[Customer Gender]]="O","Other", TRUE,"Unknown")</f>
        <v>Female</v>
      </c>
    </row>
    <row r="612" spans="1:15" x14ac:dyDescent="0.4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_xlfn.IFS(orders[[#This Row],[Customer Gender]]="M","Male", orders[[#This Row],[Customer Gender]]="F","Female", orders[[#This Row],[Customer Gender]]="O","Other", TRUE,"Unknown")</f>
        <v>Female</v>
      </c>
    </row>
    <row r="613" spans="1:15" x14ac:dyDescent="0.4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_xlfn.IFS(orders[[#This Row],[Customer Gender]]="M","Male", orders[[#This Row],[Customer Gender]]="F","Female", orders[[#This Row],[Customer Gender]]="O","Other", TRUE,"Unknown")</f>
        <v>Female</v>
      </c>
    </row>
    <row r="614" spans="1:15" x14ac:dyDescent="0.4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_xlfn.IFS(orders[[#This Row],[Customer Gender]]="M","Male", orders[[#This Row],[Customer Gender]]="F","Female", orders[[#This Row],[Customer Gender]]="O","Other", TRUE,"Unknown")</f>
        <v>Female</v>
      </c>
    </row>
    <row r="615" spans="1:15" x14ac:dyDescent="0.4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_xlfn.IFS(orders[[#This Row],[Customer Gender]]="M","Male", orders[[#This Row],[Customer Gender]]="F","Female", orders[[#This Row],[Customer Gender]]="O","Other", TRUE,"Unknown")</f>
        <v>Female</v>
      </c>
    </row>
    <row r="616" spans="1:15" x14ac:dyDescent="0.4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_xlfn.IFS(orders[[#This Row],[Customer Gender]]="M","Male", orders[[#This Row],[Customer Gender]]="F","Female", orders[[#This Row],[Customer Gender]]="O","Other", TRUE,"Unknown")</f>
        <v>Male</v>
      </c>
    </row>
    <row r="617" spans="1:15" x14ac:dyDescent="0.4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_xlfn.IFS(orders[[#This Row],[Customer Gender]]="M","Male", orders[[#This Row],[Customer Gender]]="F","Female", orders[[#This Row],[Customer Gender]]="O","Other", TRUE,"Unknown")</f>
        <v>Male</v>
      </c>
    </row>
    <row r="618" spans="1:15" x14ac:dyDescent="0.4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_xlfn.IFS(orders[[#This Row],[Customer Gender]]="M","Male", orders[[#This Row],[Customer Gender]]="F","Female", orders[[#This Row],[Customer Gender]]="O","Other", TRUE,"Unknown")</f>
        <v>Male</v>
      </c>
    </row>
    <row r="619" spans="1:15" x14ac:dyDescent="0.4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_xlfn.IFS(orders[[#This Row],[Customer Gender]]="M","Male", orders[[#This Row],[Customer Gender]]="F","Female", orders[[#This Row],[Customer Gender]]="O","Other", TRUE,"Unknown")</f>
        <v>Female</v>
      </c>
    </row>
    <row r="620" spans="1:15" x14ac:dyDescent="0.4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_xlfn.IFS(orders[[#This Row],[Customer Gender]]="M","Male", orders[[#This Row],[Customer Gender]]="F","Female", orders[[#This Row],[Customer Gender]]="O","Other", TRUE,"Unknown")</f>
        <v>Male</v>
      </c>
    </row>
    <row r="621" spans="1:15" x14ac:dyDescent="0.4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_xlfn.IFS(orders[[#This Row],[Customer Gender]]="M","Male", orders[[#This Row],[Customer Gender]]="F","Female", orders[[#This Row],[Customer Gender]]="O","Other", TRUE,"Unknown")</f>
        <v>Male</v>
      </c>
    </row>
    <row r="622" spans="1:15" x14ac:dyDescent="0.4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_xlfn.IFS(orders[[#This Row],[Customer Gender]]="M","Male", orders[[#This Row],[Customer Gender]]="F","Female", orders[[#This Row],[Customer Gender]]="O","Other", TRUE,"Unknown")</f>
        <v>Female</v>
      </c>
    </row>
    <row r="623" spans="1:15" x14ac:dyDescent="0.4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_xlfn.IFS(orders[[#This Row],[Customer Gender]]="M","Male", orders[[#This Row],[Customer Gender]]="F","Female", orders[[#This Row],[Customer Gender]]="O","Other", TRUE,"Unknown")</f>
        <v>Male</v>
      </c>
    </row>
    <row r="624" spans="1:15" x14ac:dyDescent="0.4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_xlfn.IFS(orders[[#This Row],[Customer Gender]]="M","Male", orders[[#This Row],[Customer Gender]]="F","Female", orders[[#This Row],[Customer Gender]]="O","Other", TRUE,"Unknown")</f>
        <v>Female</v>
      </c>
    </row>
    <row r="625" spans="1:15" x14ac:dyDescent="0.4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_xlfn.IFS(orders[[#This Row],[Customer Gender]]="M","Male", orders[[#This Row],[Customer Gender]]="F","Female", orders[[#This Row],[Customer Gender]]="O","Other", TRUE,"Unknown")</f>
        <v>Unknown</v>
      </c>
    </row>
    <row r="626" spans="1:15" x14ac:dyDescent="0.4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_xlfn.IFS(orders[[#This Row],[Customer Gender]]="M","Male", orders[[#This Row],[Customer Gender]]="F","Female", orders[[#This Row],[Customer Gender]]="O","Other", TRUE,"Unknown")</f>
        <v>Female</v>
      </c>
    </row>
    <row r="627" spans="1:15" x14ac:dyDescent="0.4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_xlfn.IFS(orders[[#This Row],[Customer Gender]]="M","Male", orders[[#This Row],[Customer Gender]]="F","Female", orders[[#This Row],[Customer Gender]]="O","Other", TRUE,"Unknown")</f>
        <v>Female</v>
      </c>
    </row>
    <row r="628" spans="1:15" x14ac:dyDescent="0.4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_xlfn.IFS(orders[[#This Row],[Customer Gender]]="M","Male", orders[[#This Row],[Customer Gender]]="F","Female", orders[[#This Row],[Customer Gender]]="O","Other", TRUE,"Unknown")</f>
        <v>Female</v>
      </c>
    </row>
    <row r="629" spans="1:15" x14ac:dyDescent="0.4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_xlfn.IFS(orders[[#This Row],[Customer Gender]]="M","Male", orders[[#This Row],[Customer Gender]]="F","Female", orders[[#This Row],[Customer Gender]]="O","Other", TRUE,"Unknown")</f>
        <v>Female</v>
      </c>
    </row>
    <row r="630" spans="1:15" x14ac:dyDescent="0.4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_xlfn.IFS(orders[[#This Row],[Customer Gender]]="M","Male", orders[[#This Row],[Customer Gender]]="F","Female", orders[[#This Row],[Customer Gender]]="O","Other", TRUE,"Unknown")</f>
        <v>Female</v>
      </c>
    </row>
    <row r="631" spans="1:15" x14ac:dyDescent="0.4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_xlfn.IFS(orders[[#This Row],[Customer Gender]]="M","Male", orders[[#This Row],[Customer Gender]]="F","Female", orders[[#This Row],[Customer Gender]]="O","Other", TRUE,"Unknown")</f>
        <v>Male</v>
      </c>
    </row>
    <row r="632" spans="1:15" x14ac:dyDescent="0.4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_xlfn.IFS(orders[[#This Row],[Customer Gender]]="M","Male", orders[[#This Row],[Customer Gender]]="F","Female", orders[[#This Row],[Customer Gender]]="O","Other", TRUE,"Unknown")</f>
        <v>Female</v>
      </c>
    </row>
    <row r="633" spans="1:15" x14ac:dyDescent="0.4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_xlfn.IFS(orders[[#This Row],[Customer Gender]]="M","Male", orders[[#This Row],[Customer Gender]]="F","Female", orders[[#This Row],[Customer Gender]]="O","Other", TRUE,"Unknown")</f>
        <v>Male</v>
      </c>
    </row>
    <row r="634" spans="1:15" x14ac:dyDescent="0.4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_xlfn.IFS(orders[[#This Row],[Customer Gender]]="M","Male", orders[[#This Row],[Customer Gender]]="F","Female", orders[[#This Row],[Customer Gender]]="O","Other", TRUE,"Unknown")</f>
        <v>Male</v>
      </c>
    </row>
    <row r="635" spans="1:15" x14ac:dyDescent="0.4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_xlfn.IFS(orders[[#This Row],[Customer Gender]]="M","Male", orders[[#This Row],[Customer Gender]]="F","Female", orders[[#This Row],[Customer Gender]]="O","Other", TRUE,"Unknown")</f>
        <v>Female</v>
      </c>
    </row>
    <row r="636" spans="1:15" x14ac:dyDescent="0.4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_xlfn.IFS(orders[[#This Row],[Customer Gender]]="M","Male", orders[[#This Row],[Customer Gender]]="F","Female", orders[[#This Row],[Customer Gender]]="O","Other", TRUE,"Unknown")</f>
        <v>Female</v>
      </c>
    </row>
    <row r="637" spans="1:15" x14ac:dyDescent="0.4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_xlfn.IFS(orders[[#This Row],[Customer Gender]]="M","Male", orders[[#This Row],[Customer Gender]]="F","Female", orders[[#This Row],[Customer Gender]]="O","Other", TRUE,"Unknown")</f>
        <v>Male</v>
      </c>
    </row>
    <row r="638" spans="1:15" x14ac:dyDescent="0.4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_xlfn.IFS(orders[[#This Row],[Customer Gender]]="M","Male", orders[[#This Row],[Customer Gender]]="F","Female", orders[[#This Row],[Customer Gender]]="O","Other", TRUE,"Unknown")</f>
        <v>Male</v>
      </c>
    </row>
    <row r="639" spans="1:15" x14ac:dyDescent="0.4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_xlfn.IFS(orders[[#This Row],[Customer Gender]]="M","Male", orders[[#This Row],[Customer Gender]]="F","Female", orders[[#This Row],[Customer Gender]]="O","Other", TRUE,"Unknown")</f>
        <v>Female</v>
      </c>
    </row>
    <row r="640" spans="1:15" x14ac:dyDescent="0.4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_xlfn.IFS(orders[[#This Row],[Customer Gender]]="M","Male", orders[[#This Row],[Customer Gender]]="F","Female", orders[[#This Row],[Customer Gender]]="O","Other", TRUE,"Unknown")</f>
        <v>Female</v>
      </c>
    </row>
    <row r="641" spans="1:15" x14ac:dyDescent="0.4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_xlfn.IFS(orders[[#This Row],[Customer Gender]]="M","Male", orders[[#This Row],[Customer Gender]]="F","Female", orders[[#This Row],[Customer Gender]]="O","Other", TRUE,"Unknown")</f>
        <v>Female</v>
      </c>
    </row>
    <row r="642" spans="1:15" x14ac:dyDescent="0.4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_xlfn.IFS(orders[[#This Row],[Customer Gender]]="M","Male", orders[[#This Row],[Customer Gender]]="F","Female", orders[[#This Row],[Customer Gender]]="O","Other", TRUE,"Unknown")</f>
        <v>Male</v>
      </c>
    </row>
    <row r="643" spans="1:15" x14ac:dyDescent="0.4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_xlfn.IFS(orders[[#This Row],[Customer Gender]]="M","Male", orders[[#This Row],[Customer Gender]]="F","Female", orders[[#This Row],[Customer Gender]]="O","Other", TRUE,"Unknown")</f>
        <v>Female</v>
      </c>
    </row>
    <row r="644" spans="1:15" x14ac:dyDescent="0.4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_xlfn.IFS(orders[[#This Row],[Customer Gender]]="M","Male", orders[[#This Row],[Customer Gender]]="F","Female", orders[[#This Row],[Customer Gender]]="O","Other", TRUE,"Unknown")</f>
        <v>Male</v>
      </c>
    </row>
    <row r="645" spans="1:15" x14ac:dyDescent="0.4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_xlfn.IFS(orders[[#This Row],[Customer Gender]]="M","Male", orders[[#This Row],[Customer Gender]]="F","Female", orders[[#This Row],[Customer Gender]]="O","Other", TRUE,"Unknown")</f>
        <v>Female</v>
      </c>
    </row>
    <row r="646" spans="1:15" x14ac:dyDescent="0.4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_xlfn.IFS(orders[[#This Row],[Customer Gender]]="M","Male", orders[[#This Row],[Customer Gender]]="F","Female", orders[[#This Row],[Customer Gender]]="O","Other", TRUE,"Unknown")</f>
        <v>Female</v>
      </c>
    </row>
    <row r="647" spans="1:15" x14ac:dyDescent="0.4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_xlfn.IFS(orders[[#This Row],[Customer Gender]]="M","Male", orders[[#This Row],[Customer Gender]]="F","Female", orders[[#This Row],[Customer Gender]]="O","Other", TRUE,"Unknown")</f>
        <v>Female</v>
      </c>
    </row>
    <row r="648" spans="1:15" x14ac:dyDescent="0.4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_xlfn.IFS(orders[[#This Row],[Customer Gender]]="M","Male", orders[[#This Row],[Customer Gender]]="F","Female", orders[[#This Row],[Customer Gender]]="O","Other", TRUE,"Unknown")</f>
        <v>Unknown</v>
      </c>
    </row>
    <row r="649" spans="1:15" x14ac:dyDescent="0.4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_xlfn.IFS(orders[[#This Row],[Customer Gender]]="M","Male", orders[[#This Row],[Customer Gender]]="F","Female", orders[[#This Row],[Customer Gender]]="O","Other", TRUE,"Unknown")</f>
        <v>Female</v>
      </c>
    </row>
    <row r="650" spans="1:15" x14ac:dyDescent="0.4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_xlfn.IFS(orders[[#This Row],[Customer Gender]]="M","Male", orders[[#This Row],[Customer Gender]]="F","Female", orders[[#This Row],[Customer Gender]]="O","Other", TRUE,"Unknown")</f>
        <v>Female</v>
      </c>
    </row>
    <row r="651" spans="1:15" x14ac:dyDescent="0.4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_xlfn.IFS(orders[[#This Row],[Customer Gender]]="M","Male", orders[[#This Row],[Customer Gender]]="F","Female", orders[[#This Row],[Customer Gender]]="O","Other", TRUE,"Unknown")</f>
        <v>Male</v>
      </c>
    </row>
    <row r="652" spans="1:15" x14ac:dyDescent="0.4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_xlfn.IFS(orders[[#This Row],[Customer Gender]]="M","Male", orders[[#This Row],[Customer Gender]]="F","Female", orders[[#This Row],[Customer Gender]]="O","Other", TRUE,"Unknown")</f>
        <v>Female</v>
      </c>
    </row>
    <row r="653" spans="1:15" x14ac:dyDescent="0.4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_xlfn.IFS(orders[[#This Row],[Customer Gender]]="M","Male", orders[[#This Row],[Customer Gender]]="F","Female", orders[[#This Row],[Customer Gender]]="O","Other", TRUE,"Unknown")</f>
        <v>Female</v>
      </c>
    </row>
    <row r="654" spans="1:15" x14ac:dyDescent="0.4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_xlfn.IFS(orders[[#This Row],[Customer Gender]]="M","Male", orders[[#This Row],[Customer Gender]]="F","Female", orders[[#This Row],[Customer Gender]]="O","Other", TRUE,"Unknown")</f>
        <v>Male</v>
      </c>
    </row>
    <row r="655" spans="1:15" x14ac:dyDescent="0.4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_xlfn.IFS(orders[[#This Row],[Customer Gender]]="M","Male", orders[[#This Row],[Customer Gender]]="F","Female", orders[[#This Row],[Customer Gender]]="O","Other", TRUE,"Unknown")</f>
        <v>Female</v>
      </c>
    </row>
    <row r="656" spans="1:15" x14ac:dyDescent="0.4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_xlfn.IFS(orders[[#This Row],[Customer Gender]]="M","Male", orders[[#This Row],[Customer Gender]]="F","Female", orders[[#This Row],[Customer Gender]]="O","Other", TRUE,"Unknown")</f>
        <v>Male</v>
      </c>
    </row>
    <row r="657" spans="1:15" x14ac:dyDescent="0.4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_xlfn.IFS(orders[[#This Row],[Customer Gender]]="M","Male", orders[[#This Row],[Customer Gender]]="F","Female", orders[[#This Row],[Customer Gender]]="O","Other", TRUE,"Unknown")</f>
        <v>Female</v>
      </c>
    </row>
    <row r="658" spans="1:15" x14ac:dyDescent="0.4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_xlfn.IFS(orders[[#This Row],[Customer Gender]]="M","Male", orders[[#This Row],[Customer Gender]]="F","Female", orders[[#This Row],[Customer Gender]]="O","Other", TRUE,"Unknown")</f>
        <v>Male</v>
      </c>
    </row>
    <row r="659" spans="1:15" x14ac:dyDescent="0.4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_xlfn.IFS(orders[[#This Row],[Customer Gender]]="M","Male", orders[[#This Row],[Customer Gender]]="F","Female", orders[[#This Row],[Customer Gender]]="O","Other", TRUE,"Unknown")</f>
        <v>Male</v>
      </c>
    </row>
    <row r="660" spans="1:15" x14ac:dyDescent="0.4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_xlfn.IFS(orders[[#This Row],[Customer Gender]]="M","Male", orders[[#This Row],[Customer Gender]]="F","Female", orders[[#This Row],[Customer Gender]]="O","Other", TRUE,"Unknown")</f>
        <v>Female</v>
      </c>
    </row>
    <row r="661" spans="1:15" x14ac:dyDescent="0.4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_xlfn.IFS(orders[[#This Row],[Customer Gender]]="M","Male", orders[[#This Row],[Customer Gender]]="F","Female", orders[[#This Row],[Customer Gender]]="O","Other", TRUE,"Unknown")</f>
        <v>Female</v>
      </c>
    </row>
    <row r="662" spans="1:15" x14ac:dyDescent="0.4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_xlfn.IFS(orders[[#This Row],[Customer Gender]]="M","Male", orders[[#This Row],[Customer Gender]]="F","Female", orders[[#This Row],[Customer Gender]]="O","Other", TRUE,"Unknown")</f>
        <v>Female</v>
      </c>
    </row>
    <row r="663" spans="1:15" x14ac:dyDescent="0.4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_xlfn.IFS(orders[[#This Row],[Customer Gender]]="M","Male", orders[[#This Row],[Customer Gender]]="F","Female", orders[[#This Row],[Customer Gender]]="O","Other", TRUE,"Unknown")</f>
        <v>Male</v>
      </c>
    </row>
    <row r="664" spans="1:15" x14ac:dyDescent="0.4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_xlfn.IFS(orders[[#This Row],[Customer Gender]]="M","Male", orders[[#This Row],[Customer Gender]]="F","Female", orders[[#This Row],[Customer Gender]]="O","Other", TRUE,"Unknown")</f>
        <v>Female</v>
      </c>
    </row>
    <row r="665" spans="1:15" x14ac:dyDescent="0.4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_xlfn.IFS(orders[[#This Row],[Customer Gender]]="M","Male", orders[[#This Row],[Customer Gender]]="F","Female", orders[[#This Row],[Customer Gender]]="O","Other", TRUE,"Unknown")</f>
        <v>Male</v>
      </c>
    </row>
    <row r="666" spans="1:15" x14ac:dyDescent="0.4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_xlfn.IFS(orders[[#This Row],[Customer Gender]]="M","Male", orders[[#This Row],[Customer Gender]]="F","Female", orders[[#This Row],[Customer Gender]]="O","Other", TRUE,"Unknown")</f>
        <v>Male</v>
      </c>
    </row>
    <row r="667" spans="1:15" x14ac:dyDescent="0.4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_xlfn.IFS(orders[[#This Row],[Customer Gender]]="M","Male", orders[[#This Row],[Customer Gender]]="F","Female", orders[[#This Row],[Customer Gender]]="O","Other", TRUE,"Unknown")</f>
        <v>Female</v>
      </c>
    </row>
    <row r="668" spans="1:15" x14ac:dyDescent="0.4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_xlfn.IFS(orders[[#This Row],[Customer Gender]]="M","Male", orders[[#This Row],[Customer Gender]]="F","Female", orders[[#This Row],[Customer Gender]]="O","Other", TRUE,"Unknown")</f>
        <v>Male</v>
      </c>
    </row>
    <row r="669" spans="1:15" x14ac:dyDescent="0.4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_xlfn.IFS(orders[[#This Row],[Customer Gender]]="M","Male", orders[[#This Row],[Customer Gender]]="F","Female", orders[[#This Row],[Customer Gender]]="O","Other", TRUE,"Unknown")</f>
        <v>Female</v>
      </c>
    </row>
    <row r="670" spans="1:15" x14ac:dyDescent="0.4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_xlfn.IFS(orders[[#This Row],[Customer Gender]]="M","Male", orders[[#This Row],[Customer Gender]]="F","Female", orders[[#This Row],[Customer Gender]]="O","Other", TRUE,"Unknown")</f>
        <v>Female</v>
      </c>
    </row>
    <row r="671" spans="1:15" x14ac:dyDescent="0.4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_xlfn.IFS(orders[[#This Row],[Customer Gender]]="M","Male", orders[[#This Row],[Customer Gender]]="F","Female", orders[[#This Row],[Customer Gender]]="O","Other", TRUE,"Unknown")</f>
        <v>Female</v>
      </c>
    </row>
    <row r="672" spans="1:15" x14ac:dyDescent="0.4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_xlfn.IFS(orders[[#This Row],[Customer Gender]]="M","Male", orders[[#This Row],[Customer Gender]]="F","Female", orders[[#This Row],[Customer Gender]]="O","Other", TRUE,"Unknown")</f>
        <v>Female</v>
      </c>
    </row>
    <row r="673" spans="1:15" x14ac:dyDescent="0.4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_xlfn.IFS(orders[[#This Row],[Customer Gender]]="M","Male", orders[[#This Row],[Customer Gender]]="F","Female", orders[[#This Row],[Customer Gender]]="O","Other", TRUE,"Unknown")</f>
        <v>Female</v>
      </c>
    </row>
    <row r="674" spans="1:15" x14ac:dyDescent="0.4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_xlfn.IFS(orders[[#This Row],[Customer Gender]]="M","Male", orders[[#This Row],[Customer Gender]]="F","Female", orders[[#This Row],[Customer Gender]]="O","Other", TRUE,"Unknown")</f>
        <v>Female</v>
      </c>
    </row>
    <row r="675" spans="1:15" x14ac:dyDescent="0.4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_xlfn.IFS(orders[[#This Row],[Customer Gender]]="M","Male", orders[[#This Row],[Customer Gender]]="F","Female", orders[[#This Row],[Customer Gender]]="O","Other", TRUE,"Unknown")</f>
        <v>Unknown</v>
      </c>
    </row>
    <row r="676" spans="1:15" x14ac:dyDescent="0.4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_xlfn.IFS(orders[[#This Row],[Customer Gender]]="M","Male", orders[[#This Row],[Customer Gender]]="F","Female", orders[[#This Row],[Customer Gender]]="O","Other", TRUE,"Unknown")</f>
        <v>Female</v>
      </c>
    </row>
    <row r="677" spans="1:15" x14ac:dyDescent="0.4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_xlfn.IFS(orders[[#This Row],[Customer Gender]]="M","Male", orders[[#This Row],[Customer Gender]]="F","Female", orders[[#This Row],[Customer Gender]]="O","Other", TRUE,"Unknown")</f>
        <v>Female</v>
      </c>
    </row>
    <row r="678" spans="1:15" x14ac:dyDescent="0.4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_xlfn.IFS(orders[[#This Row],[Customer Gender]]="M","Male", orders[[#This Row],[Customer Gender]]="F","Female", orders[[#This Row],[Customer Gender]]="O","Other", TRUE,"Unknown")</f>
        <v>Male</v>
      </c>
    </row>
    <row r="679" spans="1:15" x14ac:dyDescent="0.4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_xlfn.IFS(orders[[#This Row],[Customer Gender]]="M","Male", orders[[#This Row],[Customer Gender]]="F","Female", orders[[#This Row],[Customer Gender]]="O","Other", TRUE,"Unknown")</f>
        <v>Female</v>
      </c>
    </row>
    <row r="680" spans="1:15" x14ac:dyDescent="0.4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_xlfn.IFS(orders[[#This Row],[Customer Gender]]="M","Male", orders[[#This Row],[Customer Gender]]="F","Female", orders[[#This Row],[Customer Gender]]="O","Other", TRUE,"Unknown")</f>
        <v>Female</v>
      </c>
    </row>
    <row r="681" spans="1:15" x14ac:dyDescent="0.4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_xlfn.IFS(orders[[#This Row],[Customer Gender]]="M","Male", orders[[#This Row],[Customer Gender]]="F","Female", orders[[#This Row],[Customer Gender]]="O","Other", TRUE,"Unknown")</f>
        <v>Female</v>
      </c>
    </row>
    <row r="682" spans="1:15" x14ac:dyDescent="0.4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_xlfn.IFS(orders[[#This Row],[Customer Gender]]="M","Male", orders[[#This Row],[Customer Gender]]="F","Female", orders[[#This Row],[Customer Gender]]="O","Other", TRUE,"Unknown")</f>
        <v>Female</v>
      </c>
    </row>
    <row r="683" spans="1:15" x14ac:dyDescent="0.4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_xlfn.IFS(orders[[#This Row],[Customer Gender]]="M","Male", orders[[#This Row],[Customer Gender]]="F","Female", orders[[#This Row],[Customer Gender]]="O","Other", TRUE,"Unknown")</f>
        <v>Female</v>
      </c>
    </row>
    <row r="684" spans="1:15" x14ac:dyDescent="0.4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_xlfn.IFS(orders[[#This Row],[Customer Gender]]="M","Male", orders[[#This Row],[Customer Gender]]="F","Female", orders[[#This Row],[Customer Gender]]="O","Other", TRUE,"Unknown")</f>
        <v>Male</v>
      </c>
    </row>
    <row r="685" spans="1:15" x14ac:dyDescent="0.4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_xlfn.IFS(orders[[#This Row],[Customer Gender]]="M","Male", orders[[#This Row],[Customer Gender]]="F","Female", orders[[#This Row],[Customer Gender]]="O","Other", TRUE,"Unknown")</f>
        <v>Male</v>
      </c>
    </row>
    <row r="686" spans="1:15" x14ac:dyDescent="0.4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_xlfn.IFS(orders[[#This Row],[Customer Gender]]="M","Male", orders[[#This Row],[Customer Gender]]="F","Female", orders[[#This Row],[Customer Gender]]="O","Other", TRUE,"Unknown")</f>
        <v>Male</v>
      </c>
    </row>
    <row r="687" spans="1:15" x14ac:dyDescent="0.4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_xlfn.IFS(orders[[#This Row],[Customer Gender]]="M","Male", orders[[#This Row],[Customer Gender]]="F","Female", orders[[#This Row],[Customer Gender]]="O","Other", TRUE,"Unknown")</f>
        <v>Female</v>
      </c>
    </row>
    <row r="688" spans="1:15" x14ac:dyDescent="0.4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_xlfn.IFS(orders[[#This Row],[Customer Gender]]="M","Male", orders[[#This Row],[Customer Gender]]="F","Female", orders[[#This Row],[Customer Gender]]="O","Other", TRUE,"Unknown")</f>
        <v>Female</v>
      </c>
    </row>
    <row r="689" spans="1:15" x14ac:dyDescent="0.4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_xlfn.IFS(orders[[#This Row],[Customer Gender]]="M","Male", orders[[#This Row],[Customer Gender]]="F","Female", orders[[#This Row],[Customer Gender]]="O","Other", TRUE,"Unknown")</f>
        <v>Female</v>
      </c>
    </row>
    <row r="690" spans="1:15" x14ac:dyDescent="0.4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_xlfn.IFS(orders[[#This Row],[Customer Gender]]="M","Male", orders[[#This Row],[Customer Gender]]="F","Female", orders[[#This Row],[Customer Gender]]="O","Other", TRUE,"Unknown")</f>
        <v>Female</v>
      </c>
    </row>
    <row r="691" spans="1:15" x14ac:dyDescent="0.4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_xlfn.IFS(orders[[#This Row],[Customer Gender]]="M","Male", orders[[#This Row],[Customer Gender]]="F","Female", orders[[#This Row],[Customer Gender]]="O","Other", TRUE,"Unknown")</f>
        <v>Unknown</v>
      </c>
    </row>
    <row r="692" spans="1:15" x14ac:dyDescent="0.4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_xlfn.IFS(orders[[#This Row],[Customer Gender]]="M","Male", orders[[#This Row],[Customer Gender]]="F","Female", orders[[#This Row],[Customer Gender]]="O","Other", TRUE,"Unknown")</f>
        <v>Male</v>
      </c>
    </row>
    <row r="693" spans="1:15" x14ac:dyDescent="0.4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_xlfn.IFS(orders[[#This Row],[Customer Gender]]="M","Male", orders[[#This Row],[Customer Gender]]="F","Female", orders[[#This Row],[Customer Gender]]="O","Other", TRUE,"Unknown")</f>
        <v>Female</v>
      </c>
    </row>
    <row r="694" spans="1:15" x14ac:dyDescent="0.4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_xlfn.IFS(orders[[#This Row],[Customer Gender]]="M","Male", orders[[#This Row],[Customer Gender]]="F","Female", orders[[#This Row],[Customer Gender]]="O","Other", TRUE,"Unknown")</f>
        <v>Male</v>
      </c>
    </row>
    <row r="695" spans="1:15" x14ac:dyDescent="0.4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_xlfn.IFS(orders[[#This Row],[Customer Gender]]="M","Male", orders[[#This Row],[Customer Gender]]="F","Female", orders[[#This Row],[Customer Gender]]="O","Other", TRUE,"Unknown")</f>
        <v>Male</v>
      </c>
    </row>
    <row r="696" spans="1:15" x14ac:dyDescent="0.4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_xlfn.IFS(orders[[#This Row],[Customer Gender]]="M","Male", orders[[#This Row],[Customer Gender]]="F","Female", orders[[#This Row],[Customer Gender]]="O","Other", TRUE,"Unknown")</f>
        <v>Male</v>
      </c>
    </row>
    <row r="697" spans="1:15" x14ac:dyDescent="0.4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_xlfn.IFS(orders[[#This Row],[Customer Gender]]="M","Male", orders[[#This Row],[Customer Gender]]="F","Female", orders[[#This Row],[Customer Gender]]="O","Other", TRUE,"Unknown")</f>
        <v>Female</v>
      </c>
    </row>
    <row r="698" spans="1:15" x14ac:dyDescent="0.4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_xlfn.IFS(orders[[#This Row],[Customer Gender]]="M","Male", orders[[#This Row],[Customer Gender]]="F","Female", orders[[#This Row],[Customer Gender]]="O","Other", TRUE,"Unknown")</f>
        <v>Female</v>
      </c>
    </row>
    <row r="699" spans="1:15" x14ac:dyDescent="0.4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_xlfn.IFS(orders[[#This Row],[Customer Gender]]="M","Male", orders[[#This Row],[Customer Gender]]="F","Female", orders[[#This Row],[Customer Gender]]="O","Other", TRUE,"Unknown")</f>
        <v>Male</v>
      </c>
    </row>
    <row r="700" spans="1:15" x14ac:dyDescent="0.4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_xlfn.IFS(orders[[#This Row],[Customer Gender]]="M","Male", orders[[#This Row],[Customer Gender]]="F","Female", orders[[#This Row],[Customer Gender]]="O","Other", TRUE,"Unknown")</f>
        <v>Unknown</v>
      </c>
    </row>
    <row r="701" spans="1:15" x14ac:dyDescent="0.4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_xlfn.IFS(orders[[#This Row],[Customer Gender]]="M","Male", orders[[#This Row],[Customer Gender]]="F","Female", orders[[#This Row],[Customer Gender]]="O","Other", TRUE,"Unknown")</f>
        <v>Male</v>
      </c>
    </row>
    <row r="702" spans="1:15" x14ac:dyDescent="0.4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_xlfn.IFS(orders[[#This Row],[Customer Gender]]="M","Male", orders[[#This Row],[Customer Gender]]="F","Female", orders[[#This Row],[Customer Gender]]="O","Other", TRUE,"Unknown")</f>
        <v>Female</v>
      </c>
    </row>
    <row r="703" spans="1:15" x14ac:dyDescent="0.4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_xlfn.IFS(orders[[#This Row],[Customer Gender]]="M","Male", orders[[#This Row],[Customer Gender]]="F","Female", orders[[#This Row],[Customer Gender]]="O","Other", TRUE,"Unknown")</f>
        <v>Male</v>
      </c>
    </row>
    <row r="704" spans="1:15" x14ac:dyDescent="0.4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_xlfn.IFS(orders[[#This Row],[Customer Gender]]="M","Male", orders[[#This Row],[Customer Gender]]="F","Female", orders[[#This Row],[Customer Gender]]="O","Other", TRUE,"Unknown")</f>
        <v>Male</v>
      </c>
    </row>
    <row r="705" spans="1:15" x14ac:dyDescent="0.4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_xlfn.IFS(orders[[#This Row],[Customer Gender]]="M","Male", orders[[#This Row],[Customer Gender]]="F","Female", orders[[#This Row],[Customer Gender]]="O","Other", TRUE,"Unknown")</f>
        <v>Male</v>
      </c>
    </row>
    <row r="706" spans="1:15" x14ac:dyDescent="0.4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_xlfn.IFS(orders[[#This Row],[Customer Gender]]="M","Male", orders[[#This Row],[Customer Gender]]="F","Female", orders[[#This Row],[Customer Gender]]="O","Other", TRUE,"Unknown")</f>
        <v>Male</v>
      </c>
    </row>
    <row r="707" spans="1:15" x14ac:dyDescent="0.4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_xlfn.IFS(orders[[#This Row],[Customer Gender]]="M","Male", orders[[#This Row],[Customer Gender]]="F","Female", orders[[#This Row],[Customer Gender]]="O","Other", TRUE,"Unknown")</f>
        <v>Female</v>
      </c>
    </row>
    <row r="708" spans="1:15" x14ac:dyDescent="0.4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_xlfn.IFS(orders[[#This Row],[Customer Gender]]="M","Male", orders[[#This Row],[Customer Gender]]="F","Female", orders[[#This Row],[Customer Gender]]="O","Other", TRUE,"Unknown")</f>
        <v>Male</v>
      </c>
    </row>
    <row r="709" spans="1:15" x14ac:dyDescent="0.4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_xlfn.IFS(orders[[#This Row],[Customer Gender]]="M","Male", orders[[#This Row],[Customer Gender]]="F","Female", orders[[#This Row],[Customer Gender]]="O","Other", TRUE,"Unknown")</f>
        <v>Male</v>
      </c>
    </row>
    <row r="710" spans="1:15" x14ac:dyDescent="0.4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_xlfn.IFS(orders[[#This Row],[Customer Gender]]="M","Male", orders[[#This Row],[Customer Gender]]="F","Female", orders[[#This Row],[Customer Gender]]="O","Other", TRUE,"Unknown")</f>
        <v>Male</v>
      </c>
    </row>
    <row r="711" spans="1:15" x14ac:dyDescent="0.4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_xlfn.IFS(orders[[#This Row],[Customer Gender]]="M","Male", orders[[#This Row],[Customer Gender]]="F","Female", orders[[#This Row],[Customer Gender]]="O","Other", TRUE,"Unknown")</f>
        <v>Male</v>
      </c>
    </row>
    <row r="712" spans="1:15" x14ac:dyDescent="0.4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_xlfn.IFS(orders[[#This Row],[Customer Gender]]="M","Male", orders[[#This Row],[Customer Gender]]="F","Female", orders[[#This Row],[Customer Gender]]="O","Other", TRUE,"Unknown")</f>
        <v>Unknown</v>
      </c>
    </row>
    <row r="713" spans="1:15" x14ac:dyDescent="0.4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_xlfn.IFS(orders[[#This Row],[Customer Gender]]="M","Male", orders[[#This Row],[Customer Gender]]="F","Female", orders[[#This Row],[Customer Gender]]="O","Other", TRUE,"Unknown")</f>
        <v>Female</v>
      </c>
    </row>
    <row r="714" spans="1:15" x14ac:dyDescent="0.4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_xlfn.IFS(orders[[#This Row],[Customer Gender]]="M","Male", orders[[#This Row],[Customer Gender]]="F","Female", orders[[#This Row],[Customer Gender]]="O","Other", TRUE,"Unknown")</f>
        <v>Male</v>
      </c>
    </row>
    <row r="715" spans="1:15" x14ac:dyDescent="0.4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_xlfn.IFS(orders[[#This Row],[Customer Gender]]="M","Male", orders[[#This Row],[Customer Gender]]="F","Female", orders[[#This Row],[Customer Gender]]="O","Other", TRUE,"Unknown")</f>
        <v>Female</v>
      </c>
    </row>
    <row r="716" spans="1:15" x14ac:dyDescent="0.4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_xlfn.IFS(orders[[#This Row],[Customer Gender]]="M","Male", orders[[#This Row],[Customer Gender]]="F","Female", orders[[#This Row],[Customer Gender]]="O","Other", TRUE,"Unknown")</f>
        <v>Male</v>
      </c>
    </row>
    <row r="717" spans="1:15" x14ac:dyDescent="0.4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_xlfn.IFS(orders[[#This Row],[Customer Gender]]="M","Male", orders[[#This Row],[Customer Gender]]="F","Female", orders[[#This Row],[Customer Gender]]="O","Other", TRUE,"Unknown")</f>
        <v>Male</v>
      </c>
    </row>
    <row r="718" spans="1:15" x14ac:dyDescent="0.4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_xlfn.IFS(orders[[#This Row],[Customer Gender]]="M","Male", orders[[#This Row],[Customer Gender]]="F","Female", orders[[#This Row],[Customer Gender]]="O","Other", TRUE,"Unknown")</f>
        <v>Female</v>
      </c>
    </row>
    <row r="719" spans="1:15" x14ac:dyDescent="0.4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_xlfn.IFS(orders[[#This Row],[Customer Gender]]="M","Male", orders[[#This Row],[Customer Gender]]="F","Female", orders[[#This Row],[Customer Gender]]="O","Other", TRUE,"Unknown")</f>
        <v>Male</v>
      </c>
    </row>
    <row r="720" spans="1:15" x14ac:dyDescent="0.4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_xlfn.IFS(orders[[#This Row],[Customer Gender]]="M","Male", orders[[#This Row],[Customer Gender]]="F","Female", orders[[#This Row],[Customer Gender]]="O","Other", TRUE,"Unknown")</f>
        <v>Female</v>
      </c>
    </row>
    <row r="721" spans="1:15" x14ac:dyDescent="0.4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_xlfn.IFS(orders[[#This Row],[Customer Gender]]="M","Male", orders[[#This Row],[Customer Gender]]="F","Female", orders[[#This Row],[Customer Gender]]="O","Other", TRUE,"Unknown")</f>
        <v>Male</v>
      </c>
    </row>
    <row r="722" spans="1:15" x14ac:dyDescent="0.4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_xlfn.IFS(orders[[#This Row],[Customer Gender]]="M","Male", orders[[#This Row],[Customer Gender]]="F","Female", orders[[#This Row],[Customer Gender]]="O","Other", TRUE,"Unknown")</f>
        <v>Male</v>
      </c>
    </row>
    <row r="723" spans="1:15" x14ac:dyDescent="0.4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_xlfn.IFS(orders[[#This Row],[Customer Gender]]="M","Male", orders[[#This Row],[Customer Gender]]="F","Female", orders[[#This Row],[Customer Gender]]="O","Other", TRUE,"Unknown")</f>
        <v>Female</v>
      </c>
    </row>
    <row r="724" spans="1:15" x14ac:dyDescent="0.4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_xlfn.IFS(orders[[#This Row],[Customer Gender]]="M","Male", orders[[#This Row],[Customer Gender]]="F","Female", orders[[#This Row],[Customer Gender]]="O","Other", TRUE,"Unknown")</f>
        <v>Male</v>
      </c>
    </row>
    <row r="725" spans="1:15" x14ac:dyDescent="0.4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_xlfn.IFS(orders[[#This Row],[Customer Gender]]="M","Male", orders[[#This Row],[Customer Gender]]="F","Female", orders[[#This Row],[Customer Gender]]="O","Other", TRUE,"Unknown")</f>
        <v>Male</v>
      </c>
    </row>
    <row r="726" spans="1:15" x14ac:dyDescent="0.4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_xlfn.IFS(orders[[#This Row],[Customer Gender]]="M","Male", orders[[#This Row],[Customer Gender]]="F","Female", orders[[#This Row],[Customer Gender]]="O","Other", TRUE,"Unknown")</f>
        <v>Male</v>
      </c>
    </row>
    <row r="727" spans="1:15" x14ac:dyDescent="0.4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_xlfn.IFS(orders[[#This Row],[Customer Gender]]="M","Male", orders[[#This Row],[Customer Gender]]="F","Female", orders[[#This Row],[Customer Gender]]="O","Other", TRUE,"Unknown")</f>
        <v>Female</v>
      </c>
    </row>
    <row r="728" spans="1:15" x14ac:dyDescent="0.4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_xlfn.IFS(orders[[#This Row],[Customer Gender]]="M","Male", orders[[#This Row],[Customer Gender]]="F","Female", orders[[#This Row],[Customer Gender]]="O","Other", TRUE,"Unknown")</f>
        <v>Other</v>
      </c>
    </row>
    <row r="729" spans="1:15" x14ac:dyDescent="0.4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_xlfn.IFS(orders[[#This Row],[Customer Gender]]="M","Male", orders[[#This Row],[Customer Gender]]="F","Female", orders[[#This Row],[Customer Gender]]="O","Other", TRUE,"Unknown")</f>
        <v>Female</v>
      </c>
    </row>
    <row r="730" spans="1:15" x14ac:dyDescent="0.4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_xlfn.IFS(orders[[#This Row],[Customer Gender]]="M","Male", orders[[#This Row],[Customer Gender]]="F","Female", orders[[#This Row],[Customer Gender]]="O","Other", TRUE,"Unknown")</f>
        <v>Female</v>
      </c>
    </row>
    <row r="731" spans="1:15" x14ac:dyDescent="0.4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_xlfn.IFS(orders[[#This Row],[Customer Gender]]="M","Male", orders[[#This Row],[Customer Gender]]="F","Female", orders[[#This Row],[Customer Gender]]="O","Other", TRUE,"Unknown")</f>
        <v>Female</v>
      </c>
    </row>
    <row r="732" spans="1:15" x14ac:dyDescent="0.4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_xlfn.IFS(orders[[#This Row],[Customer Gender]]="M","Male", orders[[#This Row],[Customer Gender]]="F","Female", orders[[#This Row],[Customer Gender]]="O","Other", TRUE,"Unknown")</f>
        <v>Female</v>
      </c>
    </row>
    <row r="733" spans="1:15" x14ac:dyDescent="0.4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_xlfn.IFS(orders[[#This Row],[Customer Gender]]="M","Male", orders[[#This Row],[Customer Gender]]="F","Female", orders[[#This Row],[Customer Gender]]="O","Other", TRUE,"Unknown")</f>
        <v>Other</v>
      </c>
    </row>
    <row r="734" spans="1:15" x14ac:dyDescent="0.4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_xlfn.IFS(orders[[#This Row],[Customer Gender]]="M","Male", orders[[#This Row],[Customer Gender]]="F","Female", orders[[#This Row],[Customer Gender]]="O","Other", TRUE,"Unknown")</f>
        <v>Female</v>
      </c>
    </row>
    <row r="735" spans="1:15" x14ac:dyDescent="0.4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_xlfn.IFS(orders[[#This Row],[Customer Gender]]="M","Male", orders[[#This Row],[Customer Gender]]="F","Female", orders[[#This Row],[Customer Gender]]="O","Other", TRUE,"Unknown")</f>
        <v>Female</v>
      </c>
    </row>
    <row r="736" spans="1:15" x14ac:dyDescent="0.4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_xlfn.IFS(orders[[#This Row],[Customer Gender]]="M","Male", orders[[#This Row],[Customer Gender]]="F","Female", orders[[#This Row],[Customer Gender]]="O","Other", TRUE,"Unknown")</f>
        <v>Female</v>
      </c>
    </row>
    <row r="737" spans="1:15" x14ac:dyDescent="0.4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_xlfn.IFS(orders[[#This Row],[Customer Gender]]="M","Male", orders[[#This Row],[Customer Gender]]="F","Female", orders[[#This Row],[Customer Gender]]="O","Other", TRUE,"Unknown")</f>
        <v>Unknown</v>
      </c>
    </row>
    <row r="738" spans="1:15" x14ac:dyDescent="0.4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_xlfn.IFS(orders[[#This Row],[Customer Gender]]="M","Male", orders[[#This Row],[Customer Gender]]="F","Female", orders[[#This Row],[Customer Gender]]="O","Other", TRUE,"Unknown")</f>
        <v>Female</v>
      </c>
    </row>
    <row r="739" spans="1:15" x14ac:dyDescent="0.4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_xlfn.IFS(orders[[#This Row],[Customer Gender]]="M","Male", orders[[#This Row],[Customer Gender]]="F","Female", orders[[#This Row],[Customer Gender]]="O","Other", TRUE,"Unknown")</f>
        <v>Unknown</v>
      </c>
    </row>
    <row r="740" spans="1:15" x14ac:dyDescent="0.4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_xlfn.IFS(orders[[#This Row],[Customer Gender]]="M","Male", orders[[#This Row],[Customer Gender]]="F","Female", orders[[#This Row],[Customer Gender]]="O","Other", TRUE,"Unknown")</f>
        <v>Female</v>
      </c>
    </row>
    <row r="741" spans="1:15" x14ac:dyDescent="0.4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_xlfn.IFS(orders[[#This Row],[Customer Gender]]="M","Male", orders[[#This Row],[Customer Gender]]="F","Female", orders[[#This Row],[Customer Gender]]="O","Other", TRUE,"Unknown")</f>
        <v>Female</v>
      </c>
    </row>
    <row r="742" spans="1:15" x14ac:dyDescent="0.4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_xlfn.IFS(orders[[#This Row],[Customer Gender]]="M","Male", orders[[#This Row],[Customer Gender]]="F","Female", orders[[#This Row],[Customer Gender]]="O","Other", TRUE,"Unknown")</f>
        <v>Female</v>
      </c>
    </row>
    <row r="743" spans="1:15" x14ac:dyDescent="0.4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_xlfn.IFS(orders[[#This Row],[Customer Gender]]="M","Male", orders[[#This Row],[Customer Gender]]="F","Female", orders[[#This Row],[Customer Gender]]="O","Other", TRUE,"Unknown")</f>
        <v>Male</v>
      </c>
    </row>
    <row r="744" spans="1:15" x14ac:dyDescent="0.4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_xlfn.IFS(orders[[#This Row],[Customer Gender]]="M","Male", orders[[#This Row],[Customer Gender]]="F","Female", orders[[#This Row],[Customer Gender]]="O","Other", TRUE,"Unknown")</f>
        <v>Female</v>
      </c>
    </row>
    <row r="745" spans="1:15" x14ac:dyDescent="0.4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_xlfn.IFS(orders[[#This Row],[Customer Gender]]="M","Male", orders[[#This Row],[Customer Gender]]="F","Female", orders[[#This Row],[Customer Gender]]="O","Other", TRUE,"Unknown")</f>
        <v>Unknown</v>
      </c>
    </row>
    <row r="746" spans="1:15" x14ac:dyDescent="0.4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_xlfn.IFS(orders[[#This Row],[Customer Gender]]="M","Male", orders[[#This Row],[Customer Gender]]="F","Female", orders[[#This Row],[Customer Gender]]="O","Other", TRUE,"Unknown")</f>
        <v>Female</v>
      </c>
    </row>
    <row r="747" spans="1:15" x14ac:dyDescent="0.4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_xlfn.IFS(orders[[#This Row],[Customer Gender]]="M","Male", orders[[#This Row],[Customer Gender]]="F","Female", orders[[#This Row],[Customer Gender]]="O","Other", TRUE,"Unknown")</f>
        <v>Female</v>
      </c>
    </row>
    <row r="748" spans="1:15" x14ac:dyDescent="0.4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_xlfn.IFS(orders[[#This Row],[Customer Gender]]="M","Male", orders[[#This Row],[Customer Gender]]="F","Female", orders[[#This Row],[Customer Gender]]="O","Other", TRUE,"Unknown")</f>
        <v>Male</v>
      </c>
    </row>
    <row r="749" spans="1:15" x14ac:dyDescent="0.4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_xlfn.IFS(orders[[#This Row],[Customer Gender]]="M","Male", orders[[#This Row],[Customer Gender]]="F","Female", orders[[#This Row],[Customer Gender]]="O","Other", TRUE,"Unknown")</f>
        <v>Female</v>
      </c>
    </row>
    <row r="750" spans="1:15" x14ac:dyDescent="0.4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_xlfn.IFS(orders[[#This Row],[Customer Gender]]="M","Male", orders[[#This Row],[Customer Gender]]="F","Female", orders[[#This Row],[Customer Gender]]="O","Other", TRUE,"Unknown")</f>
        <v>Male</v>
      </c>
    </row>
    <row r="751" spans="1:15" x14ac:dyDescent="0.4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_xlfn.IFS(orders[[#This Row],[Customer Gender]]="M","Male", orders[[#This Row],[Customer Gender]]="F","Female", orders[[#This Row],[Customer Gender]]="O","Other", TRUE,"Unknown")</f>
        <v>Unknown</v>
      </c>
    </row>
    <row r="752" spans="1:15" x14ac:dyDescent="0.4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_xlfn.IFS(orders[[#This Row],[Customer Gender]]="M","Male", orders[[#This Row],[Customer Gender]]="F","Female", orders[[#This Row],[Customer Gender]]="O","Other", TRUE,"Unknown")</f>
        <v>Male</v>
      </c>
    </row>
    <row r="753" spans="1:15" x14ac:dyDescent="0.4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_xlfn.IFS(orders[[#This Row],[Customer Gender]]="M","Male", orders[[#This Row],[Customer Gender]]="F","Female", orders[[#This Row],[Customer Gender]]="O","Other", TRUE,"Unknown")</f>
        <v>Female</v>
      </c>
    </row>
    <row r="754" spans="1:15" x14ac:dyDescent="0.4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_xlfn.IFS(orders[[#This Row],[Customer Gender]]="M","Male", orders[[#This Row],[Customer Gender]]="F","Female", orders[[#This Row],[Customer Gender]]="O","Other", TRUE,"Unknown")</f>
        <v>Male</v>
      </c>
    </row>
    <row r="755" spans="1:15" x14ac:dyDescent="0.4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_xlfn.IFS(orders[[#This Row],[Customer Gender]]="M","Male", orders[[#This Row],[Customer Gender]]="F","Female", orders[[#This Row],[Customer Gender]]="O","Other", TRUE,"Unknown")</f>
        <v>Male</v>
      </c>
    </row>
    <row r="756" spans="1:15" x14ac:dyDescent="0.4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_xlfn.IFS(orders[[#This Row],[Customer Gender]]="M","Male", orders[[#This Row],[Customer Gender]]="F","Female", orders[[#This Row],[Customer Gender]]="O","Other", TRUE,"Unknown")</f>
        <v>Female</v>
      </c>
    </row>
    <row r="757" spans="1:15" x14ac:dyDescent="0.4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_xlfn.IFS(orders[[#This Row],[Customer Gender]]="M","Male", orders[[#This Row],[Customer Gender]]="F","Female", orders[[#This Row],[Customer Gender]]="O","Other", TRUE,"Unknown")</f>
        <v>Male</v>
      </c>
    </row>
    <row r="758" spans="1:15" x14ac:dyDescent="0.4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_xlfn.IFS(orders[[#This Row],[Customer Gender]]="M","Male", orders[[#This Row],[Customer Gender]]="F","Female", orders[[#This Row],[Customer Gender]]="O","Other", TRUE,"Unknown")</f>
        <v>Female</v>
      </c>
    </row>
    <row r="759" spans="1:15" x14ac:dyDescent="0.4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_xlfn.IFS(orders[[#This Row],[Customer Gender]]="M","Male", orders[[#This Row],[Customer Gender]]="F","Female", orders[[#This Row],[Customer Gender]]="O","Other", TRUE,"Unknown")</f>
        <v>Female</v>
      </c>
    </row>
    <row r="760" spans="1:15" x14ac:dyDescent="0.4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_xlfn.IFS(orders[[#This Row],[Customer Gender]]="M","Male", orders[[#This Row],[Customer Gender]]="F","Female", orders[[#This Row],[Customer Gender]]="O","Other", TRUE,"Unknown")</f>
        <v>Female</v>
      </c>
    </row>
    <row r="761" spans="1:15" x14ac:dyDescent="0.4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_xlfn.IFS(orders[[#This Row],[Customer Gender]]="M","Male", orders[[#This Row],[Customer Gender]]="F","Female", orders[[#This Row],[Customer Gender]]="O","Other", TRUE,"Unknown")</f>
        <v>Male</v>
      </c>
    </row>
    <row r="762" spans="1:15" x14ac:dyDescent="0.4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_xlfn.IFS(orders[[#This Row],[Customer Gender]]="M","Male", orders[[#This Row],[Customer Gender]]="F","Female", orders[[#This Row],[Customer Gender]]="O","Other", TRUE,"Unknown")</f>
        <v>Female</v>
      </c>
    </row>
    <row r="763" spans="1:15" x14ac:dyDescent="0.4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_xlfn.IFS(orders[[#This Row],[Customer Gender]]="M","Male", orders[[#This Row],[Customer Gender]]="F","Female", orders[[#This Row],[Customer Gender]]="O","Other", TRUE,"Unknown")</f>
        <v>Male</v>
      </c>
    </row>
    <row r="764" spans="1:15" x14ac:dyDescent="0.4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_xlfn.IFS(orders[[#This Row],[Customer Gender]]="M","Male", orders[[#This Row],[Customer Gender]]="F","Female", orders[[#This Row],[Customer Gender]]="O","Other", TRUE,"Unknown")</f>
        <v>Male</v>
      </c>
    </row>
    <row r="765" spans="1:15" x14ac:dyDescent="0.4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_xlfn.IFS(orders[[#This Row],[Customer Gender]]="M","Male", orders[[#This Row],[Customer Gender]]="F","Female", orders[[#This Row],[Customer Gender]]="O","Other", TRUE,"Unknown")</f>
        <v>Female</v>
      </c>
    </row>
    <row r="766" spans="1:15" x14ac:dyDescent="0.4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_xlfn.IFS(orders[[#This Row],[Customer Gender]]="M","Male", orders[[#This Row],[Customer Gender]]="F","Female", orders[[#This Row],[Customer Gender]]="O","Other", TRUE,"Unknown")</f>
        <v>Female</v>
      </c>
    </row>
    <row r="767" spans="1:15" x14ac:dyDescent="0.4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_xlfn.IFS(orders[[#This Row],[Customer Gender]]="M","Male", orders[[#This Row],[Customer Gender]]="F","Female", orders[[#This Row],[Customer Gender]]="O","Other", TRUE,"Unknown")</f>
        <v>Male</v>
      </c>
    </row>
    <row r="768" spans="1:15" x14ac:dyDescent="0.4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_xlfn.IFS(orders[[#This Row],[Customer Gender]]="M","Male", orders[[#This Row],[Customer Gender]]="F","Female", orders[[#This Row],[Customer Gender]]="O","Other", TRUE,"Unknown")</f>
        <v>Male</v>
      </c>
    </row>
    <row r="769" spans="1:15" x14ac:dyDescent="0.4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_xlfn.IFS(orders[[#This Row],[Customer Gender]]="M","Male", orders[[#This Row],[Customer Gender]]="F","Female", orders[[#This Row],[Customer Gender]]="O","Other", TRUE,"Unknown")</f>
        <v>Male</v>
      </c>
    </row>
    <row r="770" spans="1:15" x14ac:dyDescent="0.4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_xlfn.IFS(orders[[#This Row],[Customer Gender]]="M","Male", orders[[#This Row],[Customer Gender]]="F","Female", orders[[#This Row],[Customer Gender]]="O","Other", TRUE,"Unknown")</f>
        <v>Female</v>
      </c>
    </row>
    <row r="771" spans="1:15" x14ac:dyDescent="0.4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_xlfn.IFS(orders[[#This Row],[Customer Gender]]="M","Male", orders[[#This Row],[Customer Gender]]="F","Female", orders[[#This Row],[Customer Gender]]="O","Other", TRUE,"Unknown")</f>
        <v>Female</v>
      </c>
    </row>
    <row r="772" spans="1:15" x14ac:dyDescent="0.4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_xlfn.IFS(orders[[#This Row],[Customer Gender]]="M","Male", orders[[#This Row],[Customer Gender]]="F","Female", orders[[#This Row],[Customer Gender]]="O","Other", TRUE,"Unknown")</f>
        <v>Female</v>
      </c>
    </row>
    <row r="773" spans="1:15" x14ac:dyDescent="0.4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_xlfn.IFS(orders[[#This Row],[Customer Gender]]="M","Male", orders[[#This Row],[Customer Gender]]="F","Female", orders[[#This Row],[Customer Gender]]="O","Other", TRUE,"Unknown")</f>
        <v>Male</v>
      </c>
    </row>
    <row r="774" spans="1:15" x14ac:dyDescent="0.4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_xlfn.IFS(orders[[#This Row],[Customer Gender]]="M","Male", orders[[#This Row],[Customer Gender]]="F","Female", orders[[#This Row],[Customer Gender]]="O","Other", TRUE,"Unknown")</f>
        <v>Male</v>
      </c>
    </row>
    <row r="775" spans="1:15" x14ac:dyDescent="0.4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_xlfn.IFS(orders[[#This Row],[Customer Gender]]="M","Male", orders[[#This Row],[Customer Gender]]="F","Female", orders[[#This Row],[Customer Gender]]="O","Other", TRUE,"Unknown")</f>
        <v>Female</v>
      </c>
    </row>
    <row r="776" spans="1:15" x14ac:dyDescent="0.4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_xlfn.IFS(orders[[#This Row],[Customer Gender]]="M","Male", orders[[#This Row],[Customer Gender]]="F","Female", orders[[#This Row],[Customer Gender]]="O","Other", TRUE,"Unknown")</f>
        <v>Male</v>
      </c>
    </row>
    <row r="777" spans="1:15" x14ac:dyDescent="0.4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_xlfn.IFS(orders[[#This Row],[Customer Gender]]="M","Male", orders[[#This Row],[Customer Gender]]="F","Female", orders[[#This Row],[Customer Gender]]="O","Other", TRUE,"Unknown")</f>
        <v>Female</v>
      </c>
    </row>
    <row r="778" spans="1:15" x14ac:dyDescent="0.4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_xlfn.IFS(orders[[#This Row],[Customer Gender]]="M","Male", orders[[#This Row],[Customer Gender]]="F","Female", orders[[#This Row],[Customer Gender]]="O","Other", TRUE,"Unknown")</f>
        <v>Unknown</v>
      </c>
    </row>
    <row r="779" spans="1:15" x14ac:dyDescent="0.4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_xlfn.IFS(orders[[#This Row],[Customer Gender]]="M","Male", orders[[#This Row],[Customer Gender]]="F","Female", orders[[#This Row],[Customer Gender]]="O","Other", TRUE,"Unknown")</f>
        <v>Female</v>
      </c>
    </row>
    <row r="780" spans="1:15" x14ac:dyDescent="0.4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_xlfn.IFS(orders[[#This Row],[Customer Gender]]="M","Male", orders[[#This Row],[Customer Gender]]="F","Female", orders[[#This Row],[Customer Gender]]="O","Other", TRUE,"Unknown")</f>
        <v>Other</v>
      </c>
    </row>
    <row r="781" spans="1:15" x14ac:dyDescent="0.4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_xlfn.IFS(orders[[#This Row],[Customer Gender]]="M","Male", orders[[#This Row],[Customer Gender]]="F","Female", orders[[#This Row],[Customer Gender]]="O","Other", TRUE,"Unknown")</f>
        <v>Female</v>
      </c>
    </row>
    <row r="782" spans="1:15" x14ac:dyDescent="0.4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_xlfn.IFS(orders[[#This Row],[Customer Gender]]="M","Male", orders[[#This Row],[Customer Gender]]="F","Female", orders[[#This Row],[Customer Gender]]="O","Other", TRUE,"Unknown")</f>
        <v>Female</v>
      </c>
    </row>
    <row r="783" spans="1:15" x14ac:dyDescent="0.4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_xlfn.IFS(orders[[#This Row],[Customer Gender]]="M","Male", orders[[#This Row],[Customer Gender]]="F","Female", orders[[#This Row],[Customer Gender]]="O","Other", TRUE,"Unknown")</f>
        <v>Female</v>
      </c>
    </row>
    <row r="784" spans="1:15" x14ac:dyDescent="0.4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_xlfn.IFS(orders[[#This Row],[Customer Gender]]="M","Male", orders[[#This Row],[Customer Gender]]="F","Female", orders[[#This Row],[Customer Gender]]="O","Other", TRUE,"Unknown")</f>
        <v>Male</v>
      </c>
    </row>
    <row r="785" spans="1:15" x14ac:dyDescent="0.4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_xlfn.IFS(orders[[#This Row],[Customer Gender]]="M","Male", orders[[#This Row],[Customer Gender]]="F","Female", orders[[#This Row],[Customer Gender]]="O","Other", TRUE,"Unknown")</f>
        <v>Female</v>
      </c>
    </row>
    <row r="786" spans="1:15" x14ac:dyDescent="0.4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_xlfn.IFS(orders[[#This Row],[Customer Gender]]="M","Male", orders[[#This Row],[Customer Gender]]="F","Female", orders[[#This Row],[Customer Gender]]="O","Other", TRUE,"Unknown")</f>
        <v>Female</v>
      </c>
    </row>
    <row r="787" spans="1:15" x14ac:dyDescent="0.4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_xlfn.IFS(orders[[#This Row],[Customer Gender]]="M","Male", orders[[#This Row],[Customer Gender]]="F","Female", orders[[#This Row],[Customer Gender]]="O","Other", TRUE,"Unknown")</f>
        <v>Female</v>
      </c>
    </row>
    <row r="788" spans="1:15" x14ac:dyDescent="0.4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_xlfn.IFS(orders[[#This Row],[Customer Gender]]="M","Male", orders[[#This Row],[Customer Gender]]="F","Female", orders[[#This Row],[Customer Gender]]="O","Other", TRUE,"Unknown")</f>
        <v>Female</v>
      </c>
    </row>
    <row r="789" spans="1:15" x14ac:dyDescent="0.4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_xlfn.IFS(orders[[#This Row],[Customer Gender]]="M","Male", orders[[#This Row],[Customer Gender]]="F","Female", orders[[#This Row],[Customer Gender]]="O","Other", TRUE,"Unknown")</f>
        <v>Female</v>
      </c>
    </row>
    <row r="790" spans="1:15" x14ac:dyDescent="0.4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_xlfn.IFS(orders[[#This Row],[Customer Gender]]="M","Male", orders[[#This Row],[Customer Gender]]="F","Female", orders[[#This Row],[Customer Gender]]="O","Other", TRUE,"Unknown")</f>
        <v>Male</v>
      </c>
    </row>
    <row r="791" spans="1:15" x14ac:dyDescent="0.4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_xlfn.IFS(orders[[#This Row],[Customer Gender]]="M","Male", orders[[#This Row],[Customer Gender]]="F","Female", orders[[#This Row],[Customer Gender]]="O","Other", TRUE,"Unknown")</f>
        <v>Female</v>
      </c>
    </row>
    <row r="792" spans="1:15" x14ac:dyDescent="0.4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_xlfn.IFS(orders[[#This Row],[Customer Gender]]="M","Male", orders[[#This Row],[Customer Gender]]="F","Female", orders[[#This Row],[Customer Gender]]="O","Other", TRUE,"Unknown")</f>
        <v>Male</v>
      </c>
    </row>
    <row r="793" spans="1:15" x14ac:dyDescent="0.4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_xlfn.IFS(orders[[#This Row],[Customer Gender]]="M","Male", orders[[#This Row],[Customer Gender]]="F","Female", orders[[#This Row],[Customer Gender]]="O","Other", TRUE,"Unknown")</f>
        <v>Male</v>
      </c>
    </row>
    <row r="794" spans="1:15" x14ac:dyDescent="0.4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_xlfn.IFS(orders[[#This Row],[Customer Gender]]="M","Male", orders[[#This Row],[Customer Gender]]="F","Female", orders[[#This Row],[Customer Gender]]="O","Other", TRUE,"Unknown")</f>
        <v>Male</v>
      </c>
    </row>
    <row r="795" spans="1:15" x14ac:dyDescent="0.4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_xlfn.IFS(orders[[#This Row],[Customer Gender]]="M","Male", orders[[#This Row],[Customer Gender]]="F","Female", orders[[#This Row],[Customer Gender]]="O","Other", TRUE,"Unknown")</f>
        <v>Female</v>
      </c>
    </row>
    <row r="796" spans="1:15" x14ac:dyDescent="0.4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_xlfn.IFS(orders[[#This Row],[Customer Gender]]="M","Male", orders[[#This Row],[Customer Gender]]="F","Female", orders[[#This Row],[Customer Gender]]="O","Other", TRUE,"Unknown")</f>
        <v>Male</v>
      </c>
    </row>
    <row r="797" spans="1:15" x14ac:dyDescent="0.4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_xlfn.IFS(orders[[#This Row],[Customer Gender]]="M","Male", orders[[#This Row],[Customer Gender]]="F","Female", orders[[#This Row],[Customer Gender]]="O","Other", TRUE,"Unknown")</f>
        <v>Female</v>
      </c>
    </row>
    <row r="798" spans="1:15" x14ac:dyDescent="0.4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_xlfn.IFS(orders[[#This Row],[Customer Gender]]="M","Male", orders[[#This Row],[Customer Gender]]="F","Female", orders[[#This Row],[Customer Gender]]="O","Other", TRUE,"Unknown")</f>
        <v>Male</v>
      </c>
    </row>
    <row r="799" spans="1:15" x14ac:dyDescent="0.4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_xlfn.IFS(orders[[#This Row],[Customer Gender]]="M","Male", orders[[#This Row],[Customer Gender]]="F","Female", orders[[#This Row],[Customer Gender]]="O","Other", TRUE,"Unknown")</f>
        <v>Female</v>
      </c>
    </row>
    <row r="800" spans="1:15" x14ac:dyDescent="0.4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_xlfn.IFS(orders[[#This Row],[Customer Gender]]="M","Male", orders[[#This Row],[Customer Gender]]="F","Female", orders[[#This Row],[Customer Gender]]="O","Other", TRUE,"Unknown")</f>
        <v>Female</v>
      </c>
    </row>
    <row r="801" spans="1:15" x14ac:dyDescent="0.4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_xlfn.IFS(orders[[#This Row],[Customer Gender]]="M","Male", orders[[#This Row],[Customer Gender]]="F","Female", orders[[#This Row],[Customer Gender]]="O","Other", TRUE,"Unknown")</f>
        <v>Female</v>
      </c>
    </row>
    <row r="802" spans="1:15" x14ac:dyDescent="0.4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_xlfn.IFS(orders[[#This Row],[Customer Gender]]="M","Male", orders[[#This Row],[Customer Gender]]="F","Female", orders[[#This Row],[Customer Gender]]="O","Other", TRUE,"Unknown")</f>
        <v>Male</v>
      </c>
    </row>
    <row r="803" spans="1:15" x14ac:dyDescent="0.4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_xlfn.IFS(orders[[#This Row],[Customer Gender]]="M","Male", orders[[#This Row],[Customer Gender]]="F","Female", orders[[#This Row],[Customer Gender]]="O","Other", TRUE,"Unknown")</f>
        <v>Male</v>
      </c>
    </row>
    <row r="804" spans="1:15" x14ac:dyDescent="0.4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_xlfn.IFS(orders[[#This Row],[Customer Gender]]="M","Male", orders[[#This Row],[Customer Gender]]="F","Female", orders[[#This Row],[Customer Gender]]="O","Other", TRUE,"Unknown")</f>
        <v>Female</v>
      </c>
    </row>
    <row r="805" spans="1:15" x14ac:dyDescent="0.4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_xlfn.IFS(orders[[#This Row],[Customer Gender]]="M","Male", orders[[#This Row],[Customer Gender]]="F","Female", orders[[#This Row],[Customer Gender]]="O","Other", TRUE,"Unknown")</f>
        <v>Male</v>
      </c>
    </row>
    <row r="806" spans="1:15" x14ac:dyDescent="0.4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_xlfn.IFS(orders[[#This Row],[Customer Gender]]="M","Male", orders[[#This Row],[Customer Gender]]="F","Female", orders[[#This Row],[Customer Gender]]="O","Other", TRUE,"Unknown")</f>
        <v>Female</v>
      </c>
    </row>
    <row r="807" spans="1:15" x14ac:dyDescent="0.4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_xlfn.IFS(orders[[#This Row],[Customer Gender]]="M","Male", orders[[#This Row],[Customer Gender]]="F","Female", orders[[#This Row],[Customer Gender]]="O","Other", TRUE,"Unknown")</f>
        <v>Female</v>
      </c>
    </row>
    <row r="808" spans="1:15" x14ac:dyDescent="0.4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_xlfn.IFS(orders[[#This Row],[Customer Gender]]="M","Male", orders[[#This Row],[Customer Gender]]="F","Female", orders[[#This Row],[Customer Gender]]="O","Other", TRUE,"Unknown")</f>
        <v>Female</v>
      </c>
    </row>
    <row r="809" spans="1:15" x14ac:dyDescent="0.4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_xlfn.IFS(orders[[#This Row],[Customer Gender]]="M","Male", orders[[#This Row],[Customer Gender]]="F","Female", orders[[#This Row],[Customer Gender]]="O","Other", TRUE,"Unknown")</f>
        <v>Male</v>
      </c>
    </row>
    <row r="810" spans="1:15" x14ac:dyDescent="0.4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_xlfn.IFS(orders[[#This Row],[Customer Gender]]="M","Male", orders[[#This Row],[Customer Gender]]="F","Female", orders[[#This Row],[Customer Gender]]="O","Other", TRUE,"Unknown")</f>
        <v>Female</v>
      </c>
    </row>
    <row r="811" spans="1:15" x14ac:dyDescent="0.4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_xlfn.IFS(orders[[#This Row],[Customer Gender]]="M","Male", orders[[#This Row],[Customer Gender]]="F","Female", orders[[#This Row],[Customer Gender]]="O","Other", TRUE,"Unknown")</f>
        <v>Unknown</v>
      </c>
    </row>
    <row r="812" spans="1:15" x14ac:dyDescent="0.4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_xlfn.IFS(orders[[#This Row],[Customer Gender]]="M","Male", orders[[#This Row],[Customer Gender]]="F","Female", orders[[#This Row],[Customer Gender]]="O","Other", TRUE,"Unknown")</f>
        <v>Female</v>
      </c>
    </row>
    <row r="813" spans="1:15" x14ac:dyDescent="0.4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_xlfn.IFS(orders[[#This Row],[Customer Gender]]="M","Male", orders[[#This Row],[Customer Gender]]="F","Female", orders[[#This Row],[Customer Gender]]="O","Other", TRUE,"Unknown")</f>
        <v>Female</v>
      </c>
    </row>
    <row r="814" spans="1:15" x14ac:dyDescent="0.4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_xlfn.IFS(orders[[#This Row],[Customer Gender]]="M","Male", orders[[#This Row],[Customer Gender]]="F","Female", orders[[#This Row],[Customer Gender]]="O","Other", TRUE,"Unknown")</f>
        <v>Female</v>
      </c>
    </row>
    <row r="815" spans="1:15" x14ac:dyDescent="0.4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_xlfn.IFS(orders[[#This Row],[Customer Gender]]="M","Male", orders[[#This Row],[Customer Gender]]="F","Female", orders[[#This Row],[Customer Gender]]="O","Other", TRUE,"Unknown")</f>
        <v>Female</v>
      </c>
    </row>
    <row r="816" spans="1:15" x14ac:dyDescent="0.4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_xlfn.IFS(orders[[#This Row],[Customer Gender]]="M","Male", orders[[#This Row],[Customer Gender]]="F","Female", orders[[#This Row],[Customer Gender]]="O","Other", TRUE,"Unknown")</f>
        <v>Male</v>
      </c>
    </row>
    <row r="817" spans="1:15" x14ac:dyDescent="0.4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_xlfn.IFS(orders[[#This Row],[Customer Gender]]="M","Male", orders[[#This Row],[Customer Gender]]="F","Female", orders[[#This Row],[Customer Gender]]="O","Other", TRUE,"Unknown")</f>
        <v>Female</v>
      </c>
    </row>
    <row r="818" spans="1:15" x14ac:dyDescent="0.4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_xlfn.IFS(orders[[#This Row],[Customer Gender]]="M","Male", orders[[#This Row],[Customer Gender]]="F","Female", orders[[#This Row],[Customer Gender]]="O","Other", TRUE,"Unknown")</f>
        <v>Female</v>
      </c>
    </row>
    <row r="819" spans="1:15" x14ac:dyDescent="0.4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_xlfn.IFS(orders[[#This Row],[Customer Gender]]="M","Male", orders[[#This Row],[Customer Gender]]="F","Female", orders[[#This Row],[Customer Gender]]="O","Other", TRUE,"Unknown")</f>
        <v>Female</v>
      </c>
    </row>
    <row r="820" spans="1:15" x14ac:dyDescent="0.4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_xlfn.IFS(orders[[#This Row],[Customer Gender]]="M","Male", orders[[#This Row],[Customer Gender]]="F","Female", orders[[#This Row],[Customer Gender]]="O","Other", TRUE,"Unknown")</f>
        <v>Other</v>
      </c>
    </row>
    <row r="821" spans="1:15" x14ac:dyDescent="0.4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_xlfn.IFS(orders[[#This Row],[Customer Gender]]="M","Male", orders[[#This Row],[Customer Gender]]="F","Female", orders[[#This Row],[Customer Gender]]="O","Other", TRUE,"Unknown")</f>
        <v>Female</v>
      </c>
    </row>
    <row r="822" spans="1:15" x14ac:dyDescent="0.4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_xlfn.IFS(orders[[#This Row],[Customer Gender]]="M","Male", orders[[#This Row],[Customer Gender]]="F","Female", orders[[#This Row],[Customer Gender]]="O","Other", TRUE,"Unknown")</f>
        <v>Female</v>
      </c>
    </row>
    <row r="823" spans="1:15" x14ac:dyDescent="0.4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_xlfn.IFS(orders[[#This Row],[Customer Gender]]="M","Male", orders[[#This Row],[Customer Gender]]="F","Female", orders[[#This Row],[Customer Gender]]="O","Other", TRUE,"Unknown")</f>
        <v>Female</v>
      </c>
    </row>
    <row r="824" spans="1:15" x14ac:dyDescent="0.4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_xlfn.IFS(orders[[#This Row],[Customer Gender]]="M","Male", orders[[#This Row],[Customer Gender]]="F","Female", orders[[#This Row],[Customer Gender]]="O","Other", TRUE,"Unknown")</f>
        <v>Female</v>
      </c>
    </row>
    <row r="825" spans="1:15" x14ac:dyDescent="0.4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_xlfn.IFS(orders[[#This Row],[Customer Gender]]="M","Male", orders[[#This Row],[Customer Gender]]="F","Female", orders[[#This Row],[Customer Gender]]="O","Other", TRUE,"Unknown")</f>
        <v>Female</v>
      </c>
    </row>
    <row r="826" spans="1:15" x14ac:dyDescent="0.4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_xlfn.IFS(orders[[#This Row],[Customer Gender]]="M","Male", orders[[#This Row],[Customer Gender]]="F","Female", orders[[#This Row],[Customer Gender]]="O","Other", TRUE,"Unknown")</f>
        <v>Male</v>
      </c>
    </row>
    <row r="827" spans="1:15" x14ac:dyDescent="0.4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_xlfn.IFS(orders[[#This Row],[Customer Gender]]="M","Male", orders[[#This Row],[Customer Gender]]="F","Female", orders[[#This Row],[Customer Gender]]="O","Other", TRUE,"Unknown")</f>
        <v>Male</v>
      </c>
    </row>
    <row r="828" spans="1:15" x14ac:dyDescent="0.4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_xlfn.IFS(orders[[#This Row],[Customer Gender]]="M","Male", orders[[#This Row],[Customer Gender]]="F","Female", orders[[#This Row],[Customer Gender]]="O","Other", TRUE,"Unknown")</f>
        <v>Unknown</v>
      </c>
    </row>
    <row r="829" spans="1:15" x14ac:dyDescent="0.4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_xlfn.IFS(orders[[#This Row],[Customer Gender]]="M","Male", orders[[#This Row],[Customer Gender]]="F","Female", orders[[#This Row],[Customer Gender]]="O","Other", TRUE,"Unknown")</f>
        <v>Male</v>
      </c>
    </row>
    <row r="830" spans="1:15" x14ac:dyDescent="0.4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_xlfn.IFS(orders[[#This Row],[Customer Gender]]="M","Male", orders[[#This Row],[Customer Gender]]="F","Female", orders[[#This Row],[Customer Gender]]="O","Other", TRUE,"Unknown")</f>
        <v>Female</v>
      </c>
    </row>
    <row r="831" spans="1:15" x14ac:dyDescent="0.4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_xlfn.IFS(orders[[#This Row],[Customer Gender]]="M","Male", orders[[#This Row],[Customer Gender]]="F","Female", orders[[#This Row],[Customer Gender]]="O","Other", TRUE,"Unknown")</f>
        <v>Male</v>
      </c>
    </row>
    <row r="832" spans="1:15" x14ac:dyDescent="0.4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_xlfn.IFS(orders[[#This Row],[Customer Gender]]="M","Male", orders[[#This Row],[Customer Gender]]="F","Female", orders[[#This Row],[Customer Gender]]="O","Other", TRUE,"Unknown")</f>
        <v>Female</v>
      </c>
    </row>
    <row r="833" spans="1:15" x14ac:dyDescent="0.4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_xlfn.IFS(orders[[#This Row],[Customer Gender]]="M","Male", orders[[#This Row],[Customer Gender]]="F","Female", orders[[#This Row],[Customer Gender]]="O","Other", TRUE,"Unknown")</f>
        <v>Unknown</v>
      </c>
    </row>
    <row r="834" spans="1:15" x14ac:dyDescent="0.4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_xlfn.IFS(orders[[#This Row],[Customer Gender]]="M","Male", orders[[#This Row],[Customer Gender]]="F","Female", orders[[#This Row],[Customer Gender]]="O","Other", TRUE,"Unknown")</f>
        <v>Female</v>
      </c>
    </row>
    <row r="835" spans="1:15" x14ac:dyDescent="0.4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_xlfn.IFS(orders[[#This Row],[Customer Gender]]="M","Male", orders[[#This Row],[Customer Gender]]="F","Female", orders[[#This Row],[Customer Gender]]="O","Other", TRUE,"Unknown")</f>
        <v>Female</v>
      </c>
    </row>
    <row r="836" spans="1:15" x14ac:dyDescent="0.4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_xlfn.IFS(orders[[#This Row],[Customer Gender]]="M","Male", orders[[#This Row],[Customer Gender]]="F","Female", orders[[#This Row],[Customer Gender]]="O","Other", TRUE,"Unknown")</f>
        <v>Male</v>
      </c>
    </row>
    <row r="837" spans="1:15" x14ac:dyDescent="0.4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_xlfn.IFS(orders[[#This Row],[Customer Gender]]="M","Male", orders[[#This Row],[Customer Gender]]="F","Female", orders[[#This Row],[Customer Gender]]="O","Other", TRUE,"Unknown")</f>
        <v>Male</v>
      </c>
    </row>
    <row r="838" spans="1:15" x14ac:dyDescent="0.4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_xlfn.IFS(orders[[#This Row],[Customer Gender]]="M","Male", orders[[#This Row],[Customer Gender]]="F","Female", orders[[#This Row],[Customer Gender]]="O","Other", TRUE,"Unknown")</f>
        <v>Unknown</v>
      </c>
    </row>
    <row r="839" spans="1:15" x14ac:dyDescent="0.4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_xlfn.IFS(orders[[#This Row],[Customer Gender]]="M","Male", orders[[#This Row],[Customer Gender]]="F","Female", orders[[#This Row],[Customer Gender]]="O","Other", TRUE,"Unknown")</f>
        <v>Female</v>
      </c>
    </row>
    <row r="840" spans="1:15" x14ac:dyDescent="0.4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_xlfn.IFS(orders[[#This Row],[Customer Gender]]="M","Male", orders[[#This Row],[Customer Gender]]="F","Female", orders[[#This Row],[Customer Gender]]="O","Other", TRUE,"Unknown")</f>
        <v>Female</v>
      </c>
    </row>
    <row r="841" spans="1:15" x14ac:dyDescent="0.4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_xlfn.IFS(orders[[#This Row],[Customer Gender]]="M","Male", orders[[#This Row],[Customer Gender]]="F","Female", orders[[#This Row],[Customer Gender]]="O","Other", TRUE,"Unknown")</f>
        <v>Female</v>
      </c>
    </row>
    <row r="842" spans="1:15" x14ac:dyDescent="0.4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_xlfn.IFS(orders[[#This Row],[Customer Gender]]="M","Male", orders[[#This Row],[Customer Gender]]="F","Female", orders[[#This Row],[Customer Gender]]="O","Other", TRUE,"Unknown")</f>
        <v>Female</v>
      </c>
    </row>
    <row r="843" spans="1:15" x14ac:dyDescent="0.4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_xlfn.IFS(orders[[#This Row],[Customer Gender]]="M","Male", orders[[#This Row],[Customer Gender]]="F","Female", orders[[#This Row],[Customer Gender]]="O","Other", TRUE,"Unknown")</f>
        <v>Female</v>
      </c>
    </row>
    <row r="844" spans="1:15" x14ac:dyDescent="0.4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_xlfn.IFS(orders[[#This Row],[Customer Gender]]="M","Male", orders[[#This Row],[Customer Gender]]="F","Female", orders[[#This Row],[Customer Gender]]="O","Other", TRUE,"Unknown")</f>
        <v>Female</v>
      </c>
    </row>
    <row r="845" spans="1:15" x14ac:dyDescent="0.4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_xlfn.IFS(orders[[#This Row],[Customer Gender]]="M","Male", orders[[#This Row],[Customer Gender]]="F","Female", orders[[#This Row],[Customer Gender]]="O","Other", TRUE,"Unknown")</f>
        <v>Female</v>
      </c>
    </row>
    <row r="846" spans="1:15" x14ac:dyDescent="0.4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_xlfn.IFS(orders[[#This Row],[Customer Gender]]="M","Male", orders[[#This Row],[Customer Gender]]="F","Female", orders[[#This Row],[Customer Gender]]="O","Other", TRUE,"Unknown")</f>
        <v>Female</v>
      </c>
    </row>
    <row r="847" spans="1:15" x14ac:dyDescent="0.4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_xlfn.IFS(orders[[#This Row],[Customer Gender]]="M","Male", orders[[#This Row],[Customer Gender]]="F","Female", orders[[#This Row],[Customer Gender]]="O","Other", TRUE,"Unknown")</f>
        <v>Female</v>
      </c>
    </row>
    <row r="848" spans="1:15" x14ac:dyDescent="0.4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_xlfn.IFS(orders[[#This Row],[Customer Gender]]="M","Male", orders[[#This Row],[Customer Gender]]="F","Female", orders[[#This Row],[Customer Gender]]="O","Other", TRUE,"Unknown")</f>
        <v>Male</v>
      </c>
    </row>
    <row r="849" spans="1:15" x14ac:dyDescent="0.4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_xlfn.IFS(orders[[#This Row],[Customer Gender]]="M","Male", orders[[#This Row],[Customer Gender]]="F","Female", orders[[#This Row],[Customer Gender]]="O","Other", TRUE,"Unknown")</f>
        <v>Female</v>
      </c>
    </row>
    <row r="850" spans="1:15" x14ac:dyDescent="0.4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_xlfn.IFS(orders[[#This Row],[Customer Gender]]="M","Male", orders[[#This Row],[Customer Gender]]="F","Female", orders[[#This Row],[Customer Gender]]="O","Other", TRUE,"Unknown")</f>
        <v>Male</v>
      </c>
    </row>
    <row r="851" spans="1:15" x14ac:dyDescent="0.4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_xlfn.IFS(orders[[#This Row],[Customer Gender]]="M","Male", orders[[#This Row],[Customer Gender]]="F","Female", orders[[#This Row],[Customer Gender]]="O","Other", TRUE,"Unknown")</f>
        <v>Female</v>
      </c>
    </row>
    <row r="852" spans="1:15" x14ac:dyDescent="0.4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_xlfn.IFS(orders[[#This Row],[Customer Gender]]="M","Male", orders[[#This Row],[Customer Gender]]="F","Female", orders[[#This Row],[Customer Gender]]="O","Other", TRUE,"Unknown")</f>
        <v>Male</v>
      </c>
    </row>
    <row r="853" spans="1:15" x14ac:dyDescent="0.4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_xlfn.IFS(orders[[#This Row],[Customer Gender]]="M","Male", orders[[#This Row],[Customer Gender]]="F","Female", orders[[#This Row],[Customer Gender]]="O","Other", TRUE,"Unknown")</f>
        <v>Female</v>
      </c>
    </row>
    <row r="854" spans="1:15" x14ac:dyDescent="0.4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_xlfn.IFS(orders[[#This Row],[Customer Gender]]="M","Male", orders[[#This Row],[Customer Gender]]="F","Female", orders[[#This Row],[Customer Gender]]="O","Other", TRUE,"Unknown")</f>
        <v>Male</v>
      </c>
    </row>
    <row r="855" spans="1:15" x14ac:dyDescent="0.4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_xlfn.IFS(orders[[#This Row],[Customer Gender]]="M","Male", orders[[#This Row],[Customer Gender]]="F","Female", orders[[#This Row],[Customer Gender]]="O","Other", TRUE,"Unknown")</f>
        <v>Female</v>
      </c>
    </row>
    <row r="856" spans="1:15" x14ac:dyDescent="0.4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_xlfn.IFS(orders[[#This Row],[Customer Gender]]="M","Male", orders[[#This Row],[Customer Gender]]="F","Female", orders[[#This Row],[Customer Gender]]="O","Other", TRUE,"Unknown")</f>
        <v>Male</v>
      </c>
    </row>
    <row r="857" spans="1:15" x14ac:dyDescent="0.4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_xlfn.IFS(orders[[#This Row],[Customer Gender]]="M","Male", orders[[#This Row],[Customer Gender]]="F","Female", orders[[#This Row],[Customer Gender]]="O","Other", TRUE,"Unknown")</f>
        <v>Unknown</v>
      </c>
    </row>
    <row r="858" spans="1:15" x14ac:dyDescent="0.4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_xlfn.IFS(orders[[#This Row],[Customer Gender]]="M","Male", orders[[#This Row],[Customer Gender]]="F","Female", orders[[#This Row],[Customer Gender]]="O","Other", TRUE,"Unknown")</f>
        <v>Female</v>
      </c>
    </row>
    <row r="859" spans="1:15" x14ac:dyDescent="0.4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_xlfn.IFS(orders[[#This Row],[Customer Gender]]="M","Male", orders[[#This Row],[Customer Gender]]="F","Female", orders[[#This Row],[Customer Gender]]="O","Other", TRUE,"Unknown")</f>
        <v>Female</v>
      </c>
    </row>
    <row r="860" spans="1:15" x14ac:dyDescent="0.4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_xlfn.IFS(orders[[#This Row],[Customer Gender]]="M","Male", orders[[#This Row],[Customer Gender]]="F","Female", orders[[#This Row],[Customer Gender]]="O","Other", TRUE,"Unknown")</f>
        <v>Male</v>
      </c>
    </row>
    <row r="861" spans="1:15" x14ac:dyDescent="0.4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_xlfn.IFS(orders[[#This Row],[Customer Gender]]="M","Male", orders[[#This Row],[Customer Gender]]="F","Female", orders[[#This Row],[Customer Gender]]="O","Other", TRUE,"Unknown")</f>
        <v>Female</v>
      </c>
    </row>
    <row r="862" spans="1:15" x14ac:dyDescent="0.4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_xlfn.IFS(orders[[#This Row],[Customer Gender]]="M","Male", orders[[#This Row],[Customer Gender]]="F","Female", orders[[#This Row],[Customer Gender]]="O","Other", TRUE,"Unknown")</f>
        <v>Unknown</v>
      </c>
    </row>
    <row r="863" spans="1:15" x14ac:dyDescent="0.4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_xlfn.IFS(orders[[#This Row],[Customer Gender]]="M","Male", orders[[#This Row],[Customer Gender]]="F","Female", orders[[#This Row],[Customer Gender]]="O","Other", TRUE,"Unknown")</f>
        <v>Male</v>
      </c>
    </row>
    <row r="864" spans="1:15" x14ac:dyDescent="0.4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_xlfn.IFS(orders[[#This Row],[Customer Gender]]="M","Male", orders[[#This Row],[Customer Gender]]="F","Female", orders[[#This Row],[Customer Gender]]="O","Other", TRUE,"Unknown")</f>
        <v>Male</v>
      </c>
    </row>
    <row r="865" spans="1:15" x14ac:dyDescent="0.4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_xlfn.IFS(orders[[#This Row],[Customer Gender]]="M","Male", orders[[#This Row],[Customer Gender]]="F","Female", orders[[#This Row],[Customer Gender]]="O","Other", TRUE,"Unknown")</f>
        <v>Female</v>
      </c>
    </row>
    <row r="866" spans="1:15" x14ac:dyDescent="0.4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_xlfn.IFS(orders[[#This Row],[Customer Gender]]="M","Male", orders[[#This Row],[Customer Gender]]="F","Female", orders[[#This Row],[Customer Gender]]="O","Other", TRUE,"Unknown")</f>
        <v>Female</v>
      </c>
    </row>
    <row r="867" spans="1:15" x14ac:dyDescent="0.4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_xlfn.IFS(orders[[#This Row],[Customer Gender]]="M","Male", orders[[#This Row],[Customer Gender]]="F","Female", orders[[#This Row],[Customer Gender]]="O","Other", TRUE,"Unknown")</f>
        <v>Female</v>
      </c>
    </row>
    <row r="868" spans="1:15" x14ac:dyDescent="0.4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_xlfn.IFS(orders[[#This Row],[Customer Gender]]="M","Male", orders[[#This Row],[Customer Gender]]="F","Female", orders[[#This Row],[Customer Gender]]="O","Other", TRUE,"Unknown")</f>
        <v>Male</v>
      </c>
    </row>
    <row r="869" spans="1:15" x14ac:dyDescent="0.4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_xlfn.IFS(orders[[#This Row],[Customer Gender]]="M","Male", orders[[#This Row],[Customer Gender]]="F","Female", orders[[#This Row],[Customer Gender]]="O","Other", TRUE,"Unknown")</f>
        <v>Female</v>
      </c>
    </row>
    <row r="870" spans="1:15" x14ac:dyDescent="0.4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_xlfn.IFS(orders[[#This Row],[Customer Gender]]="M","Male", orders[[#This Row],[Customer Gender]]="F","Female", orders[[#This Row],[Customer Gender]]="O","Other", TRUE,"Unknown")</f>
        <v>Male</v>
      </c>
    </row>
    <row r="871" spans="1:15" x14ac:dyDescent="0.4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_xlfn.IFS(orders[[#This Row],[Customer Gender]]="M","Male", orders[[#This Row],[Customer Gender]]="F","Female", orders[[#This Row],[Customer Gender]]="O","Other", TRUE,"Unknown")</f>
        <v>Female</v>
      </c>
    </row>
    <row r="872" spans="1:15" x14ac:dyDescent="0.4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_xlfn.IFS(orders[[#This Row],[Customer Gender]]="M","Male", orders[[#This Row],[Customer Gender]]="F","Female", orders[[#This Row],[Customer Gender]]="O","Other", TRUE,"Unknown")</f>
        <v>Male</v>
      </c>
    </row>
    <row r="873" spans="1:15" x14ac:dyDescent="0.4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_xlfn.IFS(orders[[#This Row],[Customer Gender]]="M","Male", orders[[#This Row],[Customer Gender]]="F","Female", orders[[#This Row],[Customer Gender]]="O","Other", TRUE,"Unknown")</f>
        <v>Female</v>
      </c>
    </row>
    <row r="874" spans="1:15" x14ac:dyDescent="0.4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_xlfn.IFS(orders[[#This Row],[Customer Gender]]="M","Male", orders[[#This Row],[Customer Gender]]="F","Female", orders[[#This Row],[Customer Gender]]="O","Other", TRUE,"Unknown")</f>
        <v>Female</v>
      </c>
    </row>
    <row r="875" spans="1:15" x14ac:dyDescent="0.4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_xlfn.IFS(orders[[#This Row],[Customer Gender]]="M","Male", orders[[#This Row],[Customer Gender]]="F","Female", orders[[#This Row],[Customer Gender]]="O","Other", TRUE,"Unknown")</f>
        <v>Female</v>
      </c>
    </row>
    <row r="876" spans="1:15" x14ac:dyDescent="0.4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_xlfn.IFS(orders[[#This Row],[Customer Gender]]="M","Male", orders[[#This Row],[Customer Gender]]="F","Female", orders[[#This Row],[Customer Gender]]="O","Other", TRUE,"Unknown")</f>
        <v>Female</v>
      </c>
    </row>
    <row r="877" spans="1:15" x14ac:dyDescent="0.4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_xlfn.IFS(orders[[#This Row],[Customer Gender]]="M","Male", orders[[#This Row],[Customer Gender]]="F","Female", orders[[#This Row],[Customer Gender]]="O","Other", TRUE,"Unknown")</f>
        <v>Female</v>
      </c>
    </row>
    <row r="878" spans="1:15" x14ac:dyDescent="0.4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_xlfn.IFS(orders[[#This Row],[Customer Gender]]="M","Male", orders[[#This Row],[Customer Gender]]="F","Female", orders[[#This Row],[Customer Gender]]="O","Other", TRUE,"Unknown")</f>
        <v>Male</v>
      </c>
    </row>
    <row r="879" spans="1:15" x14ac:dyDescent="0.4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_xlfn.IFS(orders[[#This Row],[Customer Gender]]="M","Male", orders[[#This Row],[Customer Gender]]="F","Female", orders[[#This Row],[Customer Gender]]="O","Other", TRUE,"Unknown")</f>
        <v>Female</v>
      </c>
    </row>
    <row r="880" spans="1:15" x14ac:dyDescent="0.4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_xlfn.IFS(orders[[#This Row],[Customer Gender]]="M","Male", orders[[#This Row],[Customer Gender]]="F","Female", orders[[#This Row],[Customer Gender]]="O","Other", TRUE,"Unknown")</f>
        <v>Male</v>
      </c>
    </row>
    <row r="881" spans="1:15" x14ac:dyDescent="0.4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_xlfn.IFS(orders[[#This Row],[Customer Gender]]="M","Male", orders[[#This Row],[Customer Gender]]="F","Female", orders[[#This Row],[Customer Gender]]="O","Other", TRUE,"Unknown")</f>
        <v>Female</v>
      </c>
    </row>
    <row r="882" spans="1:15" x14ac:dyDescent="0.4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_xlfn.IFS(orders[[#This Row],[Customer Gender]]="M","Male", orders[[#This Row],[Customer Gender]]="F","Female", orders[[#This Row],[Customer Gender]]="O","Other", TRUE,"Unknown")</f>
        <v>Female</v>
      </c>
    </row>
    <row r="883" spans="1:15" x14ac:dyDescent="0.4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_xlfn.IFS(orders[[#This Row],[Customer Gender]]="M","Male", orders[[#This Row],[Customer Gender]]="F","Female", orders[[#This Row],[Customer Gender]]="O","Other", TRUE,"Unknown")</f>
        <v>Female</v>
      </c>
    </row>
    <row r="884" spans="1:15" x14ac:dyDescent="0.4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_xlfn.IFS(orders[[#This Row],[Customer Gender]]="M","Male", orders[[#This Row],[Customer Gender]]="F","Female", orders[[#This Row],[Customer Gender]]="O","Other", TRUE,"Unknown")</f>
        <v>Female</v>
      </c>
    </row>
    <row r="885" spans="1:15" x14ac:dyDescent="0.4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_xlfn.IFS(orders[[#This Row],[Customer Gender]]="M","Male", orders[[#This Row],[Customer Gender]]="F","Female", orders[[#This Row],[Customer Gender]]="O","Other", TRUE,"Unknown")</f>
        <v>Male</v>
      </c>
    </row>
    <row r="886" spans="1:15" x14ac:dyDescent="0.4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_xlfn.IFS(orders[[#This Row],[Customer Gender]]="M","Male", orders[[#This Row],[Customer Gender]]="F","Female", orders[[#This Row],[Customer Gender]]="O","Other", TRUE,"Unknown")</f>
        <v>Female</v>
      </c>
    </row>
    <row r="887" spans="1:15" x14ac:dyDescent="0.4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_xlfn.IFS(orders[[#This Row],[Customer Gender]]="M","Male", orders[[#This Row],[Customer Gender]]="F","Female", orders[[#This Row],[Customer Gender]]="O","Other", TRUE,"Unknown")</f>
        <v>Male</v>
      </c>
    </row>
    <row r="888" spans="1:15" x14ac:dyDescent="0.4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_xlfn.IFS(orders[[#This Row],[Customer Gender]]="M","Male", orders[[#This Row],[Customer Gender]]="F","Female", orders[[#This Row],[Customer Gender]]="O","Other", TRUE,"Unknown")</f>
        <v>Male</v>
      </c>
    </row>
    <row r="889" spans="1:15" x14ac:dyDescent="0.4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_xlfn.IFS(orders[[#This Row],[Customer Gender]]="M","Male", orders[[#This Row],[Customer Gender]]="F","Female", orders[[#This Row],[Customer Gender]]="O","Other", TRUE,"Unknown")</f>
        <v>Female</v>
      </c>
    </row>
    <row r="890" spans="1:15" x14ac:dyDescent="0.4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_xlfn.IFS(orders[[#This Row],[Customer Gender]]="M","Male", orders[[#This Row],[Customer Gender]]="F","Female", orders[[#This Row],[Customer Gender]]="O","Other", TRUE,"Unknown")</f>
        <v>Female</v>
      </c>
    </row>
    <row r="891" spans="1:15" x14ac:dyDescent="0.4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_xlfn.IFS(orders[[#This Row],[Customer Gender]]="M","Male", orders[[#This Row],[Customer Gender]]="F","Female", orders[[#This Row],[Customer Gender]]="O","Other", TRUE,"Unknown")</f>
        <v>Female</v>
      </c>
    </row>
    <row r="892" spans="1:15" x14ac:dyDescent="0.4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_xlfn.IFS(orders[[#This Row],[Customer Gender]]="M","Male", orders[[#This Row],[Customer Gender]]="F","Female", orders[[#This Row],[Customer Gender]]="O","Other", TRUE,"Unknown")</f>
        <v>Female</v>
      </c>
    </row>
    <row r="893" spans="1:15" x14ac:dyDescent="0.4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_xlfn.IFS(orders[[#This Row],[Customer Gender]]="M","Male", orders[[#This Row],[Customer Gender]]="F","Female", orders[[#This Row],[Customer Gender]]="O","Other", TRUE,"Unknown")</f>
        <v>Male</v>
      </c>
    </row>
    <row r="894" spans="1:15" x14ac:dyDescent="0.4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_xlfn.IFS(orders[[#This Row],[Customer Gender]]="M","Male", orders[[#This Row],[Customer Gender]]="F","Female", orders[[#This Row],[Customer Gender]]="O","Other", TRUE,"Unknown")</f>
        <v>Male</v>
      </c>
    </row>
    <row r="895" spans="1:15" x14ac:dyDescent="0.4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_xlfn.IFS(orders[[#This Row],[Customer Gender]]="M","Male", orders[[#This Row],[Customer Gender]]="F","Female", orders[[#This Row],[Customer Gender]]="O","Other", TRUE,"Unknown")</f>
        <v>Female</v>
      </c>
    </row>
    <row r="896" spans="1:15" x14ac:dyDescent="0.4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_xlfn.IFS(orders[[#This Row],[Customer Gender]]="M","Male", orders[[#This Row],[Customer Gender]]="F","Female", orders[[#This Row],[Customer Gender]]="O","Other", TRUE,"Unknown")</f>
        <v>Female</v>
      </c>
    </row>
    <row r="897" spans="1:15" x14ac:dyDescent="0.4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_xlfn.IFS(orders[[#This Row],[Customer Gender]]="M","Male", orders[[#This Row],[Customer Gender]]="F","Female", orders[[#This Row],[Customer Gender]]="O","Other", TRUE,"Unknown")</f>
        <v>Female</v>
      </c>
    </row>
    <row r="898" spans="1:15" x14ac:dyDescent="0.4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_xlfn.IFS(orders[[#This Row],[Customer Gender]]="M","Male", orders[[#This Row],[Customer Gender]]="F","Female", orders[[#This Row],[Customer Gender]]="O","Other", TRUE,"Unknown")</f>
        <v>Female</v>
      </c>
    </row>
    <row r="899" spans="1:15" x14ac:dyDescent="0.4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_xlfn.IFS(orders[[#This Row],[Customer Gender]]="M","Male", orders[[#This Row],[Customer Gender]]="F","Female", orders[[#This Row],[Customer Gender]]="O","Other", TRUE,"Unknown")</f>
        <v>Female</v>
      </c>
    </row>
    <row r="900" spans="1:15" x14ac:dyDescent="0.4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_xlfn.IFS(orders[[#This Row],[Customer Gender]]="M","Male", orders[[#This Row],[Customer Gender]]="F","Female", orders[[#This Row],[Customer Gender]]="O","Other", TRUE,"Unknown")</f>
        <v>Female</v>
      </c>
    </row>
    <row r="901" spans="1:15" x14ac:dyDescent="0.4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_xlfn.IFS(orders[[#This Row],[Customer Gender]]="M","Male", orders[[#This Row],[Customer Gender]]="F","Female", orders[[#This Row],[Customer Gender]]="O","Other", TRUE,"Unknown")</f>
        <v>Unknown</v>
      </c>
    </row>
    <row r="902" spans="1:15" x14ac:dyDescent="0.4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_xlfn.IFS(orders[[#This Row],[Customer Gender]]="M","Male", orders[[#This Row],[Customer Gender]]="F","Female", orders[[#This Row],[Customer Gender]]="O","Other", TRUE,"Unknown")</f>
        <v>Female</v>
      </c>
    </row>
    <row r="903" spans="1:15" x14ac:dyDescent="0.4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_xlfn.IFS(orders[[#This Row],[Customer Gender]]="M","Male", orders[[#This Row],[Customer Gender]]="F","Female", orders[[#This Row],[Customer Gender]]="O","Other", TRUE,"Unknown")</f>
        <v>Female</v>
      </c>
    </row>
    <row r="904" spans="1:15" x14ac:dyDescent="0.4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_xlfn.IFS(orders[[#This Row],[Customer Gender]]="M","Male", orders[[#This Row],[Customer Gender]]="F","Female", orders[[#This Row],[Customer Gender]]="O","Other", TRUE,"Unknown")</f>
        <v>Male</v>
      </c>
    </row>
    <row r="905" spans="1:15" x14ac:dyDescent="0.4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_xlfn.IFS(orders[[#This Row],[Customer Gender]]="M","Male", orders[[#This Row],[Customer Gender]]="F","Female", orders[[#This Row],[Customer Gender]]="O","Other", TRUE,"Unknown")</f>
        <v>Female</v>
      </c>
    </row>
    <row r="906" spans="1:15" x14ac:dyDescent="0.4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_xlfn.IFS(orders[[#This Row],[Customer Gender]]="M","Male", orders[[#This Row],[Customer Gender]]="F","Female", orders[[#This Row],[Customer Gender]]="O","Other", TRUE,"Unknown")</f>
        <v>Other</v>
      </c>
    </row>
    <row r="907" spans="1:15" x14ac:dyDescent="0.4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_xlfn.IFS(orders[[#This Row],[Customer Gender]]="M","Male", orders[[#This Row],[Customer Gender]]="F","Female", orders[[#This Row],[Customer Gender]]="O","Other", TRUE,"Unknown")</f>
        <v>Unknown</v>
      </c>
    </row>
    <row r="908" spans="1:15" x14ac:dyDescent="0.4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_xlfn.IFS(orders[[#This Row],[Customer Gender]]="M","Male", orders[[#This Row],[Customer Gender]]="F","Female", orders[[#This Row],[Customer Gender]]="O","Other", TRUE,"Unknown")</f>
        <v>Female</v>
      </c>
    </row>
    <row r="909" spans="1:15" x14ac:dyDescent="0.4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_xlfn.IFS(orders[[#This Row],[Customer Gender]]="M","Male", orders[[#This Row],[Customer Gender]]="F","Female", orders[[#This Row],[Customer Gender]]="O","Other", TRUE,"Unknown")</f>
        <v>Male</v>
      </c>
    </row>
    <row r="910" spans="1:15" x14ac:dyDescent="0.4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_xlfn.IFS(orders[[#This Row],[Customer Gender]]="M","Male", orders[[#This Row],[Customer Gender]]="F","Female", orders[[#This Row],[Customer Gender]]="O","Other", TRUE,"Unknown")</f>
        <v>Male</v>
      </c>
    </row>
    <row r="911" spans="1:15" x14ac:dyDescent="0.4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_xlfn.IFS(orders[[#This Row],[Customer Gender]]="M","Male", orders[[#This Row],[Customer Gender]]="F","Female", orders[[#This Row],[Customer Gender]]="O","Other", TRUE,"Unknown")</f>
        <v>Unknown</v>
      </c>
    </row>
    <row r="912" spans="1:15" x14ac:dyDescent="0.4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_xlfn.IFS(orders[[#This Row],[Customer Gender]]="M","Male", orders[[#This Row],[Customer Gender]]="F","Female", orders[[#This Row],[Customer Gender]]="O","Other", TRUE,"Unknown")</f>
        <v>Male</v>
      </c>
    </row>
    <row r="913" spans="1:15" x14ac:dyDescent="0.4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_xlfn.IFS(orders[[#This Row],[Customer Gender]]="M","Male", orders[[#This Row],[Customer Gender]]="F","Female", orders[[#This Row],[Customer Gender]]="O","Other", TRUE,"Unknown")</f>
        <v>Male</v>
      </c>
    </row>
    <row r="914" spans="1:15" x14ac:dyDescent="0.4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_xlfn.IFS(orders[[#This Row],[Customer Gender]]="M","Male", orders[[#This Row],[Customer Gender]]="F","Female", orders[[#This Row],[Customer Gender]]="O","Other", TRUE,"Unknown")</f>
        <v>Male</v>
      </c>
    </row>
    <row r="915" spans="1:15" x14ac:dyDescent="0.4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_xlfn.IFS(orders[[#This Row],[Customer Gender]]="M","Male", orders[[#This Row],[Customer Gender]]="F","Female", orders[[#This Row],[Customer Gender]]="O","Other", TRUE,"Unknown")</f>
        <v>Unknown</v>
      </c>
    </row>
    <row r="916" spans="1:15" x14ac:dyDescent="0.4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_xlfn.IFS(orders[[#This Row],[Customer Gender]]="M","Male", orders[[#This Row],[Customer Gender]]="F","Female", orders[[#This Row],[Customer Gender]]="O","Other", TRUE,"Unknown")</f>
        <v>Female</v>
      </c>
    </row>
    <row r="917" spans="1:15" x14ac:dyDescent="0.4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_xlfn.IFS(orders[[#This Row],[Customer Gender]]="M","Male", orders[[#This Row],[Customer Gender]]="F","Female", orders[[#This Row],[Customer Gender]]="O","Other", TRUE,"Unknown")</f>
        <v>Female</v>
      </c>
    </row>
    <row r="918" spans="1:15" x14ac:dyDescent="0.4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_xlfn.IFS(orders[[#This Row],[Customer Gender]]="M","Male", orders[[#This Row],[Customer Gender]]="F","Female", orders[[#This Row],[Customer Gender]]="O","Other", TRUE,"Unknown")</f>
        <v>Male</v>
      </c>
    </row>
    <row r="919" spans="1:15" x14ac:dyDescent="0.4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_xlfn.IFS(orders[[#This Row],[Customer Gender]]="M","Male", orders[[#This Row],[Customer Gender]]="F","Female", orders[[#This Row],[Customer Gender]]="O","Other", TRUE,"Unknown")</f>
        <v>Female</v>
      </c>
    </row>
    <row r="920" spans="1:15" x14ac:dyDescent="0.4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_xlfn.IFS(orders[[#This Row],[Customer Gender]]="M","Male", orders[[#This Row],[Customer Gender]]="F","Female", orders[[#This Row],[Customer Gender]]="O","Other", TRUE,"Unknown")</f>
        <v>Male</v>
      </c>
    </row>
    <row r="921" spans="1:15" x14ac:dyDescent="0.4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_xlfn.IFS(orders[[#This Row],[Customer Gender]]="M","Male", orders[[#This Row],[Customer Gender]]="F","Female", orders[[#This Row],[Customer Gender]]="O","Other", TRUE,"Unknown")</f>
        <v>Female</v>
      </c>
    </row>
    <row r="922" spans="1:15" x14ac:dyDescent="0.4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_xlfn.IFS(orders[[#This Row],[Customer Gender]]="M","Male", orders[[#This Row],[Customer Gender]]="F","Female", orders[[#This Row],[Customer Gender]]="O","Other", TRUE,"Unknown")</f>
        <v>Unknown</v>
      </c>
    </row>
    <row r="923" spans="1:15" x14ac:dyDescent="0.4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_xlfn.IFS(orders[[#This Row],[Customer Gender]]="M","Male", orders[[#This Row],[Customer Gender]]="F","Female", orders[[#This Row],[Customer Gender]]="O","Other", TRUE,"Unknown")</f>
        <v>Other</v>
      </c>
    </row>
    <row r="924" spans="1:15" x14ac:dyDescent="0.4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_xlfn.IFS(orders[[#This Row],[Customer Gender]]="M","Male", orders[[#This Row],[Customer Gender]]="F","Female", orders[[#This Row],[Customer Gender]]="O","Other", TRUE,"Unknown")</f>
        <v>Female</v>
      </c>
    </row>
    <row r="925" spans="1:15" x14ac:dyDescent="0.4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_xlfn.IFS(orders[[#This Row],[Customer Gender]]="M","Male", orders[[#This Row],[Customer Gender]]="F","Female", orders[[#This Row],[Customer Gender]]="O","Other", TRUE,"Unknown")</f>
        <v>Female</v>
      </c>
    </row>
    <row r="926" spans="1:15" x14ac:dyDescent="0.4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_xlfn.IFS(orders[[#This Row],[Customer Gender]]="M","Male", orders[[#This Row],[Customer Gender]]="F","Female", orders[[#This Row],[Customer Gender]]="O","Other", TRUE,"Unknown")</f>
        <v>Male</v>
      </c>
    </row>
    <row r="927" spans="1:15" x14ac:dyDescent="0.4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_xlfn.IFS(orders[[#This Row],[Customer Gender]]="M","Male", orders[[#This Row],[Customer Gender]]="F","Female", orders[[#This Row],[Customer Gender]]="O","Other", TRUE,"Unknown")</f>
        <v>Unknown</v>
      </c>
    </row>
    <row r="928" spans="1:15" x14ac:dyDescent="0.4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_xlfn.IFS(orders[[#This Row],[Customer Gender]]="M","Male", orders[[#This Row],[Customer Gender]]="F","Female", orders[[#This Row],[Customer Gender]]="O","Other", TRUE,"Unknown")</f>
        <v>Female</v>
      </c>
    </row>
    <row r="929" spans="1:15" x14ac:dyDescent="0.4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_xlfn.IFS(orders[[#This Row],[Customer Gender]]="M","Male", orders[[#This Row],[Customer Gender]]="F","Female", orders[[#This Row],[Customer Gender]]="O","Other", TRUE,"Unknown")</f>
        <v>Female</v>
      </c>
    </row>
    <row r="930" spans="1:15" x14ac:dyDescent="0.4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_xlfn.IFS(orders[[#This Row],[Customer Gender]]="M","Male", orders[[#This Row],[Customer Gender]]="F","Female", orders[[#This Row],[Customer Gender]]="O","Other", TRUE,"Unknown")</f>
        <v>Female</v>
      </c>
    </row>
    <row r="931" spans="1:15" x14ac:dyDescent="0.4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_xlfn.IFS(orders[[#This Row],[Customer Gender]]="M","Male", orders[[#This Row],[Customer Gender]]="F","Female", orders[[#This Row],[Customer Gender]]="O","Other", TRUE,"Unknown")</f>
        <v>Female</v>
      </c>
    </row>
    <row r="932" spans="1:15" x14ac:dyDescent="0.4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_xlfn.IFS(orders[[#This Row],[Customer Gender]]="M","Male", orders[[#This Row],[Customer Gender]]="F","Female", orders[[#This Row],[Customer Gender]]="O","Other", TRUE,"Unknown")</f>
        <v>Female</v>
      </c>
    </row>
    <row r="933" spans="1:15" x14ac:dyDescent="0.4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_xlfn.IFS(orders[[#This Row],[Customer Gender]]="M","Male", orders[[#This Row],[Customer Gender]]="F","Female", orders[[#This Row],[Customer Gender]]="O","Other", TRUE,"Unknown")</f>
        <v>Male</v>
      </c>
    </row>
    <row r="934" spans="1:15" x14ac:dyDescent="0.4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_xlfn.IFS(orders[[#This Row],[Customer Gender]]="M","Male", orders[[#This Row],[Customer Gender]]="F","Female", orders[[#This Row],[Customer Gender]]="O","Other", TRUE,"Unknown")</f>
        <v>Female</v>
      </c>
    </row>
    <row r="935" spans="1:15" x14ac:dyDescent="0.4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_xlfn.IFS(orders[[#This Row],[Customer Gender]]="M","Male", orders[[#This Row],[Customer Gender]]="F","Female", orders[[#This Row],[Customer Gender]]="O","Other", TRUE,"Unknown")</f>
        <v>Female</v>
      </c>
    </row>
    <row r="936" spans="1:15" x14ac:dyDescent="0.4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_xlfn.IFS(orders[[#This Row],[Customer Gender]]="M","Male", orders[[#This Row],[Customer Gender]]="F","Female", orders[[#This Row],[Customer Gender]]="O","Other", TRUE,"Unknown")</f>
        <v>Male</v>
      </c>
    </row>
    <row r="937" spans="1:15" x14ac:dyDescent="0.4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_xlfn.IFS(orders[[#This Row],[Customer Gender]]="M","Male", orders[[#This Row],[Customer Gender]]="F","Female", orders[[#This Row],[Customer Gender]]="O","Other", TRUE,"Unknown")</f>
        <v>Female</v>
      </c>
    </row>
    <row r="938" spans="1:15" x14ac:dyDescent="0.4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_xlfn.IFS(orders[[#This Row],[Customer Gender]]="M","Male", orders[[#This Row],[Customer Gender]]="F","Female", orders[[#This Row],[Customer Gender]]="O","Other", TRUE,"Unknown")</f>
        <v>Male</v>
      </c>
    </row>
    <row r="939" spans="1:15" x14ac:dyDescent="0.4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_xlfn.IFS(orders[[#This Row],[Customer Gender]]="M","Male", orders[[#This Row],[Customer Gender]]="F","Female", orders[[#This Row],[Customer Gender]]="O","Other", TRUE,"Unknown")</f>
        <v>Male</v>
      </c>
    </row>
    <row r="940" spans="1:15" x14ac:dyDescent="0.4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_xlfn.IFS(orders[[#This Row],[Customer Gender]]="M","Male", orders[[#This Row],[Customer Gender]]="F","Female", orders[[#This Row],[Customer Gender]]="O","Other", TRUE,"Unknown")</f>
        <v>Female</v>
      </c>
    </row>
    <row r="941" spans="1:15" x14ac:dyDescent="0.4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_xlfn.IFS(orders[[#This Row],[Customer Gender]]="M","Male", orders[[#This Row],[Customer Gender]]="F","Female", orders[[#This Row],[Customer Gender]]="O","Other", TRUE,"Unknown")</f>
        <v>Female</v>
      </c>
    </row>
    <row r="942" spans="1:15" x14ac:dyDescent="0.4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_xlfn.IFS(orders[[#This Row],[Customer Gender]]="M","Male", orders[[#This Row],[Customer Gender]]="F","Female", orders[[#This Row],[Customer Gender]]="O","Other", TRUE,"Unknown")</f>
        <v>Male</v>
      </c>
    </row>
    <row r="943" spans="1:15" x14ac:dyDescent="0.4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_xlfn.IFS(orders[[#This Row],[Customer Gender]]="M","Male", orders[[#This Row],[Customer Gender]]="F","Female", orders[[#This Row],[Customer Gender]]="O","Other", TRUE,"Unknown")</f>
        <v>Male</v>
      </c>
    </row>
    <row r="944" spans="1:15" x14ac:dyDescent="0.4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_xlfn.IFS(orders[[#This Row],[Customer Gender]]="M","Male", orders[[#This Row],[Customer Gender]]="F","Female", orders[[#This Row],[Customer Gender]]="O","Other", TRUE,"Unknown")</f>
        <v>Unknown</v>
      </c>
    </row>
    <row r="945" spans="1:15" x14ac:dyDescent="0.4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_xlfn.IFS(orders[[#This Row],[Customer Gender]]="M","Male", orders[[#This Row],[Customer Gender]]="F","Female", orders[[#This Row],[Customer Gender]]="O","Other", TRUE,"Unknown")</f>
        <v>Male</v>
      </c>
    </row>
    <row r="946" spans="1:15" x14ac:dyDescent="0.4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_xlfn.IFS(orders[[#This Row],[Customer Gender]]="M","Male", orders[[#This Row],[Customer Gender]]="F","Female", orders[[#This Row],[Customer Gender]]="O","Other", TRUE,"Unknown")</f>
        <v>Male</v>
      </c>
    </row>
    <row r="947" spans="1:15" x14ac:dyDescent="0.4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_xlfn.IFS(orders[[#This Row],[Customer Gender]]="M","Male", orders[[#This Row],[Customer Gender]]="F","Female", orders[[#This Row],[Customer Gender]]="O","Other", TRUE,"Unknown")</f>
        <v>Female</v>
      </c>
    </row>
    <row r="948" spans="1:15" x14ac:dyDescent="0.4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_xlfn.IFS(orders[[#This Row],[Customer Gender]]="M","Male", orders[[#This Row],[Customer Gender]]="F","Female", orders[[#This Row],[Customer Gender]]="O","Other", TRUE,"Unknown")</f>
        <v>Female</v>
      </c>
    </row>
    <row r="949" spans="1:15" x14ac:dyDescent="0.4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_xlfn.IFS(orders[[#This Row],[Customer Gender]]="M","Male", orders[[#This Row],[Customer Gender]]="F","Female", orders[[#This Row],[Customer Gender]]="O","Other", TRUE,"Unknown")</f>
        <v>Female</v>
      </c>
    </row>
    <row r="950" spans="1:15" x14ac:dyDescent="0.4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_xlfn.IFS(orders[[#This Row],[Customer Gender]]="M","Male", orders[[#This Row],[Customer Gender]]="F","Female", orders[[#This Row],[Customer Gender]]="O","Other", TRUE,"Unknown")</f>
        <v>Female</v>
      </c>
    </row>
    <row r="951" spans="1:15" x14ac:dyDescent="0.4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_xlfn.IFS(orders[[#This Row],[Customer Gender]]="M","Male", orders[[#This Row],[Customer Gender]]="F","Female", orders[[#This Row],[Customer Gender]]="O","Other", TRUE,"Unknown")</f>
        <v>Female</v>
      </c>
    </row>
    <row r="952" spans="1:15" x14ac:dyDescent="0.4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_xlfn.IFS(orders[[#This Row],[Customer Gender]]="M","Male", orders[[#This Row],[Customer Gender]]="F","Female", orders[[#This Row],[Customer Gender]]="O","Other", TRUE,"Unknown")</f>
        <v>Male</v>
      </c>
    </row>
    <row r="953" spans="1:15" x14ac:dyDescent="0.4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_xlfn.IFS(orders[[#This Row],[Customer Gender]]="M","Male", orders[[#This Row],[Customer Gender]]="F","Female", orders[[#This Row],[Customer Gender]]="O","Other", TRUE,"Unknown")</f>
        <v>Female</v>
      </c>
    </row>
    <row r="954" spans="1:15" x14ac:dyDescent="0.4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_xlfn.IFS(orders[[#This Row],[Customer Gender]]="M","Male", orders[[#This Row],[Customer Gender]]="F","Female", orders[[#This Row],[Customer Gender]]="O","Other", TRUE,"Unknown")</f>
        <v>Male</v>
      </c>
    </row>
    <row r="955" spans="1:15" x14ac:dyDescent="0.4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_xlfn.IFS(orders[[#This Row],[Customer Gender]]="M","Male", orders[[#This Row],[Customer Gender]]="F","Female", orders[[#This Row],[Customer Gender]]="O","Other", TRUE,"Unknown")</f>
        <v>Male</v>
      </c>
    </row>
    <row r="956" spans="1:15" x14ac:dyDescent="0.4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_xlfn.IFS(orders[[#This Row],[Customer Gender]]="M","Male", orders[[#This Row],[Customer Gender]]="F","Female", orders[[#This Row],[Customer Gender]]="O","Other", TRUE,"Unknown")</f>
        <v>Male</v>
      </c>
    </row>
    <row r="957" spans="1:15" x14ac:dyDescent="0.4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_xlfn.IFS(orders[[#This Row],[Customer Gender]]="M","Male", orders[[#This Row],[Customer Gender]]="F","Female", orders[[#This Row],[Customer Gender]]="O","Other", TRUE,"Unknown")</f>
        <v>Male</v>
      </c>
    </row>
    <row r="958" spans="1:15" x14ac:dyDescent="0.4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_xlfn.IFS(orders[[#This Row],[Customer Gender]]="M","Male", orders[[#This Row],[Customer Gender]]="F","Female", orders[[#This Row],[Customer Gender]]="O","Other", TRUE,"Unknown")</f>
        <v>Male</v>
      </c>
    </row>
    <row r="959" spans="1:15" x14ac:dyDescent="0.4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_xlfn.IFS(orders[[#This Row],[Customer Gender]]="M","Male", orders[[#This Row],[Customer Gender]]="F","Female", orders[[#This Row],[Customer Gender]]="O","Other", TRUE,"Unknown")</f>
        <v>Male</v>
      </c>
    </row>
    <row r="960" spans="1:15" x14ac:dyDescent="0.4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_xlfn.IFS(orders[[#This Row],[Customer Gender]]="M","Male", orders[[#This Row],[Customer Gender]]="F","Female", orders[[#This Row],[Customer Gender]]="O","Other", TRUE,"Unknown")</f>
        <v>Female</v>
      </c>
    </row>
    <row r="961" spans="1:15" x14ac:dyDescent="0.4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_xlfn.IFS(orders[[#This Row],[Customer Gender]]="M","Male", orders[[#This Row],[Customer Gender]]="F","Female", orders[[#This Row],[Customer Gender]]="O","Other", TRUE,"Unknown")</f>
        <v>Female</v>
      </c>
    </row>
    <row r="962" spans="1:15" x14ac:dyDescent="0.4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_xlfn.IFS(orders[[#This Row],[Customer Gender]]="M","Male", orders[[#This Row],[Customer Gender]]="F","Female", orders[[#This Row],[Customer Gender]]="O","Other", TRUE,"Unknown")</f>
        <v>Female</v>
      </c>
    </row>
    <row r="963" spans="1:15" x14ac:dyDescent="0.4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_xlfn.IFS(orders[[#This Row],[Customer Gender]]="M","Male", orders[[#This Row],[Customer Gender]]="F","Female", orders[[#This Row],[Customer Gender]]="O","Other", TRUE,"Unknown")</f>
        <v>Male</v>
      </c>
    </row>
    <row r="964" spans="1:15" x14ac:dyDescent="0.4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_xlfn.IFS(orders[[#This Row],[Customer Gender]]="M","Male", orders[[#This Row],[Customer Gender]]="F","Female", orders[[#This Row],[Customer Gender]]="O","Other", TRUE,"Unknown")</f>
        <v>Female</v>
      </c>
    </row>
    <row r="965" spans="1:15" x14ac:dyDescent="0.4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_xlfn.IFS(orders[[#This Row],[Customer Gender]]="M","Male", orders[[#This Row],[Customer Gender]]="F","Female", orders[[#This Row],[Customer Gender]]="O","Other", TRUE,"Unknown")</f>
        <v>Female</v>
      </c>
    </row>
    <row r="966" spans="1:15" x14ac:dyDescent="0.4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_xlfn.IFS(orders[[#This Row],[Customer Gender]]="M","Male", orders[[#This Row],[Customer Gender]]="F","Female", orders[[#This Row],[Customer Gender]]="O","Other", TRUE,"Unknown")</f>
        <v>Female</v>
      </c>
    </row>
    <row r="967" spans="1:15" x14ac:dyDescent="0.4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_xlfn.IFS(orders[[#This Row],[Customer Gender]]="M","Male", orders[[#This Row],[Customer Gender]]="F","Female", orders[[#This Row],[Customer Gender]]="O","Other", TRUE,"Unknown")</f>
        <v>Male</v>
      </c>
    </row>
    <row r="968" spans="1:15" x14ac:dyDescent="0.4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_xlfn.IFS(orders[[#This Row],[Customer Gender]]="M","Male", orders[[#This Row],[Customer Gender]]="F","Female", orders[[#This Row],[Customer Gender]]="O","Other", TRUE,"Unknown")</f>
        <v>Male</v>
      </c>
    </row>
    <row r="969" spans="1:15" x14ac:dyDescent="0.4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_xlfn.IFS(orders[[#This Row],[Customer Gender]]="M","Male", orders[[#This Row],[Customer Gender]]="F","Female", orders[[#This Row],[Customer Gender]]="O","Other", TRUE,"Unknown")</f>
        <v>Female</v>
      </c>
    </row>
    <row r="970" spans="1:15" x14ac:dyDescent="0.4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_xlfn.IFS(orders[[#This Row],[Customer Gender]]="M","Male", orders[[#This Row],[Customer Gender]]="F","Female", orders[[#This Row],[Customer Gender]]="O","Other", TRUE,"Unknown")</f>
        <v>Male</v>
      </c>
    </row>
    <row r="971" spans="1:15" x14ac:dyDescent="0.4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_xlfn.IFS(orders[[#This Row],[Customer Gender]]="M","Male", orders[[#This Row],[Customer Gender]]="F","Female", orders[[#This Row],[Customer Gender]]="O","Other", TRUE,"Unknown")</f>
        <v>Female</v>
      </c>
    </row>
    <row r="972" spans="1:15" x14ac:dyDescent="0.4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_xlfn.IFS(orders[[#This Row],[Customer Gender]]="M","Male", orders[[#This Row],[Customer Gender]]="F","Female", orders[[#This Row],[Customer Gender]]="O","Other", TRUE,"Unknown")</f>
        <v>Female</v>
      </c>
    </row>
    <row r="973" spans="1:15" x14ac:dyDescent="0.4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_xlfn.IFS(orders[[#This Row],[Customer Gender]]="M","Male", orders[[#This Row],[Customer Gender]]="F","Female", orders[[#This Row],[Customer Gender]]="O","Other", TRUE,"Unknown")</f>
        <v>Male</v>
      </c>
    </row>
    <row r="974" spans="1:15" x14ac:dyDescent="0.4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_xlfn.IFS(orders[[#This Row],[Customer Gender]]="M","Male", orders[[#This Row],[Customer Gender]]="F","Female", orders[[#This Row],[Customer Gender]]="O","Other", TRUE,"Unknown")</f>
        <v>Female</v>
      </c>
    </row>
    <row r="975" spans="1:15" x14ac:dyDescent="0.4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_xlfn.IFS(orders[[#This Row],[Customer Gender]]="M","Male", orders[[#This Row],[Customer Gender]]="F","Female", orders[[#This Row],[Customer Gender]]="O","Other", TRUE,"Unknown")</f>
        <v>Male</v>
      </c>
    </row>
    <row r="976" spans="1:15" x14ac:dyDescent="0.4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_xlfn.IFS(orders[[#This Row],[Customer Gender]]="M","Male", orders[[#This Row],[Customer Gender]]="F","Female", orders[[#This Row],[Customer Gender]]="O","Other", TRUE,"Unknown")</f>
        <v>Female</v>
      </c>
    </row>
    <row r="977" spans="1:15" x14ac:dyDescent="0.4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_xlfn.IFS(orders[[#This Row],[Customer Gender]]="M","Male", orders[[#This Row],[Customer Gender]]="F","Female", orders[[#This Row],[Customer Gender]]="O","Other", TRUE,"Unknown")</f>
        <v>Female</v>
      </c>
    </row>
    <row r="978" spans="1:15" x14ac:dyDescent="0.4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_xlfn.IFS(orders[[#This Row],[Customer Gender]]="M","Male", orders[[#This Row],[Customer Gender]]="F","Female", orders[[#This Row],[Customer Gender]]="O","Other", TRUE,"Unknown")</f>
        <v>Female</v>
      </c>
    </row>
    <row r="979" spans="1:15" x14ac:dyDescent="0.4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_xlfn.IFS(orders[[#This Row],[Customer Gender]]="M","Male", orders[[#This Row],[Customer Gender]]="F","Female", orders[[#This Row],[Customer Gender]]="O","Other", TRUE,"Unknown")</f>
        <v>Female</v>
      </c>
    </row>
    <row r="980" spans="1:15" x14ac:dyDescent="0.4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_xlfn.IFS(orders[[#This Row],[Customer Gender]]="M","Male", orders[[#This Row],[Customer Gender]]="F","Female", orders[[#This Row],[Customer Gender]]="O","Other", TRUE,"Unknown")</f>
        <v>Female</v>
      </c>
    </row>
    <row r="981" spans="1:15" x14ac:dyDescent="0.4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_xlfn.IFS(orders[[#This Row],[Customer Gender]]="M","Male", orders[[#This Row],[Customer Gender]]="F","Female", orders[[#This Row],[Customer Gender]]="O","Other", TRUE,"Unknown")</f>
        <v>Female</v>
      </c>
    </row>
    <row r="982" spans="1:15" x14ac:dyDescent="0.4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_xlfn.IFS(orders[[#This Row],[Customer Gender]]="M","Male", orders[[#This Row],[Customer Gender]]="F","Female", orders[[#This Row],[Customer Gender]]="O","Other", TRUE,"Unknown")</f>
        <v>Male</v>
      </c>
    </row>
    <row r="983" spans="1:15" x14ac:dyDescent="0.4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_xlfn.IFS(orders[[#This Row],[Customer Gender]]="M","Male", orders[[#This Row],[Customer Gender]]="F","Female", orders[[#This Row],[Customer Gender]]="O","Other", TRUE,"Unknown")</f>
        <v>Female</v>
      </c>
    </row>
    <row r="984" spans="1:15" x14ac:dyDescent="0.4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_xlfn.IFS(orders[[#This Row],[Customer Gender]]="M","Male", orders[[#This Row],[Customer Gender]]="F","Female", orders[[#This Row],[Customer Gender]]="O","Other", TRUE,"Unknown")</f>
        <v>Female</v>
      </c>
    </row>
    <row r="985" spans="1:15" x14ac:dyDescent="0.4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_xlfn.IFS(orders[[#This Row],[Customer Gender]]="M","Male", orders[[#This Row],[Customer Gender]]="F","Female", orders[[#This Row],[Customer Gender]]="O","Other", TRUE,"Unknown")</f>
        <v>Female</v>
      </c>
    </row>
    <row r="986" spans="1:15" x14ac:dyDescent="0.4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_xlfn.IFS(orders[[#This Row],[Customer Gender]]="M","Male", orders[[#This Row],[Customer Gender]]="F","Female", orders[[#This Row],[Customer Gender]]="O","Other", TRUE,"Unknown")</f>
        <v>Male</v>
      </c>
    </row>
    <row r="987" spans="1:15" x14ac:dyDescent="0.4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_xlfn.IFS(orders[[#This Row],[Customer Gender]]="M","Male", orders[[#This Row],[Customer Gender]]="F","Female", orders[[#This Row],[Customer Gender]]="O","Other", TRUE,"Unknown")</f>
        <v>Male</v>
      </c>
    </row>
    <row r="988" spans="1:15" x14ac:dyDescent="0.4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_xlfn.IFS(orders[[#This Row],[Customer Gender]]="M","Male", orders[[#This Row],[Customer Gender]]="F","Female", orders[[#This Row],[Customer Gender]]="O","Other", TRUE,"Unknown")</f>
        <v>Unknown</v>
      </c>
    </row>
    <row r="989" spans="1:15" x14ac:dyDescent="0.4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_xlfn.IFS(orders[[#This Row],[Customer Gender]]="M","Male", orders[[#This Row],[Customer Gender]]="F","Female", orders[[#This Row],[Customer Gender]]="O","Other", TRUE,"Unknown")</f>
        <v>Male</v>
      </c>
    </row>
    <row r="990" spans="1:15" x14ac:dyDescent="0.4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_xlfn.IFS(orders[[#This Row],[Customer Gender]]="M","Male", orders[[#This Row],[Customer Gender]]="F","Female", orders[[#This Row],[Customer Gender]]="O","Other", TRUE,"Unknown")</f>
        <v>Female</v>
      </c>
    </row>
    <row r="991" spans="1:15" x14ac:dyDescent="0.4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_xlfn.IFS(orders[[#This Row],[Customer Gender]]="M","Male", orders[[#This Row],[Customer Gender]]="F","Female", orders[[#This Row],[Customer Gender]]="O","Other", TRUE,"Unknown")</f>
        <v>Female</v>
      </c>
    </row>
    <row r="992" spans="1:15" x14ac:dyDescent="0.4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_xlfn.IFS(orders[[#This Row],[Customer Gender]]="M","Male", orders[[#This Row],[Customer Gender]]="F","Female", orders[[#This Row],[Customer Gender]]="O","Other", TRUE,"Unknown")</f>
        <v>Unknown</v>
      </c>
    </row>
    <row r="993" spans="1:15" x14ac:dyDescent="0.4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_xlfn.IFS(orders[[#This Row],[Customer Gender]]="M","Male", orders[[#This Row],[Customer Gender]]="F","Female", orders[[#This Row],[Customer Gender]]="O","Other", TRUE,"Unknown")</f>
        <v>Female</v>
      </c>
    </row>
    <row r="994" spans="1:15" x14ac:dyDescent="0.4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_xlfn.IFS(orders[[#This Row],[Customer Gender]]="M","Male", orders[[#This Row],[Customer Gender]]="F","Female", orders[[#This Row],[Customer Gender]]="O","Other", TRUE,"Unknown")</f>
        <v>Other</v>
      </c>
    </row>
    <row r="995" spans="1:15" x14ac:dyDescent="0.4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_xlfn.IFS(orders[[#This Row],[Customer Gender]]="M","Male", orders[[#This Row],[Customer Gender]]="F","Female", orders[[#This Row],[Customer Gender]]="O","Other", TRUE,"Unknown")</f>
        <v>Female</v>
      </c>
    </row>
    <row r="996" spans="1:15" x14ac:dyDescent="0.4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_xlfn.IFS(orders[[#This Row],[Customer Gender]]="M","Male", orders[[#This Row],[Customer Gender]]="F","Female", orders[[#This Row],[Customer Gender]]="O","Other", TRUE,"Unknown")</f>
        <v>Female</v>
      </c>
    </row>
    <row r="997" spans="1:15" x14ac:dyDescent="0.4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_xlfn.IFS(orders[[#This Row],[Customer Gender]]="M","Male", orders[[#This Row],[Customer Gender]]="F","Female", orders[[#This Row],[Customer Gender]]="O","Other", TRUE,"Unknown")</f>
        <v>Female</v>
      </c>
    </row>
    <row r="998" spans="1:15" x14ac:dyDescent="0.4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_xlfn.IFS(orders[[#This Row],[Customer Gender]]="M","Male", orders[[#This Row],[Customer Gender]]="F","Female", orders[[#This Row],[Customer Gender]]="O","Other", TRUE,"Unknown")</f>
        <v>Female</v>
      </c>
    </row>
    <row r="999" spans="1:15" x14ac:dyDescent="0.4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_xlfn.IFS(orders[[#This Row],[Customer Gender]]="M","Male", orders[[#This Row],[Customer Gender]]="F","Female", orders[[#This Row],[Customer Gender]]="O","Other", TRUE,"Unknown")</f>
        <v>Female</v>
      </c>
    </row>
    <row r="1000" spans="1:15" x14ac:dyDescent="0.4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_xlfn.IFS(orders[[#This Row],[Customer Gender]]="M","Male", orders[[#This Row],[Customer Gender]]="F","Female", orders[[#This Row],[Customer Gender]]="O","Other", TRUE,"Unknown")</f>
        <v>Female</v>
      </c>
    </row>
    <row r="1001" spans="1:15" x14ac:dyDescent="0.4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_xlfn.IFS(orders[[#This Row],[Customer Gender]]="M","Male", orders[[#This Row],[Customer Gender]]="F","Female", orders[[#This Row],[Customer Gender]]="O","Other", TRUE,"Unknown")</f>
        <v>Female</v>
      </c>
    </row>
    <row r="1002" spans="1:15" x14ac:dyDescent="0.4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_xlfn.IFS(orders[[#This Row],[Customer Gender]]="M","Male", orders[[#This Row],[Customer Gender]]="F","Female", orders[[#This Row],[Customer Gender]]="O","Other", TRUE,"Unknown")</f>
        <v>Female</v>
      </c>
    </row>
    <row r="1003" spans="1:15" x14ac:dyDescent="0.4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_xlfn.IFS(orders[[#This Row],[Customer Gender]]="M","Male", orders[[#This Row],[Customer Gender]]="F","Female", orders[[#This Row],[Customer Gender]]="O","Other", TRUE,"Unknown")</f>
        <v>Female</v>
      </c>
    </row>
    <row r="1004" spans="1:15" x14ac:dyDescent="0.4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_xlfn.IFS(orders[[#This Row],[Customer Gender]]="M","Male", orders[[#This Row],[Customer Gender]]="F","Female", orders[[#This Row],[Customer Gender]]="O","Other", TRUE,"Unknown")</f>
        <v>Female</v>
      </c>
    </row>
    <row r="1005" spans="1:15" x14ac:dyDescent="0.4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_xlfn.IFS(orders[[#This Row],[Customer Gender]]="M","Male", orders[[#This Row],[Customer Gender]]="F","Female", orders[[#This Row],[Customer Gender]]="O","Other", TRUE,"Unknown")</f>
        <v>Male</v>
      </c>
    </row>
    <row r="1006" spans="1:15" x14ac:dyDescent="0.4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_xlfn.IFS(orders[[#This Row],[Customer Gender]]="M","Male", orders[[#This Row],[Customer Gender]]="F","Female", orders[[#This Row],[Customer Gender]]="O","Other", TRUE,"Unknown")</f>
        <v>Male</v>
      </c>
    </row>
    <row r="1007" spans="1:15" x14ac:dyDescent="0.4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_xlfn.IFS(orders[[#This Row],[Customer Gender]]="M","Male", orders[[#This Row],[Customer Gender]]="F","Female", orders[[#This Row],[Customer Gender]]="O","Other", TRUE,"Unknown")</f>
        <v>Female</v>
      </c>
    </row>
    <row r="1008" spans="1:15" x14ac:dyDescent="0.4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_xlfn.IFS(orders[[#This Row],[Customer Gender]]="M","Male", orders[[#This Row],[Customer Gender]]="F","Female", orders[[#This Row],[Customer Gender]]="O","Other", TRUE,"Unknown")</f>
        <v>Female</v>
      </c>
    </row>
    <row r="1009" spans="1:15" x14ac:dyDescent="0.4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_xlfn.IFS(orders[[#This Row],[Customer Gender]]="M","Male", orders[[#This Row],[Customer Gender]]="F","Female", orders[[#This Row],[Customer Gender]]="O","Other", TRUE,"Unknown")</f>
        <v>Unknown</v>
      </c>
    </row>
    <row r="1010" spans="1:15" x14ac:dyDescent="0.4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_xlfn.IFS(orders[[#This Row],[Customer Gender]]="M","Male", orders[[#This Row],[Customer Gender]]="F","Female", orders[[#This Row],[Customer Gender]]="O","Other", TRUE,"Unknown")</f>
        <v>Female</v>
      </c>
    </row>
    <row r="1011" spans="1:15" x14ac:dyDescent="0.4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_xlfn.IFS(orders[[#This Row],[Customer Gender]]="M","Male", orders[[#This Row],[Customer Gender]]="F","Female", orders[[#This Row],[Customer Gender]]="O","Other", TRUE,"Unknown")</f>
        <v>Other</v>
      </c>
    </row>
    <row r="1012" spans="1:15" x14ac:dyDescent="0.4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_xlfn.IFS(orders[[#This Row],[Customer Gender]]="M","Male", orders[[#This Row],[Customer Gender]]="F","Female", orders[[#This Row],[Customer Gender]]="O","Other", TRUE,"Unknown")</f>
        <v>Female</v>
      </c>
    </row>
    <row r="1013" spans="1:15" x14ac:dyDescent="0.4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_xlfn.IFS(orders[[#This Row],[Customer Gender]]="M","Male", orders[[#This Row],[Customer Gender]]="F","Female", orders[[#This Row],[Customer Gender]]="O","Other", TRUE,"Unknown")</f>
        <v>Other</v>
      </c>
    </row>
    <row r="1014" spans="1:15" x14ac:dyDescent="0.4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_xlfn.IFS(orders[[#This Row],[Customer Gender]]="M","Male", orders[[#This Row],[Customer Gender]]="F","Female", orders[[#This Row],[Customer Gender]]="O","Other", TRUE,"Unknown")</f>
        <v>Unknown</v>
      </c>
    </row>
    <row r="1015" spans="1:15" x14ac:dyDescent="0.4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_xlfn.IFS(orders[[#This Row],[Customer Gender]]="M","Male", orders[[#This Row],[Customer Gender]]="F","Female", orders[[#This Row],[Customer Gender]]="O","Other", TRUE,"Unknown")</f>
        <v>Female</v>
      </c>
    </row>
    <row r="1016" spans="1:15" x14ac:dyDescent="0.4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_xlfn.IFS(orders[[#This Row],[Customer Gender]]="M","Male", orders[[#This Row],[Customer Gender]]="F","Female", orders[[#This Row],[Customer Gender]]="O","Other", TRUE,"Unknown")</f>
        <v>Male</v>
      </c>
    </row>
    <row r="1017" spans="1:15" x14ac:dyDescent="0.4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_xlfn.IFS(orders[[#This Row],[Customer Gender]]="M","Male", orders[[#This Row],[Customer Gender]]="F","Female", orders[[#This Row],[Customer Gender]]="O","Other", TRUE,"Unknown")</f>
        <v>Female</v>
      </c>
    </row>
    <row r="1018" spans="1:15" x14ac:dyDescent="0.4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_xlfn.IFS(orders[[#This Row],[Customer Gender]]="M","Male", orders[[#This Row],[Customer Gender]]="F","Female", orders[[#This Row],[Customer Gender]]="O","Other", TRUE,"Unknown")</f>
        <v>Female</v>
      </c>
    </row>
    <row r="1019" spans="1:15" x14ac:dyDescent="0.4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_xlfn.IFS(orders[[#This Row],[Customer Gender]]="M","Male", orders[[#This Row],[Customer Gender]]="F","Female", orders[[#This Row],[Customer Gender]]="O","Other", TRUE,"Unknown")</f>
        <v>Unknown</v>
      </c>
    </row>
    <row r="1020" spans="1:15" x14ac:dyDescent="0.4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_xlfn.IFS(orders[[#This Row],[Customer Gender]]="M","Male", orders[[#This Row],[Customer Gender]]="F","Female", orders[[#This Row],[Customer Gender]]="O","Other", TRUE,"Unknown")</f>
        <v>Female</v>
      </c>
    </row>
    <row r="1021" spans="1:15" x14ac:dyDescent="0.4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_xlfn.IFS(orders[[#This Row],[Customer Gender]]="M","Male", orders[[#This Row],[Customer Gender]]="F","Female", orders[[#This Row],[Customer Gender]]="O","Other", TRUE,"Unknown")</f>
        <v>Male</v>
      </c>
    </row>
    <row r="1022" spans="1:15" x14ac:dyDescent="0.4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_xlfn.IFS(orders[[#This Row],[Customer Gender]]="M","Male", orders[[#This Row],[Customer Gender]]="F","Female", orders[[#This Row],[Customer Gender]]="O","Other", TRUE,"Unknown")</f>
        <v>Female</v>
      </c>
    </row>
    <row r="1023" spans="1:15" x14ac:dyDescent="0.4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_xlfn.IFS(orders[[#This Row],[Customer Gender]]="M","Male", orders[[#This Row],[Customer Gender]]="F","Female", orders[[#This Row],[Customer Gender]]="O","Other", TRUE,"Unknown")</f>
        <v>Male</v>
      </c>
    </row>
    <row r="1024" spans="1:15" x14ac:dyDescent="0.4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_xlfn.IFS(orders[[#This Row],[Customer Gender]]="M","Male", orders[[#This Row],[Customer Gender]]="F","Female", orders[[#This Row],[Customer Gender]]="O","Other", TRUE,"Unknown")</f>
        <v>Male</v>
      </c>
    </row>
    <row r="1025" spans="1:15" x14ac:dyDescent="0.4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_xlfn.IFS(orders[[#This Row],[Customer Gender]]="M","Male", orders[[#This Row],[Customer Gender]]="F","Female", orders[[#This Row],[Customer Gender]]="O","Other", TRUE,"Unknown")</f>
        <v>Male</v>
      </c>
    </row>
    <row r="1026" spans="1:15" x14ac:dyDescent="0.4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_xlfn.IFS(orders[[#This Row],[Customer Gender]]="M","Male", orders[[#This Row],[Customer Gender]]="F","Female", orders[[#This Row],[Customer Gender]]="O","Other", TRUE,"Unknown")</f>
        <v>Female</v>
      </c>
    </row>
    <row r="1027" spans="1:15" x14ac:dyDescent="0.4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_xlfn.IFS(orders[[#This Row],[Customer Gender]]="M","Male", orders[[#This Row],[Customer Gender]]="F","Female", orders[[#This Row],[Customer Gender]]="O","Other", TRUE,"Unknown")</f>
        <v>Female</v>
      </c>
    </row>
    <row r="1028" spans="1:15" x14ac:dyDescent="0.4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_xlfn.IFS(orders[[#This Row],[Customer Gender]]="M","Male", orders[[#This Row],[Customer Gender]]="F","Female", orders[[#This Row],[Customer Gender]]="O","Other", TRUE,"Unknown")</f>
        <v>Female</v>
      </c>
    </row>
    <row r="1029" spans="1:15" x14ac:dyDescent="0.4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_xlfn.IFS(orders[[#This Row],[Customer Gender]]="M","Male", orders[[#This Row],[Customer Gender]]="F","Female", orders[[#This Row],[Customer Gender]]="O","Other", TRUE,"Unknown")</f>
        <v>Female</v>
      </c>
    </row>
    <row r="1030" spans="1:15" x14ac:dyDescent="0.4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_xlfn.IFS(orders[[#This Row],[Customer Gender]]="M","Male", orders[[#This Row],[Customer Gender]]="F","Female", orders[[#This Row],[Customer Gender]]="O","Other", TRUE,"Unknown")</f>
        <v>Female</v>
      </c>
    </row>
    <row r="1031" spans="1:15" x14ac:dyDescent="0.4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_xlfn.IFS(orders[[#This Row],[Customer Gender]]="M","Male", orders[[#This Row],[Customer Gender]]="F","Female", orders[[#This Row],[Customer Gender]]="O","Other", TRUE,"Unknown")</f>
        <v>Male</v>
      </c>
    </row>
    <row r="1032" spans="1:15" x14ac:dyDescent="0.4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_xlfn.IFS(orders[[#This Row],[Customer Gender]]="M","Male", orders[[#This Row],[Customer Gender]]="F","Female", orders[[#This Row],[Customer Gender]]="O","Other", TRUE,"Unknown")</f>
        <v>Female</v>
      </c>
    </row>
    <row r="1033" spans="1:15" x14ac:dyDescent="0.4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_xlfn.IFS(orders[[#This Row],[Customer Gender]]="M","Male", orders[[#This Row],[Customer Gender]]="F","Female", orders[[#This Row],[Customer Gender]]="O","Other", TRUE,"Unknown")</f>
        <v>Male</v>
      </c>
    </row>
    <row r="1034" spans="1:15" x14ac:dyDescent="0.4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_xlfn.IFS(orders[[#This Row],[Customer Gender]]="M","Male", orders[[#This Row],[Customer Gender]]="F","Female", orders[[#This Row],[Customer Gender]]="O","Other", TRUE,"Unknown")</f>
        <v>Female</v>
      </c>
    </row>
    <row r="1035" spans="1:15" x14ac:dyDescent="0.4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_xlfn.IFS(orders[[#This Row],[Customer Gender]]="M","Male", orders[[#This Row],[Customer Gender]]="F","Female", orders[[#This Row],[Customer Gender]]="O","Other", TRUE,"Unknown")</f>
        <v>Unknown</v>
      </c>
    </row>
    <row r="1036" spans="1:15" x14ac:dyDescent="0.4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_xlfn.IFS(orders[[#This Row],[Customer Gender]]="M","Male", orders[[#This Row],[Customer Gender]]="F","Female", orders[[#This Row],[Customer Gender]]="O","Other", TRUE,"Unknown")</f>
        <v>Female</v>
      </c>
    </row>
    <row r="1037" spans="1:15" x14ac:dyDescent="0.4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_xlfn.IFS(orders[[#This Row],[Customer Gender]]="M","Male", orders[[#This Row],[Customer Gender]]="F","Female", orders[[#This Row],[Customer Gender]]="O","Other", TRUE,"Unknown")</f>
        <v>Male</v>
      </c>
    </row>
    <row r="1038" spans="1:15" x14ac:dyDescent="0.4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_xlfn.IFS(orders[[#This Row],[Customer Gender]]="M","Male", orders[[#This Row],[Customer Gender]]="F","Female", orders[[#This Row],[Customer Gender]]="O","Other", TRUE,"Unknown")</f>
        <v>Male</v>
      </c>
    </row>
    <row r="1039" spans="1:15" x14ac:dyDescent="0.4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_xlfn.IFS(orders[[#This Row],[Customer Gender]]="M","Male", orders[[#This Row],[Customer Gender]]="F","Female", orders[[#This Row],[Customer Gender]]="O","Other", TRUE,"Unknown")</f>
        <v>Female</v>
      </c>
    </row>
    <row r="1040" spans="1:15" x14ac:dyDescent="0.4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_xlfn.IFS(orders[[#This Row],[Customer Gender]]="M","Male", orders[[#This Row],[Customer Gender]]="F","Female", orders[[#This Row],[Customer Gender]]="O","Other", TRUE,"Unknown")</f>
        <v>Female</v>
      </c>
    </row>
    <row r="1041" spans="1:15" x14ac:dyDescent="0.4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_xlfn.IFS(orders[[#This Row],[Customer Gender]]="M","Male", orders[[#This Row],[Customer Gender]]="F","Female", orders[[#This Row],[Customer Gender]]="O","Other", TRUE,"Unknown")</f>
        <v>Male</v>
      </c>
    </row>
    <row r="1042" spans="1:15" x14ac:dyDescent="0.4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_xlfn.IFS(orders[[#This Row],[Customer Gender]]="M","Male", orders[[#This Row],[Customer Gender]]="F","Female", orders[[#This Row],[Customer Gender]]="O","Other", TRUE,"Unknown")</f>
        <v>Unknown</v>
      </c>
    </row>
    <row r="1043" spans="1:15" x14ac:dyDescent="0.4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_xlfn.IFS(orders[[#This Row],[Customer Gender]]="M","Male", orders[[#This Row],[Customer Gender]]="F","Female", orders[[#This Row],[Customer Gender]]="O","Other", TRUE,"Unknown")</f>
        <v>Female</v>
      </c>
    </row>
    <row r="1044" spans="1:15" x14ac:dyDescent="0.4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_xlfn.IFS(orders[[#This Row],[Customer Gender]]="M","Male", orders[[#This Row],[Customer Gender]]="F","Female", orders[[#This Row],[Customer Gender]]="O","Other", TRUE,"Unknown")</f>
        <v>Male</v>
      </c>
    </row>
    <row r="1045" spans="1:15" x14ac:dyDescent="0.4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_xlfn.IFS(orders[[#This Row],[Customer Gender]]="M","Male", orders[[#This Row],[Customer Gender]]="F","Female", orders[[#This Row],[Customer Gender]]="O","Other", TRUE,"Unknown")</f>
        <v>Female</v>
      </c>
    </row>
    <row r="1046" spans="1:15" x14ac:dyDescent="0.4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_xlfn.IFS(orders[[#This Row],[Customer Gender]]="M","Male", orders[[#This Row],[Customer Gender]]="F","Female", orders[[#This Row],[Customer Gender]]="O","Other", TRUE,"Unknown")</f>
        <v>Male</v>
      </c>
    </row>
    <row r="1047" spans="1:15" x14ac:dyDescent="0.4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_xlfn.IFS(orders[[#This Row],[Customer Gender]]="M","Male", orders[[#This Row],[Customer Gender]]="F","Female", orders[[#This Row],[Customer Gender]]="O","Other", TRUE,"Unknown")</f>
        <v>Female</v>
      </c>
    </row>
    <row r="1048" spans="1:15" x14ac:dyDescent="0.4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_xlfn.IFS(orders[[#This Row],[Customer Gender]]="M","Male", orders[[#This Row],[Customer Gender]]="F","Female", orders[[#This Row],[Customer Gender]]="O","Other", TRUE,"Unknown")</f>
        <v>Female</v>
      </c>
    </row>
    <row r="1049" spans="1:15" x14ac:dyDescent="0.4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_xlfn.IFS(orders[[#This Row],[Customer Gender]]="M","Male", orders[[#This Row],[Customer Gender]]="F","Female", orders[[#This Row],[Customer Gender]]="O","Other", TRUE,"Unknown")</f>
        <v>Female</v>
      </c>
    </row>
    <row r="1050" spans="1:15" x14ac:dyDescent="0.4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_xlfn.IFS(orders[[#This Row],[Customer Gender]]="M","Male", orders[[#This Row],[Customer Gender]]="F","Female", orders[[#This Row],[Customer Gender]]="O","Other", TRUE,"Unknown")</f>
        <v>Female</v>
      </c>
    </row>
    <row r="1051" spans="1:15" x14ac:dyDescent="0.4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_xlfn.IFS(orders[[#This Row],[Customer Gender]]="M","Male", orders[[#This Row],[Customer Gender]]="F","Female", orders[[#This Row],[Customer Gender]]="O","Other", TRUE,"Unknown")</f>
        <v>Male</v>
      </c>
    </row>
    <row r="1052" spans="1:15" x14ac:dyDescent="0.4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_xlfn.IFS(orders[[#This Row],[Customer Gender]]="M","Male", orders[[#This Row],[Customer Gender]]="F","Female", orders[[#This Row],[Customer Gender]]="O","Other", TRUE,"Unknown")</f>
        <v>Male</v>
      </c>
    </row>
    <row r="1053" spans="1:15" x14ac:dyDescent="0.4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_xlfn.IFS(orders[[#This Row],[Customer Gender]]="M","Male", orders[[#This Row],[Customer Gender]]="F","Female", orders[[#This Row],[Customer Gender]]="O","Other", TRUE,"Unknown")</f>
        <v>Female</v>
      </c>
    </row>
    <row r="1054" spans="1:15" x14ac:dyDescent="0.4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_xlfn.IFS(orders[[#This Row],[Customer Gender]]="M","Male", orders[[#This Row],[Customer Gender]]="F","Female", orders[[#This Row],[Customer Gender]]="O","Other", TRUE,"Unknown")</f>
        <v>Male</v>
      </c>
    </row>
    <row r="1055" spans="1:15" x14ac:dyDescent="0.4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_xlfn.IFS(orders[[#This Row],[Customer Gender]]="M","Male", orders[[#This Row],[Customer Gender]]="F","Female", orders[[#This Row],[Customer Gender]]="O","Other", TRUE,"Unknown")</f>
        <v>Female</v>
      </c>
    </row>
    <row r="1056" spans="1:15" x14ac:dyDescent="0.4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_xlfn.IFS(orders[[#This Row],[Customer Gender]]="M","Male", orders[[#This Row],[Customer Gender]]="F","Female", orders[[#This Row],[Customer Gender]]="O","Other", TRUE,"Unknown")</f>
        <v>Male</v>
      </c>
    </row>
    <row r="1057" spans="1:15" x14ac:dyDescent="0.4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_xlfn.IFS(orders[[#This Row],[Customer Gender]]="M","Male", orders[[#This Row],[Customer Gender]]="F","Female", orders[[#This Row],[Customer Gender]]="O","Other", TRUE,"Unknown")</f>
        <v>Male</v>
      </c>
    </row>
    <row r="1058" spans="1:15" x14ac:dyDescent="0.4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_xlfn.IFS(orders[[#This Row],[Customer Gender]]="M","Male", orders[[#This Row],[Customer Gender]]="F","Female", orders[[#This Row],[Customer Gender]]="O","Other", TRUE,"Unknown")</f>
        <v>Female</v>
      </c>
    </row>
    <row r="1059" spans="1:15" x14ac:dyDescent="0.4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_xlfn.IFS(orders[[#This Row],[Customer Gender]]="M","Male", orders[[#This Row],[Customer Gender]]="F","Female", orders[[#This Row],[Customer Gender]]="O","Other", TRUE,"Unknown")</f>
        <v>Female</v>
      </c>
    </row>
    <row r="1060" spans="1:15" x14ac:dyDescent="0.4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_xlfn.IFS(orders[[#This Row],[Customer Gender]]="M","Male", orders[[#This Row],[Customer Gender]]="F","Female", orders[[#This Row],[Customer Gender]]="O","Other", TRUE,"Unknown")</f>
        <v>Female</v>
      </c>
    </row>
    <row r="1061" spans="1:15" x14ac:dyDescent="0.4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_xlfn.IFS(orders[[#This Row],[Customer Gender]]="M","Male", orders[[#This Row],[Customer Gender]]="F","Female", orders[[#This Row],[Customer Gender]]="O","Other", TRUE,"Unknown")</f>
        <v>Male</v>
      </c>
    </row>
    <row r="1062" spans="1:15" x14ac:dyDescent="0.4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_xlfn.IFS(orders[[#This Row],[Customer Gender]]="M","Male", orders[[#This Row],[Customer Gender]]="F","Female", orders[[#This Row],[Customer Gender]]="O","Other", TRUE,"Unknown")</f>
        <v>Unknown</v>
      </c>
    </row>
    <row r="1063" spans="1:15" x14ac:dyDescent="0.4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_xlfn.IFS(orders[[#This Row],[Customer Gender]]="M","Male", orders[[#This Row],[Customer Gender]]="F","Female", orders[[#This Row],[Customer Gender]]="O","Other", TRUE,"Unknown")</f>
        <v>Male</v>
      </c>
    </row>
    <row r="1064" spans="1:15" x14ac:dyDescent="0.4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_xlfn.IFS(orders[[#This Row],[Customer Gender]]="M","Male", orders[[#This Row],[Customer Gender]]="F","Female", orders[[#This Row],[Customer Gender]]="O","Other", TRUE,"Unknown")</f>
        <v>Male</v>
      </c>
    </row>
    <row r="1065" spans="1:15" x14ac:dyDescent="0.4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_xlfn.IFS(orders[[#This Row],[Customer Gender]]="M","Male", orders[[#This Row],[Customer Gender]]="F","Female", orders[[#This Row],[Customer Gender]]="O","Other", TRUE,"Unknown")</f>
        <v>Female</v>
      </c>
    </row>
    <row r="1066" spans="1:15" x14ac:dyDescent="0.4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_xlfn.IFS(orders[[#This Row],[Customer Gender]]="M","Male", orders[[#This Row],[Customer Gender]]="F","Female", orders[[#This Row],[Customer Gender]]="O","Other", TRUE,"Unknown")</f>
        <v>Male</v>
      </c>
    </row>
    <row r="1067" spans="1:15" x14ac:dyDescent="0.4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_xlfn.IFS(orders[[#This Row],[Customer Gender]]="M","Male", orders[[#This Row],[Customer Gender]]="F","Female", orders[[#This Row],[Customer Gender]]="O","Other", TRUE,"Unknown")</f>
        <v>Male</v>
      </c>
    </row>
    <row r="1068" spans="1:15" x14ac:dyDescent="0.4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_xlfn.IFS(orders[[#This Row],[Customer Gender]]="M","Male", orders[[#This Row],[Customer Gender]]="F","Female", orders[[#This Row],[Customer Gender]]="O","Other", TRUE,"Unknown")</f>
        <v>Female</v>
      </c>
    </row>
    <row r="1069" spans="1:15" x14ac:dyDescent="0.4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_xlfn.IFS(orders[[#This Row],[Customer Gender]]="M","Male", orders[[#This Row],[Customer Gender]]="F","Female", orders[[#This Row],[Customer Gender]]="O","Other", TRUE,"Unknown")</f>
        <v>Male</v>
      </c>
    </row>
    <row r="1070" spans="1:15" x14ac:dyDescent="0.4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_xlfn.IFS(orders[[#This Row],[Customer Gender]]="M","Male", orders[[#This Row],[Customer Gender]]="F","Female", orders[[#This Row],[Customer Gender]]="O","Other", TRUE,"Unknown")</f>
        <v>Female</v>
      </c>
    </row>
    <row r="1071" spans="1:15" x14ac:dyDescent="0.4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_xlfn.IFS(orders[[#This Row],[Customer Gender]]="M","Male", orders[[#This Row],[Customer Gender]]="F","Female", orders[[#This Row],[Customer Gender]]="O","Other", TRUE,"Unknown")</f>
        <v>Female</v>
      </c>
    </row>
    <row r="1072" spans="1:15" x14ac:dyDescent="0.4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_xlfn.IFS(orders[[#This Row],[Customer Gender]]="M","Male", orders[[#This Row],[Customer Gender]]="F","Female", orders[[#This Row],[Customer Gender]]="O","Other", TRUE,"Unknown")</f>
        <v>Male</v>
      </c>
    </row>
    <row r="1073" spans="1:15" x14ac:dyDescent="0.4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_xlfn.IFS(orders[[#This Row],[Customer Gender]]="M","Male", orders[[#This Row],[Customer Gender]]="F","Female", orders[[#This Row],[Customer Gender]]="O","Other", TRUE,"Unknown")</f>
        <v>Female</v>
      </c>
    </row>
    <row r="1074" spans="1:15" x14ac:dyDescent="0.4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_xlfn.IFS(orders[[#This Row],[Customer Gender]]="M","Male", orders[[#This Row],[Customer Gender]]="F","Female", orders[[#This Row],[Customer Gender]]="O","Other", TRUE,"Unknown")</f>
        <v>Male</v>
      </c>
    </row>
    <row r="1075" spans="1:15" x14ac:dyDescent="0.4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_xlfn.IFS(orders[[#This Row],[Customer Gender]]="M","Male", orders[[#This Row],[Customer Gender]]="F","Female", orders[[#This Row],[Customer Gender]]="O","Other", TRUE,"Unknown")</f>
        <v>Male</v>
      </c>
    </row>
    <row r="1076" spans="1:15" x14ac:dyDescent="0.4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_xlfn.IFS(orders[[#This Row],[Customer Gender]]="M","Male", orders[[#This Row],[Customer Gender]]="F","Female", orders[[#This Row],[Customer Gender]]="O","Other", TRUE,"Unknown")</f>
        <v>Male</v>
      </c>
    </row>
    <row r="1077" spans="1:15" x14ac:dyDescent="0.4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_xlfn.IFS(orders[[#This Row],[Customer Gender]]="M","Male", orders[[#This Row],[Customer Gender]]="F","Female", orders[[#This Row],[Customer Gender]]="O","Other", TRUE,"Unknown")</f>
        <v>Male</v>
      </c>
    </row>
    <row r="1078" spans="1:15" x14ac:dyDescent="0.4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_xlfn.IFS(orders[[#This Row],[Customer Gender]]="M","Male", orders[[#This Row],[Customer Gender]]="F","Female", orders[[#This Row],[Customer Gender]]="O","Other", TRUE,"Unknown")</f>
        <v>Male</v>
      </c>
    </row>
    <row r="1079" spans="1:15" x14ac:dyDescent="0.4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_xlfn.IFS(orders[[#This Row],[Customer Gender]]="M","Male", orders[[#This Row],[Customer Gender]]="F","Female", orders[[#This Row],[Customer Gender]]="O","Other", TRUE,"Unknown")</f>
        <v>Male</v>
      </c>
    </row>
    <row r="1080" spans="1:15" x14ac:dyDescent="0.4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_xlfn.IFS(orders[[#This Row],[Customer Gender]]="M","Male", orders[[#This Row],[Customer Gender]]="F","Female", orders[[#This Row],[Customer Gender]]="O","Other", TRUE,"Unknown")</f>
        <v>Male</v>
      </c>
    </row>
    <row r="1081" spans="1:15" x14ac:dyDescent="0.4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_xlfn.IFS(orders[[#This Row],[Customer Gender]]="M","Male", orders[[#This Row],[Customer Gender]]="F","Female", orders[[#This Row],[Customer Gender]]="O","Other", TRUE,"Unknown")</f>
        <v>Male</v>
      </c>
    </row>
    <row r="1082" spans="1:15" x14ac:dyDescent="0.4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_xlfn.IFS(orders[[#This Row],[Customer Gender]]="M","Male", orders[[#This Row],[Customer Gender]]="F","Female", orders[[#This Row],[Customer Gender]]="O","Other", TRUE,"Unknown")</f>
        <v>Female</v>
      </c>
    </row>
    <row r="1083" spans="1:15" x14ac:dyDescent="0.4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_xlfn.IFS(orders[[#This Row],[Customer Gender]]="M","Male", orders[[#This Row],[Customer Gender]]="F","Female", orders[[#This Row],[Customer Gender]]="O","Other", TRUE,"Unknown")</f>
        <v>Female</v>
      </c>
    </row>
    <row r="1084" spans="1:15" x14ac:dyDescent="0.4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_xlfn.IFS(orders[[#This Row],[Customer Gender]]="M","Male", orders[[#This Row],[Customer Gender]]="F","Female", orders[[#This Row],[Customer Gender]]="O","Other", TRUE,"Unknown")</f>
        <v>Female</v>
      </c>
    </row>
    <row r="1085" spans="1:15" x14ac:dyDescent="0.4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_xlfn.IFS(orders[[#This Row],[Customer Gender]]="M","Male", orders[[#This Row],[Customer Gender]]="F","Female", orders[[#This Row],[Customer Gender]]="O","Other", TRUE,"Unknown")</f>
        <v>Female</v>
      </c>
    </row>
    <row r="1086" spans="1:15" x14ac:dyDescent="0.4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_xlfn.IFS(orders[[#This Row],[Customer Gender]]="M","Male", orders[[#This Row],[Customer Gender]]="F","Female", orders[[#This Row],[Customer Gender]]="O","Other", TRUE,"Unknown")</f>
        <v>Female</v>
      </c>
    </row>
    <row r="1087" spans="1:15" x14ac:dyDescent="0.4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_xlfn.IFS(orders[[#This Row],[Customer Gender]]="M","Male", orders[[#This Row],[Customer Gender]]="F","Female", orders[[#This Row],[Customer Gender]]="O","Other", TRUE,"Unknown")</f>
        <v>Female</v>
      </c>
    </row>
    <row r="1088" spans="1:15" x14ac:dyDescent="0.4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_xlfn.IFS(orders[[#This Row],[Customer Gender]]="M","Male", orders[[#This Row],[Customer Gender]]="F","Female", orders[[#This Row],[Customer Gender]]="O","Other", TRUE,"Unknown")</f>
        <v>Female</v>
      </c>
    </row>
    <row r="1089" spans="1:15" x14ac:dyDescent="0.4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_xlfn.IFS(orders[[#This Row],[Customer Gender]]="M","Male", orders[[#This Row],[Customer Gender]]="F","Female", orders[[#This Row],[Customer Gender]]="O","Other", TRUE,"Unknown")</f>
        <v>Male</v>
      </c>
    </row>
    <row r="1090" spans="1:15" x14ac:dyDescent="0.4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_xlfn.IFS(orders[[#This Row],[Customer Gender]]="M","Male", orders[[#This Row],[Customer Gender]]="F","Female", orders[[#This Row],[Customer Gender]]="O","Other", TRUE,"Unknown")</f>
        <v>Female</v>
      </c>
    </row>
    <row r="1091" spans="1:15" x14ac:dyDescent="0.4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_xlfn.IFS(orders[[#This Row],[Customer Gender]]="M","Male", orders[[#This Row],[Customer Gender]]="F","Female", orders[[#This Row],[Customer Gender]]="O","Other", TRUE,"Unknown")</f>
        <v>Male</v>
      </c>
    </row>
    <row r="1092" spans="1:15" x14ac:dyDescent="0.4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_xlfn.IFS(orders[[#This Row],[Customer Gender]]="M","Male", orders[[#This Row],[Customer Gender]]="F","Female", orders[[#This Row],[Customer Gender]]="O","Other", TRUE,"Unknown")</f>
        <v>Unknown</v>
      </c>
    </row>
    <row r="1093" spans="1:15" x14ac:dyDescent="0.4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_xlfn.IFS(orders[[#This Row],[Customer Gender]]="M","Male", orders[[#This Row],[Customer Gender]]="F","Female", orders[[#This Row],[Customer Gender]]="O","Other", TRUE,"Unknown")</f>
        <v>Female</v>
      </c>
    </row>
    <row r="1094" spans="1:15" x14ac:dyDescent="0.4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_xlfn.IFS(orders[[#This Row],[Customer Gender]]="M","Male", orders[[#This Row],[Customer Gender]]="F","Female", orders[[#This Row],[Customer Gender]]="O","Other", TRUE,"Unknown")</f>
        <v>Female</v>
      </c>
    </row>
    <row r="1095" spans="1:15" x14ac:dyDescent="0.4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_xlfn.IFS(orders[[#This Row],[Customer Gender]]="M","Male", orders[[#This Row],[Customer Gender]]="F","Female", orders[[#This Row],[Customer Gender]]="O","Other", TRUE,"Unknown")</f>
        <v>Male</v>
      </c>
    </row>
    <row r="1096" spans="1:15" x14ac:dyDescent="0.4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_xlfn.IFS(orders[[#This Row],[Customer Gender]]="M","Male", orders[[#This Row],[Customer Gender]]="F","Female", orders[[#This Row],[Customer Gender]]="O","Other", TRUE,"Unknown")</f>
        <v>Female</v>
      </c>
    </row>
    <row r="1097" spans="1:15" x14ac:dyDescent="0.4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_xlfn.IFS(orders[[#This Row],[Customer Gender]]="M","Male", orders[[#This Row],[Customer Gender]]="F","Female", orders[[#This Row],[Customer Gender]]="O","Other", TRUE,"Unknown")</f>
        <v>Female</v>
      </c>
    </row>
    <row r="1098" spans="1:15" x14ac:dyDescent="0.4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_xlfn.IFS(orders[[#This Row],[Customer Gender]]="M","Male", orders[[#This Row],[Customer Gender]]="F","Female", orders[[#This Row],[Customer Gender]]="O","Other", TRUE,"Unknown")</f>
        <v>Female</v>
      </c>
    </row>
    <row r="1099" spans="1:15" x14ac:dyDescent="0.4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_xlfn.IFS(orders[[#This Row],[Customer Gender]]="M","Male", orders[[#This Row],[Customer Gender]]="F","Female", orders[[#This Row],[Customer Gender]]="O","Other", TRUE,"Unknown")</f>
        <v>Male</v>
      </c>
    </row>
    <row r="1100" spans="1:15" x14ac:dyDescent="0.4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_xlfn.IFS(orders[[#This Row],[Customer Gender]]="M","Male", orders[[#This Row],[Customer Gender]]="F","Female", orders[[#This Row],[Customer Gender]]="O","Other", TRUE,"Unknown")</f>
        <v>Female</v>
      </c>
    </row>
    <row r="1101" spans="1:15" x14ac:dyDescent="0.4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_xlfn.IFS(orders[[#This Row],[Customer Gender]]="M","Male", orders[[#This Row],[Customer Gender]]="F","Female", orders[[#This Row],[Customer Gender]]="O","Other", TRUE,"Unknown")</f>
        <v>Female</v>
      </c>
    </row>
    <row r="1102" spans="1:15" x14ac:dyDescent="0.4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_xlfn.IFS(orders[[#This Row],[Customer Gender]]="M","Male", orders[[#This Row],[Customer Gender]]="F","Female", orders[[#This Row],[Customer Gender]]="O","Other", TRUE,"Unknown")</f>
        <v>Female</v>
      </c>
    </row>
    <row r="1103" spans="1:15" x14ac:dyDescent="0.4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_xlfn.IFS(orders[[#This Row],[Customer Gender]]="M","Male", orders[[#This Row],[Customer Gender]]="F","Female", orders[[#This Row],[Customer Gender]]="O","Other", TRUE,"Unknown")</f>
        <v>Male</v>
      </c>
    </row>
    <row r="1104" spans="1:15" x14ac:dyDescent="0.4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_xlfn.IFS(orders[[#This Row],[Customer Gender]]="M","Male", orders[[#This Row],[Customer Gender]]="F","Female", orders[[#This Row],[Customer Gender]]="O","Other", TRUE,"Unknown")</f>
        <v>Unknown</v>
      </c>
    </row>
    <row r="1105" spans="1:15" x14ac:dyDescent="0.4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_xlfn.IFS(orders[[#This Row],[Customer Gender]]="M","Male", orders[[#This Row],[Customer Gender]]="F","Female", orders[[#This Row],[Customer Gender]]="O","Other", TRUE,"Unknown")</f>
        <v>Female</v>
      </c>
    </row>
    <row r="1106" spans="1:15" x14ac:dyDescent="0.4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_xlfn.IFS(orders[[#This Row],[Customer Gender]]="M","Male", orders[[#This Row],[Customer Gender]]="F","Female", orders[[#This Row],[Customer Gender]]="O","Other", TRUE,"Unknown")</f>
        <v>Male</v>
      </c>
    </row>
    <row r="1107" spans="1:15" x14ac:dyDescent="0.4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_xlfn.IFS(orders[[#This Row],[Customer Gender]]="M","Male", orders[[#This Row],[Customer Gender]]="F","Female", orders[[#This Row],[Customer Gender]]="O","Other", TRUE,"Unknown")</f>
        <v>Other</v>
      </c>
    </row>
    <row r="1108" spans="1:15" x14ac:dyDescent="0.4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_xlfn.IFS(orders[[#This Row],[Customer Gender]]="M","Male", orders[[#This Row],[Customer Gender]]="F","Female", orders[[#This Row],[Customer Gender]]="O","Other", TRUE,"Unknown")</f>
        <v>Male</v>
      </c>
    </row>
    <row r="1109" spans="1:15" x14ac:dyDescent="0.4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_xlfn.IFS(orders[[#This Row],[Customer Gender]]="M","Male", orders[[#This Row],[Customer Gender]]="F","Female", orders[[#This Row],[Customer Gender]]="O","Other", TRUE,"Unknown")</f>
        <v>Female</v>
      </c>
    </row>
    <row r="1110" spans="1:15" x14ac:dyDescent="0.4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_xlfn.IFS(orders[[#This Row],[Customer Gender]]="M","Male", orders[[#This Row],[Customer Gender]]="F","Female", orders[[#This Row],[Customer Gender]]="O","Other", TRUE,"Unknown")</f>
        <v>Female</v>
      </c>
    </row>
    <row r="1111" spans="1:15" x14ac:dyDescent="0.4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_xlfn.IFS(orders[[#This Row],[Customer Gender]]="M","Male", orders[[#This Row],[Customer Gender]]="F","Female", orders[[#This Row],[Customer Gender]]="O","Other", TRUE,"Unknown")</f>
        <v>Female</v>
      </c>
    </row>
    <row r="1112" spans="1:15" x14ac:dyDescent="0.4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_xlfn.IFS(orders[[#This Row],[Customer Gender]]="M","Male", orders[[#This Row],[Customer Gender]]="F","Female", orders[[#This Row],[Customer Gender]]="O","Other", TRUE,"Unknown")</f>
        <v>Male</v>
      </c>
    </row>
    <row r="1113" spans="1:15" x14ac:dyDescent="0.4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_xlfn.IFS(orders[[#This Row],[Customer Gender]]="M","Male", orders[[#This Row],[Customer Gender]]="F","Female", orders[[#This Row],[Customer Gender]]="O","Other", TRUE,"Unknown")</f>
        <v>Other</v>
      </c>
    </row>
    <row r="1114" spans="1:15" x14ac:dyDescent="0.4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_xlfn.IFS(orders[[#This Row],[Customer Gender]]="M","Male", orders[[#This Row],[Customer Gender]]="F","Female", orders[[#This Row],[Customer Gender]]="O","Other", TRUE,"Unknown")</f>
        <v>Female</v>
      </c>
    </row>
    <row r="1115" spans="1:15" x14ac:dyDescent="0.4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_xlfn.IFS(orders[[#This Row],[Customer Gender]]="M","Male", orders[[#This Row],[Customer Gender]]="F","Female", orders[[#This Row],[Customer Gender]]="O","Other", TRUE,"Unknown")</f>
        <v>Female</v>
      </c>
    </row>
    <row r="1116" spans="1:15" x14ac:dyDescent="0.4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_xlfn.IFS(orders[[#This Row],[Customer Gender]]="M","Male", orders[[#This Row],[Customer Gender]]="F","Female", orders[[#This Row],[Customer Gender]]="O","Other", TRUE,"Unknown")</f>
        <v>Female</v>
      </c>
    </row>
    <row r="1117" spans="1:15" x14ac:dyDescent="0.4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_xlfn.IFS(orders[[#This Row],[Customer Gender]]="M","Male", orders[[#This Row],[Customer Gender]]="F","Female", orders[[#This Row],[Customer Gender]]="O","Other", TRUE,"Unknown")</f>
        <v>Female</v>
      </c>
    </row>
    <row r="1118" spans="1:15" x14ac:dyDescent="0.4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_xlfn.IFS(orders[[#This Row],[Customer Gender]]="M","Male", orders[[#This Row],[Customer Gender]]="F","Female", orders[[#This Row],[Customer Gender]]="O","Other", TRUE,"Unknown")</f>
        <v>Female</v>
      </c>
    </row>
    <row r="1119" spans="1:15" x14ac:dyDescent="0.4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_xlfn.IFS(orders[[#This Row],[Customer Gender]]="M","Male", orders[[#This Row],[Customer Gender]]="F","Female", orders[[#This Row],[Customer Gender]]="O","Other", TRUE,"Unknown")</f>
        <v>Female</v>
      </c>
    </row>
    <row r="1120" spans="1:15" x14ac:dyDescent="0.4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_xlfn.IFS(orders[[#This Row],[Customer Gender]]="M","Male", orders[[#This Row],[Customer Gender]]="F","Female", orders[[#This Row],[Customer Gender]]="O","Other", TRUE,"Unknown")</f>
        <v>Female</v>
      </c>
    </row>
    <row r="1121" spans="1:15" x14ac:dyDescent="0.4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_xlfn.IFS(orders[[#This Row],[Customer Gender]]="M","Male", orders[[#This Row],[Customer Gender]]="F","Female", orders[[#This Row],[Customer Gender]]="O","Other", TRUE,"Unknown")</f>
        <v>Female</v>
      </c>
    </row>
    <row r="1122" spans="1:15" x14ac:dyDescent="0.4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_xlfn.IFS(orders[[#This Row],[Customer Gender]]="M","Male", orders[[#This Row],[Customer Gender]]="F","Female", orders[[#This Row],[Customer Gender]]="O","Other", TRUE,"Unknown")</f>
        <v>Female</v>
      </c>
    </row>
    <row r="1123" spans="1:15" x14ac:dyDescent="0.4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_xlfn.IFS(orders[[#This Row],[Customer Gender]]="M","Male", orders[[#This Row],[Customer Gender]]="F","Female", orders[[#This Row],[Customer Gender]]="O","Other", TRUE,"Unknown")</f>
        <v>Male</v>
      </c>
    </row>
    <row r="1124" spans="1:15" x14ac:dyDescent="0.4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_xlfn.IFS(orders[[#This Row],[Customer Gender]]="M","Male", orders[[#This Row],[Customer Gender]]="F","Female", orders[[#This Row],[Customer Gender]]="O","Other", TRUE,"Unknown")</f>
        <v>Female</v>
      </c>
    </row>
    <row r="1125" spans="1:15" x14ac:dyDescent="0.4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_xlfn.IFS(orders[[#This Row],[Customer Gender]]="M","Male", orders[[#This Row],[Customer Gender]]="F","Female", orders[[#This Row],[Customer Gender]]="O","Other", TRUE,"Unknown")</f>
        <v>Male</v>
      </c>
    </row>
    <row r="1126" spans="1:15" x14ac:dyDescent="0.4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_xlfn.IFS(orders[[#This Row],[Customer Gender]]="M","Male", orders[[#This Row],[Customer Gender]]="F","Female", orders[[#This Row],[Customer Gender]]="O","Other", TRUE,"Unknown")</f>
        <v>Female</v>
      </c>
    </row>
    <row r="1127" spans="1:15" x14ac:dyDescent="0.4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_xlfn.IFS(orders[[#This Row],[Customer Gender]]="M","Male", orders[[#This Row],[Customer Gender]]="F","Female", orders[[#This Row],[Customer Gender]]="O","Other", TRUE,"Unknown")</f>
        <v>Female</v>
      </c>
    </row>
    <row r="1128" spans="1:15" x14ac:dyDescent="0.4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_xlfn.IFS(orders[[#This Row],[Customer Gender]]="M","Male", orders[[#This Row],[Customer Gender]]="F","Female", orders[[#This Row],[Customer Gender]]="O","Other", TRUE,"Unknown")</f>
        <v>Female</v>
      </c>
    </row>
    <row r="1129" spans="1:15" x14ac:dyDescent="0.4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_xlfn.IFS(orders[[#This Row],[Customer Gender]]="M","Male", orders[[#This Row],[Customer Gender]]="F","Female", orders[[#This Row],[Customer Gender]]="O","Other", TRUE,"Unknown")</f>
        <v>Female</v>
      </c>
    </row>
    <row r="1130" spans="1:15" x14ac:dyDescent="0.4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_xlfn.IFS(orders[[#This Row],[Customer Gender]]="M","Male", orders[[#This Row],[Customer Gender]]="F","Female", orders[[#This Row],[Customer Gender]]="O","Other", TRUE,"Unknown")</f>
        <v>Female</v>
      </c>
    </row>
    <row r="1131" spans="1:15" x14ac:dyDescent="0.4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_xlfn.IFS(orders[[#This Row],[Customer Gender]]="M","Male", orders[[#This Row],[Customer Gender]]="F","Female", orders[[#This Row],[Customer Gender]]="O","Other", TRUE,"Unknown")</f>
        <v>Female</v>
      </c>
    </row>
    <row r="1132" spans="1:15" x14ac:dyDescent="0.4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_xlfn.IFS(orders[[#This Row],[Customer Gender]]="M","Male", orders[[#This Row],[Customer Gender]]="F","Female", orders[[#This Row],[Customer Gender]]="O","Other", TRUE,"Unknown")</f>
        <v>Female</v>
      </c>
    </row>
    <row r="1133" spans="1:15" x14ac:dyDescent="0.4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_xlfn.IFS(orders[[#This Row],[Customer Gender]]="M","Male", orders[[#This Row],[Customer Gender]]="F","Female", orders[[#This Row],[Customer Gender]]="O","Other", TRUE,"Unknown")</f>
        <v>Male</v>
      </c>
    </row>
    <row r="1134" spans="1:15" x14ac:dyDescent="0.4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_xlfn.IFS(orders[[#This Row],[Customer Gender]]="M","Male", orders[[#This Row],[Customer Gender]]="F","Female", orders[[#This Row],[Customer Gender]]="O","Other", TRUE,"Unknown")</f>
        <v>Female</v>
      </c>
    </row>
    <row r="1135" spans="1:15" x14ac:dyDescent="0.4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_xlfn.IFS(orders[[#This Row],[Customer Gender]]="M","Male", orders[[#This Row],[Customer Gender]]="F","Female", orders[[#This Row],[Customer Gender]]="O","Other", TRUE,"Unknown")</f>
        <v>Female</v>
      </c>
    </row>
    <row r="1136" spans="1:15" x14ac:dyDescent="0.4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_xlfn.IFS(orders[[#This Row],[Customer Gender]]="M","Male", orders[[#This Row],[Customer Gender]]="F","Female", orders[[#This Row],[Customer Gender]]="O","Other", TRUE,"Unknown")</f>
        <v>Female</v>
      </c>
    </row>
    <row r="1137" spans="1:15" x14ac:dyDescent="0.4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_xlfn.IFS(orders[[#This Row],[Customer Gender]]="M","Male", orders[[#This Row],[Customer Gender]]="F","Female", orders[[#This Row],[Customer Gender]]="O","Other", TRUE,"Unknown")</f>
        <v>Male</v>
      </c>
    </row>
    <row r="1138" spans="1:15" x14ac:dyDescent="0.4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_xlfn.IFS(orders[[#This Row],[Customer Gender]]="M","Male", orders[[#This Row],[Customer Gender]]="F","Female", orders[[#This Row],[Customer Gender]]="O","Other", TRUE,"Unknown")</f>
        <v>Female</v>
      </c>
    </row>
    <row r="1139" spans="1:15" x14ac:dyDescent="0.4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_xlfn.IFS(orders[[#This Row],[Customer Gender]]="M","Male", orders[[#This Row],[Customer Gender]]="F","Female", orders[[#This Row],[Customer Gender]]="O","Other", TRUE,"Unknown")</f>
        <v>Female</v>
      </c>
    </row>
    <row r="1140" spans="1:15" x14ac:dyDescent="0.4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_xlfn.IFS(orders[[#This Row],[Customer Gender]]="M","Male", orders[[#This Row],[Customer Gender]]="F","Female", orders[[#This Row],[Customer Gender]]="O","Other", TRUE,"Unknown")</f>
        <v>Female</v>
      </c>
    </row>
    <row r="1141" spans="1:15" x14ac:dyDescent="0.4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_xlfn.IFS(orders[[#This Row],[Customer Gender]]="M","Male", orders[[#This Row],[Customer Gender]]="F","Female", orders[[#This Row],[Customer Gender]]="O","Other", TRUE,"Unknown")</f>
        <v>Male</v>
      </c>
    </row>
    <row r="1142" spans="1:15" x14ac:dyDescent="0.4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_xlfn.IFS(orders[[#This Row],[Customer Gender]]="M","Male", orders[[#This Row],[Customer Gender]]="F","Female", orders[[#This Row],[Customer Gender]]="O","Other", TRUE,"Unknown")</f>
        <v>Male</v>
      </c>
    </row>
    <row r="1143" spans="1:15" x14ac:dyDescent="0.4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_xlfn.IFS(orders[[#This Row],[Customer Gender]]="M","Male", orders[[#This Row],[Customer Gender]]="F","Female", orders[[#This Row],[Customer Gender]]="O","Other", TRUE,"Unknown")</f>
        <v>Female</v>
      </c>
    </row>
    <row r="1144" spans="1:15" x14ac:dyDescent="0.4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_xlfn.IFS(orders[[#This Row],[Customer Gender]]="M","Male", orders[[#This Row],[Customer Gender]]="F","Female", orders[[#This Row],[Customer Gender]]="O","Other", TRUE,"Unknown")</f>
        <v>Female</v>
      </c>
    </row>
    <row r="1145" spans="1:15" x14ac:dyDescent="0.4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_xlfn.IFS(orders[[#This Row],[Customer Gender]]="M","Male", orders[[#This Row],[Customer Gender]]="F","Female", orders[[#This Row],[Customer Gender]]="O","Other", TRUE,"Unknown")</f>
        <v>Male</v>
      </c>
    </row>
    <row r="1146" spans="1:15" x14ac:dyDescent="0.4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_xlfn.IFS(orders[[#This Row],[Customer Gender]]="M","Male", orders[[#This Row],[Customer Gender]]="F","Female", orders[[#This Row],[Customer Gender]]="O","Other", TRUE,"Unknown")</f>
        <v>Female</v>
      </c>
    </row>
    <row r="1147" spans="1:15" x14ac:dyDescent="0.4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_xlfn.IFS(orders[[#This Row],[Customer Gender]]="M","Male", orders[[#This Row],[Customer Gender]]="F","Female", orders[[#This Row],[Customer Gender]]="O","Other", TRUE,"Unknown")</f>
        <v>Female</v>
      </c>
    </row>
    <row r="1148" spans="1:15" x14ac:dyDescent="0.4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_xlfn.IFS(orders[[#This Row],[Customer Gender]]="M","Male", orders[[#This Row],[Customer Gender]]="F","Female", orders[[#This Row],[Customer Gender]]="O","Other", TRUE,"Unknown")</f>
        <v>Female</v>
      </c>
    </row>
    <row r="1149" spans="1:15" x14ac:dyDescent="0.4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_xlfn.IFS(orders[[#This Row],[Customer Gender]]="M","Male", orders[[#This Row],[Customer Gender]]="F","Female", orders[[#This Row],[Customer Gender]]="O","Other", TRUE,"Unknown")</f>
        <v>Female</v>
      </c>
    </row>
    <row r="1150" spans="1:15" x14ac:dyDescent="0.4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_xlfn.IFS(orders[[#This Row],[Customer Gender]]="M","Male", orders[[#This Row],[Customer Gender]]="F","Female", orders[[#This Row],[Customer Gender]]="O","Other", TRUE,"Unknown")</f>
        <v>Male</v>
      </c>
    </row>
    <row r="1151" spans="1:15" x14ac:dyDescent="0.4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_xlfn.IFS(orders[[#This Row],[Customer Gender]]="M","Male", orders[[#This Row],[Customer Gender]]="F","Female", orders[[#This Row],[Customer Gender]]="O","Other", TRUE,"Unknown")</f>
        <v>Male</v>
      </c>
    </row>
    <row r="1152" spans="1:15" x14ac:dyDescent="0.4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_xlfn.IFS(orders[[#This Row],[Customer Gender]]="M","Male", orders[[#This Row],[Customer Gender]]="F","Female", orders[[#This Row],[Customer Gender]]="O","Other", TRUE,"Unknown")</f>
        <v>Female</v>
      </c>
    </row>
    <row r="1153" spans="1:15" x14ac:dyDescent="0.4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_xlfn.IFS(orders[[#This Row],[Customer Gender]]="M","Male", orders[[#This Row],[Customer Gender]]="F","Female", orders[[#This Row],[Customer Gender]]="O","Other", TRUE,"Unknown")</f>
        <v>Female</v>
      </c>
    </row>
    <row r="1154" spans="1:15" x14ac:dyDescent="0.4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_xlfn.IFS(orders[[#This Row],[Customer Gender]]="M","Male", orders[[#This Row],[Customer Gender]]="F","Female", orders[[#This Row],[Customer Gender]]="O","Other", TRUE,"Unknown")</f>
        <v>Other</v>
      </c>
    </row>
    <row r="1155" spans="1:15" x14ac:dyDescent="0.4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_xlfn.IFS(orders[[#This Row],[Customer Gender]]="M","Male", orders[[#This Row],[Customer Gender]]="F","Female", orders[[#This Row],[Customer Gender]]="O","Other", TRUE,"Unknown")</f>
        <v>Male</v>
      </c>
    </row>
    <row r="1156" spans="1:15" x14ac:dyDescent="0.4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_xlfn.IFS(orders[[#This Row],[Customer Gender]]="M","Male", orders[[#This Row],[Customer Gender]]="F","Female", orders[[#This Row],[Customer Gender]]="O","Other", TRUE,"Unknown")</f>
        <v>Female</v>
      </c>
    </row>
    <row r="1157" spans="1:15" x14ac:dyDescent="0.4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_xlfn.IFS(orders[[#This Row],[Customer Gender]]="M","Male", orders[[#This Row],[Customer Gender]]="F","Female", orders[[#This Row],[Customer Gender]]="O","Other", TRUE,"Unknown")</f>
        <v>Male</v>
      </c>
    </row>
    <row r="1158" spans="1:15" x14ac:dyDescent="0.4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_xlfn.IFS(orders[[#This Row],[Customer Gender]]="M","Male", orders[[#This Row],[Customer Gender]]="F","Female", orders[[#This Row],[Customer Gender]]="O","Other", TRUE,"Unknown")</f>
        <v>Female</v>
      </c>
    </row>
    <row r="1159" spans="1:15" x14ac:dyDescent="0.4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_xlfn.IFS(orders[[#This Row],[Customer Gender]]="M","Male", orders[[#This Row],[Customer Gender]]="F","Female", orders[[#This Row],[Customer Gender]]="O","Other", TRUE,"Unknown")</f>
        <v>Female</v>
      </c>
    </row>
    <row r="1160" spans="1:15" x14ac:dyDescent="0.4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_xlfn.IFS(orders[[#This Row],[Customer Gender]]="M","Male", orders[[#This Row],[Customer Gender]]="F","Female", orders[[#This Row],[Customer Gender]]="O","Other", TRUE,"Unknown")</f>
        <v>Male</v>
      </c>
    </row>
    <row r="1161" spans="1:15" x14ac:dyDescent="0.4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_xlfn.IFS(orders[[#This Row],[Customer Gender]]="M","Male", orders[[#This Row],[Customer Gender]]="F","Female", orders[[#This Row],[Customer Gender]]="O","Other", TRUE,"Unknown")</f>
        <v>Unknown</v>
      </c>
    </row>
    <row r="1162" spans="1:15" x14ac:dyDescent="0.4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_xlfn.IFS(orders[[#This Row],[Customer Gender]]="M","Male", orders[[#This Row],[Customer Gender]]="F","Female", orders[[#This Row],[Customer Gender]]="O","Other", TRUE,"Unknown")</f>
        <v>Unknown</v>
      </c>
    </row>
    <row r="1163" spans="1:15" x14ac:dyDescent="0.4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_xlfn.IFS(orders[[#This Row],[Customer Gender]]="M","Male", orders[[#This Row],[Customer Gender]]="F","Female", orders[[#This Row],[Customer Gender]]="O","Other", TRUE,"Unknown")</f>
        <v>Male</v>
      </c>
    </row>
    <row r="1164" spans="1:15" x14ac:dyDescent="0.4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_xlfn.IFS(orders[[#This Row],[Customer Gender]]="M","Male", orders[[#This Row],[Customer Gender]]="F","Female", orders[[#This Row],[Customer Gender]]="O","Other", TRUE,"Unknown")</f>
        <v>Female</v>
      </c>
    </row>
    <row r="1165" spans="1:15" x14ac:dyDescent="0.4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_xlfn.IFS(orders[[#This Row],[Customer Gender]]="M","Male", orders[[#This Row],[Customer Gender]]="F","Female", orders[[#This Row],[Customer Gender]]="O","Other", TRUE,"Unknown")</f>
        <v>Male</v>
      </c>
    </row>
    <row r="1166" spans="1:15" x14ac:dyDescent="0.4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_xlfn.IFS(orders[[#This Row],[Customer Gender]]="M","Male", orders[[#This Row],[Customer Gender]]="F","Female", orders[[#This Row],[Customer Gender]]="O","Other", TRUE,"Unknown")</f>
        <v>Female</v>
      </c>
    </row>
    <row r="1167" spans="1:15" x14ac:dyDescent="0.4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_xlfn.IFS(orders[[#This Row],[Customer Gender]]="M","Male", orders[[#This Row],[Customer Gender]]="F","Female", orders[[#This Row],[Customer Gender]]="O","Other", TRUE,"Unknown")</f>
        <v>Female</v>
      </c>
    </row>
    <row r="1168" spans="1:15" x14ac:dyDescent="0.4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_xlfn.IFS(orders[[#This Row],[Customer Gender]]="M","Male", orders[[#This Row],[Customer Gender]]="F","Female", orders[[#This Row],[Customer Gender]]="O","Other", TRUE,"Unknown")</f>
        <v>Female</v>
      </c>
    </row>
    <row r="1169" spans="1:15" x14ac:dyDescent="0.4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_xlfn.IFS(orders[[#This Row],[Customer Gender]]="M","Male", orders[[#This Row],[Customer Gender]]="F","Female", orders[[#This Row],[Customer Gender]]="O","Other", TRUE,"Unknown")</f>
        <v>Female</v>
      </c>
    </row>
    <row r="1170" spans="1:15" x14ac:dyDescent="0.4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_xlfn.IFS(orders[[#This Row],[Customer Gender]]="M","Male", orders[[#This Row],[Customer Gender]]="F","Female", orders[[#This Row],[Customer Gender]]="O","Other", TRUE,"Unknown")</f>
        <v>Female</v>
      </c>
    </row>
    <row r="1171" spans="1:15" x14ac:dyDescent="0.4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_xlfn.IFS(orders[[#This Row],[Customer Gender]]="M","Male", orders[[#This Row],[Customer Gender]]="F","Female", orders[[#This Row],[Customer Gender]]="O","Other", TRUE,"Unknown")</f>
        <v>Female</v>
      </c>
    </row>
    <row r="1172" spans="1:15" x14ac:dyDescent="0.4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_xlfn.IFS(orders[[#This Row],[Customer Gender]]="M","Male", orders[[#This Row],[Customer Gender]]="F","Female", orders[[#This Row],[Customer Gender]]="O","Other", TRUE,"Unknown")</f>
        <v>Female</v>
      </c>
    </row>
    <row r="1173" spans="1:15" x14ac:dyDescent="0.4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_xlfn.IFS(orders[[#This Row],[Customer Gender]]="M","Male", orders[[#This Row],[Customer Gender]]="F","Female", orders[[#This Row],[Customer Gender]]="O","Other", TRUE,"Unknown")</f>
        <v>Male</v>
      </c>
    </row>
    <row r="1174" spans="1:15" x14ac:dyDescent="0.4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_xlfn.IFS(orders[[#This Row],[Customer Gender]]="M","Male", orders[[#This Row],[Customer Gender]]="F","Female", orders[[#This Row],[Customer Gender]]="O","Other", TRUE,"Unknown")</f>
        <v>Male</v>
      </c>
    </row>
    <row r="1175" spans="1:15" x14ac:dyDescent="0.4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_xlfn.IFS(orders[[#This Row],[Customer Gender]]="M","Male", orders[[#This Row],[Customer Gender]]="F","Female", orders[[#This Row],[Customer Gender]]="O","Other", TRUE,"Unknown")</f>
        <v>Female</v>
      </c>
    </row>
    <row r="1176" spans="1:15" x14ac:dyDescent="0.4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_xlfn.IFS(orders[[#This Row],[Customer Gender]]="M","Male", orders[[#This Row],[Customer Gender]]="F","Female", orders[[#This Row],[Customer Gender]]="O","Other", TRUE,"Unknown")</f>
        <v>Female</v>
      </c>
    </row>
    <row r="1177" spans="1:15" x14ac:dyDescent="0.4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_xlfn.IFS(orders[[#This Row],[Customer Gender]]="M","Male", orders[[#This Row],[Customer Gender]]="F","Female", orders[[#This Row],[Customer Gender]]="O","Other", TRUE,"Unknown")</f>
        <v>Male</v>
      </c>
    </row>
    <row r="1178" spans="1:15" x14ac:dyDescent="0.4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_xlfn.IFS(orders[[#This Row],[Customer Gender]]="M","Male", orders[[#This Row],[Customer Gender]]="F","Female", orders[[#This Row],[Customer Gender]]="O","Other", TRUE,"Unknown")</f>
        <v>Female</v>
      </c>
    </row>
    <row r="1179" spans="1:15" x14ac:dyDescent="0.4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_xlfn.IFS(orders[[#This Row],[Customer Gender]]="M","Male", orders[[#This Row],[Customer Gender]]="F","Female", orders[[#This Row],[Customer Gender]]="O","Other", TRUE,"Unknown")</f>
        <v>Female</v>
      </c>
    </row>
    <row r="1180" spans="1:15" x14ac:dyDescent="0.4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_xlfn.IFS(orders[[#This Row],[Customer Gender]]="M","Male", orders[[#This Row],[Customer Gender]]="F","Female", orders[[#This Row],[Customer Gender]]="O","Other", TRUE,"Unknown")</f>
        <v>Unknown</v>
      </c>
    </row>
    <row r="1181" spans="1:15" x14ac:dyDescent="0.4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_xlfn.IFS(orders[[#This Row],[Customer Gender]]="M","Male", orders[[#This Row],[Customer Gender]]="F","Female", orders[[#This Row],[Customer Gender]]="O","Other", TRUE,"Unknown")</f>
        <v>Female</v>
      </c>
    </row>
    <row r="1182" spans="1:15" x14ac:dyDescent="0.4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_xlfn.IFS(orders[[#This Row],[Customer Gender]]="M","Male", orders[[#This Row],[Customer Gender]]="F","Female", orders[[#This Row],[Customer Gender]]="O","Other", TRUE,"Unknown")</f>
        <v>Female</v>
      </c>
    </row>
    <row r="1183" spans="1:15" x14ac:dyDescent="0.4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_xlfn.IFS(orders[[#This Row],[Customer Gender]]="M","Male", orders[[#This Row],[Customer Gender]]="F","Female", orders[[#This Row],[Customer Gender]]="O","Other", TRUE,"Unknown")</f>
        <v>Male</v>
      </c>
    </row>
    <row r="1184" spans="1:15" x14ac:dyDescent="0.4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_xlfn.IFS(orders[[#This Row],[Customer Gender]]="M","Male", orders[[#This Row],[Customer Gender]]="F","Female", orders[[#This Row],[Customer Gender]]="O","Other", TRUE,"Unknown")</f>
        <v>Unknown</v>
      </c>
    </row>
    <row r="1185" spans="1:15" x14ac:dyDescent="0.4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_xlfn.IFS(orders[[#This Row],[Customer Gender]]="M","Male", orders[[#This Row],[Customer Gender]]="F","Female", orders[[#This Row],[Customer Gender]]="O","Other", TRUE,"Unknown")</f>
        <v>Male</v>
      </c>
    </row>
    <row r="1186" spans="1:15" x14ac:dyDescent="0.4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_xlfn.IFS(orders[[#This Row],[Customer Gender]]="M","Male", orders[[#This Row],[Customer Gender]]="F","Female", orders[[#This Row],[Customer Gender]]="O","Other", TRUE,"Unknown")</f>
        <v>Female</v>
      </c>
    </row>
    <row r="1187" spans="1:15" x14ac:dyDescent="0.4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_xlfn.IFS(orders[[#This Row],[Customer Gender]]="M","Male", orders[[#This Row],[Customer Gender]]="F","Female", orders[[#This Row],[Customer Gender]]="O","Other", TRUE,"Unknown")</f>
        <v>Male</v>
      </c>
    </row>
    <row r="1188" spans="1:15" x14ac:dyDescent="0.4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_xlfn.IFS(orders[[#This Row],[Customer Gender]]="M","Male", orders[[#This Row],[Customer Gender]]="F","Female", orders[[#This Row],[Customer Gender]]="O","Other", TRUE,"Unknown")</f>
        <v>Unknown</v>
      </c>
    </row>
    <row r="1189" spans="1:15" x14ac:dyDescent="0.4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_xlfn.IFS(orders[[#This Row],[Customer Gender]]="M","Male", orders[[#This Row],[Customer Gender]]="F","Female", orders[[#This Row],[Customer Gender]]="O","Other", TRUE,"Unknown")</f>
        <v>Female</v>
      </c>
    </row>
    <row r="1190" spans="1:15" x14ac:dyDescent="0.4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_xlfn.IFS(orders[[#This Row],[Customer Gender]]="M","Male", orders[[#This Row],[Customer Gender]]="F","Female", orders[[#This Row],[Customer Gender]]="O","Other", TRUE,"Unknown")</f>
        <v>Female</v>
      </c>
    </row>
    <row r="1191" spans="1:15" x14ac:dyDescent="0.4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_xlfn.IFS(orders[[#This Row],[Customer Gender]]="M","Male", orders[[#This Row],[Customer Gender]]="F","Female", orders[[#This Row],[Customer Gender]]="O","Other", TRUE,"Unknown")</f>
        <v>Male</v>
      </c>
    </row>
    <row r="1192" spans="1:15" x14ac:dyDescent="0.4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_xlfn.IFS(orders[[#This Row],[Customer Gender]]="M","Male", orders[[#This Row],[Customer Gender]]="F","Female", orders[[#This Row],[Customer Gender]]="O","Other", TRUE,"Unknown")</f>
        <v>Female</v>
      </c>
    </row>
    <row r="1193" spans="1:15" x14ac:dyDescent="0.4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_xlfn.IFS(orders[[#This Row],[Customer Gender]]="M","Male", orders[[#This Row],[Customer Gender]]="F","Female", orders[[#This Row],[Customer Gender]]="O","Other", TRUE,"Unknown")</f>
        <v>Female</v>
      </c>
    </row>
    <row r="1194" spans="1:15" x14ac:dyDescent="0.4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_xlfn.IFS(orders[[#This Row],[Customer Gender]]="M","Male", orders[[#This Row],[Customer Gender]]="F","Female", orders[[#This Row],[Customer Gender]]="O","Other", TRUE,"Unknown")</f>
        <v>Male</v>
      </c>
    </row>
    <row r="1195" spans="1:15" x14ac:dyDescent="0.4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_xlfn.IFS(orders[[#This Row],[Customer Gender]]="M","Male", orders[[#This Row],[Customer Gender]]="F","Female", orders[[#This Row],[Customer Gender]]="O","Other", TRUE,"Unknown")</f>
        <v>Female</v>
      </c>
    </row>
    <row r="1196" spans="1:15" x14ac:dyDescent="0.4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_xlfn.IFS(orders[[#This Row],[Customer Gender]]="M","Male", orders[[#This Row],[Customer Gender]]="F","Female", orders[[#This Row],[Customer Gender]]="O","Other", TRUE,"Unknown")</f>
        <v>Male</v>
      </c>
    </row>
    <row r="1197" spans="1:15" x14ac:dyDescent="0.4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_xlfn.IFS(orders[[#This Row],[Customer Gender]]="M","Male", orders[[#This Row],[Customer Gender]]="F","Female", orders[[#This Row],[Customer Gender]]="O","Other", TRUE,"Unknown")</f>
        <v>Male</v>
      </c>
    </row>
    <row r="1198" spans="1:15" x14ac:dyDescent="0.4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_xlfn.IFS(orders[[#This Row],[Customer Gender]]="M","Male", orders[[#This Row],[Customer Gender]]="F","Female", orders[[#This Row],[Customer Gender]]="O","Other", TRUE,"Unknown")</f>
        <v>Male</v>
      </c>
    </row>
    <row r="1199" spans="1:15" x14ac:dyDescent="0.4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_xlfn.IFS(orders[[#This Row],[Customer Gender]]="M","Male", orders[[#This Row],[Customer Gender]]="F","Female", orders[[#This Row],[Customer Gender]]="O","Other", TRUE,"Unknown")</f>
        <v>Male</v>
      </c>
    </row>
    <row r="1200" spans="1:15" x14ac:dyDescent="0.4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_xlfn.IFS(orders[[#This Row],[Customer Gender]]="M","Male", orders[[#This Row],[Customer Gender]]="F","Female", orders[[#This Row],[Customer Gender]]="O","Other", TRUE,"Unknown")</f>
        <v>Female</v>
      </c>
    </row>
    <row r="1201" spans="1:15" x14ac:dyDescent="0.4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_xlfn.IFS(orders[[#This Row],[Customer Gender]]="M","Male", orders[[#This Row],[Customer Gender]]="F","Female", orders[[#This Row],[Customer Gender]]="O","Other", TRUE,"Unknown")</f>
        <v>Female</v>
      </c>
    </row>
    <row r="1202" spans="1:15" x14ac:dyDescent="0.4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_xlfn.IFS(orders[[#This Row],[Customer Gender]]="M","Male", orders[[#This Row],[Customer Gender]]="F","Female", orders[[#This Row],[Customer Gender]]="O","Other", TRUE,"Unknown")</f>
        <v>Female</v>
      </c>
    </row>
    <row r="1203" spans="1:15" x14ac:dyDescent="0.4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_xlfn.IFS(orders[[#This Row],[Customer Gender]]="M","Male", orders[[#This Row],[Customer Gender]]="F","Female", orders[[#This Row],[Customer Gender]]="O","Other", TRUE,"Unknown")</f>
        <v>Female</v>
      </c>
    </row>
    <row r="1204" spans="1:15" x14ac:dyDescent="0.4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_xlfn.IFS(orders[[#This Row],[Customer Gender]]="M","Male", orders[[#This Row],[Customer Gender]]="F","Female", orders[[#This Row],[Customer Gender]]="O","Other", TRUE,"Unknown")</f>
        <v>Female</v>
      </c>
    </row>
    <row r="1205" spans="1:15" x14ac:dyDescent="0.4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_xlfn.IFS(orders[[#This Row],[Customer Gender]]="M","Male", orders[[#This Row],[Customer Gender]]="F","Female", orders[[#This Row],[Customer Gender]]="O","Other", TRUE,"Unknown")</f>
        <v>Male</v>
      </c>
    </row>
    <row r="1206" spans="1:15" x14ac:dyDescent="0.4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_xlfn.IFS(orders[[#This Row],[Customer Gender]]="M","Male", orders[[#This Row],[Customer Gender]]="F","Female", orders[[#This Row],[Customer Gender]]="O","Other", TRUE,"Unknown")</f>
        <v>Male</v>
      </c>
    </row>
    <row r="1207" spans="1:15" x14ac:dyDescent="0.4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_xlfn.IFS(orders[[#This Row],[Customer Gender]]="M","Male", orders[[#This Row],[Customer Gender]]="F","Female", orders[[#This Row],[Customer Gender]]="O","Other", TRUE,"Unknown")</f>
        <v>Other</v>
      </c>
    </row>
    <row r="1208" spans="1:15" x14ac:dyDescent="0.4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_xlfn.IFS(orders[[#This Row],[Customer Gender]]="M","Male", orders[[#This Row],[Customer Gender]]="F","Female", orders[[#This Row],[Customer Gender]]="O","Other", TRUE,"Unknown")</f>
        <v>Female</v>
      </c>
    </row>
    <row r="1209" spans="1:15" x14ac:dyDescent="0.4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_xlfn.IFS(orders[[#This Row],[Customer Gender]]="M","Male", orders[[#This Row],[Customer Gender]]="F","Female", orders[[#This Row],[Customer Gender]]="O","Other", TRUE,"Unknown")</f>
        <v>Female</v>
      </c>
    </row>
    <row r="1210" spans="1:15" x14ac:dyDescent="0.4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_xlfn.IFS(orders[[#This Row],[Customer Gender]]="M","Male", orders[[#This Row],[Customer Gender]]="F","Female", orders[[#This Row],[Customer Gender]]="O","Other", TRUE,"Unknown")</f>
        <v>Male</v>
      </c>
    </row>
    <row r="1211" spans="1:15" x14ac:dyDescent="0.4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_xlfn.IFS(orders[[#This Row],[Customer Gender]]="M","Male", orders[[#This Row],[Customer Gender]]="F","Female", orders[[#This Row],[Customer Gender]]="O","Other", TRUE,"Unknown")</f>
        <v>Male</v>
      </c>
    </row>
    <row r="1212" spans="1:15" x14ac:dyDescent="0.4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_xlfn.IFS(orders[[#This Row],[Customer Gender]]="M","Male", orders[[#This Row],[Customer Gender]]="F","Female", orders[[#This Row],[Customer Gender]]="O","Other", TRUE,"Unknown")</f>
        <v>Other</v>
      </c>
    </row>
    <row r="1213" spans="1:15" x14ac:dyDescent="0.4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_xlfn.IFS(orders[[#This Row],[Customer Gender]]="M","Male", orders[[#This Row],[Customer Gender]]="F","Female", orders[[#This Row],[Customer Gender]]="O","Other", TRUE,"Unknown")</f>
        <v>Female</v>
      </c>
    </row>
    <row r="1214" spans="1:15" x14ac:dyDescent="0.4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_xlfn.IFS(orders[[#This Row],[Customer Gender]]="M","Male", orders[[#This Row],[Customer Gender]]="F","Female", orders[[#This Row],[Customer Gender]]="O","Other", TRUE,"Unknown")</f>
        <v>Female</v>
      </c>
    </row>
    <row r="1215" spans="1:15" x14ac:dyDescent="0.4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_xlfn.IFS(orders[[#This Row],[Customer Gender]]="M","Male", orders[[#This Row],[Customer Gender]]="F","Female", orders[[#This Row],[Customer Gender]]="O","Other", TRUE,"Unknown")</f>
        <v>Unknown</v>
      </c>
    </row>
    <row r="1216" spans="1:15" x14ac:dyDescent="0.4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_xlfn.IFS(orders[[#This Row],[Customer Gender]]="M","Male", orders[[#This Row],[Customer Gender]]="F","Female", orders[[#This Row],[Customer Gender]]="O","Other", TRUE,"Unknown")</f>
        <v>Female</v>
      </c>
    </row>
    <row r="1217" spans="1:15" x14ac:dyDescent="0.4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_xlfn.IFS(orders[[#This Row],[Customer Gender]]="M","Male", orders[[#This Row],[Customer Gender]]="F","Female", orders[[#This Row],[Customer Gender]]="O","Other", TRUE,"Unknown")</f>
        <v>Male</v>
      </c>
    </row>
    <row r="1218" spans="1:15" x14ac:dyDescent="0.4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_xlfn.IFS(orders[[#This Row],[Customer Gender]]="M","Male", orders[[#This Row],[Customer Gender]]="F","Female", orders[[#This Row],[Customer Gender]]="O","Other", TRUE,"Unknown")</f>
        <v>Male</v>
      </c>
    </row>
    <row r="1219" spans="1:15" x14ac:dyDescent="0.4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_xlfn.IFS(orders[[#This Row],[Customer Gender]]="M","Male", orders[[#This Row],[Customer Gender]]="F","Female", orders[[#This Row],[Customer Gender]]="O","Other", TRUE,"Unknown")</f>
        <v>Male</v>
      </c>
    </row>
    <row r="1220" spans="1:15" x14ac:dyDescent="0.4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_xlfn.IFS(orders[[#This Row],[Customer Gender]]="M","Male", orders[[#This Row],[Customer Gender]]="F","Female", orders[[#This Row],[Customer Gender]]="O","Other", TRUE,"Unknown")</f>
        <v>Female</v>
      </c>
    </row>
    <row r="1221" spans="1:15" x14ac:dyDescent="0.4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_xlfn.IFS(orders[[#This Row],[Customer Gender]]="M","Male", orders[[#This Row],[Customer Gender]]="F","Female", orders[[#This Row],[Customer Gender]]="O","Other", TRUE,"Unknown")</f>
        <v>Male</v>
      </c>
    </row>
    <row r="1222" spans="1:15" x14ac:dyDescent="0.4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_xlfn.IFS(orders[[#This Row],[Customer Gender]]="M","Male", orders[[#This Row],[Customer Gender]]="F","Female", orders[[#This Row],[Customer Gender]]="O","Other", TRUE,"Unknown")</f>
        <v>Male</v>
      </c>
    </row>
    <row r="1223" spans="1:15" x14ac:dyDescent="0.4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_xlfn.IFS(orders[[#This Row],[Customer Gender]]="M","Male", orders[[#This Row],[Customer Gender]]="F","Female", orders[[#This Row],[Customer Gender]]="O","Other", TRUE,"Unknown")</f>
        <v>Female</v>
      </c>
    </row>
    <row r="1224" spans="1:15" x14ac:dyDescent="0.4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_xlfn.IFS(orders[[#This Row],[Customer Gender]]="M","Male", orders[[#This Row],[Customer Gender]]="F","Female", orders[[#This Row],[Customer Gender]]="O","Other", TRUE,"Unknown")</f>
        <v>Female</v>
      </c>
    </row>
    <row r="1225" spans="1:15" x14ac:dyDescent="0.4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_xlfn.IFS(orders[[#This Row],[Customer Gender]]="M","Male", orders[[#This Row],[Customer Gender]]="F","Female", orders[[#This Row],[Customer Gender]]="O","Other", TRUE,"Unknown")</f>
        <v>Male</v>
      </c>
    </row>
    <row r="1226" spans="1:15" x14ac:dyDescent="0.4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_xlfn.IFS(orders[[#This Row],[Customer Gender]]="M","Male", orders[[#This Row],[Customer Gender]]="F","Female", orders[[#This Row],[Customer Gender]]="O","Other", TRUE,"Unknown")</f>
        <v>Male</v>
      </c>
    </row>
    <row r="1227" spans="1:15" x14ac:dyDescent="0.4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_xlfn.IFS(orders[[#This Row],[Customer Gender]]="M","Male", orders[[#This Row],[Customer Gender]]="F","Female", orders[[#This Row],[Customer Gender]]="O","Other", TRUE,"Unknown")</f>
        <v>Unknown</v>
      </c>
    </row>
    <row r="1228" spans="1:15" x14ac:dyDescent="0.4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_xlfn.IFS(orders[[#This Row],[Customer Gender]]="M","Male", orders[[#This Row],[Customer Gender]]="F","Female", orders[[#This Row],[Customer Gender]]="O","Other", TRUE,"Unknown")</f>
        <v>Male</v>
      </c>
    </row>
    <row r="1229" spans="1:15" x14ac:dyDescent="0.4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_xlfn.IFS(orders[[#This Row],[Customer Gender]]="M","Male", orders[[#This Row],[Customer Gender]]="F","Female", orders[[#This Row],[Customer Gender]]="O","Other", TRUE,"Unknown")</f>
        <v>Female</v>
      </c>
    </row>
    <row r="1230" spans="1:15" x14ac:dyDescent="0.4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_xlfn.IFS(orders[[#This Row],[Customer Gender]]="M","Male", orders[[#This Row],[Customer Gender]]="F","Female", orders[[#This Row],[Customer Gender]]="O","Other", TRUE,"Unknown")</f>
        <v>Male</v>
      </c>
    </row>
    <row r="1231" spans="1:15" x14ac:dyDescent="0.4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_xlfn.IFS(orders[[#This Row],[Customer Gender]]="M","Male", orders[[#This Row],[Customer Gender]]="F","Female", orders[[#This Row],[Customer Gender]]="O","Other", TRUE,"Unknown")</f>
        <v>Female</v>
      </c>
    </row>
    <row r="1232" spans="1:15" x14ac:dyDescent="0.4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_xlfn.IFS(orders[[#This Row],[Customer Gender]]="M","Male", orders[[#This Row],[Customer Gender]]="F","Female", orders[[#This Row],[Customer Gender]]="O","Other", TRUE,"Unknown")</f>
        <v>Male</v>
      </c>
    </row>
    <row r="1233" spans="1:15" x14ac:dyDescent="0.4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_xlfn.IFS(orders[[#This Row],[Customer Gender]]="M","Male", orders[[#This Row],[Customer Gender]]="F","Female", orders[[#This Row],[Customer Gender]]="O","Other", TRUE,"Unknown")</f>
        <v>Male</v>
      </c>
    </row>
    <row r="1234" spans="1:15" x14ac:dyDescent="0.4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_xlfn.IFS(orders[[#This Row],[Customer Gender]]="M","Male", orders[[#This Row],[Customer Gender]]="F","Female", orders[[#This Row],[Customer Gender]]="O","Other", TRUE,"Unknown")</f>
        <v>Female</v>
      </c>
    </row>
    <row r="1235" spans="1:15" x14ac:dyDescent="0.4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_xlfn.IFS(orders[[#This Row],[Customer Gender]]="M","Male", orders[[#This Row],[Customer Gender]]="F","Female", orders[[#This Row],[Customer Gender]]="O","Other", TRUE,"Unknown")</f>
        <v>Other</v>
      </c>
    </row>
    <row r="1236" spans="1:15" x14ac:dyDescent="0.4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_xlfn.IFS(orders[[#This Row],[Customer Gender]]="M","Male", orders[[#This Row],[Customer Gender]]="F","Female", orders[[#This Row],[Customer Gender]]="O","Other", TRUE,"Unknown")</f>
        <v>Male</v>
      </c>
    </row>
    <row r="1237" spans="1:15" x14ac:dyDescent="0.4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_xlfn.IFS(orders[[#This Row],[Customer Gender]]="M","Male", orders[[#This Row],[Customer Gender]]="F","Female", orders[[#This Row],[Customer Gender]]="O","Other", TRUE,"Unknown")</f>
        <v>Other</v>
      </c>
    </row>
    <row r="1238" spans="1:15" x14ac:dyDescent="0.4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_xlfn.IFS(orders[[#This Row],[Customer Gender]]="M","Male", orders[[#This Row],[Customer Gender]]="F","Female", orders[[#This Row],[Customer Gender]]="O","Other", TRUE,"Unknown")</f>
        <v>Unknown</v>
      </c>
    </row>
    <row r="1239" spans="1:15" x14ac:dyDescent="0.4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_xlfn.IFS(orders[[#This Row],[Customer Gender]]="M","Male", orders[[#This Row],[Customer Gender]]="F","Female", orders[[#This Row],[Customer Gender]]="O","Other", TRUE,"Unknown")</f>
        <v>Female</v>
      </c>
    </row>
    <row r="1240" spans="1:15" x14ac:dyDescent="0.4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_xlfn.IFS(orders[[#This Row],[Customer Gender]]="M","Male", orders[[#This Row],[Customer Gender]]="F","Female", orders[[#This Row],[Customer Gender]]="O","Other", TRUE,"Unknown")</f>
        <v>Male</v>
      </c>
    </row>
    <row r="1241" spans="1:15" x14ac:dyDescent="0.4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_xlfn.IFS(orders[[#This Row],[Customer Gender]]="M","Male", orders[[#This Row],[Customer Gender]]="F","Female", orders[[#This Row],[Customer Gender]]="O","Other", TRUE,"Unknown")</f>
        <v>Female</v>
      </c>
    </row>
    <row r="1242" spans="1:15" x14ac:dyDescent="0.4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_xlfn.IFS(orders[[#This Row],[Customer Gender]]="M","Male", orders[[#This Row],[Customer Gender]]="F","Female", orders[[#This Row],[Customer Gender]]="O","Other", TRUE,"Unknown")</f>
        <v>Unknown</v>
      </c>
    </row>
    <row r="1243" spans="1:15" x14ac:dyDescent="0.4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_xlfn.IFS(orders[[#This Row],[Customer Gender]]="M","Male", orders[[#This Row],[Customer Gender]]="F","Female", orders[[#This Row],[Customer Gender]]="O","Other", TRUE,"Unknown")</f>
        <v>Female</v>
      </c>
    </row>
    <row r="1244" spans="1:15" x14ac:dyDescent="0.4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_xlfn.IFS(orders[[#This Row],[Customer Gender]]="M","Male", orders[[#This Row],[Customer Gender]]="F","Female", orders[[#This Row],[Customer Gender]]="O","Other", TRUE,"Unknown")</f>
        <v>Female</v>
      </c>
    </row>
    <row r="1245" spans="1:15" x14ac:dyDescent="0.4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_xlfn.IFS(orders[[#This Row],[Customer Gender]]="M","Male", orders[[#This Row],[Customer Gender]]="F","Female", orders[[#This Row],[Customer Gender]]="O","Other", TRUE,"Unknown")</f>
        <v>Female</v>
      </c>
    </row>
    <row r="1246" spans="1:15" x14ac:dyDescent="0.4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_xlfn.IFS(orders[[#This Row],[Customer Gender]]="M","Male", orders[[#This Row],[Customer Gender]]="F","Female", orders[[#This Row],[Customer Gender]]="O","Other", TRUE,"Unknown")</f>
        <v>Female</v>
      </c>
    </row>
    <row r="1247" spans="1:15" x14ac:dyDescent="0.4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_xlfn.IFS(orders[[#This Row],[Customer Gender]]="M","Male", orders[[#This Row],[Customer Gender]]="F","Female", orders[[#This Row],[Customer Gender]]="O","Other", TRUE,"Unknown")</f>
        <v>Male</v>
      </c>
    </row>
    <row r="1248" spans="1:15" x14ac:dyDescent="0.4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_xlfn.IFS(orders[[#This Row],[Customer Gender]]="M","Male", orders[[#This Row],[Customer Gender]]="F","Female", orders[[#This Row],[Customer Gender]]="O","Other", TRUE,"Unknown")</f>
        <v>Male</v>
      </c>
    </row>
    <row r="1249" spans="1:15" x14ac:dyDescent="0.4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_xlfn.IFS(orders[[#This Row],[Customer Gender]]="M","Male", orders[[#This Row],[Customer Gender]]="F","Female", orders[[#This Row],[Customer Gender]]="O","Other", TRUE,"Unknown")</f>
        <v>Female</v>
      </c>
    </row>
    <row r="1250" spans="1:15" x14ac:dyDescent="0.4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_xlfn.IFS(orders[[#This Row],[Customer Gender]]="M","Male", orders[[#This Row],[Customer Gender]]="F","Female", orders[[#This Row],[Customer Gender]]="O","Other", TRUE,"Unknown")</f>
        <v>Male</v>
      </c>
    </row>
    <row r="1251" spans="1:15" x14ac:dyDescent="0.4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_xlfn.IFS(orders[[#This Row],[Customer Gender]]="M","Male", orders[[#This Row],[Customer Gender]]="F","Female", orders[[#This Row],[Customer Gender]]="O","Other", TRUE,"Unknown")</f>
        <v>Female</v>
      </c>
    </row>
    <row r="1252" spans="1:15" x14ac:dyDescent="0.4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_xlfn.IFS(orders[[#This Row],[Customer Gender]]="M","Male", orders[[#This Row],[Customer Gender]]="F","Female", orders[[#This Row],[Customer Gender]]="O","Other", TRUE,"Unknown")</f>
        <v>Male</v>
      </c>
    </row>
    <row r="1253" spans="1:15" x14ac:dyDescent="0.4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_xlfn.IFS(orders[[#This Row],[Customer Gender]]="M","Male", orders[[#This Row],[Customer Gender]]="F","Female", orders[[#This Row],[Customer Gender]]="O","Other", TRUE,"Unknown")</f>
        <v>Unknown</v>
      </c>
    </row>
    <row r="1254" spans="1:15" x14ac:dyDescent="0.4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_xlfn.IFS(orders[[#This Row],[Customer Gender]]="M","Male", orders[[#This Row],[Customer Gender]]="F","Female", orders[[#This Row],[Customer Gender]]="O","Other", TRUE,"Unknown")</f>
        <v>Female</v>
      </c>
    </row>
    <row r="1255" spans="1:15" x14ac:dyDescent="0.4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_xlfn.IFS(orders[[#This Row],[Customer Gender]]="M","Male", orders[[#This Row],[Customer Gender]]="F","Female", orders[[#This Row],[Customer Gender]]="O","Other", TRUE,"Unknown")</f>
        <v>Female</v>
      </c>
    </row>
    <row r="1256" spans="1:15" x14ac:dyDescent="0.4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_xlfn.IFS(orders[[#This Row],[Customer Gender]]="M","Male", orders[[#This Row],[Customer Gender]]="F","Female", orders[[#This Row],[Customer Gender]]="O","Other", TRUE,"Unknown")</f>
        <v>Female</v>
      </c>
    </row>
    <row r="1257" spans="1:15" x14ac:dyDescent="0.4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_xlfn.IFS(orders[[#This Row],[Customer Gender]]="M","Male", orders[[#This Row],[Customer Gender]]="F","Female", orders[[#This Row],[Customer Gender]]="O","Other", TRUE,"Unknown")</f>
        <v>Female</v>
      </c>
    </row>
    <row r="1258" spans="1:15" x14ac:dyDescent="0.4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_xlfn.IFS(orders[[#This Row],[Customer Gender]]="M","Male", orders[[#This Row],[Customer Gender]]="F","Female", orders[[#This Row],[Customer Gender]]="O","Other", TRUE,"Unknown")</f>
        <v>Male</v>
      </c>
    </row>
    <row r="1259" spans="1:15" x14ac:dyDescent="0.4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_xlfn.IFS(orders[[#This Row],[Customer Gender]]="M","Male", orders[[#This Row],[Customer Gender]]="F","Female", orders[[#This Row],[Customer Gender]]="O","Other", TRUE,"Unknown")</f>
        <v>Male</v>
      </c>
    </row>
    <row r="1260" spans="1:15" x14ac:dyDescent="0.4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_xlfn.IFS(orders[[#This Row],[Customer Gender]]="M","Male", orders[[#This Row],[Customer Gender]]="F","Female", orders[[#This Row],[Customer Gender]]="O","Other", TRUE,"Unknown")</f>
        <v>Male</v>
      </c>
    </row>
    <row r="1261" spans="1:15" x14ac:dyDescent="0.4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_xlfn.IFS(orders[[#This Row],[Customer Gender]]="M","Male", orders[[#This Row],[Customer Gender]]="F","Female", orders[[#This Row],[Customer Gender]]="O","Other", TRUE,"Unknown")</f>
        <v>Male</v>
      </c>
    </row>
    <row r="1262" spans="1:15" x14ac:dyDescent="0.4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_xlfn.IFS(orders[[#This Row],[Customer Gender]]="M","Male", orders[[#This Row],[Customer Gender]]="F","Female", orders[[#This Row],[Customer Gender]]="O","Other", TRUE,"Unknown")</f>
        <v>Male</v>
      </c>
    </row>
    <row r="1263" spans="1:15" x14ac:dyDescent="0.4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_xlfn.IFS(orders[[#This Row],[Customer Gender]]="M","Male", orders[[#This Row],[Customer Gender]]="F","Female", orders[[#This Row],[Customer Gender]]="O","Other", TRUE,"Unknown")</f>
        <v>Male</v>
      </c>
    </row>
    <row r="1264" spans="1:15" x14ac:dyDescent="0.4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_xlfn.IFS(orders[[#This Row],[Customer Gender]]="M","Male", orders[[#This Row],[Customer Gender]]="F","Female", orders[[#This Row],[Customer Gender]]="O","Other", TRUE,"Unknown")</f>
        <v>Male</v>
      </c>
    </row>
    <row r="1265" spans="1:15" x14ac:dyDescent="0.4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_xlfn.IFS(orders[[#This Row],[Customer Gender]]="M","Male", orders[[#This Row],[Customer Gender]]="F","Female", orders[[#This Row],[Customer Gender]]="O","Other", TRUE,"Unknown")</f>
        <v>Male</v>
      </c>
    </row>
    <row r="1266" spans="1:15" x14ac:dyDescent="0.4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_xlfn.IFS(orders[[#This Row],[Customer Gender]]="M","Male", orders[[#This Row],[Customer Gender]]="F","Female", orders[[#This Row],[Customer Gender]]="O","Other", TRUE,"Unknown")</f>
        <v>Female</v>
      </c>
    </row>
    <row r="1267" spans="1:15" x14ac:dyDescent="0.4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_xlfn.IFS(orders[[#This Row],[Customer Gender]]="M","Male", orders[[#This Row],[Customer Gender]]="F","Female", orders[[#This Row],[Customer Gender]]="O","Other", TRUE,"Unknown")</f>
        <v>Female</v>
      </c>
    </row>
    <row r="1268" spans="1:15" x14ac:dyDescent="0.4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_xlfn.IFS(orders[[#This Row],[Customer Gender]]="M","Male", orders[[#This Row],[Customer Gender]]="F","Female", orders[[#This Row],[Customer Gender]]="O","Other", TRUE,"Unknown")</f>
        <v>Male</v>
      </c>
    </row>
    <row r="1269" spans="1:15" x14ac:dyDescent="0.4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_xlfn.IFS(orders[[#This Row],[Customer Gender]]="M","Male", orders[[#This Row],[Customer Gender]]="F","Female", orders[[#This Row],[Customer Gender]]="O","Other", TRUE,"Unknown")</f>
        <v>Male</v>
      </c>
    </row>
    <row r="1270" spans="1:15" x14ac:dyDescent="0.4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_xlfn.IFS(orders[[#This Row],[Customer Gender]]="M","Male", orders[[#This Row],[Customer Gender]]="F","Female", orders[[#This Row],[Customer Gender]]="O","Other", TRUE,"Unknown")</f>
        <v>Female</v>
      </c>
    </row>
    <row r="1271" spans="1:15" x14ac:dyDescent="0.4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_xlfn.IFS(orders[[#This Row],[Customer Gender]]="M","Male", orders[[#This Row],[Customer Gender]]="F","Female", orders[[#This Row],[Customer Gender]]="O","Other", TRUE,"Unknown")</f>
        <v>Female</v>
      </c>
    </row>
    <row r="1272" spans="1:15" x14ac:dyDescent="0.4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_xlfn.IFS(orders[[#This Row],[Customer Gender]]="M","Male", orders[[#This Row],[Customer Gender]]="F","Female", orders[[#This Row],[Customer Gender]]="O","Other", TRUE,"Unknown")</f>
        <v>Female</v>
      </c>
    </row>
    <row r="1273" spans="1:15" x14ac:dyDescent="0.4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_xlfn.IFS(orders[[#This Row],[Customer Gender]]="M","Male", orders[[#This Row],[Customer Gender]]="F","Female", orders[[#This Row],[Customer Gender]]="O","Other", TRUE,"Unknown")</f>
        <v>Male</v>
      </c>
    </row>
    <row r="1274" spans="1:15" x14ac:dyDescent="0.4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_xlfn.IFS(orders[[#This Row],[Customer Gender]]="M","Male", orders[[#This Row],[Customer Gender]]="F","Female", orders[[#This Row],[Customer Gender]]="O","Other", TRUE,"Unknown")</f>
        <v>Male</v>
      </c>
    </row>
    <row r="1275" spans="1:15" x14ac:dyDescent="0.4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_xlfn.IFS(orders[[#This Row],[Customer Gender]]="M","Male", orders[[#This Row],[Customer Gender]]="F","Female", orders[[#This Row],[Customer Gender]]="O","Other", TRUE,"Unknown")</f>
        <v>Female</v>
      </c>
    </row>
    <row r="1276" spans="1:15" x14ac:dyDescent="0.4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_xlfn.IFS(orders[[#This Row],[Customer Gender]]="M","Male", orders[[#This Row],[Customer Gender]]="F","Female", orders[[#This Row],[Customer Gender]]="O","Other", TRUE,"Unknown")</f>
        <v>Female</v>
      </c>
    </row>
    <row r="1277" spans="1:15" x14ac:dyDescent="0.4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_xlfn.IFS(orders[[#This Row],[Customer Gender]]="M","Male", orders[[#This Row],[Customer Gender]]="F","Female", orders[[#This Row],[Customer Gender]]="O","Other", TRUE,"Unknown")</f>
        <v>Female</v>
      </c>
    </row>
    <row r="1278" spans="1:15" x14ac:dyDescent="0.4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_xlfn.IFS(orders[[#This Row],[Customer Gender]]="M","Male", orders[[#This Row],[Customer Gender]]="F","Female", orders[[#This Row],[Customer Gender]]="O","Other", TRUE,"Unknown")</f>
        <v>Female</v>
      </c>
    </row>
    <row r="1279" spans="1:15" x14ac:dyDescent="0.4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_xlfn.IFS(orders[[#This Row],[Customer Gender]]="M","Male", orders[[#This Row],[Customer Gender]]="F","Female", orders[[#This Row],[Customer Gender]]="O","Other", TRUE,"Unknown")</f>
        <v>Unknown</v>
      </c>
    </row>
    <row r="1280" spans="1:15" x14ac:dyDescent="0.4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_xlfn.IFS(orders[[#This Row],[Customer Gender]]="M","Male", orders[[#This Row],[Customer Gender]]="F","Female", orders[[#This Row],[Customer Gender]]="O","Other", TRUE,"Unknown")</f>
        <v>Female</v>
      </c>
    </row>
    <row r="1281" spans="1:15" x14ac:dyDescent="0.4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_xlfn.IFS(orders[[#This Row],[Customer Gender]]="M","Male", orders[[#This Row],[Customer Gender]]="F","Female", orders[[#This Row],[Customer Gender]]="O","Other", TRUE,"Unknown")</f>
        <v>Female</v>
      </c>
    </row>
    <row r="1282" spans="1:15" x14ac:dyDescent="0.4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_xlfn.IFS(orders[[#This Row],[Customer Gender]]="M","Male", orders[[#This Row],[Customer Gender]]="F","Female", orders[[#This Row],[Customer Gender]]="O","Other", TRUE,"Unknown")</f>
        <v>Female</v>
      </c>
    </row>
    <row r="1283" spans="1:15" x14ac:dyDescent="0.4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_xlfn.IFS(orders[[#This Row],[Customer Gender]]="M","Male", orders[[#This Row],[Customer Gender]]="F","Female", orders[[#This Row],[Customer Gender]]="O","Other", TRUE,"Unknown")</f>
        <v>Female</v>
      </c>
    </row>
    <row r="1284" spans="1:15" x14ac:dyDescent="0.4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_xlfn.IFS(orders[[#This Row],[Customer Gender]]="M","Male", orders[[#This Row],[Customer Gender]]="F","Female", orders[[#This Row],[Customer Gender]]="O","Other", TRUE,"Unknown")</f>
        <v>Male</v>
      </c>
    </row>
    <row r="1285" spans="1:15" x14ac:dyDescent="0.4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_xlfn.IFS(orders[[#This Row],[Customer Gender]]="M","Male", orders[[#This Row],[Customer Gender]]="F","Female", orders[[#This Row],[Customer Gender]]="O","Other", TRUE,"Unknown")</f>
        <v>Female</v>
      </c>
    </row>
    <row r="1286" spans="1:15" x14ac:dyDescent="0.4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_xlfn.IFS(orders[[#This Row],[Customer Gender]]="M","Male", orders[[#This Row],[Customer Gender]]="F","Female", orders[[#This Row],[Customer Gender]]="O","Other", TRUE,"Unknown")</f>
        <v>Male</v>
      </c>
    </row>
    <row r="1287" spans="1:15" x14ac:dyDescent="0.4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_xlfn.IFS(orders[[#This Row],[Customer Gender]]="M","Male", orders[[#This Row],[Customer Gender]]="F","Female", orders[[#This Row],[Customer Gender]]="O","Other", TRUE,"Unknown")</f>
        <v>Male</v>
      </c>
    </row>
    <row r="1288" spans="1:15" x14ac:dyDescent="0.4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_xlfn.IFS(orders[[#This Row],[Customer Gender]]="M","Male", orders[[#This Row],[Customer Gender]]="F","Female", orders[[#This Row],[Customer Gender]]="O","Other", TRUE,"Unknown")</f>
        <v>Male</v>
      </c>
    </row>
    <row r="1289" spans="1:15" x14ac:dyDescent="0.4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_xlfn.IFS(orders[[#This Row],[Customer Gender]]="M","Male", orders[[#This Row],[Customer Gender]]="F","Female", orders[[#This Row],[Customer Gender]]="O","Other", TRUE,"Unknown")</f>
        <v>Male</v>
      </c>
    </row>
    <row r="1290" spans="1:15" x14ac:dyDescent="0.4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_xlfn.IFS(orders[[#This Row],[Customer Gender]]="M","Male", orders[[#This Row],[Customer Gender]]="F","Female", orders[[#This Row],[Customer Gender]]="O","Other", TRUE,"Unknown")</f>
        <v>Male</v>
      </c>
    </row>
    <row r="1291" spans="1:15" x14ac:dyDescent="0.4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_xlfn.IFS(orders[[#This Row],[Customer Gender]]="M","Male", orders[[#This Row],[Customer Gender]]="F","Female", orders[[#This Row],[Customer Gender]]="O","Other", TRUE,"Unknown")</f>
        <v>Male</v>
      </c>
    </row>
    <row r="1292" spans="1:15" x14ac:dyDescent="0.4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_xlfn.IFS(orders[[#This Row],[Customer Gender]]="M","Male", orders[[#This Row],[Customer Gender]]="F","Female", orders[[#This Row],[Customer Gender]]="O","Other", TRUE,"Unknown")</f>
        <v>Male</v>
      </c>
    </row>
    <row r="1293" spans="1:15" x14ac:dyDescent="0.4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_xlfn.IFS(orders[[#This Row],[Customer Gender]]="M","Male", orders[[#This Row],[Customer Gender]]="F","Female", orders[[#This Row],[Customer Gender]]="O","Other", TRUE,"Unknown")</f>
        <v>Female</v>
      </c>
    </row>
    <row r="1294" spans="1:15" x14ac:dyDescent="0.4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_xlfn.IFS(orders[[#This Row],[Customer Gender]]="M","Male", orders[[#This Row],[Customer Gender]]="F","Female", orders[[#This Row],[Customer Gender]]="O","Other", TRUE,"Unknown")</f>
        <v>Male</v>
      </c>
    </row>
    <row r="1295" spans="1:15" x14ac:dyDescent="0.4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_xlfn.IFS(orders[[#This Row],[Customer Gender]]="M","Male", orders[[#This Row],[Customer Gender]]="F","Female", orders[[#This Row],[Customer Gender]]="O","Other", TRUE,"Unknown")</f>
        <v>Male</v>
      </c>
    </row>
    <row r="1296" spans="1:15" x14ac:dyDescent="0.4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_xlfn.IFS(orders[[#This Row],[Customer Gender]]="M","Male", orders[[#This Row],[Customer Gender]]="F","Female", orders[[#This Row],[Customer Gender]]="O","Other", TRUE,"Unknown")</f>
        <v>Unknown</v>
      </c>
    </row>
    <row r="1297" spans="1:15" x14ac:dyDescent="0.4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_xlfn.IFS(orders[[#This Row],[Customer Gender]]="M","Male", orders[[#This Row],[Customer Gender]]="F","Female", orders[[#This Row],[Customer Gender]]="O","Other", TRUE,"Unknown")</f>
        <v>Male</v>
      </c>
    </row>
    <row r="1298" spans="1:15" x14ac:dyDescent="0.4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_xlfn.IFS(orders[[#This Row],[Customer Gender]]="M","Male", orders[[#This Row],[Customer Gender]]="F","Female", orders[[#This Row],[Customer Gender]]="O","Other", TRUE,"Unknown")</f>
        <v>Female</v>
      </c>
    </row>
    <row r="1299" spans="1:15" x14ac:dyDescent="0.4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_xlfn.IFS(orders[[#This Row],[Customer Gender]]="M","Male", orders[[#This Row],[Customer Gender]]="F","Female", orders[[#This Row],[Customer Gender]]="O","Other", TRUE,"Unknown")</f>
        <v>Female</v>
      </c>
    </row>
    <row r="1300" spans="1:15" x14ac:dyDescent="0.4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_xlfn.IFS(orders[[#This Row],[Customer Gender]]="M","Male", orders[[#This Row],[Customer Gender]]="F","Female", orders[[#This Row],[Customer Gender]]="O","Other", TRUE,"Unknown")</f>
        <v>Female</v>
      </c>
    </row>
    <row r="1301" spans="1:15" x14ac:dyDescent="0.4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_xlfn.IFS(orders[[#This Row],[Customer Gender]]="M","Male", orders[[#This Row],[Customer Gender]]="F","Female", orders[[#This Row],[Customer Gender]]="O","Other", TRUE,"Unknown")</f>
        <v>Female</v>
      </c>
    </row>
    <row r="1302" spans="1:15" x14ac:dyDescent="0.4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_xlfn.IFS(orders[[#This Row],[Customer Gender]]="M","Male", orders[[#This Row],[Customer Gender]]="F","Female", orders[[#This Row],[Customer Gender]]="O","Other", TRUE,"Unknown")</f>
        <v>Female</v>
      </c>
    </row>
    <row r="1303" spans="1:15" x14ac:dyDescent="0.4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_xlfn.IFS(orders[[#This Row],[Customer Gender]]="M","Male", orders[[#This Row],[Customer Gender]]="F","Female", orders[[#This Row],[Customer Gender]]="O","Other", TRUE,"Unknown")</f>
        <v>Male</v>
      </c>
    </row>
    <row r="1304" spans="1:15" x14ac:dyDescent="0.4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_xlfn.IFS(orders[[#This Row],[Customer Gender]]="M","Male", orders[[#This Row],[Customer Gender]]="F","Female", orders[[#This Row],[Customer Gender]]="O","Other", TRUE,"Unknown")</f>
        <v>Male</v>
      </c>
    </row>
    <row r="1305" spans="1:15" x14ac:dyDescent="0.4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_xlfn.IFS(orders[[#This Row],[Customer Gender]]="M","Male", orders[[#This Row],[Customer Gender]]="F","Female", orders[[#This Row],[Customer Gender]]="O","Other", TRUE,"Unknown")</f>
        <v>Female</v>
      </c>
    </row>
    <row r="1306" spans="1:15" x14ac:dyDescent="0.4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_xlfn.IFS(orders[[#This Row],[Customer Gender]]="M","Male", orders[[#This Row],[Customer Gender]]="F","Female", orders[[#This Row],[Customer Gender]]="O","Other", TRUE,"Unknown")</f>
        <v>Female</v>
      </c>
    </row>
    <row r="1307" spans="1:15" x14ac:dyDescent="0.4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_xlfn.IFS(orders[[#This Row],[Customer Gender]]="M","Male", orders[[#This Row],[Customer Gender]]="F","Female", orders[[#This Row],[Customer Gender]]="O","Other", TRUE,"Unknown")</f>
        <v>Female</v>
      </c>
    </row>
    <row r="1308" spans="1:15" x14ac:dyDescent="0.4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_xlfn.IFS(orders[[#This Row],[Customer Gender]]="M","Male", orders[[#This Row],[Customer Gender]]="F","Female", orders[[#This Row],[Customer Gender]]="O","Other", TRUE,"Unknown")</f>
        <v>Male</v>
      </c>
    </row>
    <row r="1309" spans="1:15" x14ac:dyDescent="0.4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_xlfn.IFS(orders[[#This Row],[Customer Gender]]="M","Male", orders[[#This Row],[Customer Gender]]="F","Female", orders[[#This Row],[Customer Gender]]="O","Other", TRUE,"Unknown")</f>
        <v>Female</v>
      </c>
    </row>
    <row r="1310" spans="1:15" x14ac:dyDescent="0.4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_xlfn.IFS(orders[[#This Row],[Customer Gender]]="M","Male", orders[[#This Row],[Customer Gender]]="F","Female", orders[[#This Row],[Customer Gender]]="O","Other", TRUE,"Unknown")</f>
        <v>Male</v>
      </c>
    </row>
    <row r="1311" spans="1:15" x14ac:dyDescent="0.4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_xlfn.IFS(orders[[#This Row],[Customer Gender]]="M","Male", orders[[#This Row],[Customer Gender]]="F","Female", orders[[#This Row],[Customer Gender]]="O","Other", TRUE,"Unknown")</f>
        <v>Male</v>
      </c>
    </row>
    <row r="1312" spans="1:15" x14ac:dyDescent="0.4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_xlfn.IFS(orders[[#This Row],[Customer Gender]]="M","Male", orders[[#This Row],[Customer Gender]]="F","Female", orders[[#This Row],[Customer Gender]]="O","Other", TRUE,"Unknown")</f>
        <v>Male</v>
      </c>
    </row>
    <row r="1313" spans="1:15" x14ac:dyDescent="0.4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_xlfn.IFS(orders[[#This Row],[Customer Gender]]="M","Male", orders[[#This Row],[Customer Gender]]="F","Female", orders[[#This Row],[Customer Gender]]="O","Other", TRUE,"Unknown")</f>
        <v>Male</v>
      </c>
    </row>
    <row r="1314" spans="1:15" x14ac:dyDescent="0.4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_xlfn.IFS(orders[[#This Row],[Customer Gender]]="M","Male", orders[[#This Row],[Customer Gender]]="F","Female", orders[[#This Row],[Customer Gender]]="O","Other", TRUE,"Unknown")</f>
        <v>Female</v>
      </c>
    </row>
    <row r="1315" spans="1:15" x14ac:dyDescent="0.4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_xlfn.IFS(orders[[#This Row],[Customer Gender]]="M","Male", orders[[#This Row],[Customer Gender]]="F","Female", orders[[#This Row],[Customer Gender]]="O","Other", TRUE,"Unknown")</f>
        <v>Female</v>
      </c>
    </row>
    <row r="1316" spans="1:15" x14ac:dyDescent="0.4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_xlfn.IFS(orders[[#This Row],[Customer Gender]]="M","Male", orders[[#This Row],[Customer Gender]]="F","Female", orders[[#This Row],[Customer Gender]]="O","Other", TRUE,"Unknown")</f>
        <v>Female</v>
      </c>
    </row>
    <row r="1317" spans="1:15" x14ac:dyDescent="0.4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_xlfn.IFS(orders[[#This Row],[Customer Gender]]="M","Male", orders[[#This Row],[Customer Gender]]="F","Female", orders[[#This Row],[Customer Gender]]="O","Other", TRUE,"Unknown")</f>
        <v>Unknown</v>
      </c>
    </row>
    <row r="1318" spans="1:15" x14ac:dyDescent="0.4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_xlfn.IFS(orders[[#This Row],[Customer Gender]]="M","Male", orders[[#This Row],[Customer Gender]]="F","Female", orders[[#This Row],[Customer Gender]]="O","Other", TRUE,"Unknown")</f>
        <v>Female</v>
      </c>
    </row>
    <row r="1319" spans="1:15" x14ac:dyDescent="0.4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_xlfn.IFS(orders[[#This Row],[Customer Gender]]="M","Male", orders[[#This Row],[Customer Gender]]="F","Female", orders[[#This Row],[Customer Gender]]="O","Other", TRUE,"Unknown")</f>
        <v>Female</v>
      </c>
    </row>
    <row r="1320" spans="1:15" x14ac:dyDescent="0.4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_xlfn.IFS(orders[[#This Row],[Customer Gender]]="M","Male", orders[[#This Row],[Customer Gender]]="F","Female", orders[[#This Row],[Customer Gender]]="O","Other", TRUE,"Unknown")</f>
        <v>Male</v>
      </c>
    </row>
    <row r="1321" spans="1:15" x14ac:dyDescent="0.4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_xlfn.IFS(orders[[#This Row],[Customer Gender]]="M","Male", orders[[#This Row],[Customer Gender]]="F","Female", orders[[#This Row],[Customer Gender]]="O","Other", TRUE,"Unknown")</f>
        <v>Male</v>
      </c>
    </row>
    <row r="1322" spans="1:15" x14ac:dyDescent="0.4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_xlfn.IFS(orders[[#This Row],[Customer Gender]]="M","Male", orders[[#This Row],[Customer Gender]]="F","Female", orders[[#This Row],[Customer Gender]]="O","Other", TRUE,"Unknown")</f>
        <v>Male</v>
      </c>
    </row>
    <row r="1323" spans="1:15" x14ac:dyDescent="0.4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_xlfn.IFS(orders[[#This Row],[Customer Gender]]="M","Male", orders[[#This Row],[Customer Gender]]="F","Female", orders[[#This Row],[Customer Gender]]="O","Other", TRUE,"Unknown")</f>
        <v>Male</v>
      </c>
    </row>
    <row r="1324" spans="1:15" x14ac:dyDescent="0.4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_xlfn.IFS(orders[[#This Row],[Customer Gender]]="M","Male", orders[[#This Row],[Customer Gender]]="F","Female", orders[[#This Row],[Customer Gender]]="O","Other", TRUE,"Unknown")</f>
        <v>Female</v>
      </c>
    </row>
    <row r="1325" spans="1:15" x14ac:dyDescent="0.4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_xlfn.IFS(orders[[#This Row],[Customer Gender]]="M","Male", orders[[#This Row],[Customer Gender]]="F","Female", orders[[#This Row],[Customer Gender]]="O","Other", TRUE,"Unknown")</f>
        <v>Male</v>
      </c>
    </row>
    <row r="1326" spans="1:15" x14ac:dyDescent="0.4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_xlfn.IFS(orders[[#This Row],[Customer Gender]]="M","Male", orders[[#This Row],[Customer Gender]]="F","Female", orders[[#This Row],[Customer Gender]]="O","Other", TRUE,"Unknown")</f>
        <v>Male</v>
      </c>
    </row>
    <row r="1327" spans="1:15" x14ac:dyDescent="0.4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_xlfn.IFS(orders[[#This Row],[Customer Gender]]="M","Male", orders[[#This Row],[Customer Gender]]="F","Female", orders[[#This Row],[Customer Gender]]="O","Other", TRUE,"Unknown")</f>
        <v>Male</v>
      </c>
    </row>
    <row r="1328" spans="1:15" x14ac:dyDescent="0.4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_xlfn.IFS(orders[[#This Row],[Customer Gender]]="M","Male", orders[[#This Row],[Customer Gender]]="F","Female", orders[[#This Row],[Customer Gender]]="O","Other", TRUE,"Unknown")</f>
        <v>Male</v>
      </c>
    </row>
    <row r="1329" spans="1:15" x14ac:dyDescent="0.4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_xlfn.IFS(orders[[#This Row],[Customer Gender]]="M","Male", orders[[#This Row],[Customer Gender]]="F","Female", orders[[#This Row],[Customer Gender]]="O","Other", TRUE,"Unknown")</f>
        <v>Female</v>
      </c>
    </row>
    <row r="1330" spans="1:15" x14ac:dyDescent="0.4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_xlfn.IFS(orders[[#This Row],[Customer Gender]]="M","Male", orders[[#This Row],[Customer Gender]]="F","Female", orders[[#This Row],[Customer Gender]]="O","Other", TRUE,"Unknown")</f>
        <v>Male</v>
      </c>
    </row>
    <row r="1331" spans="1:15" x14ac:dyDescent="0.4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_xlfn.IFS(orders[[#This Row],[Customer Gender]]="M","Male", orders[[#This Row],[Customer Gender]]="F","Female", orders[[#This Row],[Customer Gender]]="O","Other", TRUE,"Unknown")</f>
        <v>Unknown</v>
      </c>
    </row>
    <row r="1332" spans="1:15" x14ac:dyDescent="0.4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_xlfn.IFS(orders[[#This Row],[Customer Gender]]="M","Male", orders[[#This Row],[Customer Gender]]="F","Female", orders[[#This Row],[Customer Gender]]="O","Other", TRUE,"Unknown")</f>
        <v>Male</v>
      </c>
    </row>
    <row r="1333" spans="1:15" x14ac:dyDescent="0.4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_xlfn.IFS(orders[[#This Row],[Customer Gender]]="M","Male", orders[[#This Row],[Customer Gender]]="F","Female", orders[[#This Row],[Customer Gender]]="O","Other", TRUE,"Unknown")</f>
        <v>Female</v>
      </c>
    </row>
    <row r="1334" spans="1:15" x14ac:dyDescent="0.4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_xlfn.IFS(orders[[#This Row],[Customer Gender]]="M","Male", orders[[#This Row],[Customer Gender]]="F","Female", orders[[#This Row],[Customer Gender]]="O","Other", TRUE,"Unknown")</f>
        <v>Female</v>
      </c>
    </row>
    <row r="1335" spans="1:15" x14ac:dyDescent="0.4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_xlfn.IFS(orders[[#This Row],[Customer Gender]]="M","Male", orders[[#This Row],[Customer Gender]]="F","Female", orders[[#This Row],[Customer Gender]]="O","Other", TRUE,"Unknown")</f>
        <v>Male</v>
      </c>
    </row>
    <row r="1336" spans="1:15" x14ac:dyDescent="0.4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_xlfn.IFS(orders[[#This Row],[Customer Gender]]="M","Male", orders[[#This Row],[Customer Gender]]="F","Female", orders[[#This Row],[Customer Gender]]="O","Other", TRUE,"Unknown")</f>
        <v>Female</v>
      </c>
    </row>
    <row r="1337" spans="1:15" x14ac:dyDescent="0.4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_xlfn.IFS(orders[[#This Row],[Customer Gender]]="M","Male", orders[[#This Row],[Customer Gender]]="F","Female", orders[[#This Row],[Customer Gender]]="O","Other", TRUE,"Unknown")</f>
        <v>Male</v>
      </c>
    </row>
    <row r="1338" spans="1:15" x14ac:dyDescent="0.4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_xlfn.IFS(orders[[#This Row],[Customer Gender]]="M","Male", orders[[#This Row],[Customer Gender]]="F","Female", orders[[#This Row],[Customer Gender]]="O","Other", TRUE,"Unknown")</f>
        <v>Male</v>
      </c>
    </row>
    <row r="1339" spans="1:15" x14ac:dyDescent="0.4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_xlfn.IFS(orders[[#This Row],[Customer Gender]]="M","Male", orders[[#This Row],[Customer Gender]]="F","Female", orders[[#This Row],[Customer Gender]]="O","Other", TRUE,"Unknown")</f>
        <v>Male</v>
      </c>
    </row>
    <row r="1340" spans="1:15" x14ac:dyDescent="0.4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_xlfn.IFS(orders[[#This Row],[Customer Gender]]="M","Male", orders[[#This Row],[Customer Gender]]="F","Female", orders[[#This Row],[Customer Gender]]="O","Other", TRUE,"Unknown")</f>
        <v>Male</v>
      </c>
    </row>
    <row r="1341" spans="1:15" x14ac:dyDescent="0.4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_xlfn.IFS(orders[[#This Row],[Customer Gender]]="M","Male", orders[[#This Row],[Customer Gender]]="F","Female", orders[[#This Row],[Customer Gender]]="O","Other", TRUE,"Unknown")</f>
        <v>Female</v>
      </c>
    </row>
    <row r="1342" spans="1:15" x14ac:dyDescent="0.4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_xlfn.IFS(orders[[#This Row],[Customer Gender]]="M","Male", orders[[#This Row],[Customer Gender]]="F","Female", orders[[#This Row],[Customer Gender]]="O","Other", TRUE,"Unknown")</f>
        <v>Male</v>
      </c>
    </row>
    <row r="1343" spans="1:15" x14ac:dyDescent="0.4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_xlfn.IFS(orders[[#This Row],[Customer Gender]]="M","Male", orders[[#This Row],[Customer Gender]]="F","Female", orders[[#This Row],[Customer Gender]]="O","Other", TRUE,"Unknown")</f>
        <v>Male</v>
      </c>
    </row>
    <row r="1344" spans="1:15" x14ac:dyDescent="0.4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_xlfn.IFS(orders[[#This Row],[Customer Gender]]="M","Male", orders[[#This Row],[Customer Gender]]="F","Female", orders[[#This Row],[Customer Gender]]="O","Other", TRUE,"Unknown")</f>
        <v>Male</v>
      </c>
    </row>
    <row r="1345" spans="1:15" x14ac:dyDescent="0.4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_xlfn.IFS(orders[[#This Row],[Customer Gender]]="M","Male", orders[[#This Row],[Customer Gender]]="F","Female", orders[[#This Row],[Customer Gender]]="O","Other", TRUE,"Unknown")</f>
        <v>Female</v>
      </c>
    </row>
    <row r="1346" spans="1:15" x14ac:dyDescent="0.4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_xlfn.IFS(orders[[#This Row],[Customer Gender]]="M","Male", orders[[#This Row],[Customer Gender]]="F","Female", orders[[#This Row],[Customer Gender]]="O","Other", TRUE,"Unknown")</f>
        <v>Male</v>
      </c>
    </row>
    <row r="1347" spans="1:15" x14ac:dyDescent="0.4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_xlfn.IFS(orders[[#This Row],[Customer Gender]]="M","Male", orders[[#This Row],[Customer Gender]]="F","Female", orders[[#This Row],[Customer Gender]]="O","Other", TRUE,"Unknown")</f>
        <v>Female</v>
      </c>
    </row>
    <row r="1348" spans="1:15" x14ac:dyDescent="0.4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_xlfn.IFS(orders[[#This Row],[Customer Gender]]="M","Male", orders[[#This Row],[Customer Gender]]="F","Female", orders[[#This Row],[Customer Gender]]="O","Other", TRUE,"Unknown")</f>
        <v>Female</v>
      </c>
    </row>
    <row r="1349" spans="1:15" x14ac:dyDescent="0.4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_xlfn.IFS(orders[[#This Row],[Customer Gender]]="M","Male", orders[[#This Row],[Customer Gender]]="F","Female", orders[[#This Row],[Customer Gender]]="O","Other", TRUE,"Unknown")</f>
        <v>Female</v>
      </c>
    </row>
    <row r="1350" spans="1:15" x14ac:dyDescent="0.4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_xlfn.IFS(orders[[#This Row],[Customer Gender]]="M","Male", orders[[#This Row],[Customer Gender]]="F","Female", orders[[#This Row],[Customer Gender]]="O","Other", TRUE,"Unknown")</f>
        <v>Male</v>
      </c>
    </row>
    <row r="1351" spans="1:15" x14ac:dyDescent="0.4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_xlfn.IFS(orders[[#This Row],[Customer Gender]]="M","Male", orders[[#This Row],[Customer Gender]]="F","Female", orders[[#This Row],[Customer Gender]]="O","Other", TRUE,"Unknown")</f>
        <v>Other</v>
      </c>
    </row>
    <row r="1352" spans="1:15" x14ac:dyDescent="0.4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_xlfn.IFS(orders[[#This Row],[Customer Gender]]="M","Male", orders[[#This Row],[Customer Gender]]="F","Female", orders[[#This Row],[Customer Gender]]="O","Other", TRUE,"Unknown")</f>
        <v>Female</v>
      </c>
    </row>
    <row r="1353" spans="1:15" x14ac:dyDescent="0.4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_xlfn.IFS(orders[[#This Row],[Customer Gender]]="M","Male", orders[[#This Row],[Customer Gender]]="F","Female", orders[[#This Row],[Customer Gender]]="O","Other", TRUE,"Unknown")</f>
        <v>Male</v>
      </c>
    </row>
    <row r="1354" spans="1:15" x14ac:dyDescent="0.4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_xlfn.IFS(orders[[#This Row],[Customer Gender]]="M","Male", orders[[#This Row],[Customer Gender]]="F","Female", orders[[#This Row],[Customer Gender]]="O","Other", TRUE,"Unknown")</f>
        <v>Female</v>
      </c>
    </row>
    <row r="1355" spans="1:15" x14ac:dyDescent="0.4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_xlfn.IFS(orders[[#This Row],[Customer Gender]]="M","Male", orders[[#This Row],[Customer Gender]]="F","Female", orders[[#This Row],[Customer Gender]]="O","Other", TRUE,"Unknown")</f>
        <v>Male</v>
      </c>
    </row>
    <row r="1356" spans="1:15" x14ac:dyDescent="0.4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_xlfn.IFS(orders[[#This Row],[Customer Gender]]="M","Male", orders[[#This Row],[Customer Gender]]="F","Female", orders[[#This Row],[Customer Gender]]="O","Other", TRUE,"Unknown")</f>
        <v>Male</v>
      </c>
    </row>
    <row r="1357" spans="1:15" x14ac:dyDescent="0.4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_xlfn.IFS(orders[[#This Row],[Customer Gender]]="M","Male", orders[[#This Row],[Customer Gender]]="F","Female", orders[[#This Row],[Customer Gender]]="O","Other", TRUE,"Unknown")</f>
        <v>Female</v>
      </c>
    </row>
    <row r="1358" spans="1:15" x14ac:dyDescent="0.4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_xlfn.IFS(orders[[#This Row],[Customer Gender]]="M","Male", orders[[#This Row],[Customer Gender]]="F","Female", orders[[#This Row],[Customer Gender]]="O","Other", TRUE,"Unknown")</f>
        <v>Female</v>
      </c>
    </row>
    <row r="1359" spans="1:15" x14ac:dyDescent="0.4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_xlfn.IFS(orders[[#This Row],[Customer Gender]]="M","Male", orders[[#This Row],[Customer Gender]]="F","Female", orders[[#This Row],[Customer Gender]]="O","Other", TRUE,"Unknown")</f>
        <v>Male</v>
      </c>
    </row>
    <row r="1360" spans="1:15" x14ac:dyDescent="0.4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_xlfn.IFS(orders[[#This Row],[Customer Gender]]="M","Male", orders[[#This Row],[Customer Gender]]="F","Female", orders[[#This Row],[Customer Gender]]="O","Other", TRUE,"Unknown")</f>
        <v>Unknown</v>
      </c>
    </row>
    <row r="1361" spans="1:15" x14ac:dyDescent="0.4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_xlfn.IFS(orders[[#This Row],[Customer Gender]]="M","Male", orders[[#This Row],[Customer Gender]]="F","Female", orders[[#This Row],[Customer Gender]]="O","Other", TRUE,"Unknown")</f>
        <v>Male</v>
      </c>
    </row>
    <row r="1362" spans="1:15" x14ac:dyDescent="0.4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_xlfn.IFS(orders[[#This Row],[Customer Gender]]="M","Male", orders[[#This Row],[Customer Gender]]="F","Female", orders[[#This Row],[Customer Gender]]="O","Other", TRUE,"Unknown")</f>
        <v>Female</v>
      </c>
    </row>
    <row r="1363" spans="1:15" x14ac:dyDescent="0.4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_xlfn.IFS(orders[[#This Row],[Customer Gender]]="M","Male", orders[[#This Row],[Customer Gender]]="F","Female", orders[[#This Row],[Customer Gender]]="O","Other", TRUE,"Unknown")</f>
        <v>Male</v>
      </c>
    </row>
    <row r="1364" spans="1:15" x14ac:dyDescent="0.4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_xlfn.IFS(orders[[#This Row],[Customer Gender]]="M","Male", orders[[#This Row],[Customer Gender]]="F","Female", orders[[#This Row],[Customer Gender]]="O","Other", TRUE,"Unknown")</f>
        <v>Unknown</v>
      </c>
    </row>
    <row r="1365" spans="1:15" x14ac:dyDescent="0.4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_xlfn.IFS(orders[[#This Row],[Customer Gender]]="M","Male", orders[[#This Row],[Customer Gender]]="F","Female", orders[[#This Row],[Customer Gender]]="O","Other", TRUE,"Unknown")</f>
        <v>Male</v>
      </c>
    </row>
    <row r="1366" spans="1:15" x14ac:dyDescent="0.4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_xlfn.IFS(orders[[#This Row],[Customer Gender]]="M","Male", orders[[#This Row],[Customer Gender]]="F","Female", orders[[#This Row],[Customer Gender]]="O","Other", TRUE,"Unknown")</f>
        <v>Male</v>
      </c>
    </row>
    <row r="1367" spans="1:15" x14ac:dyDescent="0.4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_xlfn.IFS(orders[[#This Row],[Customer Gender]]="M","Male", orders[[#This Row],[Customer Gender]]="F","Female", orders[[#This Row],[Customer Gender]]="O","Other", TRUE,"Unknown")</f>
        <v>Unknown</v>
      </c>
    </row>
    <row r="1368" spans="1:15" x14ac:dyDescent="0.4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_xlfn.IFS(orders[[#This Row],[Customer Gender]]="M","Male", orders[[#This Row],[Customer Gender]]="F","Female", orders[[#This Row],[Customer Gender]]="O","Other", TRUE,"Unknown")</f>
        <v>Female</v>
      </c>
    </row>
    <row r="1369" spans="1:15" x14ac:dyDescent="0.4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_xlfn.IFS(orders[[#This Row],[Customer Gender]]="M","Male", orders[[#This Row],[Customer Gender]]="F","Female", orders[[#This Row],[Customer Gender]]="O","Other", TRUE,"Unknown")</f>
        <v>Male</v>
      </c>
    </row>
    <row r="1370" spans="1:15" x14ac:dyDescent="0.4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_xlfn.IFS(orders[[#This Row],[Customer Gender]]="M","Male", orders[[#This Row],[Customer Gender]]="F","Female", orders[[#This Row],[Customer Gender]]="O","Other", TRUE,"Unknown")</f>
        <v>Male</v>
      </c>
    </row>
    <row r="1371" spans="1:15" x14ac:dyDescent="0.4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_xlfn.IFS(orders[[#This Row],[Customer Gender]]="M","Male", orders[[#This Row],[Customer Gender]]="F","Female", orders[[#This Row],[Customer Gender]]="O","Other", TRUE,"Unknown")</f>
        <v>Male</v>
      </c>
    </row>
    <row r="1372" spans="1:15" x14ac:dyDescent="0.4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_xlfn.IFS(orders[[#This Row],[Customer Gender]]="M","Male", orders[[#This Row],[Customer Gender]]="F","Female", orders[[#This Row],[Customer Gender]]="O","Other", TRUE,"Unknown")</f>
        <v>Male</v>
      </c>
    </row>
    <row r="1373" spans="1:15" x14ac:dyDescent="0.4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_xlfn.IFS(orders[[#This Row],[Customer Gender]]="M","Male", orders[[#This Row],[Customer Gender]]="F","Female", orders[[#This Row],[Customer Gender]]="O","Other", TRUE,"Unknown")</f>
        <v>Female</v>
      </c>
    </row>
    <row r="1374" spans="1:15" x14ac:dyDescent="0.4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_xlfn.IFS(orders[[#This Row],[Customer Gender]]="M","Male", orders[[#This Row],[Customer Gender]]="F","Female", orders[[#This Row],[Customer Gender]]="O","Other", TRUE,"Unknown")</f>
        <v>Other</v>
      </c>
    </row>
    <row r="1375" spans="1:15" x14ac:dyDescent="0.4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_xlfn.IFS(orders[[#This Row],[Customer Gender]]="M","Male", orders[[#This Row],[Customer Gender]]="F","Female", orders[[#This Row],[Customer Gender]]="O","Other", TRUE,"Unknown")</f>
        <v>Female</v>
      </c>
    </row>
    <row r="1376" spans="1:15" x14ac:dyDescent="0.4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_xlfn.IFS(orders[[#This Row],[Customer Gender]]="M","Male", orders[[#This Row],[Customer Gender]]="F","Female", orders[[#This Row],[Customer Gender]]="O","Other", TRUE,"Unknown")</f>
        <v>Female</v>
      </c>
    </row>
    <row r="1377" spans="1:15" x14ac:dyDescent="0.4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_xlfn.IFS(orders[[#This Row],[Customer Gender]]="M","Male", orders[[#This Row],[Customer Gender]]="F","Female", orders[[#This Row],[Customer Gender]]="O","Other", TRUE,"Unknown")</f>
        <v>Male</v>
      </c>
    </row>
    <row r="1378" spans="1:15" x14ac:dyDescent="0.4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_xlfn.IFS(orders[[#This Row],[Customer Gender]]="M","Male", orders[[#This Row],[Customer Gender]]="F","Female", orders[[#This Row],[Customer Gender]]="O","Other", TRUE,"Unknown")</f>
        <v>Male</v>
      </c>
    </row>
    <row r="1379" spans="1:15" x14ac:dyDescent="0.4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_xlfn.IFS(orders[[#This Row],[Customer Gender]]="M","Male", orders[[#This Row],[Customer Gender]]="F","Female", orders[[#This Row],[Customer Gender]]="O","Other", TRUE,"Unknown")</f>
        <v>Male</v>
      </c>
    </row>
    <row r="1380" spans="1:15" x14ac:dyDescent="0.4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_xlfn.IFS(orders[[#This Row],[Customer Gender]]="M","Male", orders[[#This Row],[Customer Gender]]="F","Female", orders[[#This Row],[Customer Gender]]="O","Other", TRUE,"Unknown")</f>
        <v>Female</v>
      </c>
    </row>
    <row r="1381" spans="1:15" x14ac:dyDescent="0.4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_xlfn.IFS(orders[[#This Row],[Customer Gender]]="M","Male", orders[[#This Row],[Customer Gender]]="F","Female", orders[[#This Row],[Customer Gender]]="O","Other", TRUE,"Unknown")</f>
        <v>Male</v>
      </c>
    </row>
    <row r="1382" spans="1:15" x14ac:dyDescent="0.4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_xlfn.IFS(orders[[#This Row],[Customer Gender]]="M","Male", orders[[#This Row],[Customer Gender]]="F","Female", orders[[#This Row],[Customer Gender]]="O","Other", TRUE,"Unknown")</f>
        <v>Male</v>
      </c>
    </row>
    <row r="1383" spans="1:15" x14ac:dyDescent="0.4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_xlfn.IFS(orders[[#This Row],[Customer Gender]]="M","Male", orders[[#This Row],[Customer Gender]]="F","Female", orders[[#This Row],[Customer Gender]]="O","Other", TRUE,"Unknown")</f>
        <v>Male</v>
      </c>
    </row>
    <row r="1384" spans="1:15" x14ac:dyDescent="0.4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_xlfn.IFS(orders[[#This Row],[Customer Gender]]="M","Male", orders[[#This Row],[Customer Gender]]="F","Female", orders[[#This Row],[Customer Gender]]="O","Other", TRUE,"Unknown")</f>
        <v>Male</v>
      </c>
    </row>
    <row r="1385" spans="1:15" x14ac:dyDescent="0.4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_xlfn.IFS(orders[[#This Row],[Customer Gender]]="M","Male", orders[[#This Row],[Customer Gender]]="F","Female", orders[[#This Row],[Customer Gender]]="O","Other", TRUE,"Unknown")</f>
        <v>Male</v>
      </c>
    </row>
    <row r="1386" spans="1:15" x14ac:dyDescent="0.4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_xlfn.IFS(orders[[#This Row],[Customer Gender]]="M","Male", orders[[#This Row],[Customer Gender]]="F","Female", orders[[#This Row],[Customer Gender]]="O","Other", TRUE,"Unknown")</f>
        <v>Female</v>
      </c>
    </row>
    <row r="1387" spans="1:15" x14ac:dyDescent="0.4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_xlfn.IFS(orders[[#This Row],[Customer Gender]]="M","Male", orders[[#This Row],[Customer Gender]]="F","Female", orders[[#This Row],[Customer Gender]]="O","Other", TRUE,"Unknown")</f>
        <v>Male</v>
      </c>
    </row>
    <row r="1388" spans="1:15" x14ac:dyDescent="0.4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_xlfn.IFS(orders[[#This Row],[Customer Gender]]="M","Male", orders[[#This Row],[Customer Gender]]="F","Female", orders[[#This Row],[Customer Gender]]="O","Other", TRUE,"Unknown")</f>
        <v>Male</v>
      </c>
    </row>
    <row r="1389" spans="1:15" x14ac:dyDescent="0.4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_xlfn.IFS(orders[[#This Row],[Customer Gender]]="M","Male", orders[[#This Row],[Customer Gender]]="F","Female", orders[[#This Row],[Customer Gender]]="O","Other", TRUE,"Unknown")</f>
        <v>Male</v>
      </c>
    </row>
    <row r="1390" spans="1:15" x14ac:dyDescent="0.4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_xlfn.IFS(orders[[#This Row],[Customer Gender]]="M","Male", orders[[#This Row],[Customer Gender]]="F","Female", orders[[#This Row],[Customer Gender]]="O","Other", TRUE,"Unknown")</f>
        <v>Unknown</v>
      </c>
    </row>
    <row r="1391" spans="1:15" x14ac:dyDescent="0.4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_xlfn.IFS(orders[[#This Row],[Customer Gender]]="M","Male", orders[[#This Row],[Customer Gender]]="F","Female", orders[[#This Row],[Customer Gender]]="O","Other", TRUE,"Unknown")</f>
        <v>Male</v>
      </c>
    </row>
    <row r="1392" spans="1:15" x14ac:dyDescent="0.4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_xlfn.IFS(orders[[#This Row],[Customer Gender]]="M","Male", orders[[#This Row],[Customer Gender]]="F","Female", orders[[#This Row],[Customer Gender]]="O","Other", TRUE,"Unknown")</f>
        <v>Male</v>
      </c>
    </row>
    <row r="1393" spans="1:15" x14ac:dyDescent="0.4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_xlfn.IFS(orders[[#This Row],[Customer Gender]]="M","Male", orders[[#This Row],[Customer Gender]]="F","Female", orders[[#This Row],[Customer Gender]]="O","Other", TRUE,"Unknown")</f>
        <v>Female</v>
      </c>
    </row>
    <row r="1394" spans="1:15" x14ac:dyDescent="0.4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_xlfn.IFS(orders[[#This Row],[Customer Gender]]="M","Male", orders[[#This Row],[Customer Gender]]="F","Female", orders[[#This Row],[Customer Gender]]="O","Other", TRUE,"Unknown")</f>
        <v>Male</v>
      </c>
    </row>
    <row r="1395" spans="1:15" x14ac:dyDescent="0.4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_xlfn.IFS(orders[[#This Row],[Customer Gender]]="M","Male", orders[[#This Row],[Customer Gender]]="F","Female", orders[[#This Row],[Customer Gender]]="O","Other", TRUE,"Unknown")</f>
        <v>Male</v>
      </c>
    </row>
    <row r="1396" spans="1:15" x14ac:dyDescent="0.4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_xlfn.IFS(orders[[#This Row],[Customer Gender]]="M","Male", orders[[#This Row],[Customer Gender]]="F","Female", orders[[#This Row],[Customer Gender]]="O","Other", TRUE,"Unknown")</f>
        <v>Male</v>
      </c>
    </row>
    <row r="1397" spans="1:15" x14ac:dyDescent="0.4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_xlfn.IFS(orders[[#This Row],[Customer Gender]]="M","Male", orders[[#This Row],[Customer Gender]]="F","Female", orders[[#This Row],[Customer Gender]]="O","Other", TRUE,"Unknown")</f>
        <v>Male</v>
      </c>
    </row>
    <row r="1398" spans="1:15" x14ac:dyDescent="0.4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_xlfn.IFS(orders[[#This Row],[Customer Gender]]="M","Male", orders[[#This Row],[Customer Gender]]="F","Female", orders[[#This Row],[Customer Gender]]="O","Other", TRUE,"Unknown")</f>
        <v>Male</v>
      </c>
    </row>
    <row r="1399" spans="1:15" x14ac:dyDescent="0.4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_xlfn.IFS(orders[[#This Row],[Customer Gender]]="M","Male", orders[[#This Row],[Customer Gender]]="F","Female", orders[[#This Row],[Customer Gender]]="O","Other", TRUE,"Unknown")</f>
        <v>Female</v>
      </c>
    </row>
    <row r="1400" spans="1:15" x14ac:dyDescent="0.4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_xlfn.IFS(orders[[#This Row],[Customer Gender]]="M","Male", orders[[#This Row],[Customer Gender]]="F","Female", orders[[#This Row],[Customer Gender]]="O","Other", TRUE,"Unknown")</f>
        <v>Female</v>
      </c>
    </row>
    <row r="1401" spans="1:15" x14ac:dyDescent="0.4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_xlfn.IFS(orders[[#This Row],[Customer Gender]]="M","Male", orders[[#This Row],[Customer Gender]]="F","Female", orders[[#This Row],[Customer Gender]]="O","Other", TRUE,"Unknown")</f>
        <v>Male</v>
      </c>
    </row>
    <row r="1402" spans="1:15" x14ac:dyDescent="0.4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_xlfn.IFS(orders[[#This Row],[Customer Gender]]="M","Male", orders[[#This Row],[Customer Gender]]="F","Female", orders[[#This Row],[Customer Gender]]="O","Other", TRUE,"Unknown")</f>
        <v>Female</v>
      </c>
    </row>
    <row r="1403" spans="1:15" x14ac:dyDescent="0.4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_xlfn.IFS(orders[[#This Row],[Customer Gender]]="M","Male", orders[[#This Row],[Customer Gender]]="F","Female", orders[[#This Row],[Customer Gender]]="O","Other", TRUE,"Unknown")</f>
        <v>Female</v>
      </c>
    </row>
    <row r="1404" spans="1:15" x14ac:dyDescent="0.4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_xlfn.IFS(orders[[#This Row],[Customer Gender]]="M","Male", orders[[#This Row],[Customer Gender]]="F","Female", orders[[#This Row],[Customer Gender]]="O","Other", TRUE,"Unknown")</f>
        <v>Male</v>
      </c>
    </row>
    <row r="1405" spans="1:15" x14ac:dyDescent="0.4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_xlfn.IFS(orders[[#This Row],[Customer Gender]]="M","Male", orders[[#This Row],[Customer Gender]]="F","Female", orders[[#This Row],[Customer Gender]]="O","Other", TRUE,"Unknown")</f>
        <v>Male</v>
      </c>
    </row>
    <row r="1406" spans="1:15" x14ac:dyDescent="0.4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_xlfn.IFS(orders[[#This Row],[Customer Gender]]="M","Male", orders[[#This Row],[Customer Gender]]="F","Female", orders[[#This Row],[Customer Gender]]="O","Other", TRUE,"Unknown")</f>
        <v>Female</v>
      </c>
    </row>
    <row r="1407" spans="1:15" x14ac:dyDescent="0.4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_xlfn.IFS(orders[[#This Row],[Customer Gender]]="M","Male", orders[[#This Row],[Customer Gender]]="F","Female", orders[[#This Row],[Customer Gender]]="O","Other", TRUE,"Unknown")</f>
        <v>Female</v>
      </c>
    </row>
    <row r="1408" spans="1:15" x14ac:dyDescent="0.4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_xlfn.IFS(orders[[#This Row],[Customer Gender]]="M","Male", orders[[#This Row],[Customer Gender]]="F","Female", orders[[#This Row],[Customer Gender]]="O","Other", TRUE,"Unknown")</f>
        <v>Female</v>
      </c>
    </row>
    <row r="1409" spans="1:15" x14ac:dyDescent="0.4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_xlfn.IFS(orders[[#This Row],[Customer Gender]]="M","Male", orders[[#This Row],[Customer Gender]]="F","Female", orders[[#This Row],[Customer Gender]]="O","Other", TRUE,"Unknown")</f>
        <v>Male</v>
      </c>
    </row>
    <row r="1410" spans="1:15" x14ac:dyDescent="0.4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_xlfn.IFS(orders[[#This Row],[Customer Gender]]="M","Male", orders[[#This Row],[Customer Gender]]="F","Female", orders[[#This Row],[Customer Gender]]="O","Other", TRUE,"Unknown")</f>
        <v>Male</v>
      </c>
    </row>
    <row r="1411" spans="1:15" x14ac:dyDescent="0.4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_xlfn.IFS(orders[[#This Row],[Customer Gender]]="M","Male", orders[[#This Row],[Customer Gender]]="F","Female", orders[[#This Row],[Customer Gender]]="O","Other", TRUE,"Unknown")</f>
        <v>Other</v>
      </c>
    </row>
    <row r="1412" spans="1:15" x14ac:dyDescent="0.4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_xlfn.IFS(orders[[#This Row],[Customer Gender]]="M","Male", orders[[#This Row],[Customer Gender]]="F","Female", orders[[#This Row],[Customer Gender]]="O","Other", TRUE,"Unknown")</f>
        <v>Female</v>
      </c>
    </row>
    <row r="1413" spans="1:15" x14ac:dyDescent="0.4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_xlfn.IFS(orders[[#This Row],[Customer Gender]]="M","Male", orders[[#This Row],[Customer Gender]]="F","Female", orders[[#This Row],[Customer Gender]]="O","Other", TRUE,"Unknown")</f>
        <v>Other</v>
      </c>
    </row>
    <row r="1414" spans="1:15" x14ac:dyDescent="0.4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_xlfn.IFS(orders[[#This Row],[Customer Gender]]="M","Male", orders[[#This Row],[Customer Gender]]="F","Female", orders[[#This Row],[Customer Gender]]="O","Other", TRUE,"Unknown")</f>
        <v>Female</v>
      </c>
    </row>
    <row r="1415" spans="1:15" x14ac:dyDescent="0.4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_xlfn.IFS(orders[[#This Row],[Customer Gender]]="M","Male", orders[[#This Row],[Customer Gender]]="F","Female", orders[[#This Row],[Customer Gender]]="O","Other", TRUE,"Unknown")</f>
        <v>Female</v>
      </c>
    </row>
    <row r="1416" spans="1:15" x14ac:dyDescent="0.4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_xlfn.IFS(orders[[#This Row],[Customer Gender]]="M","Male", orders[[#This Row],[Customer Gender]]="F","Female", orders[[#This Row],[Customer Gender]]="O","Other", TRUE,"Unknown")</f>
        <v>Female</v>
      </c>
    </row>
    <row r="1417" spans="1:15" x14ac:dyDescent="0.4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_xlfn.IFS(orders[[#This Row],[Customer Gender]]="M","Male", orders[[#This Row],[Customer Gender]]="F","Female", orders[[#This Row],[Customer Gender]]="O","Other", TRUE,"Unknown")</f>
        <v>Female</v>
      </c>
    </row>
    <row r="1418" spans="1:15" x14ac:dyDescent="0.4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_xlfn.IFS(orders[[#This Row],[Customer Gender]]="M","Male", orders[[#This Row],[Customer Gender]]="F","Female", orders[[#This Row],[Customer Gender]]="O","Other", TRUE,"Unknown")</f>
        <v>Female</v>
      </c>
    </row>
    <row r="1419" spans="1:15" x14ac:dyDescent="0.4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_xlfn.IFS(orders[[#This Row],[Customer Gender]]="M","Male", orders[[#This Row],[Customer Gender]]="F","Female", orders[[#This Row],[Customer Gender]]="O","Other", TRUE,"Unknown")</f>
        <v>Male</v>
      </c>
    </row>
    <row r="1420" spans="1:15" x14ac:dyDescent="0.4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_xlfn.IFS(orders[[#This Row],[Customer Gender]]="M","Male", orders[[#This Row],[Customer Gender]]="F","Female", orders[[#This Row],[Customer Gender]]="O","Other", TRUE,"Unknown")</f>
        <v>Female</v>
      </c>
    </row>
    <row r="1421" spans="1:15" x14ac:dyDescent="0.4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_xlfn.IFS(orders[[#This Row],[Customer Gender]]="M","Male", orders[[#This Row],[Customer Gender]]="F","Female", orders[[#This Row],[Customer Gender]]="O","Other", TRUE,"Unknown")</f>
        <v>Female</v>
      </c>
    </row>
    <row r="1422" spans="1:15" x14ac:dyDescent="0.4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_xlfn.IFS(orders[[#This Row],[Customer Gender]]="M","Male", orders[[#This Row],[Customer Gender]]="F","Female", orders[[#This Row],[Customer Gender]]="O","Other", TRUE,"Unknown")</f>
        <v>Male</v>
      </c>
    </row>
    <row r="1423" spans="1:15" x14ac:dyDescent="0.4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_xlfn.IFS(orders[[#This Row],[Customer Gender]]="M","Male", orders[[#This Row],[Customer Gender]]="F","Female", orders[[#This Row],[Customer Gender]]="O","Other", TRUE,"Unknown")</f>
        <v>Female</v>
      </c>
    </row>
    <row r="1424" spans="1:15" x14ac:dyDescent="0.4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_xlfn.IFS(orders[[#This Row],[Customer Gender]]="M","Male", orders[[#This Row],[Customer Gender]]="F","Female", orders[[#This Row],[Customer Gender]]="O","Other", TRUE,"Unknown")</f>
        <v>Female</v>
      </c>
    </row>
    <row r="1425" spans="1:15" x14ac:dyDescent="0.4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_xlfn.IFS(orders[[#This Row],[Customer Gender]]="M","Male", orders[[#This Row],[Customer Gender]]="F","Female", orders[[#This Row],[Customer Gender]]="O","Other", TRUE,"Unknown")</f>
        <v>Female</v>
      </c>
    </row>
    <row r="1426" spans="1:15" x14ac:dyDescent="0.4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_xlfn.IFS(orders[[#This Row],[Customer Gender]]="M","Male", orders[[#This Row],[Customer Gender]]="F","Female", orders[[#This Row],[Customer Gender]]="O","Other", TRUE,"Unknown")</f>
        <v>Unknown</v>
      </c>
    </row>
    <row r="1427" spans="1:15" x14ac:dyDescent="0.4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_xlfn.IFS(orders[[#This Row],[Customer Gender]]="M","Male", orders[[#This Row],[Customer Gender]]="F","Female", orders[[#This Row],[Customer Gender]]="O","Other", TRUE,"Unknown")</f>
        <v>Female</v>
      </c>
    </row>
    <row r="1428" spans="1:15" x14ac:dyDescent="0.4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_xlfn.IFS(orders[[#This Row],[Customer Gender]]="M","Male", orders[[#This Row],[Customer Gender]]="F","Female", orders[[#This Row],[Customer Gender]]="O","Other", TRUE,"Unknown")</f>
        <v>Male</v>
      </c>
    </row>
    <row r="1429" spans="1:15" x14ac:dyDescent="0.4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_xlfn.IFS(orders[[#This Row],[Customer Gender]]="M","Male", orders[[#This Row],[Customer Gender]]="F","Female", orders[[#This Row],[Customer Gender]]="O","Other", TRUE,"Unknown")</f>
        <v>Male</v>
      </c>
    </row>
    <row r="1430" spans="1:15" x14ac:dyDescent="0.4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_xlfn.IFS(orders[[#This Row],[Customer Gender]]="M","Male", orders[[#This Row],[Customer Gender]]="F","Female", orders[[#This Row],[Customer Gender]]="O","Other", TRUE,"Unknown")</f>
        <v>Male</v>
      </c>
    </row>
    <row r="1431" spans="1:15" x14ac:dyDescent="0.4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_xlfn.IFS(orders[[#This Row],[Customer Gender]]="M","Male", orders[[#This Row],[Customer Gender]]="F","Female", orders[[#This Row],[Customer Gender]]="O","Other", TRUE,"Unknown")</f>
        <v>Male</v>
      </c>
    </row>
    <row r="1432" spans="1:15" x14ac:dyDescent="0.4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_xlfn.IFS(orders[[#This Row],[Customer Gender]]="M","Male", orders[[#This Row],[Customer Gender]]="F","Female", orders[[#This Row],[Customer Gender]]="O","Other", TRUE,"Unknown")</f>
        <v>Female</v>
      </c>
    </row>
    <row r="1433" spans="1:15" x14ac:dyDescent="0.4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_xlfn.IFS(orders[[#This Row],[Customer Gender]]="M","Male", orders[[#This Row],[Customer Gender]]="F","Female", orders[[#This Row],[Customer Gender]]="O","Other", TRUE,"Unknown")</f>
        <v>Female</v>
      </c>
    </row>
    <row r="1434" spans="1:15" x14ac:dyDescent="0.4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_xlfn.IFS(orders[[#This Row],[Customer Gender]]="M","Male", orders[[#This Row],[Customer Gender]]="F","Female", orders[[#This Row],[Customer Gender]]="O","Other", TRUE,"Unknown")</f>
        <v>Female</v>
      </c>
    </row>
    <row r="1435" spans="1:15" x14ac:dyDescent="0.4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_xlfn.IFS(orders[[#This Row],[Customer Gender]]="M","Male", orders[[#This Row],[Customer Gender]]="F","Female", orders[[#This Row],[Customer Gender]]="O","Other", TRUE,"Unknown")</f>
        <v>Male</v>
      </c>
    </row>
    <row r="1436" spans="1:15" x14ac:dyDescent="0.4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_xlfn.IFS(orders[[#This Row],[Customer Gender]]="M","Male", orders[[#This Row],[Customer Gender]]="F","Female", orders[[#This Row],[Customer Gender]]="O","Other", TRUE,"Unknown")</f>
        <v>Female</v>
      </c>
    </row>
    <row r="1437" spans="1:15" x14ac:dyDescent="0.4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_xlfn.IFS(orders[[#This Row],[Customer Gender]]="M","Male", orders[[#This Row],[Customer Gender]]="F","Female", orders[[#This Row],[Customer Gender]]="O","Other", TRUE,"Unknown")</f>
        <v>Female</v>
      </c>
    </row>
    <row r="1438" spans="1:15" x14ac:dyDescent="0.4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_xlfn.IFS(orders[[#This Row],[Customer Gender]]="M","Male", orders[[#This Row],[Customer Gender]]="F","Female", orders[[#This Row],[Customer Gender]]="O","Other", TRUE,"Unknown")</f>
        <v>Female</v>
      </c>
    </row>
    <row r="1439" spans="1:15" x14ac:dyDescent="0.4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_xlfn.IFS(orders[[#This Row],[Customer Gender]]="M","Male", orders[[#This Row],[Customer Gender]]="F","Female", orders[[#This Row],[Customer Gender]]="O","Other", TRUE,"Unknown")</f>
        <v>Female</v>
      </c>
    </row>
    <row r="1440" spans="1:15" x14ac:dyDescent="0.4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_xlfn.IFS(orders[[#This Row],[Customer Gender]]="M","Male", orders[[#This Row],[Customer Gender]]="F","Female", orders[[#This Row],[Customer Gender]]="O","Other", TRUE,"Unknown")</f>
        <v>Male</v>
      </c>
    </row>
    <row r="1441" spans="1:15" x14ac:dyDescent="0.4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_xlfn.IFS(orders[[#This Row],[Customer Gender]]="M","Male", orders[[#This Row],[Customer Gender]]="F","Female", orders[[#This Row],[Customer Gender]]="O","Other", TRUE,"Unknown")</f>
        <v>Male</v>
      </c>
    </row>
    <row r="1442" spans="1:15" x14ac:dyDescent="0.4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_xlfn.IFS(orders[[#This Row],[Customer Gender]]="M","Male", orders[[#This Row],[Customer Gender]]="F","Female", orders[[#This Row],[Customer Gender]]="O","Other", TRUE,"Unknown")</f>
        <v>Other</v>
      </c>
    </row>
    <row r="1443" spans="1:15" x14ac:dyDescent="0.4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_xlfn.IFS(orders[[#This Row],[Customer Gender]]="M","Male", orders[[#This Row],[Customer Gender]]="F","Female", orders[[#This Row],[Customer Gender]]="O","Other", TRUE,"Unknown")</f>
        <v>Female</v>
      </c>
    </row>
    <row r="1444" spans="1:15" x14ac:dyDescent="0.4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_xlfn.IFS(orders[[#This Row],[Customer Gender]]="M","Male", orders[[#This Row],[Customer Gender]]="F","Female", orders[[#This Row],[Customer Gender]]="O","Other", TRUE,"Unknown")</f>
        <v>Female</v>
      </c>
    </row>
    <row r="1445" spans="1:15" x14ac:dyDescent="0.4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_xlfn.IFS(orders[[#This Row],[Customer Gender]]="M","Male", orders[[#This Row],[Customer Gender]]="F","Female", orders[[#This Row],[Customer Gender]]="O","Other", TRUE,"Unknown")</f>
        <v>Female</v>
      </c>
    </row>
    <row r="1446" spans="1:15" x14ac:dyDescent="0.4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_xlfn.IFS(orders[[#This Row],[Customer Gender]]="M","Male", orders[[#This Row],[Customer Gender]]="F","Female", orders[[#This Row],[Customer Gender]]="O","Other", TRUE,"Unknown")</f>
        <v>Male</v>
      </c>
    </row>
    <row r="1447" spans="1:15" x14ac:dyDescent="0.4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_xlfn.IFS(orders[[#This Row],[Customer Gender]]="M","Male", orders[[#This Row],[Customer Gender]]="F","Female", orders[[#This Row],[Customer Gender]]="O","Other", TRUE,"Unknown")</f>
        <v>Female</v>
      </c>
    </row>
    <row r="1448" spans="1:15" x14ac:dyDescent="0.4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_xlfn.IFS(orders[[#This Row],[Customer Gender]]="M","Male", orders[[#This Row],[Customer Gender]]="F","Female", orders[[#This Row],[Customer Gender]]="O","Other", TRUE,"Unknown")</f>
        <v>Male</v>
      </c>
    </row>
    <row r="1449" spans="1:15" x14ac:dyDescent="0.4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_xlfn.IFS(orders[[#This Row],[Customer Gender]]="M","Male", orders[[#This Row],[Customer Gender]]="F","Female", orders[[#This Row],[Customer Gender]]="O","Other", TRUE,"Unknown")</f>
        <v>Unknown</v>
      </c>
    </row>
    <row r="1450" spans="1:15" x14ac:dyDescent="0.4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_xlfn.IFS(orders[[#This Row],[Customer Gender]]="M","Male", orders[[#This Row],[Customer Gender]]="F","Female", orders[[#This Row],[Customer Gender]]="O","Other", TRUE,"Unknown")</f>
        <v>Male</v>
      </c>
    </row>
    <row r="1451" spans="1:15" x14ac:dyDescent="0.4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_xlfn.IFS(orders[[#This Row],[Customer Gender]]="M","Male", orders[[#This Row],[Customer Gender]]="F","Female", orders[[#This Row],[Customer Gender]]="O","Other", TRUE,"Unknown")</f>
        <v>Male</v>
      </c>
    </row>
    <row r="1452" spans="1:15" x14ac:dyDescent="0.4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_xlfn.IFS(orders[[#This Row],[Customer Gender]]="M","Male", orders[[#This Row],[Customer Gender]]="F","Female", orders[[#This Row],[Customer Gender]]="O","Other", TRUE,"Unknown")</f>
        <v>Female</v>
      </c>
    </row>
    <row r="1453" spans="1:15" x14ac:dyDescent="0.4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_xlfn.IFS(orders[[#This Row],[Customer Gender]]="M","Male", orders[[#This Row],[Customer Gender]]="F","Female", orders[[#This Row],[Customer Gender]]="O","Other", TRUE,"Unknown")</f>
        <v>Male</v>
      </c>
    </row>
    <row r="1454" spans="1:15" x14ac:dyDescent="0.4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_xlfn.IFS(orders[[#This Row],[Customer Gender]]="M","Male", orders[[#This Row],[Customer Gender]]="F","Female", orders[[#This Row],[Customer Gender]]="O","Other", TRUE,"Unknown")</f>
        <v>Male</v>
      </c>
    </row>
    <row r="1455" spans="1:15" x14ac:dyDescent="0.4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_xlfn.IFS(orders[[#This Row],[Customer Gender]]="M","Male", orders[[#This Row],[Customer Gender]]="F","Female", orders[[#This Row],[Customer Gender]]="O","Other", TRUE,"Unknown")</f>
        <v>Male</v>
      </c>
    </row>
    <row r="1456" spans="1:15" x14ac:dyDescent="0.4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_xlfn.IFS(orders[[#This Row],[Customer Gender]]="M","Male", orders[[#This Row],[Customer Gender]]="F","Female", orders[[#This Row],[Customer Gender]]="O","Other", TRUE,"Unknown")</f>
        <v>Male</v>
      </c>
    </row>
    <row r="1457" spans="1:15" x14ac:dyDescent="0.4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_xlfn.IFS(orders[[#This Row],[Customer Gender]]="M","Male", orders[[#This Row],[Customer Gender]]="F","Female", orders[[#This Row],[Customer Gender]]="O","Other", TRUE,"Unknown")</f>
        <v>Female</v>
      </c>
    </row>
    <row r="1458" spans="1:15" x14ac:dyDescent="0.4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_xlfn.IFS(orders[[#This Row],[Customer Gender]]="M","Male", orders[[#This Row],[Customer Gender]]="F","Female", orders[[#This Row],[Customer Gender]]="O","Other", TRUE,"Unknown")</f>
        <v>Female</v>
      </c>
    </row>
    <row r="1459" spans="1:15" x14ac:dyDescent="0.4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_xlfn.IFS(orders[[#This Row],[Customer Gender]]="M","Male", orders[[#This Row],[Customer Gender]]="F","Female", orders[[#This Row],[Customer Gender]]="O","Other", TRUE,"Unknown")</f>
        <v>Male</v>
      </c>
    </row>
    <row r="1460" spans="1:15" x14ac:dyDescent="0.4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_xlfn.IFS(orders[[#This Row],[Customer Gender]]="M","Male", orders[[#This Row],[Customer Gender]]="F","Female", orders[[#This Row],[Customer Gender]]="O","Other", TRUE,"Unknown")</f>
        <v>Female</v>
      </c>
    </row>
    <row r="1461" spans="1:15" x14ac:dyDescent="0.4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_xlfn.IFS(orders[[#This Row],[Customer Gender]]="M","Male", orders[[#This Row],[Customer Gender]]="F","Female", orders[[#This Row],[Customer Gender]]="O","Other", TRUE,"Unknown")</f>
        <v>Female</v>
      </c>
    </row>
    <row r="1462" spans="1:15" x14ac:dyDescent="0.4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_xlfn.IFS(orders[[#This Row],[Customer Gender]]="M","Male", orders[[#This Row],[Customer Gender]]="F","Female", orders[[#This Row],[Customer Gender]]="O","Other", TRUE,"Unknown")</f>
        <v>Male</v>
      </c>
    </row>
    <row r="1463" spans="1:15" x14ac:dyDescent="0.4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_xlfn.IFS(orders[[#This Row],[Customer Gender]]="M","Male", orders[[#This Row],[Customer Gender]]="F","Female", orders[[#This Row],[Customer Gender]]="O","Other", TRUE,"Unknown")</f>
        <v>Male</v>
      </c>
    </row>
    <row r="1464" spans="1:15" x14ac:dyDescent="0.4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_xlfn.IFS(orders[[#This Row],[Customer Gender]]="M","Male", orders[[#This Row],[Customer Gender]]="F","Female", orders[[#This Row],[Customer Gender]]="O","Other", TRUE,"Unknown")</f>
        <v>Female</v>
      </c>
    </row>
    <row r="1465" spans="1:15" x14ac:dyDescent="0.4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_xlfn.IFS(orders[[#This Row],[Customer Gender]]="M","Male", orders[[#This Row],[Customer Gender]]="F","Female", orders[[#This Row],[Customer Gender]]="O","Other", TRUE,"Unknown")</f>
        <v>Unknown</v>
      </c>
    </row>
    <row r="1466" spans="1:15" x14ac:dyDescent="0.4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_xlfn.IFS(orders[[#This Row],[Customer Gender]]="M","Male", orders[[#This Row],[Customer Gender]]="F","Female", orders[[#This Row],[Customer Gender]]="O","Other", TRUE,"Unknown")</f>
        <v>Unknown</v>
      </c>
    </row>
    <row r="1467" spans="1:15" x14ac:dyDescent="0.4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_xlfn.IFS(orders[[#This Row],[Customer Gender]]="M","Male", orders[[#This Row],[Customer Gender]]="F","Female", orders[[#This Row],[Customer Gender]]="O","Other", TRUE,"Unknown")</f>
        <v>Male</v>
      </c>
    </row>
    <row r="1468" spans="1:15" x14ac:dyDescent="0.4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_xlfn.IFS(orders[[#This Row],[Customer Gender]]="M","Male", orders[[#This Row],[Customer Gender]]="F","Female", orders[[#This Row],[Customer Gender]]="O","Other", TRUE,"Unknown")</f>
        <v>Male</v>
      </c>
    </row>
    <row r="1469" spans="1:15" x14ac:dyDescent="0.4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_xlfn.IFS(orders[[#This Row],[Customer Gender]]="M","Male", orders[[#This Row],[Customer Gender]]="F","Female", orders[[#This Row],[Customer Gender]]="O","Other", TRUE,"Unknown")</f>
        <v>Male</v>
      </c>
    </row>
    <row r="1470" spans="1:15" x14ac:dyDescent="0.4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_xlfn.IFS(orders[[#This Row],[Customer Gender]]="M","Male", orders[[#This Row],[Customer Gender]]="F","Female", orders[[#This Row],[Customer Gender]]="O","Other", TRUE,"Unknown")</f>
        <v>Female</v>
      </c>
    </row>
    <row r="1471" spans="1:15" x14ac:dyDescent="0.4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_xlfn.IFS(orders[[#This Row],[Customer Gender]]="M","Male", orders[[#This Row],[Customer Gender]]="F","Female", orders[[#This Row],[Customer Gender]]="O","Other", TRUE,"Unknown")</f>
        <v>Female</v>
      </c>
    </row>
    <row r="1472" spans="1:15" x14ac:dyDescent="0.4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_xlfn.IFS(orders[[#This Row],[Customer Gender]]="M","Male", orders[[#This Row],[Customer Gender]]="F","Female", orders[[#This Row],[Customer Gender]]="O","Other", TRUE,"Unknown")</f>
        <v>Male</v>
      </c>
    </row>
    <row r="1473" spans="1:15" x14ac:dyDescent="0.4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_xlfn.IFS(orders[[#This Row],[Customer Gender]]="M","Male", orders[[#This Row],[Customer Gender]]="F","Female", orders[[#This Row],[Customer Gender]]="O","Other", TRUE,"Unknown")</f>
        <v>Female</v>
      </c>
    </row>
    <row r="1474" spans="1:15" x14ac:dyDescent="0.4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_xlfn.IFS(orders[[#This Row],[Customer Gender]]="M","Male", orders[[#This Row],[Customer Gender]]="F","Female", orders[[#This Row],[Customer Gender]]="O","Other", TRUE,"Unknown")</f>
        <v>Male</v>
      </c>
    </row>
    <row r="1475" spans="1:15" x14ac:dyDescent="0.4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_xlfn.IFS(orders[[#This Row],[Customer Gender]]="M","Male", orders[[#This Row],[Customer Gender]]="F","Female", orders[[#This Row],[Customer Gender]]="O","Other", TRUE,"Unknown")</f>
        <v>Male</v>
      </c>
    </row>
    <row r="1476" spans="1:15" x14ac:dyDescent="0.4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_xlfn.IFS(orders[[#This Row],[Customer Gender]]="M","Male", orders[[#This Row],[Customer Gender]]="F","Female", orders[[#This Row],[Customer Gender]]="O","Other", TRUE,"Unknown")</f>
        <v>Female</v>
      </c>
    </row>
    <row r="1477" spans="1:15" x14ac:dyDescent="0.4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_xlfn.IFS(orders[[#This Row],[Customer Gender]]="M","Male", orders[[#This Row],[Customer Gender]]="F","Female", orders[[#This Row],[Customer Gender]]="O","Other", TRUE,"Unknown")</f>
        <v>Male</v>
      </c>
    </row>
    <row r="1478" spans="1:15" x14ac:dyDescent="0.4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_xlfn.IFS(orders[[#This Row],[Customer Gender]]="M","Male", orders[[#This Row],[Customer Gender]]="F","Female", orders[[#This Row],[Customer Gender]]="O","Other", TRUE,"Unknown")</f>
        <v>Female</v>
      </c>
    </row>
    <row r="1479" spans="1:15" x14ac:dyDescent="0.4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_xlfn.IFS(orders[[#This Row],[Customer Gender]]="M","Male", orders[[#This Row],[Customer Gender]]="F","Female", orders[[#This Row],[Customer Gender]]="O","Other", TRUE,"Unknown")</f>
        <v>Male</v>
      </c>
    </row>
    <row r="1480" spans="1:15" x14ac:dyDescent="0.4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_xlfn.IFS(orders[[#This Row],[Customer Gender]]="M","Male", orders[[#This Row],[Customer Gender]]="F","Female", orders[[#This Row],[Customer Gender]]="O","Other", TRUE,"Unknown")</f>
        <v>Female</v>
      </c>
    </row>
    <row r="1481" spans="1:15" x14ac:dyDescent="0.4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_xlfn.IFS(orders[[#This Row],[Customer Gender]]="M","Male", orders[[#This Row],[Customer Gender]]="F","Female", orders[[#This Row],[Customer Gender]]="O","Other", TRUE,"Unknown")</f>
        <v>Female</v>
      </c>
    </row>
    <row r="1482" spans="1:15" x14ac:dyDescent="0.4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_xlfn.IFS(orders[[#This Row],[Customer Gender]]="M","Male", orders[[#This Row],[Customer Gender]]="F","Female", orders[[#This Row],[Customer Gender]]="O","Other", TRUE,"Unknown")</f>
        <v>Male</v>
      </c>
    </row>
    <row r="1483" spans="1:15" x14ac:dyDescent="0.4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_xlfn.IFS(orders[[#This Row],[Customer Gender]]="M","Male", orders[[#This Row],[Customer Gender]]="F","Female", orders[[#This Row],[Customer Gender]]="O","Other", TRUE,"Unknown")</f>
        <v>Female</v>
      </c>
    </row>
    <row r="1484" spans="1:15" x14ac:dyDescent="0.4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_xlfn.IFS(orders[[#This Row],[Customer Gender]]="M","Male", orders[[#This Row],[Customer Gender]]="F","Female", orders[[#This Row],[Customer Gender]]="O","Other", TRUE,"Unknown")</f>
        <v>Male</v>
      </c>
    </row>
    <row r="1485" spans="1:15" x14ac:dyDescent="0.4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_xlfn.IFS(orders[[#This Row],[Customer Gender]]="M","Male", orders[[#This Row],[Customer Gender]]="F","Female", orders[[#This Row],[Customer Gender]]="O","Other", TRUE,"Unknown")</f>
        <v>Female</v>
      </c>
    </row>
    <row r="1486" spans="1:15" x14ac:dyDescent="0.4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_xlfn.IFS(orders[[#This Row],[Customer Gender]]="M","Male", orders[[#This Row],[Customer Gender]]="F","Female", orders[[#This Row],[Customer Gender]]="O","Other", TRUE,"Unknown")</f>
        <v>Other</v>
      </c>
    </row>
    <row r="1487" spans="1:15" x14ac:dyDescent="0.4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_xlfn.IFS(orders[[#This Row],[Customer Gender]]="M","Male", orders[[#This Row],[Customer Gender]]="F","Female", orders[[#This Row],[Customer Gender]]="O","Other", TRUE,"Unknown")</f>
        <v>Female</v>
      </c>
    </row>
    <row r="1488" spans="1:15" x14ac:dyDescent="0.4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_xlfn.IFS(orders[[#This Row],[Customer Gender]]="M","Male", orders[[#This Row],[Customer Gender]]="F","Female", orders[[#This Row],[Customer Gender]]="O","Other", TRUE,"Unknown")</f>
        <v>Female</v>
      </c>
    </row>
    <row r="1489" spans="1:15" x14ac:dyDescent="0.4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_xlfn.IFS(orders[[#This Row],[Customer Gender]]="M","Male", orders[[#This Row],[Customer Gender]]="F","Female", orders[[#This Row],[Customer Gender]]="O","Other", TRUE,"Unknown")</f>
        <v>Female</v>
      </c>
    </row>
    <row r="1490" spans="1:15" x14ac:dyDescent="0.4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_xlfn.IFS(orders[[#This Row],[Customer Gender]]="M","Male", orders[[#This Row],[Customer Gender]]="F","Female", orders[[#This Row],[Customer Gender]]="O","Other", TRUE,"Unknown")</f>
        <v>Female</v>
      </c>
    </row>
    <row r="1491" spans="1:15" x14ac:dyDescent="0.4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_xlfn.IFS(orders[[#This Row],[Customer Gender]]="M","Male", orders[[#This Row],[Customer Gender]]="F","Female", orders[[#This Row],[Customer Gender]]="O","Other", TRUE,"Unknown")</f>
        <v>Male</v>
      </c>
    </row>
    <row r="1492" spans="1:15" x14ac:dyDescent="0.4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_xlfn.IFS(orders[[#This Row],[Customer Gender]]="M","Male", orders[[#This Row],[Customer Gender]]="F","Female", orders[[#This Row],[Customer Gender]]="O","Other", TRUE,"Unknown")</f>
        <v>Male</v>
      </c>
    </row>
    <row r="1493" spans="1:15" x14ac:dyDescent="0.4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_xlfn.IFS(orders[[#This Row],[Customer Gender]]="M","Male", orders[[#This Row],[Customer Gender]]="F","Female", orders[[#This Row],[Customer Gender]]="O","Other", TRUE,"Unknown")</f>
        <v>Female</v>
      </c>
    </row>
    <row r="1494" spans="1:15" x14ac:dyDescent="0.4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_xlfn.IFS(orders[[#This Row],[Customer Gender]]="M","Male", orders[[#This Row],[Customer Gender]]="F","Female", orders[[#This Row],[Customer Gender]]="O","Other", TRUE,"Unknown")</f>
        <v>Male</v>
      </c>
    </row>
    <row r="1495" spans="1:15" x14ac:dyDescent="0.4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_xlfn.IFS(orders[[#This Row],[Customer Gender]]="M","Male", orders[[#This Row],[Customer Gender]]="F","Female", orders[[#This Row],[Customer Gender]]="O","Other", TRUE,"Unknown")</f>
        <v>Unknown</v>
      </c>
    </row>
    <row r="1496" spans="1:15" x14ac:dyDescent="0.4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_xlfn.IFS(orders[[#This Row],[Customer Gender]]="M","Male", orders[[#This Row],[Customer Gender]]="F","Female", orders[[#This Row],[Customer Gender]]="O","Other", TRUE,"Unknown")</f>
        <v>Female</v>
      </c>
    </row>
    <row r="1497" spans="1:15" x14ac:dyDescent="0.4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_xlfn.IFS(orders[[#This Row],[Customer Gender]]="M","Male", orders[[#This Row],[Customer Gender]]="F","Female", orders[[#This Row],[Customer Gender]]="O","Other", TRUE,"Unknown")</f>
        <v>Male</v>
      </c>
    </row>
    <row r="1498" spans="1:15" x14ac:dyDescent="0.4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_xlfn.IFS(orders[[#This Row],[Customer Gender]]="M","Male", orders[[#This Row],[Customer Gender]]="F","Female", orders[[#This Row],[Customer Gender]]="O","Other", TRUE,"Unknown")</f>
        <v>Female</v>
      </c>
    </row>
    <row r="1499" spans="1:15" x14ac:dyDescent="0.4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_xlfn.IFS(orders[[#This Row],[Customer Gender]]="M","Male", orders[[#This Row],[Customer Gender]]="F","Female", orders[[#This Row],[Customer Gender]]="O","Other", TRUE,"Unknown")</f>
        <v>Unknown</v>
      </c>
    </row>
    <row r="1500" spans="1:15" x14ac:dyDescent="0.4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_xlfn.IFS(orders[[#This Row],[Customer Gender]]="M","Male", orders[[#This Row],[Customer Gender]]="F","Female", orders[[#This Row],[Customer Gender]]="O","Other", TRUE,"Unknown")</f>
        <v>Male</v>
      </c>
    </row>
    <row r="1501" spans="1:15" x14ac:dyDescent="0.4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_xlfn.IFS(orders[[#This Row],[Customer Gender]]="M","Male", orders[[#This Row],[Customer Gender]]="F","Female", orders[[#This Row],[Customer Gender]]="O","Other", TRUE,"Unknown")</f>
        <v>Female</v>
      </c>
    </row>
    <row r="1502" spans="1:15" x14ac:dyDescent="0.4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_xlfn.IFS(orders[[#This Row],[Customer Gender]]="M","Male", orders[[#This Row],[Customer Gender]]="F","Female", orders[[#This Row],[Customer Gender]]="O","Other", TRUE,"Unknown")</f>
        <v>Female</v>
      </c>
    </row>
    <row r="1503" spans="1:15" x14ac:dyDescent="0.4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_xlfn.IFS(orders[[#This Row],[Customer Gender]]="M","Male", orders[[#This Row],[Customer Gender]]="F","Female", orders[[#This Row],[Customer Gender]]="O","Other", TRUE,"Unknown")</f>
        <v>Female</v>
      </c>
    </row>
    <row r="1504" spans="1:15" x14ac:dyDescent="0.4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_xlfn.IFS(orders[[#This Row],[Customer Gender]]="M","Male", orders[[#This Row],[Customer Gender]]="F","Female", orders[[#This Row],[Customer Gender]]="O","Other", TRUE,"Unknown")</f>
        <v>Female</v>
      </c>
    </row>
    <row r="1505" spans="1:15" x14ac:dyDescent="0.4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_xlfn.IFS(orders[[#This Row],[Customer Gender]]="M","Male", orders[[#This Row],[Customer Gender]]="F","Female", orders[[#This Row],[Customer Gender]]="O","Other", TRUE,"Unknown")</f>
        <v>Male</v>
      </c>
    </row>
    <row r="1506" spans="1:15" x14ac:dyDescent="0.4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_xlfn.IFS(orders[[#This Row],[Customer Gender]]="M","Male", orders[[#This Row],[Customer Gender]]="F","Female", orders[[#This Row],[Customer Gender]]="O","Other", TRUE,"Unknown")</f>
        <v>Female</v>
      </c>
    </row>
    <row r="1507" spans="1:15" x14ac:dyDescent="0.4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_xlfn.IFS(orders[[#This Row],[Customer Gender]]="M","Male", orders[[#This Row],[Customer Gender]]="F","Female", orders[[#This Row],[Customer Gender]]="O","Other", TRUE,"Unknown")</f>
        <v>Male</v>
      </c>
    </row>
    <row r="1508" spans="1:15" x14ac:dyDescent="0.4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_xlfn.IFS(orders[[#This Row],[Customer Gender]]="M","Male", orders[[#This Row],[Customer Gender]]="F","Female", orders[[#This Row],[Customer Gender]]="O","Other", TRUE,"Unknown")</f>
        <v>Male</v>
      </c>
    </row>
    <row r="1509" spans="1:15" x14ac:dyDescent="0.4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_xlfn.IFS(orders[[#This Row],[Customer Gender]]="M","Male", orders[[#This Row],[Customer Gender]]="F","Female", orders[[#This Row],[Customer Gender]]="O","Other", TRUE,"Unknown")</f>
        <v>Male</v>
      </c>
    </row>
    <row r="1510" spans="1:15" x14ac:dyDescent="0.4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_xlfn.IFS(orders[[#This Row],[Customer Gender]]="M","Male", orders[[#This Row],[Customer Gender]]="F","Female", orders[[#This Row],[Customer Gender]]="O","Other", TRUE,"Unknown")</f>
        <v>Male</v>
      </c>
    </row>
    <row r="1511" spans="1:15" x14ac:dyDescent="0.4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_xlfn.IFS(orders[[#This Row],[Customer Gender]]="M","Male", orders[[#This Row],[Customer Gender]]="F","Female", orders[[#This Row],[Customer Gender]]="O","Other", TRUE,"Unknown")</f>
        <v>Male</v>
      </c>
    </row>
    <row r="1512" spans="1:15" x14ac:dyDescent="0.4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_xlfn.IFS(orders[[#This Row],[Customer Gender]]="M","Male", orders[[#This Row],[Customer Gender]]="F","Female", orders[[#This Row],[Customer Gender]]="O","Other", TRUE,"Unknown")</f>
        <v>Male</v>
      </c>
    </row>
    <row r="1513" spans="1:15" x14ac:dyDescent="0.4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_xlfn.IFS(orders[[#This Row],[Customer Gender]]="M","Male", orders[[#This Row],[Customer Gender]]="F","Female", orders[[#This Row],[Customer Gender]]="O","Other", TRUE,"Unknown")</f>
        <v>Female</v>
      </c>
    </row>
    <row r="1514" spans="1:15" x14ac:dyDescent="0.4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_xlfn.IFS(orders[[#This Row],[Customer Gender]]="M","Male", orders[[#This Row],[Customer Gender]]="F","Female", orders[[#This Row],[Customer Gender]]="O","Other", TRUE,"Unknown")</f>
        <v>Female</v>
      </c>
    </row>
    <row r="1515" spans="1:15" x14ac:dyDescent="0.4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_xlfn.IFS(orders[[#This Row],[Customer Gender]]="M","Male", orders[[#This Row],[Customer Gender]]="F","Female", orders[[#This Row],[Customer Gender]]="O","Other", TRUE,"Unknown")</f>
        <v>Female</v>
      </c>
    </row>
    <row r="1516" spans="1:15" x14ac:dyDescent="0.4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_xlfn.IFS(orders[[#This Row],[Customer Gender]]="M","Male", orders[[#This Row],[Customer Gender]]="F","Female", orders[[#This Row],[Customer Gender]]="O","Other", TRUE,"Unknown")</f>
        <v>Female</v>
      </c>
    </row>
    <row r="1517" spans="1:15" x14ac:dyDescent="0.4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_xlfn.IFS(orders[[#This Row],[Customer Gender]]="M","Male", orders[[#This Row],[Customer Gender]]="F","Female", orders[[#This Row],[Customer Gender]]="O","Other", TRUE,"Unknown")</f>
        <v>Female</v>
      </c>
    </row>
    <row r="1518" spans="1:15" x14ac:dyDescent="0.4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_xlfn.IFS(orders[[#This Row],[Customer Gender]]="M","Male", orders[[#This Row],[Customer Gender]]="F","Female", orders[[#This Row],[Customer Gender]]="O","Other", TRUE,"Unknown")</f>
        <v>Male</v>
      </c>
    </row>
    <row r="1519" spans="1:15" x14ac:dyDescent="0.4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_xlfn.IFS(orders[[#This Row],[Customer Gender]]="M","Male", orders[[#This Row],[Customer Gender]]="F","Female", orders[[#This Row],[Customer Gender]]="O","Other", TRUE,"Unknown")</f>
        <v>Female</v>
      </c>
    </row>
    <row r="1520" spans="1:15" x14ac:dyDescent="0.4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_xlfn.IFS(orders[[#This Row],[Customer Gender]]="M","Male", orders[[#This Row],[Customer Gender]]="F","Female", orders[[#This Row],[Customer Gender]]="O","Other", TRUE,"Unknown")</f>
        <v>Male</v>
      </c>
    </row>
    <row r="1521" spans="1:15" x14ac:dyDescent="0.4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_xlfn.IFS(orders[[#This Row],[Customer Gender]]="M","Male", orders[[#This Row],[Customer Gender]]="F","Female", orders[[#This Row],[Customer Gender]]="O","Other", TRUE,"Unknown")</f>
        <v>Female</v>
      </c>
    </row>
    <row r="1522" spans="1:15" x14ac:dyDescent="0.4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_xlfn.IFS(orders[[#This Row],[Customer Gender]]="M","Male", orders[[#This Row],[Customer Gender]]="F","Female", orders[[#This Row],[Customer Gender]]="O","Other", TRUE,"Unknown")</f>
        <v>Male</v>
      </c>
    </row>
    <row r="1523" spans="1:15" x14ac:dyDescent="0.4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_xlfn.IFS(orders[[#This Row],[Customer Gender]]="M","Male", orders[[#This Row],[Customer Gender]]="F","Female", orders[[#This Row],[Customer Gender]]="O","Other", TRUE,"Unknown")</f>
        <v>Male</v>
      </c>
    </row>
    <row r="1524" spans="1:15" x14ac:dyDescent="0.4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_xlfn.IFS(orders[[#This Row],[Customer Gender]]="M","Male", orders[[#This Row],[Customer Gender]]="F","Female", orders[[#This Row],[Customer Gender]]="O","Other", TRUE,"Unknown")</f>
        <v>Female</v>
      </c>
    </row>
    <row r="1525" spans="1:15" x14ac:dyDescent="0.4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_xlfn.IFS(orders[[#This Row],[Customer Gender]]="M","Male", orders[[#This Row],[Customer Gender]]="F","Female", orders[[#This Row],[Customer Gender]]="O","Other", TRUE,"Unknown")</f>
        <v>Unknown</v>
      </c>
    </row>
    <row r="1526" spans="1:15" x14ac:dyDescent="0.4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_xlfn.IFS(orders[[#This Row],[Customer Gender]]="M","Male", orders[[#This Row],[Customer Gender]]="F","Female", orders[[#This Row],[Customer Gender]]="O","Other", TRUE,"Unknown")</f>
        <v>Unknown</v>
      </c>
    </row>
    <row r="1527" spans="1:15" x14ac:dyDescent="0.4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_xlfn.IFS(orders[[#This Row],[Customer Gender]]="M","Male", orders[[#This Row],[Customer Gender]]="F","Female", orders[[#This Row],[Customer Gender]]="O","Other", TRUE,"Unknown")</f>
        <v>Male</v>
      </c>
    </row>
    <row r="1528" spans="1:15" x14ac:dyDescent="0.4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_xlfn.IFS(orders[[#This Row],[Customer Gender]]="M","Male", orders[[#This Row],[Customer Gender]]="F","Female", orders[[#This Row],[Customer Gender]]="O","Other", TRUE,"Unknown")</f>
        <v>Male</v>
      </c>
    </row>
    <row r="1529" spans="1:15" x14ac:dyDescent="0.4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_xlfn.IFS(orders[[#This Row],[Customer Gender]]="M","Male", orders[[#This Row],[Customer Gender]]="F","Female", orders[[#This Row],[Customer Gender]]="O","Other", TRUE,"Unknown")</f>
        <v>Male</v>
      </c>
    </row>
    <row r="1530" spans="1:15" x14ac:dyDescent="0.4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_xlfn.IFS(orders[[#This Row],[Customer Gender]]="M","Male", orders[[#This Row],[Customer Gender]]="F","Female", orders[[#This Row],[Customer Gender]]="O","Other", TRUE,"Unknown")</f>
        <v>Unknown</v>
      </c>
    </row>
    <row r="1531" spans="1:15" x14ac:dyDescent="0.4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_xlfn.IFS(orders[[#This Row],[Customer Gender]]="M","Male", orders[[#This Row],[Customer Gender]]="F","Female", orders[[#This Row],[Customer Gender]]="O","Other", TRUE,"Unknown")</f>
        <v>Male</v>
      </c>
    </row>
    <row r="1532" spans="1:15" x14ac:dyDescent="0.4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_xlfn.IFS(orders[[#This Row],[Customer Gender]]="M","Male", orders[[#This Row],[Customer Gender]]="F","Female", orders[[#This Row],[Customer Gender]]="O","Other", TRUE,"Unknown")</f>
        <v>Unknown</v>
      </c>
    </row>
    <row r="1533" spans="1:15" x14ac:dyDescent="0.4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_xlfn.IFS(orders[[#This Row],[Customer Gender]]="M","Male", orders[[#This Row],[Customer Gender]]="F","Female", orders[[#This Row],[Customer Gender]]="O","Other", TRUE,"Unknown")</f>
        <v>Male</v>
      </c>
    </row>
    <row r="1534" spans="1:15" x14ac:dyDescent="0.4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_xlfn.IFS(orders[[#This Row],[Customer Gender]]="M","Male", orders[[#This Row],[Customer Gender]]="F","Female", orders[[#This Row],[Customer Gender]]="O","Other", TRUE,"Unknown")</f>
        <v>Unknown</v>
      </c>
    </row>
    <row r="1535" spans="1:15" x14ac:dyDescent="0.4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_xlfn.IFS(orders[[#This Row],[Customer Gender]]="M","Male", orders[[#This Row],[Customer Gender]]="F","Female", orders[[#This Row],[Customer Gender]]="O","Other", TRUE,"Unknown")</f>
        <v>Female</v>
      </c>
    </row>
    <row r="1536" spans="1:15" x14ac:dyDescent="0.4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_xlfn.IFS(orders[[#This Row],[Customer Gender]]="M","Male", orders[[#This Row],[Customer Gender]]="F","Female", orders[[#This Row],[Customer Gender]]="O","Other", TRUE,"Unknown")</f>
        <v>Female</v>
      </c>
    </row>
    <row r="1537" spans="1:15" x14ac:dyDescent="0.4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_xlfn.IFS(orders[[#This Row],[Customer Gender]]="M","Male", orders[[#This Row],[Customer Gender]]="F","Female", orders[[#This Row],[Customer Gender]]="O","Other", TRUE,"Unknown")</f>
        <v>Male</v>
      </c>
    </row>
    <row r="1538" spans="1:15" x14ac:dyDescent="0.4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_xlfn.IFS(orders[[#This Row],[Customer Gender]]="M","Male", orders[[#This Row],[Customer Gender]]="F","Female", orders[[#This Row],[Customer Gender]]="O","Other", TRUE,"Unknown")</f>
        <v>Male</v>
      </c>
    </row>
    <row r="1539" spans="1:15" x14ac:dyDescent="0.4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_xlfn.IFS(orders[[#This Row],[Customer Gender]]="M","Male", orders[[#This Row],[Customer Gender]]="F","Female", orders[[#This Row],[Customer Gender]]="O","Other", TRUE,"Unknown")</f>
        <v>Female</v>
      </c>
    </row>
    <row r="1540" spans="1:15" x14ac:dyDescent="0.4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_xlfn.IFS(orders[[#This Row],[Customer Gender]]="M","Male", orders[[#This Row],[Customer Gender]]="F","Female", orders[[#This Row],[Customer Gender]]="O","Other", TRUE,"Unknown")</f>
        <v>Female</v>
      </c>
    </row>
    <row r="1541" spans="1:15" x14ac:dyDescent="0.4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_xlfn.IFS(orders[[#This Row],[Customer Gender]]="M","Male", orders[[#This Row],[Customer Gender]]="F","Female", orders[[#This Row],[Customer Gender]]="O","Other", TRUE,"Unknown")</f>
        <v>Female</v>
      </c>
    </row>
    <row r="1542" spans="1:15" x14ac:dyDescent="0.4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_xlfn.IFS(orders[[#This Row],[Customer Gender]]="M","Male", orders[[#This Row],[Customer Gender]]="F","Female", orders[[#This Row],[Customer Gender]]="O","Other", TRUE,"Unknown")</f>
        <v>Male</v>
      </c>
    </row>
    <row r="1543" spans="1:15" x14ac:dyDescent="0.4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_xlfn.IFS(orders[[#This Row],[Customer Gender]]="M","Male", orders[[#This Row],[Customer Gender]]="F","Female", orders[[#This Row],[Customer Gender]]="O","Other", TRUE,"Unknown")</f>
        <v>Male</v>
      </c>
    </row>
    <row r="1544" spans="1:15" x14ac:dyDescent="0.4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_xlfn.IFS(orders[[#This Row],[Customer Gender]]="M","Male", orders[[#This Row],[Customer Gender]]="F","Female", orders[[#This Row],[Customer Gender]]="O","Other", TRUE,"Unknown")</f>
        <v>Male</v>
      </c>
    </row>
    <row r="1545" spans="1:15" x14ac:dyDescent="0.4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_xlfn.IFS(orders[[#This Row],[Customer Gender]]="M","Male", orders[[#This Row],[Customer Gender]]="F","Female", orders[[#This Row],[Customer Gender]]="O","Other", TRUE,"Unknown")</f>
        <v>Female</v>
      </c>
    </row>
    <row r="1546" spans="1:15" x14ac:dyDescent="0.4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_xlfn.IFS(orders[[#This Row],[Customer Gender]]="M","Male", orders[[#This Row],[Customer Gender]]="F","Female", orders[[#This Row],[Customer Gender]]="O","Other", TRUE,"Unknown")</f>
        <v>Female</v>
      </c>
    </row>
    <row r="1547" spans="1:15" x14ac:dyDescent="0.4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_xlfn.IFS(orders[[#This Row],[Customer Gender]]="M","Male", orders[[#This Row],[Customer Gender]]="F","Female", orders[[#This Row],[Customer Gender]]="O","Other", TRUE,"Unknown")</f>
        <v>Female</v>
      </c>
    </row>
    <row r="1548" spans="1:15" x14ac:dyDescent="0.4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_xlfn.IFS(orders[[#This Row],[Customer Gender]]="M","Male", orders[[#This Row],[Customer Gender]]="F","Female", orders[[#This Row],[Customer Gender]]="O","Other", TRUE,"Unknown")</f>
        <v>Female</v>
      </c>
    </row>
    <row r="1549" spans="1:15" x14ac:dyDescent="0.4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_xlfn.IFS(orders[[#This Row],[Customer Gender]]="M","Male", orders[[#This Row],[Customer Gender]]="F","Female", orders[[#This Row],[Customer Gender]]="O","Other", TRUE,"Unknown")</f>
        <v>Female</v>
      </c>
    </row>
    <row r="1550" spans="1:15" x14ac:dyDescent="0.4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_xlfn.IFS(orders[[#This Row],[Customer Gender]]="M","Male", orders[[#This Row],[Customer Gender]]="F","Female", orders[[#This Row],[Customer Gender]]="O","Other", TRUE,"Unknown")</f>
        <v>Female</v>
      </c>
    </row>
    <row r="1551" spans="1:15" x14ac:dyDescent="0.4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_xlfn.IFS(orders[[#This Row],[Customer Gender]]="M","Male", orders[[#This Row],[Customer Gender]]="F","Female", orders[[#This Row],[Customer Gender]]="O","Other", TRUE,"Unknown")</f>
        <v>Male</v>
      </c>
    </row>
    <row r="1552" spans="1:15" x14ac:dyDescent="0.4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_xlfn.IFS(orders[[#This Row],[Customer Gender]]="M","Male", orders[[#This Row],[Customer Gender]]="F","Female", orders[[#This Row],[Customer Gender]]="O","Other", TRUE,"Unknown")</f>
        <v>Male</v>
      </c>
    </row>
    <row r="1553" spans="1:15" x14ac:dyDescent="0.4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_xlfn.IFS(orders[[#This Row],[Customer Gender]]="M","Male", orders[[#This Row],[Customer Gender]]="F","Female", orders[[#This Row],[Customer Gender]]="O","Other", TRUE,"Unknown")</f>
        <v>Male</v>
      </c>
    </row>
    <row r="1554" spans="1:15" x14ac:dyDescent="0.4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_xlfn.IFS(orders[[#This Row],[Customer Gender]]="M","Male", orders[[#This Row],[Customer Gender]]="F","Female", orders[[#This Row],[Customer Gender]]="O","Other", TRUE,"Unknown")</f>
        <v>Male</v>
      </c>
    </row>
    <row r="1555" spans="1:15" x14ac:dyDescent="0.4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_xlfn.IFS(orders[[#This Row],[Customer Gender]]="M","Male", orders[[#This Row],[Customer Gender]]="F","Female", orders[[#This Row],[Customer Gender]]="O","Other", TRUE,"Unknown")</f>
        <v>Female</v>
      </c>
    </row>
    <row r="1556" spans="1:15" x14ac:dyDescent="0.4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_xlfn.IFS(orders[[#This Row],[Customer Gender]]="M","Male", orders[[#This Row],[Customer Gender]]="F","Female", orders[[#This Row],[Customer Gender]]="O","Other", TRUE,"Unknown")</f>
        <v>Female</v>
      </c>
    </row>
    <row r="1557" spans="1:15" x14ac:dyDescent="0.4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_xlfn.IFS(orders[[#This Row],[Customer Gender]]="M","Male", orders[[#This Row],[Customer Gender]]="F","Female", orders[[#This Row],[Customer Gender]]="O","Other", TRUE,"Unknown")</f>
        <v>Unknown</v>
      </c>
    </row>
    <row r="1558" spans="1:15" x14ac:dyDescent="0.4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_xlfn.IFS(orders[[#This Row],[Customer Gender]]="M","Male", orders[[#This Row],[Customer Gender]]="F","Female", orders[[#This Row],[Customer Gender]]="O","Other", TRUE,"Unknown")</f>
        <v>Male</v>
      </c>
    </row>
    <row r="1559" spans="1:15" x14ac:dyDescent="0.4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_xlfn.IFS(orders[[#This Row],[Customer Gender]]="M","Male", orders[[#This Row],[Customer Gender]]="F","Female", orders[[#This Row],[Customer Gender]]="O","Other", TRUE,"Unknown")</f>
        <v>Male</v>
      </c>
    </row>
    <row r="1560" spans="1:15" x14ac:dyDescent="0.4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_xlfn.IFS(orders[[#This Row],[Customer Gender]]="M","Male", orders[[#This Row],[Customer Gender]]="F","Female", orders[[#This Row],[Customer Gender]]="O","Other", TRUE,"Unknown")</f>
        <v>Other</v>
      </c>
    </row>
    <row r="1561" spans="1:15" x14ac:dyDescent="0.4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_xlfn.IFS(orders[[#This Row],[Customer Gender]]="M","Male", orders[[#This Row],[Customer Gender]]="F","Female", orders[[#This Row],[Customer Gender]]="O","Other", TRUE,"Unknown")</f>
        <v>Female</v>
      </c>
    </row>
    <row r="1562" spans="1:15" x14ac:dyDescent="0.4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_xlfn.IFS(orders[[#This Row],[Customer Gender]]="M","Male", orders[[#This Row],[Customer Gender]]="F","Female", orders[[#This Row],[Customer Gender]]="O","Other", TRUE,"Unknown")</f>
        <v>Female</v>
      </c>
    </row>
    <row r="1563" spans="1:15" x14ac:dyDescent="0.4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_xlfn.IFS(orders[[#This Row],[Customer Gender]]="M","Male", orders[[#This Row],[Customer Gender]]="F","Female", orders[[#This Row],[Customer Gender]]="O","Other", TRUE,"Unknown")</f>
        <v>Other</v>
      </c>
    </row>
    <row r="1564" spans="1:15" x14ac:dyDescent="0.4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_xlfn.IFS(orders[[#This Row],[Customer Gender]]="M","Male", orders[[#This Row],[Customer Gender]]="F","Female", orders[[#This Row],[Customer Gender]]="O","Other", TRUE,"Unknown")</f>
        <v>Female</v>
      </c>
    </row>
    <row r="1565" spans="1:15" x14ac:dyDescent="0.4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_xlfn.IFS(orders[[#This Row],[Customer Gender]]="M","Male", orders[[#This Row],[Customer Gender]]="F","Female", orders[[#This Row],[Customer Gender]]="O","Other", TRUE,"Unknown")</f>
        <v>Female</v>
      </c>
    </row>
    <row r="1566" spans="1:15" x14ac:dyDescent="0.4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_xlfn.IFS(orders[[#This Row],[Customer Gender]]="M","Male", orders[[#This Row],[Customer Gender]]="F","Female", orders[[#This Row],[Customer Gender]]="O","Other", TRUE,"Unknown")</f>
        <v>Male</v>
      </c>
    </row>
    <row r="1567" spans="1:15" x14ac:dyDescent="0.4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_xlfn.IFS(orders[[#This Row],[Customer Gender]]="M","Male", orders[[#This Row],[Customer Gender]]="F","Female", orders[[#This Row],[Customer Gender]]="O","Other", TRUE,"Unknown")</f>
        <v>Male</v>
      </c>
    </row>
    <row r="1568" spans="1:15" x14ac:dyDescent="0.4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_xlfn.IFS(orders[[#This Row],[Customer Gender]]="M","Male", orders[[#This Row],[Customer Gender]]="F","Female", orders[[#This Row],[Customer Gender]]="O","Other", TRUE,"Unknown")</f>
        <v>Female</v>
      </c>
    </row>
    <row r="1569" spans="1:15" x14ac:dyDescent="0.4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_xlfn.IFS(orders[[#This Row],[Customer Gender]]="M","Male", orders[[#This Row],[Customer Gender]]="F","Female", orders[[#This Row],[Customer Gender]]="O","Other", TRUE,"Unknown")</f>
        <v>Male</v>
      </c>
    </row>
    <row r="1570" spans="1:15" x14ac:dyDescent="0.4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_xlfn.IFS(orders[[#This Row],[Customer Gender]]="M","Male", orders[[#This Row],[Customer Gender]]="F","Female", orders[[#This Row],[Customer Gender]]="O","Other", TRUE,"Unknown")</f>
        <v>Female</v>
      </c>
    </row>
    <row r="1571" spans="1:15" x14ac:dyDescent="0.4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_xlfn.IFS(orders[[#This Row],[Customer Gender]]="M","Male", orders[[#This Row],[Customer Gender]]="F","Female", orders[[#This Row],[Customer Gender]]="O","Other", TRUE,"Unknown")</f>
        <v>Male</v>
      </c>
    </row>
    <row r="1572" spans="1:15" x14ac:dyDescent="0.4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_xlfn.IFS(orders[[#This Row],[Customer Gender]]="M","Male", orders[[#This Row],[Customer Gender]]="F","Female", orders[[#This Row],[Customer Gender]]="O","Other", TRUE,"Unknown")</f>
        <v>Male</v>
      </c>
    </row>
    <row r="1573" spans="1:15" x14ac:dyDescent="0.4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_xlfn.IFS(orders[[#This Row],[Customer Gender]]="M","Male", orders[[#This Row],[Customer Gender]]="F","Female", orders[[#This Row],[Customer Gender]]="O","Other", TRUE,"Unknown")</f>
        <v>Male</v>
      </c>
    </row>
    <row r="1574" spans="1:15" x14ac:dyDescent="0.4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_xlfn.IFS(orders[[#This Row],[Customer Gender]]="M","Male", orders[[#This Row],[Customer Gender]]="F","Female", orders[[#This Row],[Customer Gender]]="O","Other", TRUE,"Unknown")</f>
        <v>Female</v>
      </c>
    </row>
    <row r="1575" spans="1:15" x14ac:dyDescent="0.4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_xlfn.IFS(orders[[#This Row],[Customer Gender]]="M","Male", orders[[#This Row],[Customer Gender]]="F","Female", orders[[#This Row],[Customer Gender]]="O","Other", TRUE,"Unknown")</f>
        <v>Female</v>
      </c>
    </row>
    <row r="1576" spans="1:15" x14ac:dyDescent="0.4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_xlfn.IFS(orders[[#This Row],[Customer Gender]]="M","Male", orders[[#This Row],[Customer Gender]]="F","Female", orders[[#This Row],[Customer Gender]]="O","Other", TRUE,"Unknown")</f>
        <v>Female</v>
      </c>
    </row>
    <row r="1577" spans="1:15" x14ac:dyDescent="0.4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_xlfn.IFS(orders[[#This Row],[Customer Gender]]="M","Male", orders[[#This Row],[Customer Gender]]="F","Female", orders[[#This Row],[Customer Gender]]="O","Other", TRUE,"Unknown")</f>
        <v>Female</v>
      </c>
    </row>
    <row r="1578" spans="1:15" x14ac:dyDescent="0.4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_xlfn.IFS(orders[[#This Row],[Customer Gender]]="M","Male", orders[[#This Row],[Customer Gender]]="F","Female", orders[[#This Row],[Customer Gender]]="O","Other", TRUE,"Unknown")</f>
        <v>Female</v>
      </c>
    </row>
    <row r="1579" spans="1:15" x14ac:dyDescent="0.4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_xlfn.IFS(orders[[#This Row],[Customer Gender]]="M","Male", orders[[#This Row],[Customer Gender]]="F","Female", orders[[#This Row],[Customer Gender]]="O","Other", TRUE,"Unknown")</f>
        <v>Female</v>
      </c>
    </row>
    <row r="1580" spans="1:15" x14ac:dyDescent="0.4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_xlfn.IFS(orders[[#This Row],[Customer Gender]]="M","Male", orders[[#This Row],[Customer Gender]]="F","Female", orders[[#This Row],[Customer Gender]]="O","Other", TRUE,"Unknown")</f>
        <v>Female</v>
      </c>
    </row>
    <row r="1581" spans="1:15" x14ac:dyDescent="0.4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_xlfn.IFS(orders[[#This Row],[Customer Gender]]="M","Male", orders[[#This Row],[Customer Gender]]="F","Female", orders[[#This Row],[Customer Gender]]="O","Other", TRUE,"Unknown")</f>
        <v>Female</v>
      </c>
    </row>
    <row r="1582" spans="1:15" x14ac:dyDescent="0.4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_xlfn.IFS(orders[[#This Row],[Customer Gender]]="M","Male", orders[[#This Row],[Customer Gender]]="F","Female", orders[[#This Row],[Customer Gender]]="O","Other", TRUE,"Unknown")</f>
        <v>Male</v>
      </c>
    </row>
    <row r="1583" spans="1:15" x14ac:dyDescent="0.4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_xlfn.IFS(orders[[#This Row],[Customer Gender]]="M","Male", orders[[#This Row],[Customer Gender]]="F","Female", orders[[#This Row],[Customer Gender]]="O","Other", TRUE,"Unknown")</f>
        <v>Female</v>
      </c>
    </row>
    <row r="1584" spans="1:15" x14ac:dyDescent="0.4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_xlfn.IFS(orders[[#This Row],[Customer Gender]]="M","Male", orders[[#This Row],[Customer Gender]]="F","Female", orders[[#This Row],[Customer Gender]]="O","Other", TRUE,"Unknown")</f>
        <v>Male</v>
      </c>
    </row>
    <row r="1585" spans="1:15" x14ac:dyDescent="0.4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_xlfn.IFS(orders[[#This Row],[Customer Gender]]="M","Male", orders[[#This Row],[Customer Gender]]="F","Female", orders[[#This Row],[Customer Gender]]="O","Other", TRUE,"Unknown")</f>
        <v>Female</v>
      </c>
    </row>
    <row r="1586" spans="1:15" x14ac:dyDescent="0.4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_xlfn.IFS(orders[[#This Row],[Customer Gender]]="M","Male", orders[[#This Row],[Customer Gender]]="F","Female", orders[[#This Row],[Customer Gender]]="O","Other", TRUE,"Unknown")</f>
        <v>Unknown</v>
      </c>
    </row>
    <row r="1587" spans="1:15" x14ac:dyDescent="0.4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_xlfn.IFS(orders[[#This Row],[Customer Gender]]="M","Male", orders[[#This Row],[Customer Gender]]="F","Female", orders[[#This Row],[Customer Gender]]="O","Other", TRUE,"Unknown")</f>
        <v>Male</v>
      </c>
    </row>
    <row r="1588" spans="1:15" x14ac:dyDescent="0.4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_xlfn.IFS(orders[[#This Row],[Customer Gender]]="M","Male", orders[[#This Row],[Customer Gender]]="F","Female", orders[[#This Row],[Customer Gender]]="O","Other", TRUE,"Unknown")</f>
        <v>Female</v>
      </c>
    </row>
    <row r="1589" spans="1:15" x14ac:dyDescent="0.4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_xlfn.IFS(orders[[#This Row],[Customer Gender]]="M","Male", orders[[#This Row],[Customer Gender]]="F","Female", orders[[#This Row],[Customer Gender]]="O","Other", TRUE,"Unknown")</f>
        <v>Male</v>
      </c>
    </row>
    <row r="1590" spans="1:15" x14ac:dyDescent="0.4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_xlfn.IFS(orders[[#This Row],[Customer Gender]]="M","Male", orders[[#This Row],[Customer Gender]]="F","Female", orders[[#This Row],[Customer Gender]]="O","Other", TRUE,"Unknown")</f>
        <v>Other</v>
      </c>
    </row>
    <row r="1591" spans="1:15" x14ac:dyDescent="0.4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_xlfn.IFS(orders[[#This Row],[Customer Gender]]="M","Male", orders[[#This Row],[Customer Gender]]="F","Female", orders[[#This Row],[Customer Gender]]="O","Other", TRUE,"Unknown")</f>
        <v>Female</v>
      </c>
    </row>
    <row r="1592" spans="1:15" x14ac:dyDescent="0.4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_xlfn.IFS(orders[[#This Row],[Customer Gender]]="M","Male", orders[[#This Row],[Customer Gender]]="F","Female", orders[[#This Row],[Customer Gender]]="O","Other", TRUE,"Unknown")</f>
        <v>Female</v>
      </c>
    </row>
    <row r="1593" spans="1:15" x14ac:dyDescent="0.4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_xlfn.IFS(orders[[#This Row],[Customer Gender]]="M","Male", orders[[#This Row],[Customer Gender]]="F","Female", orders[[#This Row],[Customer Gender]]="O","Other", TRUE,"Unknown")</f>
        <v>Female</v>
      </c>
    </row>
    <row r="1594" spans="1:15" x14ac:dyDescent="0.4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_xlfn.IFS(orders[[#This Row],[Customer Gender]]="M","Male", orders[[#This Row],[Customer Gender]]="F","Female", orders[[#This Row],[Customer Gender]]="O","Other", TRUE,"Unknown")</f>
        <v>Female</v>
      </c>
    </row>
    <row r="1595" spans="1:15" x14ac:dyDescent="0.4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_xlfn.IFS(orders[[#This Row],[Customer Gender]]="M","Male", orders[[#This Row],[Customer Gender]]="F","Female", orders[[#This Row],[Customer Gender]]="O","Other", TRUE,"Unknown")</f>
        <v>Male</v>
      </c>
    </row>
    <row r="1596" spans="1:15" x14ac:dyDescent="0.4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_xlfn.IFS(orders[[#This Row],[Customer Gender]]="M","Male", orders[[#This Row],[Customer Gender]]="F","Female", orders[[#This Row],[Customer Gender]]="O","Other", TRUE,"Unknown")</f>
        <v>Female</v>
      </c>
    </row>
    <row r="1597" spans="1:15" x14ac:dyDescent="0.4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_xlfn.IFS(orders[[#This Row],[Customer Gender]]="M","Male", orders[[#This Row],[Customer Gender]]="F","Female", orders[[#This Row],[Customer Gender]]="O","Other", TRUE,"Unknown")</f>
        <v>Male</v>
      </c>
    </row>
    <row r="1598" spans="1:15" x14ac:dyDescent="0.4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_xlfn.IFS(orders[[#This Row],[Customer Gender]]="M","Male", orders[[#This Row],[Customer Gender]]="F","Female", orders[[#This Row],[Customer Gender]]="O","Other", TRUE,"Unknown")</f>
        <v>Unknown</v>
      </c>
    </row>
    <row r="1599" spans="1:15" x14ac:dyDescent="0.4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_xlfn.IFS(orders[[#This Row],[Customer Gender]]="M","Male", orders[[#This Row],[Customer Gender]]="F","Female", orders[[#This Row],[Customer Gender]]="O","Other", TRUE,"Unknown")</f>
        <v>Female</v>
      </c>
    </row>
    <row r="1600" spans="1:15" x14ac:dyDescent="0.4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_xlfn.IFS(orders[[#This Row],[Customer Gender]]="M","Male", orders[[#This Row],[Customer Gender]]="F","Female", orders[[#This Row],[Customer Gender]]="O","Other", TRUE,"Unknown")</f>
        <v>Female</v>
      </c>
    </row>
    <row r="1601" spans="1:15" x14ac:dyDescent="0.4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_xlfn.IFS(orders[[#This Row],[Customer Gender]]="M","Male", orders[[#This Row],[Customer Gender]]="F","Female", orders[[#This Row],[Customer Gender]]="O","Other", TRUE,"Unknown")</f>
        <v>Female</v>
      </c>
    </row>
    <row r="1602" spans="1:15" x14ac:dyDescent="0.4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_xlfn.IFS(orders[[#This Row],[Customer Gender]]="M","Male", orders[[#This Row],[Customer Gender]]="F","Female", orders[[#This Row],[Customer Gender]]="O","Other", TRUE,"Unknown")</f>
        <v>Male</v>
      </c>
    </row>
    <row r="1603" spans="1:15" x14ac:dyDescent="0.4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_xlfn.IFS(orders[[#This Row],[Customer Gender]]="M","Male", orders[[#This Row],[Customer Gender]]="F","Female", orders[[#This Row],[Customer Gender]]="O","Other", TRUE,"Unknown")</f>
        <v>Male</v>
      </c>
    </row>
    <row r="1604" spans="1:15" x14ac:dyDescent="0.4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_xlfn.IFS(orders[[#This Row],[Customer Gender]]="M","Male", orders[[#This Row],[Customer Gender]]="F","Female", orders[[#This Row],[Customer Gender]]="O","Other", TRUE,"Unknown")</f>
        <v>Female</v>
      </c>
    </row>
    <row r="1605" spans="1:15" x14ac:dyDescent="0.4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_xlfn.IFS(orders[[#This Row],[Customer Gender]]="M","Male", orders[[#This Row],[Customer Gender]]="F","Female", orders[[#This Row],[Customer Gender]]="O","Other", TRUE,"Unknown")</f>
        <v>Male</v>
      </c>
    </row>
    <row r="1606" spans="1:15" x14ac:dyDescent="0.4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_xlfn.IFS(orders[[#This Row],[Customer Gender]]="M","Male", orders[[#This Row],[Customer Gender]]="F","Female", orders[[#This Row],[Customer Gender]]="O","Other", TRUE,"Unknown")</f>
        <v>Male</v>
      </c>
    </row>
    <row r="1607" spans="1:15" x14ac:dyDescent="0.4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_xlfn.IFS(orders[[#This Row],[Customer Gender]]="M","Male", orders[[#This Row],[Customer Gender]]="F","Female", orders[[#This Row],[Customer Gender]]="O","Other", TRUE,"Unknown")</f>
        <v>Male</v>
      </c>
    </row>
    <row r="1608" spans="1:15" x14ac:dyDescent="0.4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_xlfn.IFS(orders[[#This Row],[Customer Gender]]="M","Male", orders[[#This Row],[Customer Gender]]="F","Female", orders[[#This Row],[Customer Gender]]="O","Other", TRUE,"Unknown")</f>
        <v>Female</v>
      </c>
    </row>
    <row r="1609" spans="1:15" x14ac:dyDescent="0.4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_xlfn.IFS(orders[[#This Row],[Customer Gender]]="M","Male", orders[[#This Row],[Customer Gender]]="F","Female", orders[[#This Row],[Customer Gender]]="O","Other", TRUE,"Unknown")</f>
        <v>Female</v>
      </c>
    </row>
    <row r="1610" spans="1:15" x14ac:dyDescent="0.4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_xlfn.IFS(orders[[#This Row],[Customer Gender]]="M","Male", orders[[#This Row],[Customer Gender]]="F","Female", orders[[#This Row],[Customer Gender]]="O","Other", TRUE,"Unknown")</f>
        <v>Male</v>
      </c>
    </row>
    <row r="1611" spans="1:15" x14ac:dyDescent="0.4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_xlfn.IFS(orders[[#This Row],[Customer Gender]]="M","Male", orders[[#This Row],[Customer Gender]]="F","Female", orders[[#This Row],[Customer Gender]]="O","Other", TRUE,"Unknown")</f>
        <v>Male</v>
      </c>
    </row>
    <row r="1612" spans="1:15" x14ac:dyDescent="0.4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_xlfn.IFS(orders[[#This Row],[Customer Gender]]="M","Male", orders[[#This Row],[Customer Gender]]="F","Female", orders[[#This Row],[Customer Gender]]="O","Other", TRUE,"Unknown")</f>
        <v>Male</v>
      </c>
    </row>
    <row r="1613" spans="1:15" x14ac:dyDescent="0.4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_xlfn.IFS(orders[[#This Row],[Customer Gender]]="M","Male", orders[[#This Row],[Customer Gender]]="F","Female", orders[[#This Row],[Customer Gender]]="O","Other", TRUE,"Unknown")</f>
        <v>Male</v>
      </c>
    </row>
    <row r="1614" spans="1:15" x14ac:dyDescent="0.4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_xlfn.IFS(orders[[#This Row],[Customer Gender]]="M","Male", orders[[#This Row],[Customer Gender]]="F","Female", orders[[#This Row],[Customer Gender]]="O","Other", TRUE,"Unknown")</f>
        <v>Female</v>
      </c>
    </row>
    <row r="1615" spans="1:15" x14ac:dyDescent="0.4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_xlfn.IFS(orders[[#This Row],[Customer Gender]]="M","Male", orders[[#This Row],[Customer Gender]]="F","Female", orders[[#This Row],[Customer Gender]]="O","Other", TRUE,"Unknown")</f>
        <v>Female</v>
      </c>
    </row>
    <row r="1616" spans="1:15" x14ac:dyDescent="0.4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_xlfn.IFS(orders[[#This Row],[Customer Gender]]="M","Male", orders[[#This Row],[Customer Gender]]="F","Female", orders[[#This Row],[Customer Gender]]="O","Other", TRUE,"Unknown")</f>
        <v>Female</v>
      </c>
    </row>
    <row r="1617" spans="1:15" x14ac:dyDescent="0.4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_xlfn.IFS(orders[[#This Row],[Customer Gender]]="M","Male", orders[[#This Row],[Customer Gender]]="F","Female", orders[[#This Row],[Customer Gender]]="O","Other", TRUE,"Unknown")</f>
        <v>Female</v>
      </c>
    </row>
    <row r="1618" spans="1:15" x14ac:dyDescent="0.4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_xlfn.IFS(orders[[#This Row],[Customer Gender]]="M","Male", orders[[#This Row],[Customer Gender]]="F","Female", orders[[#This Row],[Customer Gender]]="O","Other", TRUE,"Unknown")</f>
        <v>Female</v>
      </c>
    </row>
    <row r="1619" spans="1:15" x14ac:dyDescent="0.4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_xlfn.IFS(orders[[#This Row],[Customer Gender]]="M","Male", orders[[#This Row],[Customer Gender]]="F","Female", orders[[#This Row],[Customer Gender]]="O","Other", TRUE,"Unknown")</f>
        <v>Other</v>
      </c>
    </row>
    <row r="1620" spans="1:15" x14ac:dyDescent="0.4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_xlfn.IFS(orders[[#This Row],[Customer Gender]]="M","Male", orders[[#This Row],[Customer Gender]]="F","Female", orders[[#This Row],[Customer Gender]]="O","Other", TRUE,"Unknown")</f>
        <v>Male</v>
      </c>
    </row>
    <row r="1621" spans="1:15" x14ac:dyDescent="0.4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_xlfn.IFS(orders[[#This Row],[Customer Gender]]="M","Male", orders[[#This Row],[Customer Gender]]="F","Female", orders[[#This Row],[Customer Gender]]="O","Other", TRUE,"Unknown")</f>
        <v>Female</v>
      </c>
    </row>
    <row r="1622" spans="1:15" x14ac:dyDescent="0.4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_xlfn.IFS(orders[[#This Row],[Customer Gender]]="M","Male", orders[[#This Row],[Customer Gender]]="F","Female", orders[[#This Row],[Customer Gender]]="O","Other", TRUE,"Unknown")</f>
        <v>Male</v>
      </c>
    </row>
    <row r="1623" spans="1:15" x14ac:dyDescent="0.4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_xlfn.IFS(orders[[#This Row],[Customer Gender]]="M","Male", orders[[#This Row],[Customer Gender]]="F","Female", orders[[#This Row],[Customer Gender]]="O","Other", TRUE,"Unknown")</f>
        <v>Male</v>
      </c>
    </row>
    <row r="1624" spans="1:15" x14ac:dyDescent="0.4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_xlfn.IFS(orders[[#This Row],[Customer Gender]]="M","Male", orders[[#This Row],[Customer Gender]]="F","Female", orders[[#This Row],[Customer Gender]]="O","Other", TRUE,"Unknown")</f>
        <v>Female</v>
      </c>
    </row>
    <row r="1625" spans="1:15" x14ac:dyDescent="0.4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_xlfn.IFS(orders[[#This Row],[Customer Gender]]="M","Male", orders[[#This Row],[Customer Gender]]="F","Female", orders[[#This Row],[Customer Gender]]="O","Other", TRUE,"Unknown")</f>
        <v>Other</v>
      </c>
    </row>
    <row r="1626" spans="1:15" x14ac:dyDescent="0.4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_xlfn.IFS(orders[[#This Row],[Customer Gender]]="M","Male", orders[[#This Row],[Customer Gender]]="F","Female", orders[[#This Row],[Customer Gender]]="O","Other", TRUE,"Unknown")</f>
        <v>Other</v>
      </c>
    </row>
    <row r="1627" spans="1:15" x14ac:dyDescent="0.4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_xlfn.IFS(orders[[#This Row],[Customer Gender]]="M","Male", orders[[#This Row],[Customer Gender]]="F","Female", orders[[#This Row],[Customer Gender]]="O","Other", TRUE,"Unknown")</f>
        <v>Female</v>
      </c>
    </row>
    <row r="1628" spans="1:15" x14ac:dyDescent="0.4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_xlfn.IFS(orders[[#This Row],[Customer Gender]]="M","Male", orders[[#This Row],[Customer Gender]]="F","Female", orders[[#This Row],[Customer Gender]]="O","Other", TRUE,"Unknown")</f>
        <v>Female</v>
      </c>
    </row>
    <row r="1629" spans="1:15" x14ac:dyDescent="0.4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_xlfn.IFS(orders[[#This Row],[Customer Gender]]="M","Male", orders[[#This Row],[Customer Gender]]="F","Female", orders[[#This Row],[Customer Gender]]="O","Other", TRUE,"Unknown")</f>
        <v>Male</v>
      </c>
    </row>
    <row r="1630" spans="1:15" x14ac:dyDescent="0.4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_xlfn.IFS(orders[[#This Row],[Customer Gender]]="M","Male", orders[[#This Row],[Customer Gender]]="F","Female", orders[[#This Row],[Customer Gender]]="O","Other", TRUE,"Unknown")</f>
        <v>Male</v>
      </c>
    </row>
    <row r="1631" spans="1:15" x14ac:dyDescent="0.4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_xlfn.IFS(orders[[#This Row],[Customer Gender]]="M","Male", orders[[#This Row],[Customer Gender]]="F","Female", orders[[#This Row],[Customer Gender]]="O","Other", TRUE,"Unknown")</f>
        <v>Female</v>
      </c>
    </row>
    <row r="1632" spans="1:15" x14ac:dyDescent="0.4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_xlfn.IFS(orders[[#This Row],[Customer Gender]]="M","Male", orders[[#This Row],[Customer Gender]]="F","Female", orders[[#This Row],[Customer Gender]]="O","Other", TRUE,"Unknown")</f>
        <v>Female</v>
      </c>
    </row>
    <row r="1633" spans="1:15" x14ac:dyDescent="0.4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_xlfn.IFS(orders[[#This Row],[Customer Gender]]="M","Male", orders[[#This Row],[Customer Gender]]="F","Female", orders[[#This Row],[Customer Gender]]="O","Other", TRUE,"Unknown")</f>
        <v>Female</v>
      </c>
    </row>
    <row r="1634" spans="1:15" x14ac:dyDescent="0.4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_xlfn.IFS(orders[[#This Row],[Customer Gender]]="M","Male", orders[[#This Row],[Customer Gender]]="F","Female", orders[[#This Row],[Customer Gender]]="O","Other", TRUE,"Unknown")</f>
        <v>Female</v>
      </c>
    </row>
    <row r="1635" spans="1:15" x14ac:dyDescent="0.4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_xlfn.IFS(orders[[#This Row],[Customer Gender]]="M","Male", orders[[#This Row],[Customer Gender]]="F","Female", orders[[#This Row],[Customer Gender]]="O","Other", TRUE,"Unknown")</f>
        <v>Unknown</v>
      </c>
    </row>
    <row r="1636" spans="1:15" x14ac:dyDescent="0.4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_xlfn.IFS(orders[[#This Row],[Customer Gender]]="M","Male", orders[[#This Row],[Customer Gender]]="F","Female", orders[[#This Row],[Customer Gender]]="O","Other", TRUE,"Unknown")</f>
        <v>Male</v>
      </c>
    </row>
    <row r="1637" spans="1:15" x14ac:dyDescent="0.4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_xlfn.IFS(orders[[#This Row],[Customer Gender]]="M","Male", orders[[#This Row],[Customer Gender]]="F","Female", orders[[#This Row],[Customer Gender]]="O","Other", TRUE,"Unknown")</f>
        <v>Male</v>
      </c>
    </row>
    <row r="1638" spans="1:15" x14ac:dyDescent="0.4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_xlfn.IFS(orders[[#This Row],[Customer Gender]]="M","Male", orders[[#This Row],[Customer Gender]]="F","Female", orders[[#This Row],[Customer Gender]]="O","Other", TRUE,"Unknown")</f>
        <v>Male</v>
      </c>
    </row>
    <row r="1639" spans="1:15" x14ac:dyDescent="0.4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_xlfn.IFS(orders[[#This Row],[Customer Gender]]="M","Male", orders[[#This Row],[Customer Gender]]="F","Female", orders[[#This Row],[Customer Gender]]="O","Other", TRUE,"Unknown")</f>
        <v>Other</v>
      </c>
    </row>
    <row r="1640" spans="1:15" x14ac:dyDescent="0.4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_xlfn.IFS(orders[[#This Row],[Customer Gender]]="M","Male", orders[[#This Row],[Customer Gender]]="F","Female", orders[[#This Row],[Customer Gender]]="O","Other", TRUE,"Unknown")</f>
        <v>Male</v>
      </c>
    </row>
    <row r="1641" spans="1:15" x14ac:dyDescent="0.4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_xlfn.IFS(orders[[#This Row],[Customer Gender]]="M","Male", orders[[#This Row],[Customer Gender]]="F","Female", orders[[#This Row],[Customer Gender]]="O","Other", TRUE,"Unknown")</f>
        <v>Male</v>
      </c>
    </row>
    <row r="1642" spans="1:15" x14ac:dyDescent="0.4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_xlfn.IFS(orders[[#This Row],[Customer Gender]]="M","Male", orders[[#This Row],[Customer Gender]]="F","Female", orders[[#This Row],[Customer Gender]]="O","Other", TRUE,"Unknown")</f>
        <v>Male</v>
      </c>
    </row>
    <row r="1643" spans="1:15" x14ac:dyDescent="0.4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_xlfn.IFS(orders[[#This Row],[Customer Gender]]="M","Male", orders[[#This Row],[Customer Gender]]="F","Female", orders[[#This Row],[Customer Gender]]="O","Other", TRUE,"Unknown")</f>
        <v>Female</v>
      </c>
    </row>
    <row r="1644" spans="1:15" x14ac:dyDescent="0.4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_xlfn.IFS(orders[[#This Row],[Customer Gender]]="M","Male", orders[[#This Row],[Customer Gender]]="F","Female", orders[[#This Row],[Customer Gender]]="O","Other", TRUE,"Unknown")</f>
        <v>Male</v>
      </c>
    </row>
    <row r="1645" spans="1:15" x14ac:dyDescent="0.4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_xlfn.IFS(orders[[#This Row],[Customer Gender]]="M","Male", orders[[#This Row],[Customer Gender]]="F","Female", orders[[#This Row],[Customer Gender]]="O","Other", TRUE,"Unknown")</f>
        <v>Male</v>
      </c>
    </row>
    <row r="1646" spans="1:15" x14ac:dyDescent="0.4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_xlfn.IFS(orders[[#This Row],[Customer Gender]]="M","Male", orders[[#This Row],[Customer Gender]]="F","Female", orders[[#This Row],[Customer Gender]]="O","Other", TRUE,"Unknown")</f>
        <v>Male</v>
      </c>
    </row>
    <row r="1647" spans="1:15" x14ac:dyDescent="0.4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_xlfn.IFS(orders[[#This Row],[Customer Gender]]="M","Male", orders[[#This Row],[Customer Gender]]="F","Female", orders[[#This Row],[Customer Gender]]="O","Other", TRUE,"Unknown")</f>
        <v>Male</v>
      </c>
    </row>
    <row r="1648" spans="1:15" x14ac:dyDescent="0.4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_xlfn.IFS(orders[[#This Row],[Customer Gender]]="M","Male", orders[[#This Row],[Customer Gender]]="F","Female", orders[[#This Row],[Customer Gender]]="O","Other", TRUE,"Unknown")</f>
        <v>Male</v>
      </c>
    </row>
    <row r="1649" spans="1:15" x14ac:dyDescent="0.4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_xlfn.IFS(orders[[#This Row],[Customer Gender]]="M","Male", orders[[#This Row],[Customer Gender]]="F","Female", orders[[#This Row],[Customer Gender]]="O","Other", TRUE,"Unknown")</f>
        <v>Male</v>
      </c>
    </row>
    <row r="1650" spans="1:15" x14ac:dyDescent="0.4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_xlfn.IFS(orders[[#This Row],[Customer Gender]]="M","Male", orders[[#This Row],[Customer Gender]]="F","Female", orders[[#This Row],[Customer Gender]]="O","Other", TRUE,"Unknown")</f>
        <v>Female</v>
      </c>
    </row>
    <row r="1651" spans="1:15" x14ac:dyDescent="0.4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_xlfn.IFS(orders[[#This Row],[Customer Gender]]="M","Male", orders[[#This Row],[Customer Gender]]="F","Female", orders[[#This Row],[Customer Gender]]="O","Other", TRUE,"Unknown")</f>
        <v>Female</v>
      </c>
    </row>
    <row r="1652" spans="1:15" x14ac:dyDescent="0.4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_xlfn.IFS(orders[[#This Row],[Customer Gender]]="M","Male", orders[[#This Row],[Customer Gender]]="F","Female", orders[[#This Row],[Customer Gender]]="O","Other", TRUE,"Unknown")</f>
        <v>Female</v>
      </c>
    </row>
    <row r="1653" spans="1:15" x14ac:dyDescent="0.4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_xlfn.IFS(orders[[#This Row],[Customer Gender]]="M","Male", orders[[#This Row],[Customer Gender]]="F","Female", orders[[#This Row],[Customer Gender]]="O","Other", TRUE,"Unknown")</f>
        <v>Female</v>
      </c>
    </row>
    <row r="1654" spans="1:15" x14ac:dyDescent="0.4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_xlfn.IFS(orders[[#This Row],[Customer Gender]]="M","Male", orders[[#This Row],[Customer Gender]]="F","Female", orders[[#This Row],[Customer Gender]]="O","Other", TRUE,"Unknown")</f>
        <v>Male</v>
      </c>
    </row>
    <row r="1655" spans="1:15" x14ac:dyDescent="0.4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_xlfn.IFS(orders[[#This Row],[Customer Gender]]="M","Male", orders[[#This Row],[Customer Gender]]="F","Female", orders[[#This Row],[Customer Gender]]="O","Other", TRUE,"Unknown")</f>
        <v>Female</v>
      </c>
    </row>
    <row r="1656" spans="1:15" x14ac:dyDescent="0.4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_xlfn.IFS(orders[[#This Row],[Customer Gender]]="M","Male", orders[[#This Row],[Customer Gender]]="F","Female", orders[[#This Row],[Customer Gender]]="O","Other", TRUE,"Unknown")</f>
        <v>Male</v>
      </c>
    </row>
    <row r="1657" spans="1:15" x14ac:dyDescent="0.4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_xlfn.IFS(orders[[#This Row],[Customer Gender]]="M","Male", orders[[#This Row],[Customer Gender]]="F","Female", orders[[#This Row],[Customer Gender]]="O","Other", TRUE,"Unknown")</f>
        <v>Female</v>
      </c>
    </row>
    <row r="1658" spans="1:15" x14ac:dyDescent="0.4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_xlfn.IFS(orders[[#This Row],[Customer Gender]]="M","Male", orders[[#This Row],[Customer Gender]]="F","Female", orders[[#This Row],[Customer Gender]]="O","Other", TRUE,"Unknown")</f>
        <v>Male</v>
      </c>
    </row>
    <row r="1659" spans="1:15" x14ac:dyDescent="0.4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_xlfn.IFS(orders[[#This Row],[Customer Gender]]="M","Male", orders[[#This Row],[Customer Gender]]="F","Female", orders[[#This Row],[Customer Gender]]="O","Other", TRUE,"Unknown")</f>
        <v>Female</v>
      </c>
    </row>
    <row r="1660" spans="1:15" x14ac:dyDescent="0.4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_xlfn.IFS(orders[[#This Row],[Customer Gender]]="M","Male", orders[[#This Row],[Customer Gender]]="F","Female", orders[[#This Row],[Customer Gender]]="O","Other", TRUE,"Unknown")</f>
        <v>Male</v>
      </c>
    </row>
    <row r="1661" spans="1:15" x14ac:dyDescent="0.4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_xlfn.IFS(orders[[#This Row],[Customer Gender]]="M","Male", orders[[#This Row],[Customer Gender]]="F","Female", orders[[#This Row],[Customer Gender]]="O","Other", TRUE,"Unknown")</f>
        <v>Female</v>
      </c>
    </row>
    <row r="1662" spans="1:15" x14ac:dyDescent="0.4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_xlfn.IFS(orders[[#This Row],[Customer Gender]]="M","Male", orders[[#This Row],[Customer Gender]]="F","Female", orders[[#This Row],[Customer Gender]]="O","Other", TRUE,"Unknown")</f>
        <v>Female</v>
      </c>
    </row>
    <row r="1663" spans="1:15" x14ac:dyDescent="0.4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_xlfn.IFS(orders[[#This Row],[Customer Gender]]="M","Male", orders[[#This Row],[Customer Gender]]="F","Female", orders[[#This Row],[Customer Gender]]="O","Other", TRUE,"Unknown")</f>
        <v>Male</v>
      </c>
    </row>
    <row r="1664" spans="1:15" x14ac:dyDescent="0.4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_xlfn.IFS(orders[[#This Row],[Customer Gender]]="M","Male", orders[[#This Row],[Customer Gender]]="F","Female", orders[[#This Row],[Customer Gender]]="O","Other", TRUE,"Unknown")</f>
        <v>Male</v>
      </c>
    </row>
    <row r="1665" spans="1:15" x14ac:dyDescent="0.4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_xlfn.IFS(orders[[#This Row],[Customer Gender]]="M","Male", orders[[#This Row],[Customer Gender]]="F","Female", orders[[#This Row],[Customer Gender]]="O","Other", TRUE,"Unknown")</f>
        <v>Female</v>
      </c>
    </row>
    <row r="1666" spans="1:15" x14ac:dyDescent="0.4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_xlfn.IFS(orders[[#This Row],[Customer Gender]]="M","Male", orders[[#This Row],[Customer Gender]]="F","Female", orders[[#This Row],[Customer Gender]]="O","Other", TRUE,"Unknown")</f>
        <v>Female</v>
      </c>
    </row>
    <row r="1667" spans="1:15" x14ac:dyDescent="0.4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_xlfn.IFS(orders[[#This Row],[Customer Gender]]="M","Male", orders[[#This Row],[Customer Gender]]="F","Female", orders[[#This Row],[Customer Gender]]="O","Other", TRUE,"Unknown")</f>
        <v>Female</v>
      </c>
    </row>
    <row r="1668" spans="1:15" x14ac:dyDescent="0.4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_xlfn.IFS(orders[[#This Row],[Customer Gender]]="M","Male", orders[[#This Row],[Customer Gender]]="F","Female", orders[[#This Row],[Customer Gender]]="O","Other", TRUE,"Unknown")</f>
        <v>Female</v>
      </c>
    </row>
    <row r="1669" spans="1:15" x14ac:dyDescent="0.4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_xlfn.IFS(orders[[#This Row],[Customer Gender]]="M","Male", orders[[#This Row],[Customer Gender]]="F","Female", orders[[#This Row],[Customer Gender]]="O","Other", TRUE,"Unknown")</f>
        <v>Female</v>
      </c>
    </row>
    <row r="1670" spans="1:15" x14ac:dyDescent="0.4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_xlfn.IFS(orders[[#This Row],[Customer Gender]]="M","Male", orders[[#This Row],[Customer Gender]]="F","Female", orders[[#This Row],[Customer Gender]]="O","Other", TRUE,"Unknown")</f>
        <v>Male</v>
      </c>
    </row>
    <row r="1671" spans="1:15" x14ac:dyDescent="0.4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_xlfn.IFS(orders[[#This Row],[Customer Gender]]="M","Male", orders[[#This Row],[Customer Gender]]="F","Female", orders[[#This Row],[Customer Gender]]="O","Other", TRUE,"Unknown")</f>
        <v>Male</v>
      </c>
    </row>
    <row r="1672" spans="1:15" x14ac:dyDescent="0.4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_xlfn.IFS(orders[[#This Row],[Customer Gender]]="M","Male", orders[[#This Row],[Customer Gender]]="F","Female", orders[[#This Row],[Customer Gender]]="O","Other", TRUE,"Unknown")</f>
        <v>Female</v>
      </c>
    </row>
    <row r="1673" spans="1:15" x14ac:dyDescent="0.4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_xlfn.IFS(orders[[#This Row],[Customer Gender]]="M","Male", orders[[#This Row],[Customer Gender]]="F","Female", orders[[#This Row],[Customer Gender]]="O","Other", TRUE,"Unknown")</f>
        <v>Male</v>
      </c>
    </row>
    <row r="1674" spans="1:15" x14ac:dyDescent="0.4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_xlfn.IFS(orders[[#This Row],[Customer Gender]]="M","Male", orders[[#This Row],[Customer Gender]]="F","Female", orders[[#This Row],[Customer Gender]]="O","Other", TRUE,"Unknown")</f>
        <v>Female</v>
      </c>
    </row>
    <row r="1675" spans="1:15" x14ac:dyDescent="0.4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_xlfn.IFS(orders[[#This Row],[Customer Gender]]="M","Male", orders[[#This Row],[Customer Gender]]="F","Female", orders[[#This Row],[Customer Gender]]="O","Other", TRUE,"Unknown")</f>
        <v>Female</v>
      </c>
    </row>
    <row r="1676" spans="1:15" x14ac:dyDescent="0.4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_xlfn.IFS(orders[[#This Row],[Customer Gender]]="M","Male", orders[[#This Row],[Customer Gender]]="F","Female", orders[[#This Row],[Customer Gender]]="O","Other", TRUE,"Unknown")</f>
        <v>Female</v>
      </c>
    </row>
    <row r="1677" spans="1:15" x14ac:dyDescent="0.4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_xlfn.IFS(orders[[#This Row],[Customer Gender]]="M","Male", orders[[#This Row],[Customer Gender]]="F","Female", orders[[#This Row],[Customer Gender]]="O","Other", TRUE,"Unknown")</f>
        <v>Female</v>
      </c>
    </row>
    <row r="1678" spans="1:15" x14ac:dyDescent="0.4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_xlfn.IFS(orders[[#This Row],[Customer Gender]]="M","Male", orders[[#This Row],[Customer Gender]]="F","Female", orders[[#This Row],[Customer Gender]]="O","Other", TRUE,"Unknown")</f>
        <v>Female</v>
      </c>
    </row>
    <row r="1679" spans="1:15" x14ac:dyDescent="0.4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_xlfn.IFS(orders[[#This Row],[Customer Gender]]="M","Male", orders[[#This Row],[Customer Gender]]="F","Female", orders[[#This Row],[Customer Gender]]="O","Other", TRUE,"Unknown")</f>
        <v>Other</v>
      </c>
    </row>
    <row r="1680" spans="1:15" x14ac:dyDescent="0.4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_xlfn.IFS(orders[[#This Row],[Customer Gender]]="M","Male", orders[[#This Row],[Customer Gender]]="F","Female", orders[[#This Row],[Customer Gender]]="O","Other", TRUE,"Unknown")</f>
        <v>Female</v>
      </c>
    </row>
    <row r="1681" spans="1:15" x14ac:dyDescent="0.4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_xlfn.IFS(orders[[#This Row],[Customer Gender]]="M","Male", orders[[#This Row],[Customer Gender]]="F","Female", orders[[#This Row],[Customer Gender]]="O","Other", TRUE,"Unknown")</f>
        <v>Female</v>
      </c>
    </row>
    <row r="1682" spans="1:15" x14ac:dyDescent="0.4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_xlfn.IFS(orders[[#This Row],[Customer Gender]]="M","Male", orders[[#This Row],[Customer Gender]]="F","Female", orders[[#This Row],[Customer Gender]]="O","Other", TRUE,"Unknown")</f>
        <v>Male</v>
      </c>
    </row>
    <row r="1683" spans="1:15" x14ac:dyDescent="0.4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_xlfn.IFS(orders[[#This Row],[Customer Gender]]="M","Male", orders[[#This Row],[Customer Gender]]="F","Female", orders[[#This Row],[Customer Gender]]="O","Other", TRUE,"Unknown")</f>
        <v>Female</v>
      </c>
    </row>
    <row r="1684" spans="1:15" x14ac:dyDescent="0.4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_xlfn.IFS(orders[[#This Row],[Customer Gender]]="M","Male", orders[[#This Row],[Customer Gender]]="F","Female", orders[[#This Row],[Customer Gender]]="O","Other", TRUE,"Unknown")</f>
        <v>Male</v>
      </c>
    </row>
    <row r="1685" spans="1:15" x14ac:dyDescent="0.4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_xlfn.IFS(orders[[#This Row],[Customer Gender]]="M","Male", orders[[#This Row],[Customer Gender]]="F","Female", orders[[#This Row],[Customer Gender]]="O","Other", TRUE,"Unknown")</f>
        <v>Female</v>
      </c>
    </row>
    <row r="1686" spans="1:15" x14ac:dyDescent="0.4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_xlfn.IFS(orders[[#This Row],[Customer Gender]]="M","Male", orders[[#This Row],[Customer Gender]]="F","Female", orders[[#This Row],[Customer Gender]]="O","Other", TRUE,"Unknown")</f>
        <v>Female</v>
      </c>
    </row>
    <row r="1687" spans="1:15" x14ac:dyDescent="0.4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_xlfn.IFS(orders[[#This Row],[Customer Gender]]="M","Male", orders[[#This Row],[Customer Gender]]="F","Female", orders[[#This Row],[Customer Gender]]="O","Other", TRUE,"Unknown")</f>
        <v>Unknown</v>
      </c>
    </row>
    <row r="1688" spans="1:15" x14ac:dyDescent="0.4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_xlfn.IFS(orders[[#This Row],[Customer Gender]]="M","Male", orders[[#This Row],[Customer Gender]]="F","Female", orders[[#This Row],[Customer Gender]]="O","Other", TRUE,"Unknown")</f>
        <v>Female</v>
      </c>
    </row>
    <row r="1689" spans="1:15" x14ac:dyDescent="0.4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_xlfn.IFS(orders[[#This Row],[Customer Gender]]="M","Male", orders[[#This Row],[Customer Gender]]="F","Female", orders[[#This Row],[Customer Gender]]="O","Other", TRUE,"Unknown")</f>
        <v>Female</v>
      </c>
    </row>
    <row r="1690" spans="1:15" x14ac:dyDescent="0.4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_xlfn.IFS(orders[[#This Row],[Customer Gender]]="M","Male", orders[[#This Row],[Customer Gender]]="F","Female", orders[[#This Row],[Customer Gender]]="O","Other", TRUE,"Unknown")</f>
        <v>Female</v>
      </c>
    </row>
    <row r="1691" spans="1:15" x14ac:dyDescent="0.4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_xlfn.IFS(orders[[#This Row],[Customer Gender]]="M","Male", orders[[#This Row],[Customer Gender]]="F","Female", orders[[#This Row],[Customer Gender]]="O","Other", TRUE,"Unknown")</f>
        <v>Female</v>
      </c>
    </row>
    <row r="1692" spans="1:15" x14ac:dyDescent="0.4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_xlfn.IFS(orders[[#This Row],[Customer Gender]]="M","Male", orders[[#This Row],[Customer Gender]]="F","Female", orders[[#This Row],[Customer Gender]]="O","Other", TRUE,"Unknown")</f>
        <v>Female</v>
      </c>
    </row>
    <row r="1693" spans="1:15" x14ac:dyDescent="0.4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_xlfn.IFS(orders[[#This Row],[Customer Gender]]="M","Male", orders[[#This Row],[Customer Gender]]="F","Female", orders[[#This Row],[Customer Gender]]="O","Other", TRUE,"Unknown")</f>
        <v>Female</v>
      </c>
    </row>
    <row r="1694" spans="1:15" x14ac:dyDescent="0.4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_xlfn.IFS(orders[[#This Row],[Customer Gender]]="M","Male", orders[[#This Row],[Customer Gender]]="F","Female", orders[[#This Row],[Customer Gender]]="O","Other", TRUE,"Unknown")</f>
        <v>Male</v>
      </c>
    </row>
    <row r="1695" spans="1:15" x14ac:dyDescent="0.4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_xlfn.IFS(orders[[#This Row],[Customer Gender]]="M","Male", orders[[#This Row],[Customer Gender]]="F","Female", orders[[#This Row],[Customer Gender]]="O","Other", TRUE,"Unknown")</f>
        <v>Female</v>
      </c>
    </row>
    <row r="1696" spans="1:15" x14ac:dyDescent="0.4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_xlfn.IFS(orders[[#This Row],[Customer Gender]]="M","Male", orders[[#This Row],[Customer Gender]]="F","Female", orders[[#This Row],[Customer Gender]]="O","Other", TRUE,"Unknown")</f>
        <v>Female</v>
      </c>
    </row>
    <row r="1697" spans="1:15" x14ac:dyDescent="0.4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_xlfn.IFS(orders[[#This Row],[Customer Gender]]="M","Male", orders[[#This Row],[Customer Gender]]="F","Female", orders[[#This Row],[Customer Gender]]="O","Other", TRUE,"Unknown")</f>
        <v>Male</v>
      </c>
    </row>
    <row r="1698" spans="1:15" x14ac:dyDescent="0.4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_xlfn.IFS(orders[[#This Row],[Customer Gender]]="M","Male", orders[[#This Row],[Customer Gender]]="F","Female", orders[[#This Row],[Customer Gender]]="O","Other", TRUE,"Unknown")</f>
        <v>Female</v>
      </c>
    </row>
    <row r="1699" spans="1:15" x14ac:dyDescent="0.4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_xlfn.IFS(orders[[#This Row],[Customer Gender]]="M","Male", orders[[#This Row],[Customer Gender]]="F","Female", orders[[#This Row],[Customer Gender]]="O","Other", TRUE,"Unknown")</f>
        <v>Male</v>
      </c>
    </row>
    <row r="1700" spans="1:15" x14ac:dyDescent="0.4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_xlfn.IFS(orders[[#This Row],[Customer Gender]]="M","Male", orders[[#This Row],[Customer Gender]]="F","Female", orders[[#This Row],[Customer Gender]]="O","Other", TRUE,"Unknown")</f>
        <v>Female</v>
      </c>
    </row>
    <row r="1701" spans="1:15" x14ac:dyDescent="0.4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_xlfn.IFS(orders[[#This Row],[Customer Gender]]="M","Male", orders[[#This Row],[Customer Gender]]="F","Female", orders[[#This Row],[Customer Gender]]="O","Other", TRUE,"Unknown")</f>
        <v>Female</v>
      </c>
    </row>
    <row r="1702" spans="1:15" x14ac:dyDescent="0.4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_xlfn.IFS(orders[[#This Row],[Customer Gender]]="M","Male", orders[[#This Row],[Customer Gender]]="F","Female", orders[[#This Row],[Customer Gender]]="O","Other", TRUE,"Unknown")</f>
        <v>Female</v>
      </c>
    </row>
    <row r="1703" spans="1:15" x14ac:dyDescent="0.4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_xlfn.IFS(orders[[#This Row],[Customer Gender]]="M","Male", orders[[#This Row],[Customer Gender]]="F","Female", orders[[#This Row],[Customer Gender]]="O","Other", TRUE,"Unknown")</f>
        <v>Male</v>
      </c>
    </row>
    <row r="1704" spans="1:15" x14ac:dyDescent="0.4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_xlfn.IFS(orders[[#This Row],[Customer Gender]]="M","Male", orders[[#This Row],[Customer Gender]]="F","Female", orders[[#This Row],[Customer Gender]]="O","Other", TRUE,"Unknown")</f>
        <v>Male</v>
      </c>
    </row>
    <row r="1705" spans="1:15" x14ac:dyDescent="0.4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_xlfn.IFS(orders[[#This Row],[Customer Gender]]="M","Male", orders[[#This Row],[Customer Gender]]="F","Female", orders[[#This Row],[Customer Gender]]="O","Other", TRUE,"Unknown")</f>
        <v>Female</v>
      </c>
    </row>
    <row r="1706" spans="1:15" x14ac:dyDescent="0.4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_xlfn.IFS(orders[[#This Row],[Customer Gender]]="M","Male", orders[[#This Row],[Customer Gender]]="F","Female", orders[[#This Row],[Customer Gender]]="O","Other", TRUE,"Unknown")</f>
        <v>Female</v>
      </c>
    </row>
    <row r="1707" spans="1:15" x14ac:dyDescent="0.4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_xlfn.IFS(orders[[#This Row],[Customer Gender]]="M","Male", orders[[#This Row],[Customer Gender]]="F","Female", orders[[#This Row],[Customer Gender]]="O","Other", TRUE,"Unknown")</f>
        <v>Female</v>
      </c>
    </row>
    <row r="1708" spans="1:15" x14ac:dyDescent="0.4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_xlfn.IFS(orders[[#This Row],[Customer Gender]]="M","Male", orders[[#This Row],[Customer Gender]]="F","Female", orders[[#This Row],[Customer Gender]]="O","Other", TRUE,"Unknown")</f>
        <v>Male</v>
      </c>
    </row>
    <row r="1709" spans="1:15" x14ac:dyDescent="0.4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_xlfn.IFS(orders[[#This Row],[Customer Gender]]="M","Male", orders[[#This Row],[Customer Gender]]="F","Female", orders[[#This Row],[Customer Gender]]="O","Other", TRUE,"Unknown")</f>
        <v>Female</v>
      </c>
    </row>
    <row r="1710" spans="1:15" x14ac:dyDescent="0.4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_xlfn.IFS(orders[[#This Row],[Customer Gender]]="M","Male", orders[[#This Row],[Customer Gender]]="F","Female", orders[[#This Row],[Customer Gender]]="O","Other", TRUE,"Unknown")</f>
        <v>Female</v>
      </c>
    </row>
    <row r="1711" spans="1:15" x14ac:dyDescent="0.4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_xlfn.IFS(orders[[#This Row],[Customer Gender]]="M","Male", orders[[#This Row],[Customer Gender]]="F","Female", orders[[#This Row],[Customer Gender]]="O","Other", TRUE,"Unknown")</f>
        <v>Female</v>
      </c>
    </row>
    <row r="1712" spans="1:15" x14ac:dyDescent="0.4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_xlfn.IFS(orders[[#This Row],[Customer Gender]]="M","Male", orders[[#This Row],[Customer Gender]]="F","Female", orders[[#This Row],[Customer Gender]]="O","Other", TRUE,"Unknown")</f>
        <v>Male</v>
      </c>
    </row>
    <row r="1713" spans="1:15" x14ac:dyDescent="0.4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_xlfn.IFS(orders[[#This Row],[Customer Gender]]="M","Male", orders[[#This Row],[Customer Gender]]="F","Female", orders[[#This Row],[Customer Gender]]="O","Other", TRUE,"Unknown")</f>
        <v>Male</v>
      </c>
    </row>
    <row r="1714" spans="1:15" x14ac:dyDescent="0.4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_xlfn.IFS(orders[[#This Row],[Customer Gender]]="M","Male", orders[[#This Row],[Customer Gender]]="F","Female", orders[[#This Row],[Customer Gender]]="O","Other", TRUE,"Unknown")</f>
        <v>Female</v>
      </c>
    </row>
    <row r="1715" spans="1:15" x14ac:dyDescent="0.4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_xlfn.IFS(orders[[#This Row],[Customer Gender]]="M","Male", orders[[#This Row],[Customer Gender]]="F","Female", orders[[#This Row],[Customer Gender]]="O","Other", TRUE,"Unknown")</f>
        <v>Male</v>
      </c>
    </row>
    <row r="1716" spans="1:15" x14ac:dyDescent="0.4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_xlfn.IFS(orders[[#This Row],[Customer Gender]]="M","Male", orders[[#This Row],[Customer Gender]]="F","Female", orders[[#This Row],[Customer Gender]]="O","Other", TRUE,"Unknown")</f>
        <v>Female</v>
      </c>
    </row>
    <row r="1717" spans="1:15" x14ac:dyDescent="0.4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_xlfn.IFS(orders[[#This Row],[Customer Gender]]="M","Male", orders[[#This Row],[Customer Gender]]="F","Female", orders[[#This Row],[Customer Gender]]="O","Other", TRUE,"Unknown")</f>
        <v>Male</v>
      </c>
    </row>
    <row r="1718" spans="1:15" x14ac:dyDescent="0.4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_xlfn.IFS(orders[[#This Row],[Customer Gender]]="M","Male", orders[[#This Row],[Customer Gender]]="F","Female", orders[[#This Row],[Customer Gender]]="O","Other", TRUE,"Unknown")</f>
        <v>Female</v>
      </c>
    </row>
    <row r="1719" spans="1:15" x14ac:dyDescent="0.4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_xlfn.IFS(orders[[#This Row],[Customer Gender]]="M","Male", orders[[#This Row],[Customer Gender]]="F","Female", orders[[#This Row],[Customer Gender]]="O","Other", TRUE,"Unknown")</f>
        <v>Female</v>
      </c>
    </row>
    <row r="1720" spans="1:15" x14ac:dyDescent="0.4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_xlfn.IFS(orders[[#This Row],[Customer Gender]]="M","Male", orders[[#This Row],[Customer Gender]]="F","Female", orders[[#This Row],[Customer Gender]]="O","Other", TRUE,"Unknown")</f>
        <v>Female</v>
      </c>
    </row>
    <row r="1721" spans="1:15" x14ac:dyDescent="0.4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_xlfn.IFS(orders[[#This Row],[Customer Gender]]="M","Male", orders[[#This Row],[Customer Gender]]="F","Female", orders[[#This Row],[Customer Gender]]="O","Other", TRUE,"Unknown")</f>
        <v>Female</v>
      </c>
    </row>
    <row r="1722" spans="1:15" x14ac:dyDescent="0.4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_xlfn.IFS(orders[[#This Row],[Customer Gender]]="M","Male", orders[[#This Row],[Customer Gender]]="F","Female", orders[[#This Row],[Customer Gender]]="O","Other", TRUE,"Unknown")</f>
        <v>Female</v>
      </c>
    </row>
    <row r="1723" spans="1:15" x14ac:dyDescent="0.4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_xlfn.IFS(orders[[#This Row],[Customer Gender]]="M","Male", orders[[#This Row],[Customer Gender]]="F","Female", orders[[#This Row],[Customer Gender]]="O","Other", TRUE,"Unknown")</f>
        <v>Male</v>
      </c>
    </row>
    <row r="1724" spans="1:15" x14ac:dyDescent="0.4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_xlfn.IFS(orders[[#This Row],[Customer Gender]]="M","Male", orders[[#This Row],[Customer Gender]]="F","Female", orders[[#This Row],[Customer Gender]]="O","Other", TRUE,"Unknown")</f>
        <v>Female</v>
      </c>
    </row>
    <row r="1725" spans="1:15" x14ac:dyDescent="0.4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_xlfn.IFS(orders[[#This Row],[Customer Gender]]="M","Male", orders[[#This Row],[Customer Gender]]="F","Female", orders[[#This Row],[Customer Gender]]="O","Other", TRUE,"Unknown")</f>
        <v>Male</v>
      </c>
    </row>
    <row r="1726" spans="1:15" x14ac:dyDescent="0.4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_xlfn.IFS(orders[[#This Row],[Customer Gender]]="M","Male", orders[[#This Row],[Customer Gender]]="F","Female", orders[[#This Row],[Customer Gender]]="O","Other", TRUE,"Unknown")</f>
        <v>Female</v>
      </c>
    </row>
    <row r="1727" spans="1:15" x14ac:dyDescent="0.4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_xlfn.IFS(orders[[#This Row],[Customer Gender]]="M","Male", orders[[#This Row],[Customer Gender]]="F","Female", orders[[#This Row],[Customer Gender]]="O","Other", TRUE,"Unknown")</f>
        <v>Other</v>
      </c>
    </row>
    <row r="1728" spans="1:15" x14ac:dyDescent="0.4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_xlfn.IFS(orders[[#This Row],[Customer Gender]]="M","Male", orders[[#This Row],[Customer Gender]]="F","Female", orders[[#This Row],[Customer Gender]]="O","Other", TRUE,"Unknown")</f>
        <v>Male</v>
      </c>
    </row>
    <row r="1729" spans="1:15" x14ac:dyDescent="0.4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_xlfn.IFS(orders[[#This Row],[Customer Gender]]="M","Male", orders[[#This Row],[Customer Gender]]="F","Female", orders[[#This Row],[Customer Gender]]="O","Other", TRUE,"Unknown")</f>
        <v>Female</v>
      </c>
    </row>
    <row r="1730" spans="1:15" x14ac:dyDescent="0.4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_xlfn.IFS(orders[[#This Row],[Customer Gender]]="M","Male", orders[[#This Row],[Customer Gender]]="F","Female", orders[[#This Row],[Customer Gender]]="O","Other", TRUE,"Unknown")</f>
        <v>Unknown</v>
      </c>
    </row>
    <row r="1731" spans="1:15" x14ac:dyDescent="0.4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_xlfn.IFS(orders[[#This Row],[Customer Gender]]="M","Male", orders[[#This Row],[Customer Gender]]="F","Female", orders[[#This Row],[Customer Gender]]="O","Other", TRUE,"Unknown")</f>
        <v>Male</v>
      </c>
    </row>
    <row r="1732" spans="1:15" x14ac:dyDescent="0.4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_xlfn.IFS(orders[[#This Row],[Customer Gender]]="M","Male", orders[[#This Row],[Customer Gender]]="F","Female", orders[[#This Row],[Customer Gender]]="O","Other", TRUE,"Unknown")</f>
        <v>Female</v>
      </c>
    </row>
    <row r="1733" spans="1:15" x14ac:dyDescent="0.4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_xlfn.IFS(orders[[#This Row],[Customer Gender]]="M","Male", orders[[#This Row],[Customer Gender]]="F","Female", orders[[#This Row],[Customer Gender]]="O","Other", TRUE,"Unknown")</f>
        <v>Female</v>
      </c>
    </row>
    <row r="1734" spans="1:15" x14ac:dyDescent="0.4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_xlfn.IFS(orders[[#This Row],[Customer Gender]]="M","Male", orders[[#This Row],[Customer Gender]]="F","Female", orders[[#This Row],[Customer Gender]]="O","Other", TRUE,"Unknown")</f>
        <v>Female</v>
      </c>
    </row>
    <row r="1735" spans="1:15" x14ac:dyDescent="0.4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_xlfn.IFS(orders[[#This Row],[Customer Gender]]="M","Male", orders[[#This Row],[Customer Gender]]="F","Female", orders[[#This Row],[Customer Gender]]="O","Other", TRUE,"Unknown")</f>
        <v>Male</v>
      </c>
    </row>
    <row r="1736" spans="1:15" x14ac:dyDescent="0.4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_xlfn.IFS(orders[[#This Row],[Customer Gender]]="M","Male", orders[[#This Row],[Customer Gender]]="F","Female", orders[[#This Row],[Customer Gender]]="O","Other", TRUE,"Unknown")</f>
        <v>Male</v>
      </c>
    </row>
    <row r="1737" spans="1:15" x14ac:dyDescent="0.4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_xlfn.IFS(orders[[#This Row],[Customer Gender]]="M","Male", orders[[#This Row],[Customer Gender]]="F","Female", orders[[#This Row],[Customer Gender]]="O","Other", TRUE,"Unknown")</f>
        <v>Male</v>
      </c>
    </row>
    <row r="1738" spans="1:15" x14ac:dyDescent="0.4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_xlfn.IFS(orders[[#This Row],[Customer Gender]]="M","Male", orders[[#This Row],[Customer Gender]]="F","Female", orders[[#This Row],[Customer Gender]]="O","Other", TRUE,"Unknown")</f>
        <v>Female</v>
      </c>
    </row>
    <row r="1739" spans="1:15" x14ac:dyDescent="0.4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_xlfn.IFS(orders[[#This Row],[Customer Gender]]="M","Male", orders[[#This Row],[Customer Gender]]="F","Female", orders[[#This Row],[Customer Gender]]="O","Other", TRUE,"Unknown")</f>
        <v>Female</v>
      </c>
    </row>
    <row r="1740" spans="1:15" x14ac:dyDescent="0.4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_xlfn.IFS(orders[[#This Row],[Customer Gender]]="M","Male", orders[[#This Row],[Customer Gender]]="F","Female", orders[[#This Row],[Customer Gender]]="O","Other", TRUE,"Unknown")</f>
        <v>Other</v>
      </c>
    </row>
    <row r="1741" spans="1:15" x14ac:dyDescent="0.4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_xlfn.IFS(orders[[#This Row],[Customer Gender]]="M","Male", orders[[#This Row],[Customer Gender]]="F","Female", orders[[#This Row],[Customer Gender]]="O","Other", TRUE,"Unknown")</f>
        <v>Female</v>
      </c>
    </row>
    <row r="1742" spans="1:15" x14ac:dyDescent="0.4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_xlfn.IFS(orders[[#This Row],[Customer Gender]]="M","Male", orders[[#This Row],[Customer Gender]]="F","Female", orders[[#This Row],[Customer Gender]]="O","Other", TRUE,"Unknown")</f>
        <v>Male</v>
      </c>
    </row>
    <row r="1743" spans="1:15" x14ac:dyDescent="0.4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_xlfn.IFS(orders[[#This Row],[Customer Gender]]="M","Male", orders[[#This Row],[Customer Gender]]="F","Female", orders[[#This Row],[Customer Gender]]="O","Other", TRUE,"Unknown")</f>
        <v>Female</v>
      </c>
    </row>
    <row r="1744" spans="1:15" x14ac:dyDescent="0.4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_xlfn.IFS(orders[[#This Row],[Customer Gender]]="M","Male", orders[[#This Row],[Customer Gender]]="F","Female", orders[[#This Row],[Customer Gender]]="O","Other", TRUE,"Unknown")</f>
        <v>Male</v>
      </c>
    </row>
    <row r="1745" spans="1:15" x14ac:dyDescent="0.4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_xlfn.IFS(orders[[#This Row],[Customer Gender]]="M","Male", orders[[#This Row],[Customer Gender]]="F","Female", orders[[#This Row],[Customer Gender]]="O","Other", TRUE,"Unknown")</f>
        <v>Other</v>
      </c>
    </row>
    <row r="1746" spans="1:15" x14ac:dyDescent="0.4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_xlfn.IFS(orders[[#This Row],[Customer Gender]]="M","Male", orders[[#This Row],[Customer Gender]]="F","Female", orders[[#This Row],[Customer Gender]]="O","Other", TRUE,"Unknown")</f>
        <v>Male</v>
      </c>
    </row>
    <row r="1747" spans="1:15" x14ac:dyDescent="0.4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_xlfn.IFS(orders[[#This Row],[Customer Gender]]="M","Male", orders[[#This Row],[Customer Gender]]="F","Female", orders[[#This Row],[Customer Gender]]="O","Other", TRUE,"Unknown")</f>
        <v>Female</v>
      </c>
    </row>
    <row r="1748" spans="1:15" x14ac:dyDescent="0.4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_xlfn.IFS(orders[[#This Row],[Customer Gender]]="M","Male", orders[[#This Row],[Customer Gender]]="F","Female", orders[[#This Row],[Customer Gender]]="O","Other", TRUE,"Unknown")</f>
        <v>Female</v>
      </c>
    </row>
    <row r="1749" spans="1:15" x14ac:dyDescent="0.4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_xlfn.IFS(orders[[#This Row],[Customer Gender]]="M","Male", orders[[#This Row],[Customer Gender]]="F","Female", orders[[#This Row],[Customer Gender]]="O","Other", TRUE,"Unknown")</f>
        <v>Female</v>
      </c>
    </row>
    <row r="1750" spans="1:15" x14ac:dyDescent="0.4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_xlfn.IFS(orders[[#This Row],[Customer Gender]]="M","Male", orders[[#This Row],[Customer Gender]]="F","Female", orders[[#This Row],[Customer Gender]]="O","Other", TRUE,"Unknown")</f>
        <v>Male</v>
      </c>
    </row>
    <row r="1751" spans="1:15" x14ac:dyDescent="0.4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_xlfn.IFS(orders[[#This Row],[Customer Gender]]="M","Male", orders[[#This Row],[Customer Gender]]="F","Female", orders[[#This Row],[Customer Gender]]="O","Other", TRUE,"Unknown")</f>
        <v>Male</v>
      </c>
    </row>
    <row r="1752" spans="1:15" x14ac:dyDescent="0.4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_xlfn.IFS(orders[[#This Row],[Customer Gender]]="M","Male", orders[[#This Row],[Customer Gender]]="F","Female", orders[[#This Row],[Customer Gender]]="O","Other", TRUE,"Unknown")</f>
        <v>Male</v>
      </c>
    </row>
    <row r="1753" spans="1:15" x14ac:dyDescent="0.4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_xlfn.IFS(orders[[#This Row],[Customer Gender]]="M","Male", orders[[#This Row],[Customer Gender]]="F","Female", orders[[#This Row],[Customer Gender]]="O","Other", TRUE,"Unknown")</f>
        <v>Female</v>
      </c>
    </row>
    <row r="1754" spans="1:15" x14ac:dyDescent="0.4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_xlfn.IFS(orders[[#This Row],[Customer Gender]]="M","Male", orders[[#This Row],[Customer Gender]]="F","Female", orders[[#This Row],[Customer Gender]]="O","Other", TRUE,"Unknown")</f>
        <v>Male</v>
      </c>
    </row>
    <row r="1755" spans="1:15" x14ac:dyDescent="0.4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_xlfn.IFS(orders[[#This Row],[Customer Gender]]="M","Male", orders[[#This Row],[Customer Gender]]="F","Female", orders[[#This Row],[Customer Gender]]="O","Other", TRUE,"Unknown")</f>
        <v>Female</v>
      </c>
    </row>
    <row r="1756" spans="1:15" x14ac:dyDescent="0.4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_xlfn.IFS(orders[[#This Row],[Customer Gender]]="M","Male", orders[[#This Row],[Customer Gender]]="F","Female", orders[[#This Row],[Customer Gender]]="O","Other", TRUE,"Unknown")</f>
        <v>Male</v>
      </c>
    </row>
    <row r="1757" spans="1:15" x14ac:dyDescent="0.4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_xlfn.IFS(orders[[#This Row],[Customer Gender]]="M","Male", orders[[#This Row],[Customer Gender]]="F","Female", orders[[#This Row],[Customer Gender]]="O","Other", TRUE,"Unknown")</f>
        <v>Female</v>
      </c>
    </row>
    <row r="1758" spans="1:15" x14ac:dyDescent="0.4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_xlfn.IFS(orders[[#This Row],[Customer Gender]]="M","Male", orders[[#This Row],[Customer Gender]]="F","Female", orders[[#This Row],[Customer Gender]]="O","Other", TRUE,"Unknown")</f>
        <v>Other</v>
      </c>
    </row>
    <row r="1759" spans="1:15" x14ac:dyDescent="0.4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_xlfn.IFS(orders[[#This Row],[Customer Gender]]="M","Male", orders[[#This Row],[Customer Gender]]="F","Female", orders[[#This Row],[Customer Gender]]="O","Other", TRUE,"Unknown")</f>
        <v>Male</v>
      </c>
    </row>
    <row r="1760" spans="1:15" x14ac:dyDescent="0.4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_xlfn.IFS(orders[[#This Row],[Customer Gender]]="M","Male", orders[[#This Row],[Customer Gender]]="F","Female", orders[[#This Row],[Customer Gender]]="O","Other", TRUE,"Unknown")</f>
        <v>Male</v>
      </c>
    </row>
    <row r="1761" spans="1:15" x14ac:dyDescent="0.4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_xlfn.IFS(orders[[#This Row],[Customer Gender]]="M","Male", orders[[#This Row],[Customer Gender]]="F","Female", orders[[#This Row],[Customer Gender]]="O","Other", TRUE,"Unknown")</f>
        <v>Female</v>
      </c>
    </row>
    <row r="1762" spans="1:15" x14ac:dyDescent="0.4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_xlfn.IFS(orders[[#This Row],[Customer Gender]]="M","Male", orders[[#This Row],[Customer Gender]]="F","Female", orders[[#This Row],[Customer Gender]]="O","Other", TRUE,"Unknown")</f>
        <v>Male</v>
      </c>
    </row>
    <row r="1763" spans="1:15" x14ac:dyDescent="0.4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_xlfn.IFS(orders[[#This Row],[Customer Gender]]="M","Male", orders[[#This Row],[Customer Gender]]="F","Female", orders[[#This Row],[Customer Gender]]="O","Other", TRUE,"Unknown")</f>
        <v>Male</v>
      </c>
    </row>
    <row r="1764" spans="1:15" x14ac:dyDescent="0.4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_xlfn.IFS(orders[[#This Row],[Customer Gender]]="M","Male", orders[[#This Row],[Customer Gender]]="F","Female", orders[[#This Row],[Customer Gender]]="O","Other", TRUE,"Unknown")</f>
        <v>Male</v>
      </c>
    </row>
    <row r="1765" spans="1:15" x14ac:dyDescent="0.4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_xlfn.IFS(orders[[#This Row],[Customer Gender]]="M","Male", orders[[#This Row],[Customer Gender]]="F","Female", orders[[#This Row],[Customer Gender]]="O","Other", TRUE,"Unknown")</f>
        <v>Male</v>
      </c>
    </row>
    <row r="1766" spans="1:15" x14ac:dyDescent="0.4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_xlfn.IFS(orders[[#This Row],[Customer Gender]]="M","Male", orders[[#This Row],[Customer Gender]]="F","Female", orders[[#This Row],[Customer Gender]]="O","Other", TRUE,"Unknown")</f>
        <v>Male</v>
      </c>
    </row>
    <row r="1767" spans="1:15" x14ac:dyDescent="0.4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_xlfn.IFS(orders[[#This Row],[Customer Gender]]="M","Male", orders[[#This Row],[Customer Gender]]="F","Female", orders[[#This Row],[Customer Gender]]="O","Other", TRUE,"Unknown")</f>
        <v>Male</v>
      </c>
    </row>
    <row r="1768" spans="1:15" x14ac:dyDescent="0.4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_xlfn.IFS(orders[[#This Row],[Customer Gender]]="M","Male", orders[[#This Row],[Customer Gender]]="F","Female", orders[[#This Row],[Customer Gender]]="O","Other", TRUE,"Unknown")</f>
        <v>Male</v>
      </c>
    </row>
    <row r="1769" spans="1:15" x14ac:dyDescent="0.4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_xlfn.IFS(orders[[#This Row],[Customer Gender]]="M","Male", orders[[#This Row],[Customer Gender]]="F","Female", orders[[#This Row],[Customer Gender]]="O","Other", TRUE,"Unknown")</f>
        <v>Male</v>
      </c>
    </row>
    <row r="1770" spans="1:15" x14ac:dyDescent="0.4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_xlfn.IFS(orders[[#This Row],[Customer Gender]]="M","Male", orders[[#This Row],[Customer Gender]]="F","Female", orders[[#This Row],[Customer Gender]]="O","Other", TRUE,"Unknown")</f>
        <v>Female</v>
      </c>
    </row>
    <row r="1771" spans="1:15" x14ac:dyDescent="0.4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_xlfn.IFS(orders[[#This Row],[Customer Gender]]="M","Male", orders[[#This Row],[Customer Gender]]="F","Female", orders[[#This Row],[Customer Gender]]="O","Other", TRUE,"Unknown")</f>
        <v>Female</v>
      </c>
    </row>
    <row r="1772" spans="1:15" x14ac:dyDescent="0.4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_xlfn.IFS(orders[[#This Row],[Customer Gender]]="M","Male", orders[[#This Row],[Customer Gender]]="F","Female", orders[[#This Row],[Customer Gender]]="O","Other", TRUE,"Unknown")</f>
        <v>Male</v>
      </c>
    </row>
    <row r="1773" spans="1:15" x14ac:dyDescent="0.4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_xlfn.IFS(orders[[#This Row],[Customer Gender]]="M","Male", orders[[#This Row],[Customer Gender]]="F","Female", orders[[#This Row],[Customer Gender]]="O","Other", TRUE,"Unknown")</f>
        <v>Male</v>
      </c>
    </row>
    <row r="1774" spans="1:15" x14ac:dyDescent="0.4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_xlfn.IFS(orders[[#This Row],[Customer Gender]]="M","Male", orders[[#This Row],[Customer Gender]]="F","Female", orders[[#This Row],[Customer Gender]]="O","Other", TRUE,"Unknown")</f>
        <v>Female</v>
      </c>
    </row>
    <row r="1775" spans="1:15" x14ac:dyDescent="0.4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_xlfn.IFS(orders[[#This Row],[Customer Gender]]="M","Male", orders[[#This Row],[Customer Gender]]="F","Female", orders[[#This Row],[Customer Gender]]="O","Other", TRUE,"Unknown")</f>
        <v>Female</v>
      </c>
    </row>
    <row r="1776" spans="1:15" x14ac:dyDescent="0.4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_xlfn.IFS(orders[[#This Row],[Customer Gender]]="M","Male", orders[[#This Row],[Customer Gender]]="F","Female", orders[[#This Row],[Customer Gender]]="O","Other", TRUE,"Unknown")</f>
        <v>Male</v>
      </c>
    </row>
    <row r="1777" spans="1:15" x14ac:dyDescent="0.4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_xlfn.IFS(orders[[#This Row],[Customer Gender]]="M","Male", orders[[#This Row],[Customer Gender]]="F","Female", orders[[#This Row],[Customer Gender]]="O","Other", TRUE,"Unknown")</f>
        <v>Male</v>
      </c>
    </row>
    <row r="1778" spans="1:15" x14ac:dyDescent="0.4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_xlfn.IFS(orders[[#This Row],[Customer Gender]]="M","Male", orders[[#This Row],[Customer Gender]]="F","Female", orders[[#This Row],[Customer Gender]]="O","Other", TRUE,"Unknown")</f>
        <v>Male</v>
      </c>
    </row>
    <row r="1779" spans="1:15" x14ac:dyDescent="0.4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_xlfn.IFS(orders[[#This Row],[Customer Gender]]="M","Male", orders[[#This Row],[Customer Gender]]="F","Female", orders[[#This Row],[Customer Gender]]="O","Other", TRUE,"Unknown")</f>
        <v>Male</v>
      </c>
    </row>
    <row r="1780" spans="1:15" x14ac:dyDescent="0.4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_xlfn.IFS(orders[[#This Row],[Customer Gender]]="M","Male", orders[[#This Row],[Customer Gender]]="F","Female", orders[[#This Row],[Customer Gender]]="O","Other", TRUE,"Unknown")</f>
        <v>Female</v>
      </c>
    </row>
    <row r="1781" spans="1:15" x14ac:dyDescent="0.4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_xlfn.IFS(orders[[#This Row],[Customer Gender]]="M","Male", orders[[#This Row],[Customer Gender]]="F","Female", orders[[#This Row],[Customer Gender]]="O","Other", TRUE,"Unknown")</f>
        <v>Female</v>
      </c>
    </row>
    <row r="1782" spans="1:15" x14ac:dyDescent="0.4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_xlfn.IFS(orders[[#This Row],[Customer Gender]]="M","Male", orders[[#This Row],[Customer Gender]]="F","Female", orders[[#This Row],[Customer Gender]]="O","Other", TRUE,"Unknown")</f>
        <v>Female</v>
      </c>
    </row>
    <row r="1783" spans="1:15" x14ac:dyDescent="0.4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_xlfn.IFS(orders[[#This Row],[Customer Gender]]="M","Male", orders[[#This Row],[Customer Gender]]="F","Female", orders[[#This Row],[Customer Gender]]="O","Other", TRUE,"Unknown")</f>
        <v>Female</v>
      </c>
    </row>
    <row r="1784" spans="1:15" x14ac:dyDescent="0.4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_xlfn.IFS(orders[[#This Row],[Customer Gender]]="M","Male", orders[[#This Row],[Customer Gender]]="F","Female", orders[[#This Row],[Customer Gender]]="O","Other", TRUE,"Unknown")</f>
        <v>Male</v>
      </c>
    </row>
    <row r="1785" spans="1:15" x14ac:dyDescent="0.4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_xlfn.IFS(orders[[#This Row],[Customer Gender]]="M","Male", orders[[#This Row],[Customer Gender]]="F","Female", orders[[#This Row],[Customer Gender]]="O","Other", TRUE,"Unknown")</f>
        <v>Female</v>
      </c>
    </row>
    <row r="1786" spans="1:15" x14ac:dyDescent="0.4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_xlfn.IFS(orders[[#This Row],[Customer Gender]]="M","Male", orders[[#This Row],[Customer Gender]]="F","Female", orders[[#This Row],[Customer Gender]]="O","Other", TRUE,"Unknown")</f>
        <v>Female</v>
      </c>
    </row>
    <row r="1787" spans="1:15" x14ac:dyDescent="0.4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_xlfn.IFS(orders[[#This Row],[Customer Gender]]="M","Male", orders[[#This Row],[Customer Gender]]="F","Female", orders[[#This Row],[Customer Gender]]="O","Other", TRUE,"Unknown")</f>
        <v>Female</v>
      </c>
    </row>
    <row r="1788" spans="1:15" x14ac:dyDescent="0.4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_xlfn.IFS(orders[[#This Row],[Customer Gender]]="M","Male", orders[[#This Row],[Customer Gender]]="F","Female", orders[[#This Row],[Customer Gender]]="O","Other", TRUE,"Unknown")</f>
        <v>Female</v>
      </c>
    </row>
    <row r="1789" spans="1:15" x14ac:dyDescent="0.4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_xlfn.IFS(orders[[#This Row],[Customer Gender]]="M","Male", orders[[#This Row],[Customer Gender]]="F","Female", orders[[#This Row],[Customer Gender]]="O","Other", TRUE,"Unknown")</f>
        <v>Male</v>
      </c>
    </row>
    <row r="1790" spans="1:15" x14ac:dyDescent="0.4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_xlfn.IFS(orders[[#This Row],[Customer Gender]]="M","Male", orders[[#This Row],[Customer Gender]]="F","Female", orders[[#This Row],[Customer Gender]]="O","Other", TRUE,"Unknown")</f>
        <v>Female</v>
      </c>
    </row>
    <row r="1791" spans="1:15" x14ac:dyDescent="0.4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_xlfn.IFS(orders[[#This Row],[Customer Gender]]="M","Male", orders[[#This Row],[Customer Gender]]="F","Female", orders[[#This Row],[Customer Gender]]="O","Other", TRUE,"Unknown")</f>
        <v>Female</v>
      </c>
    </row>
    <row r="1792" spans="1:15" x14ac:dyDescent="0.4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_xlfn.IFS(orders[[#This Row],[Customer Gender]]="M","Male", orders[[#This Row],[Customer Gender]]="F","Female", orders[[#This Row],[Customer Gender]]="O","Other", TRUE,"Unknown")</f>
        <v>Male</v>
      </c>
    </row>
    <row r="1793" spans="1:15" x14ac:dyDescent="0.4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_xlfn.IFS(orders[[#This Row],[Customer Gender]]="M","Male", orders[[#This Row],[Customer Gender]]="F","Female", orders[[#This Row],[Customer Gender]]="O","Other", TRUE,"Unknown")</f>
        <v>Male</v>
      </c>
    </row>
    <row r="1794" spans="1:15" x14ac:dyDescent="0.4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_xlfn.IFS(orders[[#This Row],[Customer Gender]]="M","Male", orders[[#This Row],[Customer Gender]]="F","Female", orders[[#This Row],[Customer Gender]]="O","Other", TRUE,"Unknown")</f>
        <v>Female</v>
      </c>
    </row>
    <row r="1795" spans="1:15" x14ac:dyDescent="0.4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_xlfn.IFS(orders[[#This Row],[Customer Gender]]="M","Male", orders[[#This Row],[Customer Gender]]="F","Female", orders[[#This Row],[Customer Gender]]="O","Other", TRUE,"Unknown")</f>
        <v>Male</v>
      </c>
    </row>
    <row r="1796" spans="1:15" x14ac:dyDescent="0.4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_xlfn.IFS(orders[[#This Row],[Customer Gender]]="M","Male", orders[[#This Row],[Customer Gender]]="F","Female", orders[[#This Row],[Customer Gender]]="O","Other", TRUE,"Unknown")</f>
        <v>Male</v>
      </c>
    </row>
    <row r="1797" spans="1:15" x14ac:dyDescent="0.4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_xlfn.IFS(orders[[#This Row],[Customer Gender]]="M","Male", orders[[#This Row],[Customer Gender]]="F","Female", orders[[#This Row],[Customer Gender]]="O","Other", TRUE,"Unknown")</f>
        <v>Male</v>
      </c>
    </row>
    <row r="1798" spans="1:15" x14ac:dyDescent="0.4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_xlfn.IFS(orders[[#This Row],[Customer Gender]]="M","Male", orders[[#This Row],[Customer Gender]]="F","Female", orders[[#This Row],[Customer Gender]]="O","Other", TRUE,"Unknown")</f>
        <v>Female</v>
      </c>
    </row>
    <row r="1799" spans="1:15" x14ac:dyDescent="0.4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_xlfn.IFS(orders[[#This Row],[Customer Gender]]="M","Male", orders[[#This Row],[Customer Gender]]="F","Female", orders[[#This Row],[Customer Gender]]="O","Other", TRUE,"Unknown")</f>
        <v>Male</v>
      </c>
    </row>
    <row r="1800" spans="1:15" x14ac:dyDescent="0.4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_xlfn.IFS(orders[[#This Row],[Customer Gender]]="M","Male", orders[[#This Row],[Customer Gender]]="F","Female", orders[[#This Row],[Customer Gender]]="O","Other", TRUE,"Unknown")</f>
        <v>Female</v>
      </c>
    </row>
    <row r="1801" spans="1:15" x14ac:dyDescent="0.4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_xlfn.IFS(orders[[#This Row],[Customer Gender]]="M","Male", orders[[#This Row],[Customer Gender]]="F","Female", orders[[#This Row],[Customer Gender]]="O","Other", TRUE,"Unknown")</f>
        <v>Female</v>
      </c>
    </row>
    <row r="1802" spans="1:15" x14ac:dyDescent="0.4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_xlfn.IFS(orders[[#This Row],[Customer Gender]]="M","Male", orders[[#This Row],[Customer Gender]]="F","Female", orders[[#This Row],[Customer Gender]]="O","Other", TRUE,"Unknown")</f>
        <v>Female</v>
      </c>
    </row>
    <row r="1803" spans="1:15" x14ac:dyDescent="0.4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_xlfn.IFS(orders[[#This Row],[Customer Gender]]="M","Male", orders[[#This Row],[Customer Gender]]="F","Female", orders[[#This Row],[Customer Gender]]="O","Other", TRUE,"Unknown")</f>
        <v>Female</v>
      </c>
    </row>
    <row r="1804" spans="1:15" x14ac:dyDescent="0.4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_xlfn.IFS(orders[[#This Row],[Customer Gender]]="M","Male", orders[[#This Row],[Customer Gender]]="F","Female", orders[[#This Row],[Customer Gender]]="O","Other", TRUE,"Unknown")</f>
        <v>Female</v>
      </c>
    </row>
    <row r="1805" spans="1:15" x14ac:dyDescent="0.4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_xlfn.IFS(orders[[#This Row],[Customer Gender]]="M","Male", orders[[#This Row],[Customer Gender]]="F","Female", orders[[#This Row],[Customer Gender]]="O","Other", TRUE,"Unknown")</f>
        <v>Male</v>
      </c>
    </row>
    <row r="1806" spans="1:15" x14ac:dyDescent="0.4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_xlfn.IFS(orders[[#This Row],[Customer Gender]]="M","Male", orders[[#This Row],[Customer Gender]]="F","Female", orders[[#This Row],[Customer Gender]]="O","Other", TRUE,"Unknown")</f>
        <v>Male</v>
      </c>
    </row>
    <row r="1807" spans="1:15" x14ac:dyDescent="0.4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_xlfn.IFS(orders[[#This Row],[Customer Gender]]="M","Male", orders[[#This Row],[Customer Gender]]="F","Female", orders[[#This Row],[Customer Gender]]="O","Other", TRUE,"Unknown")</f>
        <v>Female</v>
      </c>
    </row>
    <row r="1808" spans="1:15" x14ac:dyDescent="0.4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_xlfn.IFS(orders[[#This Row],[Customer Gender]]="M","Male", orders[[#This Row],[Customer Gender]]="F","Female", orders[[#This Row],[Customer Gender]]="O","Other", TRUE,"Unknown")</f>
        <v>Male</v>
      </c>
    </row>
    <row r="1809" spans="1:15" x14ac:dyDescent="0.4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_xlfn.IFS(orders[[#This Row],[Customer Gender]]="M","Male", orders[[#This Row],[Customer Gender]]="F","Female", orders[[#This Row],[Customer Gender]]="O","Other", TRUE,"Unknown")</f>
        <v>Female</v>
      </c>
    </row>
    <row r="1810" spans="1:15" x14ac:dyDescent="0.4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_xlfn.IFS(orders[[#This Row],[Customer Gender]]="M","Male", orders[[#This Row],[Customer Gender]]="F","Female", orders[[#This Row],[Customer Gender]]="O","Other", TRUE,"Unknown")</f>
        <v>Female</v>
      </c>
    </row>
    <row r="1811" spans="1:15" x14ac:dyDescent="0.4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_xlfn.IFS(orders[[#This Row],[Customer Gender]]="M","Male", orders[[#This Row],[Customer Gender]]="F","Female", orders[[#This Row],[Customer Gender]]="O","Other", TRUE,"Unknown")</f>
        <v>Female</v>
      </c>
    </row>
    <row r="1812" spans="1:15" x14ac:dyDescent="0.4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_xlfn.IFS(orders[[#This Row],[Customer Gender]]="M","Male", orders[[#This Row],[Customer Gender]]="F","Female", orders[[#This Row],[Customer Gender]]="O","Other", TRUE,"Unknown")</f>
        <v>Other</v>
      </c>
    </row>
    <row r="1813" spans="1:15" x14ac:dyDescent="0.4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_xlfn.IFS(orders[[#This Row],[Customer Gender]]="M","Male", orders[[#This Row],[Customer Gender]]="F","Female", orders[[#This Row],[Customer Gender]]="O","Other", TRUE,"Unknown")</f>
        <v>Female</v>
      </c>
    </row>
    <row r="1814" spans="1:15" x14ac:dyDescent="0.4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_xlfn.IFS(orders[[#This Row],[Customer Gender]]="M","Male", orders[[#This Row],[Customer Gender]]="F","Female", orders[[#This Row],[Customer Gender]]="O","Other", TRUE,"Unknown")</f>
        <v>Female</v>
      </c>
    </row>
    <row r="1815" spans="1:15" x14ac:dyDescent="0.4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_xlfn.IFS(orders[[#This Row],[Customer Gender]]="M","Male", orders[[#This Row],[Customer Gender]]="F","Female", orders[[#This Row],[Customer Gender]]="O","Other", TRUE,"Unknown")</f>
        <v>Male</v>
      </c>
    </row>
    <row r="1816" spans="1:15" x14ac:dyDescent="0.4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_xlfn.IFS(orders[[#This Row],[Customer Gender]]="M","Male", orders[[#This Row],[Customer Gender]]="F","Female", orders[[#This Row],[Customer Gender]]="O","Other", TRUE,"Unknown")</f>
        <v>Female</v>
      </c>
    </row>
    <row r="1817" spans="1:15" x14ac:dyDescent="0.4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_xlfn.IFS(orders[[#This Row],[Customer Gender]]="M","Male", orders[[#This Row],[Customer Gender]]="F","Female", orders[[#This Row],[Customer Gender]]="O","Other", TRUE,"Unknown")</f>
        <v>Male</v>
      </c>
    </row>
    <row r="1818" spans="1:15" x14ac:dyDescent="0.4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_xlfn.IFS(orders[[#This Row],[Customer Gender]]="M","Male", orders[[#This Row],[Customer Gender]]="F","Female", orders[[#This Row],[Customer Gender]]="O","Other", TRUE,"Unknown")</f>
        <v>Other</v>
      </c>
    </row>
    <row r="1819" spans="1:15" x14ac:dyDescent="0.4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_xlfn.IFS(orders[[#This Row],[Customer Gender]]="M","Male", orders[[#This Row],[Customer Gender]]="F","Female", orders[[#This Row],[Customer Gender]]="O","Other", TRUE,"Unknown")</f>
        <v>Female</v>
      </c>
    </row>
    <row r="1820" spans="1:15" x14ac:dyDescent="0.4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_xlfn.IFS(orders[[#This Row],[Customer Gender]]="M","Male", orders[[#This Row],[Customer Gender]]="F","Female", orders[[#This Row],[Customer Gender]]="O","Other", TRUE,"Unknown")</f>
        <v>Unknown</v>
      </c>
    </row>
    <row r="1821" spans="1:15" x14ac:dyDescent="0.4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_xlfn.IFS(orders[[#This Row],[Customer Gender]]="M","Male", orders[[#This Row],[Customer Gender]]="F","Female", orders[[#This Row],[Customer Gender]]="O","Other", TRUE,"Unknown")</f>
        <v>Female</v>
      </c>
    </row>
    <row r="1822" spans="1:15" x14ac:dyDescent="0.4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_xlfn.IFS(orders[[#This Row],[Customer Gender]]="M","Male", orders[[#This Row],[Customer Gender]]="F","Female", orders[[#This Row],[Customer Gender]]="O","Other", TRUE,"Unknown")</f>
        <v>Female</v>
      </c>
    </row>
    <row r="1823" spans="1:15" x14ac:dyDescent="0.4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_xlfn.IFS(orders[[#This Row],[Customer Gender]]="M","Male", orders[[#This Row],[Customer Gender]]="F","Female", orders[[#This Row],[Customer Gender]]="O","Other", TRUE,"Unknown")</f>
        <v>Unknown</v>
      </c>
    </row>
    <row r="1824" spans="1:15" x14ac:dyDescent="0.4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_xlfn.IFS(orders[[#This Row],[Customer Gender]]="M","Male", orders[[#This Row],[Customer Gender]]="F","Female", orders[[#This Row],[Customer Gender]]="O","Other", TRUE,"Unknown")</f>
        <v>Male</v>
      </c>
    </row>
    <row r="1825" spans="1:15" x14ac:dyDescent="0.4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_xlfn.IFS(orders[[#This Row],[Customer Gender]]="M","Male", orders[[#This Row],[Customer Gender]]="F","Female", orders[[#This Row],[Customer Gender]]="O","Other", TRUE,"Unknown")</f>
        <v>Other</v>
      </c>
    </row>
    <row r="1826" spans="1:15" x14ac:dyDescent="0.4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_xlfn.IFS(orders[[#This Row],[Customer Gender]]="M","Male", orders[[#This Row],[Customer Gender]]="F","Female", orders[[#This Row],[Customer Gender]]="O","Other", TRUE,"Unknown")</f>
        <v>Male</v>
      </c>
    </row>
    <row r="1827" spans="1:15" x14ac:dyDescent="0.4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_xlfn.IFS(orders[[#This Row],[Customer Gender]]="M","Male", orders[[#This Row],[Customer Gender]]="F","Female", orders[[#This Row],[Customer Gender]]="O","Other", TRUE,"Unknown")</f>
        <v>Female</v>
      </c>
    </row>
    <row r="1828" spans="1:15" x14ac:dyDescent="0.4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_xlfn.IFS(orders[[#This Row],[Customer Gender]]="M","Male", orders[[#This Row],[Customer Gender]]="F","Female", orders[[#This Row],[Customer Gender]]="O","Other", TRUE,"Unknown")</f>
        <v>Unknown</v>
      </c>
    </row>
    <row r="1829" spans="1:15" x14ac:dyDescent="0.4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_xlfn.IFS(orders[[#This Row],[Customer Gender]]="M","Male", orders[[#This Row],[Customer Gender]]="F","Female", orders[[#This Row],[Customer Gender]]="O","Other", TRUE,"Unknown")</f>
        <v>Male</v>
      </c>
    </row>
    <row r="1830" spans="1:15" x14ac:dyDescent="0.4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_xlfn.IFS(orders[[#This Row],[Customer Gender]]="M","Male", orders[[#This Row],[Customer Gender]]="F","Female", orders[[#This Row],[Customer Gender]]="O","Other", TRUE,"Unknown")</f>
        <v>Female</v>
      </c>
    </row>
    <row r="1831" spans="1:15" x14ac:dyDescent="0.4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_xlfn.IFS(orders[[#This Row],[Customer Gender]]="M","Male", orders[[#This Row],[Customer Gender]]="F","Female", orders[[#This Row],[Customer Gender]]="O","Other", TRUE,"Unknown")</f>
        <v>Male</v>
      </c>
    </row>
    <row r="1832" spans="1:15" x14ac:dyDescent="0.4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_xlfn.IFS(orders[[#This Row],[Customer Gender]]="M","Male", orders[[#This Row],[Customer Gender]]="F","Female", orders[[#This Row],[Customer Gender]]="O","Other", TRUE,"Unknown")</f>
        <v>Female</v>
      </c>
    </row>
    <row r="1833" spans="1:15" x14ac:dyDescent="0.4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_xlfn.IFS(orders[[#This Row],[Customer Gender]]="M","Male", orders[[#This Row],[Customer Gender]]="F","Female", orders[[#This Row],[Customer Gender]]="O","Other", TRUE,"Unknown")</f>
        <v>Unknown</v>
      </c>
    </row>
    <row r="1834" spans="1:15" x14ac:dyDescent="0.4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_xlfn.IFS(orders[[#This Row],[Customer Gender]]="M","Male", orders[[#This Row],[Customer Gender]]="F","Female", orders[[#This Row],[Customer Gender]]="O","Other", TRUE,"Unknown")</f>
        <v>Female</v>
      </c>
    </row>
    <row r="1835" spans="1:15" x14ac:dyDescent="0.4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_xlfn.IFS(orders[[#This Row],[Customer Gender]]="M","Male", orders[[#This Row],[Customer Gender]]="F","Female", orders[[#This Row],[Customer Gender]]="O","Other", TRUE,"Unknown")</f>
        <v>Male</v>
      </c>
    </row>
    <row r="1836" spans="1:15" x14ac:dyDescent="0.4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_xlfn.IFS(orders[[#This Row],[Customer Gender]]="M","Male", orders[[#This Row],[Customer Gender]]="F","Female", orders[[#This Row],[Customer Gender]]="O","Other", TRUE,"Unknown")</f>
        <v>Male</v>
      </c>
    </row>
    <row r="1837" spans="1:15" x14ac:dyDescent="0.4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_xlfn.IFS(orders[[#This Row],[Customer Gender]]="M","Male", orders[[#This Row],[Customer Gender]]="F","Female", orders[[#This Row],[Customer Gender]]="O","Other", TRUE,"Unknown")</f>
        <v>Female</v>
      </c>
    </row>
    <row r="1838" spans="1:15" x14ac:dyDescent="0.4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_xlfn.IFS(orders[[#This Row],[Customer Gender]]="M","Male", orders[[#This Row],[Customer Gender]]="F","Female", orders[[#This Row],[Customer Gender]]="O","Other", TRUE,"Unknown")</f>
        <v>Female</v>
      </c>
    </row>
    <row r="1839" spans="1:15" x14ac:dyDescent="0.4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_xlfn.IFS(orders[[#This Row],[Customer Gender]]="M","Male", orders[[#This Row],[Customer Gender]]="F","Female", orders[[#This Row],[Customer Gender]]="O","Other", TRUE,"Unknown")</f>
        <v>Female</v>
      </c>
    </row>
    <row r="1840" spans="1:15" x14ac:dyDescent="0.4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_xlfn.IFS(orders[[#This Row],[Customer Gender]]="M","Male", orders[[#This Row],[Customer Gender]]="F","Female", orders[[#This Row],[Customer Gender]]="O","Other", TRUE,"Unknown")</f>
        <v>Male</v>
      </c>
    </row>
    <row r="1841" spans="1:15" x14ac:dyDescent="0.4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_xlfn.IFS(orders[[#This Row],[Customer Gender]]="M","Male", orders[[#This Row],[Customer Gender]]="F","Female", orders[[#This Row],[Customer Gender]]="O","Other", TRUE,"Unknown")</f>
        <v>Female</v>
      </c>
    </row>
    <row r="1842" spans="1:15" x14ac:dyDescent="0.4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_xlfn.IFS(orders[[#This Row],[Customer Gender]]="M","Male", orders[[#This Row],[Customer Gender]]="F","Female", orders[[#This Row],[Customer Gender]]="O","Other", TRUE,"Unknown")</f>
        <v>Male</v>
      </c>
    </row>
    <row r="1843" spans="1:15" x14ac:dyDescent="0.4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_xlfn.IFS(orders[[#This Row],[Customer Gender]]="M","Male", orders[[#This Row],[Customer Gender]]="F","Female", orders[[#This Row],[Customer Gender]]="O","Other", TRUE,"Unknown")</f>
        <v>Female</v>
      </c>
    </row>
    <row r="1844" spans="1:15" x14ac:dyDescent="0.4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_xlfn.IFS(orders[[#This Row],[Customer Gender]]="M","Male", orders[[#This Row],[Customer Gender]]="F","Female", orders[[#This Row],[Customer Gender]]="O","Other", TRUE,"Unknown")</f>
        <v>Unknown</v>
      </c>
    </row>
    <row r="1845" spans="1:15" x14ac:dyDescent="0.4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_xlfn.IFS(orders[[#This Row],[Customer Gender]]="M","Male", orders[[#This Row],[Customer Gender]]="F","Female", orders[[#This Row],[Customer Gender]]="O","Other", TRUE,"Unknown")</f>
        <v>Female</v>
      </c>
    </row>
    <row r="1846" spans="1:15" x14ac:dyDescent="0.4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_xlfn.IFS(orders[[#This Row],[Customer Gender]]="M","Male", orders[[#This Row],[Customer Gender]]="F","Female", orders[[#This Row],[Customer Gender]]="O","Other", TRUE,"Unknown")</f>
        <v>Male</v>
      </c>
    </row>
    <row r="1847" spans="1:15" x14ac:dyDescent="0.4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_xlfn.IFS(orders[[#This Row],[Customer Gender]]="M","Male", orders[[#This Row],[Customer Gender]]="F","Female", orders[[#This Row],[Customer Gender]]="O","Other", TRUE,"Unknown")</f>
        <v>Other</v>
      </c>
    </row>
    <row r="1848" spans="1:15" x14ac:dyDescent="0.4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_xlfn.IFS(orders[[#This Row],[Customer Gender]]="M","Male", orders[[#This Row],[Customer Gender]]="F","Female", orders[[#This Row],[Customer Gender]]="O","Other", TRUE,"Unknown")</f>
        <v>Female</v>
      </c>
    </row>
    <row r="1849" spans="1:15" x14ac:dyDescent="0.4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_xlfn.IFS(orders[[#This Row],[Customer Gender]]="M","Male", orders[[#This Row],[Customer Gender]]="F","Female", orders[[#This Row],[Customer Gender]]="O","Other", TRUE,"Unknown")</f>
        <v>Female</v>
      </c>
    </row>
    <row r="1850" spans="1:15" x14ac:dyDescent="0.4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_xlfn.IFS(orders[[#This Row],[Customer Gender]]="M","Male", orders[[#This Row],[Customer Gender]]="F","Female", orders[[#This Row],[Customer Gender]]="O","Other", TRUE,"Unknown")</f>
        <v>Female</v>
      </c>
    </row>
    <row r="1851" spans="1:15" x14ac:dyDescent="0.4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_xlfn.IFS(orders[[#This Row],[Customer Gender]]="M","Male", orders[[#This Row],[Customer Gender]]="F","Female", orders[[#This Row],[Customer Gender]]="O","Other", TRUE,"Unknown")</f>
        <v>Male</v>
      </c>
    </row>
    <row r="1852" spans="1:15" x14ac:dyDescent="0.4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_xlfn.IFS(orders[[#This Row],[Customer Gender]]="M","Male", orders[[#This Row],[Customer Gender]]="F","Female", orders[[#This Row],[Customer Gender]]="O","Other", TRUE,"Unknown")</f>
        <v>Female</v>
      </c>
    </row>
    <row r="1853" spans="1:15" x14ac:dyDescent="0.4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_xlfn.IFS(orders[[#This Row],[Customer Gender]]="M","Male", orders[[#This Row],[Customer Gender]]="F","Female", orders[[#This Row],[Customer Gender]]="O","Other", TRUE,"Unknown")</f>
        <v>Female</v>
      </c>
    </row>
    <row r="1854" spans="1:15" x14ac:dyDescent="0.4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_xlfn.IFS(orders[[#This Row],[Customer Gender]]="M","Male", orders[[#This Row],[Customer Gender]]="F","Female", orders[[#This Row],[Customer Gender]]="O","Other", TRUE,"Unknown")</f>
        <v>Female</v>
      </c>
    </row>
    <row r="1855" spans="1:15" x14ac:dyDescent="0.4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_xlfn.IFS(orders[[#This Row],[Customer Gender]]="M","Male", orders[[#This Row],[Customer Gender]]="F","Female", orders[[#This Row],[Customer Gender]]="O","Other", TRUE,"Unknown")</f>
        <v>Male</v>
      </c>
    </row>
    <row r="1856" spans="1:15" x14ac:dyDescent="0.4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_xlfn.IFS(orders[[#This Row],[Customer Gender]]="M","Male", orders[[#This Row],[Customer Gender]]="F","Female", orders[[#This Row],[Customer Gender]]="O","Other", TRUE,"Unknown")</f>
        <v>Female</v>
      </c>
    </row>
    <row r="1857" spans="1:15" x14ac:dyDescent="0.4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_xlfn.IFS(orders[[#This Row],[Customer Gender]]="M","Male", orders[[#This Row],[Customer Gender]]="F","Female", orders[[#This Row],[Customer Gender]]="O","Other", TRUE,"Unknown")</f>
        <v>Male</v>
      </c>
    </row>
    <row r="1858" spans="1:15" x14ac:dyDescent="0.4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_xlfn.IFS(orders[[#This Row],[Customer Gender]]="M","Male", orders[[#This Row],[Customer Gender]]="F","Female", orders[[#This Row],[Customer Gender]]="O","Other", TRUE,"Unknown")</f>
        <v>Female</v>
      </c>
    </row>
    <row r="1859" spans="1:15" x14ac:dyDescent="0.4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_xlfn.IFS(orders[[#This Row],[Customer Gender]]="M","Male", orders[[#This Row],[Customer Gender]]="F","Female", orders[[#This Row],[Customer Gender]]="O","Other", TRUE,"Unknown")</f>
        <v>Female</v>
      </c>
    </row>
    <row r="1860" spans="1:15" x14ac:dyDescent="0.4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_xlfn.IFS(orders[[#This Row],[Customer Gender]]="M","Male", orders[[#This Row],[Customer Gender]]="F","Female", orders[[#This Row],[Customer Gender]]="O","Other", TRUE,"Unknown")</f>
        <v>Female</v>
      </c>
    </row>
    <row r="1861" spans="1:15" x14ac:dyDescent="0.4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_xlfn.IFS(orders[[#This Row],[Customer Gender]]="M","Male", orders[[#This Row],[Customer Gender]]="F","Female", orders[[#This Row],[Customer Gender]]="O","Other", TRUE,"Unknown")</f>
        <v>Male</v>
      </c>
    </row>
    <row r="1862" spans="1:15" x14ac:dyDescent="0.4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_xlfn.IFS(orders[[#This Row],[Customer Gender]]="M","Male", orders[[#This Row],[Customer Gender]]="F","Female", orders[[#This Row],[Customer Gender]]="O","Other", TRUE,"Unknown")</f>
        <v>Male</v>
      </c>
    </row>
    <row r="1863" spans="1:15" x14ac:dyDescent="0.4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_xlfn.IFS(orders[[#This Row],[Customer Gender]]="M","Male", orders[[#This Row],[Customer Gender]]="F","Female", orders[[#This Row],[Customer Gender]]="O","Other", TRUE,"Unknown")</f>
        <v>Other</v>
      </c>
    </row>
    <row r="1864" spans="1:15" x14ac:dyDescent="0.4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_xlfn.IFS(orders[[#This Row],[Customer Gender]]="M","Male", orders[[#This Row],[Customer Gender]]="F","Female", orders[[#This Row],[Customer Gender]]="O","Other", TRUE,"Unknown")</f>
        <v>Male</v>
      </c>
    </row>
    <row r="1865" spans="1:15" x14ac:dyDescent="0.4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_xlfn.IFS(orders[[#This Row],[Customer Gender]]="M","Male", orders[[#This Row],[Customer Gender]]="F","Female", orders[[#This Row],[Customer Gender]]="O","Other", TRUE,"Unknown")</f>
        <v>Female</v>
      </c>
    </row>
    <row r="1866" spans="1:15" x14ac:dyDescent="0.4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_xlfn.IFS(orders[[#This Row],[Customer Gender]]="M","Male", orders[[#This Row],[Customer Gender]]="F","Female", orders[[#This Row],[Customer Gender]]="O","Other", TRUE,"Unknown")</f>
        <v>Female</v>
      </c>
    </row>
    <row r="1867" spans="1:15" x14ac:dyDescent="0.4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_xlfn.IFS(orders[[#This Row],[Customer Gender]]="M","Male", orders[[#This Row],[Customer Gender]]="F","Female", orders[[#This Row],[Customer Gender]]="O","Other", TRUE,"Unknown")</f>
        <v>Male</v>
      </c>
    </row>
    <row r="1868" spans="1:15" x14ac:dyDescent="0.4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_xlfn.IFS(orders[[#This Row],[Customer Gender]]="M","Male", orders[[#This Row],[Customer Gender]]="F","Female", orders[[#This Row],[Customer Gender]]="O","Other", TRUE,"Unknown")</f>
        <v>Other</v>
      </c>
    </row>
    <row r="1869" spans="1:15" x14ac:dyDescent="0.4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_xlfn.IFS(orders[[#This Row],[Customer Gender]]="M","Male", orders[[#This Row],[Customer Gender]]="F","Female", orders[[#This Row],[Customer Gender]]="O","Other", TRUE,"Unknown")</f>
        <v>Female</v>
      </c>
    </row>
    <row r="1870" spans="1:15" x14ac:dyDescent="0.4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_xlfn.IFS(orders[[#This Row],[Customer Gender]]="M","Male", orders[[#This Row],[Customer Gender]]="F","Female", orders[[#This Row],[Customer Gender]]="O","Other", TRUE,"Unknown")</f>
        <v>Other</v>
      </c>
    </row>
    <row r="1871" spans="1:15" x14ac:dyDescent="0.4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_xlfn.IFS(orders[[#This Row],[Customer Gender]]="M","Male", orders[[#This Row],[Customer Gender]]="F","Female", orders[[#This Row],[Customer Gender]]="O","Other", TRUE,"Unknown")</f>
        <v>Female</v>
      </c>
    </row>
    <row r="1872" spans="1:15" x14ac:dyDescent="0.4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_xlfn.IFS(orders[[#This Row],[Customer Gender]]="M","Male", orders[[#This Row],[Customer Gender]]="F","Female", orders[[#This Row],[Customer Gender]]="O","Other", TRUE,"Unknown")</f>
        <v>Female</v>
      </c>
    </row>
    <row r="1873" spans="1:15" x14ac:dyDescent="0.4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_xlfn.IFS(orders[[#This Row],[Customer Gender]]="M","Male", orders[[#This Row],[Customer Gender]]="F","Female", orders[[#This Row],[Customer Gender]]="O","Other", TRUE,"Unknown")</f>
        <v>Male</v>
      </c>
    </row>
    <row r="1874" spans="1:15" x14ac:dyDescent="0.4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_xlfn.IFS(orders[[#This Row],[Customer Gender]]="M","Male", orders[[#This Row],[Customer Gender]]="F","Female", orders[[#This Row],[Customer Gender]]="O","Other", TRUE,"Unknown")</f>
        <v>Female</v>
      </c>
    </row>
    <row r="1875" spans="1:15" x14ac:dyDescent="0.4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_xlfn.IFS(orders[[#This Row],[Customer Gender]]="M","Male", orders[[#This Row],[Customer Gender]]="F","Female", orders[[#This Row],[Customer Gender]]="O","Other", TRUE,"Unknown")</f>
        <v>Other</v>
      </c>
    </row>
    <row r="1876" spans="1:15" x14ac:dyDescent="0.4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_xlfn.IFS(orders[[#This Row],[Customer Gender]]="M","Male", orders[[#This Row],[Customer Gender]]="F","Female", orders[[#This Row],[Customer Gender]]="O","Other", TRUE,"Unknown")</f>
        <v>Female</v>
      </c>
    </row>
    <row r="1877" spans="1:15" x14ac:dyDescent="0.4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_xlfn.IFS(orders[[#This Row],[Customer Gender]]="M","Male", orders[[#This Row],[Customer Gender]]="F","Female", orders[[#This Row],[Customer Gender]]="O","Other", TRUE,"Unknown")</f>
        <v>Female</v>
      </c>
    </row>
    <row r="1878" spans="1:15" x14ac:dyDescent="0.4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_xlfn.IFS(orders[[#This Row],[Customer Gender]]="M","Male", orders[[#This Row],[Customer Gender]]="F","Female", orders[[#This Row],[Customer Gender]]="O","Other", TRUE,"Unknown")</f>
        <v>Female</v>
      </c>
    </row>
    <row r="1879" spans="1:15" x14ac:dyDescent="0.4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_xlfn.IFS(orders[[#This Row],[Customer Gender]]="M","Male", orders[[#This Row],[Customer Gender]]="F","Female", orders[[#This Row],[Customer Gender]]="O","Other", TRUE,"Unknown")</f>
        <v>Female</v>
      </c>
    </row>
    <row r="1880" spans="1:15" x14ac:dyDescent="0.4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_xlfn.IFS(orders[[#This Row],[Customer Gender]]="M","Male", orders[[#This Row],[Customer Gender]]="F","Female", orders[[#This Row],[Customer Gender]]="O","Other", TRUE,"Unknown")</f>
        <v>Female</v>
      </c>
    </row>
    <row r="1881" spans="1:15" x14ac:dyDescent="0.4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_xlfn.IFS(orders[[#This Row],[Customer Gender]]="M","Male", orders[[#This Row],[Customer Gender]]="F","Female", orders[[#This Row],[Customer Gender]]="O","Other", TRUE,"Unknown")</f>
        <v>Male</v>
      </c>
    </row>
    <row r="1882" spans="1:15" x14ac:dyDescent="0.4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_xlfn.IFS(orders[[#This Row],[Customer Gender]]="M","Male", orders[[#This Row],[Customer Gender]]="F","Female", orders[[#This Row],[Customer Gender]]="O","Other", TRUE,"Unknown")</f>
        <v>Female</v>
      </c>
    </row>
    <row r="1883" spans="1:15" x14ac:dyDescent="0.4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_xlfn.IFS(orders[[#This Row],[Customer Gender]]="M","Male", orders[[#This Row],[Customer Gender]]="F","Female", orders[[#This Row],[Customer Gender]]="O","Other", TRUE,"Unknown")</f>
        <v>Female</v>
      </c>
    </row>
    <row r="1884" spans="1:15" x14ac:dyDescent="0.4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_xlfn.IFS(orders[[#This Row],[Customer Gender]]="M","Male", orders[[#This Row],[Customer Gender]]="F","Female", orders[[#This Row],[Customer Gender]]="O","Other", TRUE,"Unknown")</f>
        <v>Male</v>
      </c>
    </row>
    <row r="1885" spans="1:15" x14ac:dyDescent="0.4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_xlfn.IFS(orders[[#This Row],[Customer Gender]]="M","Male", orders[[#This Row],[Customer Gender]]="F","Female", orders[[#This Row],[Customer Gender]]="O","Other", TRUE,"Unknown")</f>
        <v>Male</v>
      </c>
    </row>
    <row r="1886" spans="1:15" x14ac:dyDescent="0.4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_xlfn.IFS(orders[[#This Row],[Customer Gender]]="M","Male", orders[[#This Row],[Customer Gender]]="F","Female", orders[[#This Row],[Customer Gender]]="O","Other", TRUE,"Unknown")</f>
        <v>Unknown</v>
      </c>
    </row>
    <row r="1887" spans="1:15" x14ac:dyDescent="0.4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_xlfn.IFS(orders[[#This Row],[Customer Gender]]="M","Male", orders[[#This Row],[Customer Gender]]="F","Female", orders[[#This Row],[Customer Gender]]="O","Other", TRUE,"Unknown")</f>
        <v>Male</v>
      </c>
    </row>
    <row r="1888" spans="1:15" x14ac:dyDescent="0.4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_xlfn.IFS(orders[[#This Row],[Customer Gender]]="M","Male", orders[[#This Row],[Customer Gender]]="F","Female", orders[[#This Row],[Customer Gender]]="O","Other", TRUE,"Unknown")</f>
        <v>Female</v>
      </c>
    </row>
    <row r="1889" spans="1:15" x14ac:dyDescent="0.4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_xlfn.IFS(orders[[#This Row],[Customer Gender]]="M","Male", orders[[#This Row],[Customer Gender]]="F","Female", orders[[#This Row],[Customer Gender]]="O","Other", TRUE,"Unknown")</f>
        <v>Female</v>
      </c>
    </row>
    <row r="1890" spans="1:15" x14ac:dyDescent="0.4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_xlfn.IFS(orders[[#This Row],[Customer Gender]]="M","Male", orders[[#This Row],[Customer Gender]]="F","Female", orders[[#This Row],[Customer Gender]]="O","Other", TRUE,"Unknown")</f>
        <v>Female</v>
      </c>
    </row>
    <row r="1891" spans="1:15" x14ac:dyDescent="0.4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_xlfn.IFS(orders[[#This Row],[Customer Gender]]="M","Male", orders[[#This Row],[Customer Gender]]="F","Female", orders[[#This Row],[Customer Gender]]="O","Other", TRUE,"Unknown")</f>
        <v>Male</v>
      </c>
    </row>
    <row r="1892" spans="1:15" x14ac:dyDescent="0.4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_xlfn.IFS(orders[[#This Row],[Customer Gender]]="M","Male", orders[[#This Row],[Customer Gender]]="F","Female", orders[[#This Row],[Customer Gender]]="O","Other", TRUE,"Unknown")</f>
        <v>Female</v>
      </c>
    </row>
    <row r="1893" spans="1:15" x14ac:dyDescent="0.4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_xlfn.IFS(orders[[#This Row],[Customer Gender]]="M","Male", orders[[#This Row],[Customer Gender]]="F","Female", orders[[#This Row],[Customer Gender]]="O","Other", TRUE,"Unknown")</f>
        <v>Male</v>
      </c>
    </row>
    <row r="1894" spans="1:15" x14ac:dyDescent="0.4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_xlfn.IFS(orders[[#This Row],[Customer Gender]]="M","Male", orders[[#This Row],[Customer Gender]]="F","Female", orders[[#This Row],[Customer Gender]]="O","Other", TRUE,"Unknown")</f>
        <v>Male</v>
      </c>
    </row>
    <row r="1895" spans="1:15" x14ac:dyDescent="0.4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_xlfn.IFS(orders[[#This Row],[Customer Gender]]="M","Male", orders[[#This Row],[Customer Gender]]="F","Female", orders[[#This Row],[Customer Gender]]="O","Other", TRUE,"Unknown")</f>
        <v>Male</v>
      </c>
    </row>
    <row r="1896" spans="1:15" x14ac:dyDescent="0.4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_xlfn.IFS(orders[[#This Row],[Customer Gender]]="M","Male", orders[[#This Row],[Customer Gender]]="F","Female", orders[[#This Row],[Customer Gender]]="O","Other", TRUE,"Unknown")</f>
        <v>Female</v>
      </c>
    </row>
    <row r="1897" spans="1:15" x14ac:dyDescent="0.4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_xlfn.IFS(orders[[#This Row],[Customer Gender]]="M","Male", orders[[#This Row],[Customer Gender]]="F","Female", orders[[#This Row],[Customer Gender]]="O","Other", TRUE,"Unknown")</f>
        <v>Male</v>
      </c>
    </row>
    <row r="1898" spans="1:15" x14ac:dyDescent="0.4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_xlfn.IFS(orders[[#This Row],[Customer Gender]]="M","Male", orders[[#This Row],[Customer Gender]]="F","Female", orders[[#This Row],[Customer Gender]]="O","Other", TRUE,"Unknown")</f>
        <v>Male</v>
      </c>
    </row>
    <row r="1899" spans="1:15" x14ac:dyDescent="0.4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_xlfn.IFS(orders[[#This Row],[Customer Gender]]="M","Male", orders[[#This Row],[Customer Gender]]="F","Female", orders[[#This Row],[Customer Gender]]="O","Other", TRUE,"Unknown")</f>
        <v>Male</v>
      </c>
    </row>
    <row r="1900" spans="1:15" x14ac:dyDescent="0.4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_xlfn.IFS(orders[[#This Row],[Customer Gender]]="M","Male", orders[[#This Row],[Customer Gender]]="F","Female", orders[[#This Row],[Customer Gender]]="O","Other", TRUE,"Unknown")</f>
        <v>Female</v>
      </c>
    </row>
    <row r="1901" spans="1:15" x14ac:dyDescent="0.4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_xlfn.IFS(orders[[#This Row],[Customer Gender]]="M","Male", orders[[#This Row],[Customer Gender]]="F","Female", orders[[#This Row],[Customer Gender]]="O","Other", TRUE,"Unknown")</f>
        <v>Female</v>
      </c>
    </row>
    <row r="1902" spans="1:15" x14ac:dyDescent="0.4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_xlfn.IFS(orders[[#This Row],[Customer Gender]]="M","Male", orders[[#This Row],[Customer Gender]]="F","Female", orders[[#This Row],[Customer Gender]]="O","Other", TRUE,"Unknown")</f>
        <v>Female</v>
      </c>
    </row>
    <row r="1903" spans="1:15" x14ac:dyDescent="0.4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_xlfn.IFS(orders[[#This Row],[Customer Gender]]="M","Male", orders[[#This Row],[Customer Gender]]="F","Female", orders[[#This Row],[Customer Gender]]="O","Other", TRUE,"Unknown")</f>
        <v>Female</v>
      </c>
    </row>
    <row r="1904" spans="1:15" x14ac:dyDescent="0.4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_xlfn.IFS(orders[[#This Row],[Customer Gender]]="M","Male", orders[[#This Row],[Customer Gender]]="F","Female", orders[[#This Row],[Customer Gender]]="O","Other", TRUE,"Unknown")</f>
        <v>Male</v>
      </c>
    </row>
    <row r="1905" spans="1:15" x14ac:dyDescent="0.4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_xlfn.IFS(orders[[#This Row],[Customer Gender]]="M","Male", orders[[#This Row],[Customer Gender]]="F","Female", orders[[#This Row],[Customer Gender]]="O","Other", TRUE,"Unknown")</f>
        <v>Female</v>
      </c>
    </row>
    <row r="1906" spans="1:15" x14ac:dyDescent="0.4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_xlfn.IFS(orders[[#This Row],[Customer Gender]]="M","Male", orders[[#This Row],[Customer Gender]]="F","Female", orders[[#This Row],[Customer Gender]]="O","Other", TRUE,"Unknown")</f>
        <v>Female</v>
      </c>
    </row>
    <row r="1907" spans="1:15" x14ac:dyDescent="0.4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_xlfn.IFS(orders[[#This Row],[Customer Gender]]="M","Male", orders[[#This Row],[Customer Gender]]="F","Female", orders[[#This Row],[Customer Gender]]="O","Other", TRUE,"Unknown")</f>
        <v>Male</v>
      </c>
    </row>
    <row r="1908" spans="1:15" x14ac:dyDescent="0.4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_xlfn.IFS(orders[[#This Row],[Customer Gender]]="M","Male", orders[[#This Row],[Customer Gender]]="F","Female", orders[[#This Row],[Customer Gender]]="O","Other", TRUE,"Unknown")</f>
        <v>Male</v>
      </c>
    </row>
    <row r="1909" spans="1:15" x14ac:dyDescent="0.4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_xlfn.IFS(orders[[#This Row],[Customer Gender]]="M","Male", orders[[#This Row],[Customer Gender]]="F","Female", orders[[#This Row],[Customer Gender]]="O","Other", TRUE,"Unknown")</f>
        <v>Female</v>
      </c>
    </row>
    <row r="1910" spans="1:15" x14ac:dyDescent="0.4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_xlfn.IFS(orders[[#This Row],[Customer Gender]]="M","Male", orders[[#This Row],[Customer Gender]]="F","Female", orders[[#This Row],[Customer Gender]]="O","Other", TRUE,"Unknown")</f>
        <v>Unknown</v>
      </c>
    </row>
    <row r="1911" spans="1:15" x14ac:dyDescent="0.4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_xlfn.IFS(orders[[#This Row],[Customer Gender]]="M","Male", orders[[#This Row],[Customer Gender]]="F","Female", orders[[#This Row],[Customer Gender]]="O","Other", TRUE,"Unknown")</f>
        <v>Female</v>
      </c>
    </row>
    <row r="1912" spans="1:15" x14ac:dyDescent="0.4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_xlfn.IFS(orders[[#This Row],[Customer Gender]]="M","Male", orders[[#This Row],[Customer Gender]]="F","Female", orders[[#This Row],[Customer Gender]]="O","Other", TRUE,"Unknown")</f>
        <v>Female</v>
      </c>
    </row>
    <row r="1913" spans="1:15" x14ac:dyDescent="0.4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_xlfn.IFS(orders[[#This Row],[Customer Gender]]="M","Male", orders[[#This Row],[Customer Gender]]="F","Female", orders[[#This Row],[Customer Gender]]="O","Other", TRUE,"Unknown")</f>
        <v>Other</v>
      </c>
    </row>
    <row r="1914" spans="1:15" x14ac:dyDescent="0.4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_xlfn.IFS(orders[[#This Row],[Customer Gender]]="M","Male", orders[[#This Row],[Customer Gender]]="F","Female", orders[[#This Row],[Customer Gender]]="O","Other", TRUE,"Unknown")</f>
        <v>Male</v>
      </c>
    </row>
    <row r="1915" spans="1:15" x14ac:dyDescent="0.4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_xlfn.IFS(orders[[#This Row],[Customer Gender]]="M","Male", orders[[#This Row],[Customer Gender]]="F","Female", orders[[#This Row],[Customer Gender]]="O","Other", TRUE,"Unknown")</f>
        <v>Female</v>
      </c>
    </row>
    <row r="1916" spans="1:15" x14ac:dyDescent="0.4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_xlfn.IFS(orders[[#This Row],[Customer Gender]]="M","Male", orders[[#This Row],[Customer Gender]]="F","Female", orders[[#This Row],[Customer Gender]]="O","Other", TRUE,"Unknown")</f>
        <v>Female</v>
      </c>
    </row>
    <row r="1917" spans="1:15" x14ac:dyDescent="0.4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_xlfn.IFS(orders[[#This Row],[Customer Gender]]="M","Male", orders[[#This Row],[Customer Gender]]="F","Female", orders[[#This Row],[Customer Gender]]="O","Other", TRUE,"Unknown")</f>
        <v>Female</v>
      </c>
    </row>
    <row r="1918" spans="1:15" x14ac:dyDescent="0.4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_xlfn.IFS(orders[[#This Row],[Customer Gender]]="M","Male", orders[[#This Row],[Customer Gender]]="F","Female", orders[[#This Row],[Customer Gender]]="O","Other", TRUE,"Unknown")</f>
        <v>Other</v>
      </c>
    </row>
    <row r="1919" spans="1:15" x14ac:dyDescent="0.4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_xlfn.IFS(orders[[#This Row],[Customer Gender]]="M","Male", orders[[#This Row],[Customer Gender]]="F","Female", orders[[#This Row],[Customer Gender]]="O","Other", TRUE,"Unknown")</f>
        <v>Female</v>
      </c>
    </row>
    <row r="1920" spans="1:15" x14ac:dyDescent="0.4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_xlfn.IFS(orders[[#This Row],[Customer Gender]]="M","Male", orders[[#This Row],[Customer Gender]]="F","Female", orders[[#This Row],[Customer Gender]]="O","Other", TRUE,"Unknown")</f>
        <v>Female</v>
      </c>
    </row>
    <row r="1921" spans="1:15" x14ac:dyDescent="0.4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_xlfn.IFS(orders[[#This Row],[Customer Gender]]="M","Male", orders[[#This Row],[Customer Gender]]="F","Female", orders[[#This Row],[Customer Gender]]="O","Other", TRUE,"Unknown")</f>
        <v>Male</v>
      </c>
    </row>
    <row r="1922" spans="1:15" x14ac:dyDescent="0.4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_xlfn.IFS(orders[[#This Row],[Customer Gender]]="M","Male", orders[[#This Row],[Customer Gender]]="F","Female", orders[[#This Row],[Customer Gender]]="O","Other", TRUE,"Unknown")</f>
        <v>Male</v>
      </c>
    </row>
    <row r="1923" spans="1:15" x14ac:dyDescent="0.4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_xlfn.IFS(orders[[#This Row],[Customer Gender]]="M","Male", orders[[#This Row],[Customer Gender]]="F","Female", orders[[#This Row],[Customer Gender]]="O","Other", TRUE,"Unknown")</f>
        <v>Male</v>
      </c>
    </row>
    <row r="1924" spans="1:15" x14ac:dyDescent="0.4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_xlfn.IFS(orders[[#This Row],[Customer Gender]]="M","Male", orders[[#This Row],[Customer Gender]]="F","Female", orders[[#This Row],[Customer Gender]]="O","Other", TRUE,"Unknown")</f>
        <v>Male</v>
      </c>
    </row>
    <row r="1925" spans="1:15" x14ac:dyDescent="0.4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_xlfn.IFS(orders[[#This Row],[Customer Gender]]="M","Male", orders[[#This Row],[Customer Gender]]="F","Female", orders[[#This Row],[Customer Gender]]="O","Other", TRUE,"Unknown")</f>
        <v>Female</v>
      </c>
    </row>
    <row r="1926" spans="1:15" x14ac:dyDescent="0.4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_xlfn.IFS(orders[[#This Row],[Customer Gender]]="M","Male", orders[[#This Row],[Customer Gender]]="F","Female", orders[[#This Row],[Customer Gender]]="O","Other", TRUE,"Unknown")</f>
        <v>Female</v>
      </c>
    </row>
    <row r="1927" spans="1:15" x14ac:dyDescent="0.4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_xlfn.IFS(orders[[#This Row],[Customer Gender]]="M","Male", orders[[#This Row],[Customer Gender]]="F","Female", orders[[#This Row],[Customer Gender]]="O","Other", TRUE,"Unknown")</f>
        <v>Female</v>
      </c>
    </row>
    <row r="1928" spans="1:15" x14ac:dyDescent="0.4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_xlfn.IFS(orders[[#This Row],[Customer Gender]]="M","Male", orders[[#This Row],[Customer Gender]]="F","Female", orders[[#This Row],[Customer Gender]]="O","Other", TRUE,"Unknown")</f>
        <v>Unknown</v>
      </c>
    </row>
    <row r="1929" spans="1:15" x14ac:dyDescent="0.4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_xlfn.IFS(orders[[#This Row],[Customer Gender]]="M","Male", orders[[#This Row],[Customer Gender]]="F","Female", orders[[#This Row],[Customer Gender]]="O","Other", TRUE,"Unknown")</f>
        <v>Other</v>
      </c>
    </row>
    <row r="1930" spans="1:15" x14ac:dyDescent="0.4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_xlfn.IFS(orders[[#This Row],[Customer Gender]]="M","Male", orders[[#This Row],[Customer Gender]]="F","Female", orders[[#This Row],[Customer Gender]]="O","Other", TRUE,"Unknown")</f>
        <v>Female</v>
      </c>
    </row>
    <row r="1931" spans="1:15" x14ac:dyDescent="0.4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_xlfn.IFS(orders[[#This Row],[Customer Gender]]="M","Male", orders[[#This Row],[Customer Gender]]="F","Female", orders[[#This Row],[Customer Gender]]="O","Other", TRUE,"Unknown")</f>
        <v>Male</v>
      </c>
    </row>
    <row r="1932" spans="1:15" x14ac:dyDescent="0.4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_xlfn.IFS(orders[[#This Row],[Customer Gender]]="M","Male", orders[[#This Row],[Customer Gender]]="F","Female", orders[[#This Row],[Customer Gender]]="O","Other", TRUE,"Unknown")</f>
        <v>Male</v>
      </c>
    </row>
    <row r="1933" spans="1:15" x14ac:dyDescent="0.4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_xlfn.IFS(orders[[#This Row],[Customer Gender]]="M","Male", orders[[#This Row],[Customer Gender]]="F","Female", orders[[#This Row],[Customer Gender]]="O","Other", TRUE,"Unknown")</f>
        <v>Female</v>
      </c>
    </row>
    <row r="1934" spans="1:15" x14ac:dyDescent="0.4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_xlfn.IFS(orders[[#This Row],[Customer Gender]]="M","Male", orders[[#This Row],[Customer Gender]]="F","Female", orders[[#This Row],[Customer Gender]]="O","Other", TRUE,"Unknown")</f>
        <v>Female</v>
      </c>
    </row>
    <row r="1935" spans="1:15" x14ac:dyDescent="0.4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_xlfn.IFS(orders[[#This Row],[Customer Gender]]="M","Male", orders[[#This Row],[Customer Gender]]="F","Female", orders[[#This Row],[Customer Gender]]="O","Other", TRUE,"Unknown")</f>
        <v>Male</v>
      </c>
    </row>
    <row r="1936" spans="1:15" x14ac:dyDescent="0.4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_xlfn.IFS(orders[[#This Row],[Customer Gender]]="M","Male", orders[[#This Row],[Customer Gender]]="F","Female", orders[[#This Row],[Customer Gender]]="O","Other", TRUE,"Unknown")</f>
        <v>Female</v>
      </c>
    </row>
    <row r="1937" spans="1:15" x14ac:dyDescent="0.4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_xlfn.IFS(orders[[#This Row],[Customer Gender]]="M","Male", orders[[#This Row],[Customer Gender]]="F","Female", orders[[#This Row],[Customer Gender]]="O","Other", TRUE,"Unknown")</f>
        <v>Male</v>
      </c>
    </row>
    <row r="1938" spans="1:15" x14ac:dyDescent="0.4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_xlfn.IFS(orders[[#This Row],[Customer Gender]]="M","Male", orders[[#This Row],[Customer Gender]]="F","Female", orders[[#This Row],[Customer Gender]]="O","Other", TRUE,"Unknown")</f>
        <v>Female</v>
      </c>
    </row>
    <row r="1939" spans="1:15" x14ac:dyDescent="0.4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_xlfn.IFS(orders[[#This Row],[Customer Gender]]="M","Male", orders[[#This Row],[Customer Gender]]="F","Female", orders[[#This Row],[Customer Gender]]="O","Other", TRUE,"Unknown")</f>
        <v>Female</v>
      </c>
    </row>
    <row r="1940" spans="1:15" x14ac:dyDescent="0.4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_xlfn.IFS(orders[[#This Row],[Customer Gender]]="M","Male", orders[[#This Row],[Customer Gender]]="F","Female", orders[[#This Row],[Customer Gender]]="O","Other", TRUE,"Unknown")</f>
        <v>Male</v>
      </c>
    </row>
    <row r="1941" spans="1:15" x14ac:dyDescent="0.4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_xlfn.IFS(orders[[#This Row],[Customer Gender]]="M","Male", orders[[#This Row],[Customer Gender]]="F","Female", orders[[#This Row],[Customer Gender]]="O","Other", TRUE,"Unknown")</f>
        <v>Male</v>
      </c>
    </row>
    <row r="1942" spans="1:15" x14ac:dyDescent="0.4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_xlfn.IFS(orders[[#This Row],[Customer Gender]]="M","Male", orders[[#This Row],[Customer Gender]]="F","Female", orders[[#This Row],[Customer Gender]]="O","Other", TRUE,"Unknown")</f>
        <v>Male</v>
      </c>
    </row>
    <row r="1943" spans="1:15" x14ac:dyDescent="0.4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_xlfn.IFS(orders[[#This Row],[Customer Gender]]="M","Male", orders[[#This Row],[Customer Gender]]="F","Female", orders[[#This Row],[Customer Gender]]="O","Other", TRUE,"Unknown")</f>
        <v>Female</v>
      </c>
    </row>
    <row r="1944" spans="1:15" x14ac:dyDescent="0.4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_xlfn.IFS(orders[[#This Row],[Customer Gender]]="M","Male", orders[[#This Row],[Customer Gender]]="F","Female", orders[[#This Row],[Customer Gender]]="O","Other", TRUE,"Unknown")</f>
        <v>Male</v>
      </c>
    </row>
    <row r="1945" spans="1:15" x14ac:dyDescent="0.4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_xlfn.IFS(orders[[#This Row],[Customer Gender]]="M","Male", orders[[#This Row],[Customer Gender]]="F","Female", orders[[#This Row],[Customer Gender]]="O","Other", TRUE,"Unknown")</f>
        <v>Male</v>
      </c>
    </row>
    <row r="1946" spans="1:15" x14ac:dyDescent="0.4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_xlfn.IFS(orders[[#This Row],[Customer Gender]]="M","Male", orders[[#This Row],[Customer Gender]]="F","Female", orders[[#This Row],[Customer Gender]]="O","Other", TRUE,"Unknown")</f>
        <v>Male</v>
      </c>
    </row>
    <row r="1947" spans="1:15" x14ac:dyDescent="0.4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_xlfn.IFS(orders[[#This Row],[Customer Gender]]="M","Male", orders[[#This Row],[Customer Gender]]="F","Female", orders[[#This Row],[Customer Gender]]="O","Other", TRUE,"Unknown")</f>
        <v>Male</v>
      </c>
    </row>
    <row r="1948" spans="1:15" x14ac:dyDescent="0.4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_xlfn.IFS(orders[[#This Row],[Customer Gender]]="M","Male", orders[[#This Row],[Customer Gender]]="F","Female", orders[[#This Row],[Customer Gender]]="O","Other", TRUE,"Unknown")</f>
        <v>Unknown</v>
      </c>
    </row>
    <row r="1949" spans="1:15" x14ac:dyDescent="0.4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_xlfn.IFS(orders[[#This Row],[Customer Gender]]="M","Male", orders[[#This Row],[Customer Gender]]="F","Female", orders[[#This Row],[Customer Gender]]="O","Other", TRUE,"Unknown")</f>
        <v>Male</v>
      </c>
    </row>
    <row r="1950" spans="1:15" x14ac:dyDescent="0.4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_xlfn.IFS(orders[[#This Row],[Customer Gender]]="M","Male", orders[[#This Row],[Customer Gender]]="F","Female", orders[[#This Row],[Customer Gender]]="O","Other", TRUE,"Unknown")</f>
        <v>Female</v>
      </c>
    </row>
    <row r="1951" spans="1:15" x14ac:dyDescent="0.4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_xlfn.IFS(orders[[#This Row],[Customer Gender]]="M","Male", orders[[#This Row],[Customer Gender]]="F","Female", orders[[#This Row],[Customer Gender]]="O","Other", TRUE,"Unknown")</f>
        <v>Female</v>
      </c>
    </row>
    <row r="1952" spans="1:15" x14ac:dyDescent="0.4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_xlfn.IFS(orders[[#This Row],[Customer Gender]]="M","Male", orders[[#This Row],[Customer Gender]]="F","Female", orders[[#This Row],[Customer Gender]]="O","Other", TRUE,"Unknown")</f>
        <v>Male</v>
      </c>
    </row>
    <row r="1953" spans="1:15" x14ac:dyDescent="0.4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_xlfn.IFS(orders[[#This Row],[Customer Gender]]="M","Male", orders[[#This Row],[Customer Gender]]="F","Female", orders[[#This Row],[Customer Gender]]="O","Other", TRUE,"Unknown")</f>
        <v>Female</v>
      </c>
    </row>
    <row r="1954" spans="1:15" x14ac:dyDescent="0.4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_xlfn.IFS(orders[[#This Row],[Customer Gender]]="M","Male", orders[[#This Row],[Customer Gender]]="F","Female", orders[[#This Row],[Customer Gender]]="O","Other", TRUE,"Unknown")</f>
        <v>Male</v>
      </c>
    </row>
    <row r="1955" spans="1:15" x14ac:dyDescent="0.4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_xlfn.IFS(orders[[#This Row],[Customer Gender]]="M","Male", orders[[#This Row],[Customer Gender]]="F","Female", orders[[#This Row],[Customer Gender]]="O","Other", TRUE,"Unknown")</f>
        <v>Male</v>
      </c>
    </row>
    <row r="1956" spans="1:15" x14ac:dyDescent="0.4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_xlfn.IFS(orders[[#This Row],[Customer Gender]]="M","Male", orders[[#This Row],[Customer Gender]]="F","Female", orders[[#This Row],[Customer Gender]]="O","Other", TRUE,"Unknown")</f>
        <v>Female</v>
      </c>
    </row>
    <row r="1957" spans="1:15" x14ac:dyDescent="0.4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_xlfn.IFS(orders[[#This Row],[Customer Gender]]="M","Male", orders[[#This Row],[Customer Gender]]="F","Female", orders[[#This Row],[Customer Gender]]="O","Other", TRUE,"Unknown")</f>
        <v>Female</v>
      </c>
    </row>
    <row r="1958" spans="1:15" x14ac:dyDescent="0.4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_xlfn.IFS(orders[[#This Row],[Customer Gender]]="M","Male", orders[[#This Row],[Customer Gender]]="F","Female", orders[[#This Row],[Customer Gender]]="O","Other", TRUE,"Unknown")</f>
        <v>Female</v>
      </c>
    </row>
    <row r="1959" spans="1:15" x14ac:dyDescent="0.4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_xlfn.IFS(orders[[#This Row],[Customer Gender]]="M","Male", orders[[#This Row],[Customer Gender]]="F","Female", orders[[#This Row],[Customer Gender]]="O","Other", TRUE,"Unknown")</f>
        <v>Male</v>
      </c>
    </row>
    <row r="1960" spans="1:15" x14ac:dyDescent="0.4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_xlfn.IFS(orders[[#This Row],[Customer Gender]]="M","Male", orders[[#This Row],[Customer Gender]]="F","Female", orders[[#This Row],[Customer Gender]]="O","Other", TRUE,"Unknown")</f>
        <v>Female</v>
      </c>
    </row>
    <row r="1961" spans="1:15" x14ac:dyDescent="0.4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_xlfn.IFS(orders[[#This Row],[Customer Gender]]="M","Male", orders[[#This Row],[Customer Gender]]="F","Female", orders[[#This Row],[Customer Gender]]="O","Other", TRUE,"Unknown")</f>
        <v>Male</v>
      </c>
    </row>
    <row r="1962" spans="1:15" x14ac:dyDescent="0.4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_xlfn.IFS(orders[[#This Row],[Customer Gender]]="M","Male", orders[[#This Row],[Customer Gender]]="F","Female", orders[[#This Row],[Customer Gender]]="O","Other", TRUE,"Unknown")</f>
        <v>Male</v>
      </c>
    </row>
    <row r="1963" spans="1:15" x14ac:dyDescent="0.4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_xlfn.IFS(orders[[#This Row],[Customer Gender]]="M","Male", orders[[#This Row],[Customer Gender]]="F","Female", orders[[#This Row],[Customer Gender]]="O","Other", TRUE,"Unknown")</f>
        <v>Male</v>
      </c>
    </row>
    <row r="1964" spans="1:15" x14ac:dyDescent="0.4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_xlfn.IFS(orders[[#This Row],[Customer Gender]]="M","Male", orders[[#This Row],[Customer Gender]]="F","Female", orders[[#This Row],[Customer Gender]]="O","Other", TRUE,"Unknown")</f>
        <v>Female</v>
      </c>
    </row>
    <row r="1965" spans="1:15" x14ac:dyDescent="0.4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_xlfn.IFS(orders[[#This Row],[Customer Gender]]="M","Male", orders[[#This Row],[Customer Gender]]="F","Female", orders[[#This Row],[Customer Gender]]="O","Other", TRUE,"Unknown")</f>
        <v>Male</v>
      </c>
    </row>
    <row r="1966" spans="1:15" x14ac:dyDescent="0.4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_xlfn.IFS(orders[[#This Row],[Customer Gender]]="M","Male", orders[[#This Row],[Customer Gender]]="F","Female", orders[[#This Row],[Customer Gender]]="O","Other", TRUE,"Unknown")</f>
        <v>Female</v>
      </c>
    </row>
    <row r="1967" spans="1:15" x14ac:dyDescent="0.4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_xlfn.IFS(orders[[#This Row],[Customer Gender]]="M","Male", orders[[#This Row],[Customer Gender]]="F","Female", orders[[#This Row],[Customer Gender]]="O","Other", TRUE,"Unknown")</f>
        <v>Male</v>
      </c>
    </row>
    <row r="1968" spans="1:15" x14ac:dyDescent="0.4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_xlfn.IFS(orders[[#This Row],[Customer Gender]]="M","Male", orders[[#This Row],[Customer Gender]]="F","Female", orders[[#This Row],[Customer Gender]]="O","Other", TRUE,"Unknown")</f>
        <v>Male</v>
      </c>
    </row>
    <row r="1969" spans="1:15" x14ac:dyDescent="0.4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_xlfn.IFS(orders[[#This Row],[Customer Gender]]="M","Male", orders[[#This Row],[Customer Gender]]="F","Female", orders[[#This Row],[Customer Gender]]="O","Other", TRUE,"Unknown")</f>
        <v>Female</v>
      </c>
    </row>
    <row r="1970" spans="1:15" x14ac:dyDescent="0.4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_xlfn.IFS(orders[[#This Row],[Customer Gender]]="M","Male", orders[[#This Row],[Customer Gender]]="F","Female", orders[[#This Row],[Customer Gender]]="O","Other", TRUE,"Unknown")</f>
        <v>Other</v>
      </c>
    </row>
    <row r="1971" spans="1:15" x14ac:dyDescent="0.4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_xlfn.IFS(orders[[#This Row],[Customer Gender]]="M","Male", orders[[#This Row],[Customer Gender]]="F","Female", orders[[#This Row],[Customer Gender]]="O","Other", TRUE,"Unknown")</f>
        <v>Unknown</v>
      </c>
    </row>
    <row r="1972" spans="1:15" x14ac:dyDescent="0.4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_xlfn.IFS(orders[[#This Row],[Customer Gender]]="M","Male", orders[[#This Row],[Customer Gender]]="F","Female", orders[[#This Row],[Customer Gender]]="O","Other", TRUE,"Unknown")</f>
        <v>Female</v>
      </c>
    </row>
    <row r="1973" spans="1:15" x14ac:dyDescent="0.4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_xlfn.IFS(orders[[#This Row],[Customer Gender]]="M","Male", orders[[#This Row],[Customer Gender]]="F","Female", orders[[#This Row],[Customer Gender]]="O","Other", TRUE,"Unknown")</f>
        <v>Male</v>
      </c>
    </row>
    <row r="1974" spans="1:15" x14ac:dyDescent="0.4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_xlfn.IFS(orders[[#This Row],[Customer Gender]]="M","Male", orders[[#This Row],[Customer Gender]]="F","Female", orders[[#This Row],[Customer Gender]]="O","Other", TRUE,"Unknown")</f>
        <v>Male</v>
      </c>
    </row>
    <row r="1975" spans="1:15" x14ac:dyDescent="0.4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_xlfn.IFS(orders[[#This Row],[Customer Gender]]="M","Male", orders[[#This Row],[Customer Gender]]="F","Female", orders[[#This Row],[Customer Gender]]="O","Other", TRUE,"Unknown")</f>
        <v>Female</v>
      </c>
    </row>
    <row r="1976" spans="1:15" x14ac:dyDescent="0.4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_xlfn.IFS(orders[[#This Row],[Customer Gender]]="M","Male", orders[[#This Row],[Customer Gender]]="F","Female", orders[[#This Row],[Customer Gender]]="O","Other", TRUE,"Unknown")</f>
        <v>Female</v>
      </c>
    </row>
    <row r="1977" spans="1:15" x14ac:dyDescent="0.4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_xlfn.IFS(orders[[#This Row],[Customer Gender]]="M","Male", orders[[#This Row],[Customer Gender]]="F","Female", orders[[#This Row],[Customer Gender]]="O","Other", TRUE,"Unknown")</f>
        <v>Male</v>
      </c>
    </row>
    <row r="1978" spans="1:15" x14ac:dyDescent="0.4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_xlfn.IFS(orders[[#This Row],[Customer Gender]]="M","Male", orders[[#This Row],[Customer Gender]]="F","Female", orders[[#This Row],[Customer Gender]]="O","Other", TRUE,"Unknown")</f>
        <v>Male</v>
      </c>
    </row>
    <row r="1979" spans="1:15" x14ac:dyDescent="0.4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_xlfn.IFS(orders[[#This Row],[Customer Gender]]="M","Male", orders[[#This Row],[Customer Gender]]="F","Female", orders[[#This Row],[Customer Gender]]="O","Other", TRUE,"Unknown")</f>
        <v>Other</v>
      </c>
    </row>
    <row r="1980" spans="1:15" x14ac:dyDescent="0.4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_xlfn.IFS(orders[[#This Row],[Customer Gender]]="M","Male", orders[[#This Row],[Customer Gender]]="F","Female", orders[[#This Row],[Customer Gender]]="O","Other", TRUE,"Unknown")</f>
        <v>Male</v>
      </c>
    </row>
    <row r="1981" spans="1:15" x14ac:dyDescent="0.4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_xlfn.IFS(orders[[#This Row],[Customer Gender]]="M","Male", orders[[#This Row],[Customer Gender]]="F","Female", orders[[#This Row],[Customer Gender]]="O","Other", TRUE,"Unknown")</f>
        <v>Male</v>
      </c>
    </row>
    <row r="1982" spans="1:15" x14ac:dyDescent="0.4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_xlfn.IFS(orders[[#This Row],[Customer Gender]]="M","Male", orders[[#This Row],[Customer Gender]]="F","Female", orders[[#This Row],[Customer Gender]]="O","Other", TRUE,"Unknown")</f>
        <v>Female</v>
      </c>
    </row>
    <row r="1983" spans="1:15" x14ac:dyDescent="0.4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_xlfn.IFS(orders[[#This Row],[Customer Gender]]="M","Male", orders[[#This Row],[Customer Gender]]="F","Female", orders[[#This Row],[Customer Gender]]="O","Other", TRUE,"Unknown")</f>
        <v>Female</v>
      </c>
    </row>
    <row r="1984" spans="1:15" x14ac:dyDescent="0.4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_xlfn.IFS(orders[[#This Row],[Customer Gender]]="M","Male", orders[[#This Row],[Customer Gender]]="F","Female", orders[[#This Row],[Customer Gender]]="O","Other", TRUE,"Unknown")</f>
        <v>Male</v>
      </c>
    </row>
    <row r="1985" spans="1:15" x14ac:dyDescent="0.4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_xlfn.IFS(orders[[#This Row],[Customer Gender]]="M","Male", orders[[#This Row],[Customer Gender]]="F","Female", orders[[#This Row],[Customer Gender]]="O","Other", TRUE,"Unknown")</f>
        <v>Female</v>
      </c>
    </row>
    <row r="1986" spans="1:15" x14ac:dyDescent="0.4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_xlfn.IFS(orders[[#This Row],[Customer Gender]]="M","Male", orders[[#This Row],[Customer Gender]]="F","Female", orders[[#This Row],[Customer Gender]]="O","Other", TRUE,"Unknown")</f>
        <v>Female</v>
      </c>
    </row>
    <row r="1987" spans="1:15" x14ac:dyDescent="0.4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_xlfn.IFS(orders[[#This Row],[Customer Gender]]="M","Male", orders[[#This Row],[Customer Gender]]="F","Female", orders[[#This Row],[Customer Gender]]="O","Other", TRUE,"Unknown")</f>
        <v>Female</v>
      </c>
    </row>
    <row r="1988" spans="1:15" x14ac:dyDescent="0.4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_xlfn.IFS(orders[[#This Row],[Customer Gender]]="M","Male", orders[[#This Row],[Customer Gender]]="F","Female", orders[[#This Row],[Customer Gender]]="O","Other", TRUE,"Unknown")</f>
        <v>Male</v>
      </c>
    </row>
    <row r="1989" spans="1:15" x14ac:dyDescent="0.4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_xlfn.IFS(orders[[#This Row],[Customer Gender]]="M","Male", orders[[#This Row],[Customer Gender]]="F","Female", orders[[#This Row],[Customer Gender]]="O","Other", TRUE,"Unknown")</f>
        <v>Unknown</v>
      </c>
    </row>
    <row r="1990" spans="1:15" x14ac:dyDescent="0.4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_xlfn.IFS(orders[[#This Row],[Customer Gender]]="M","Male", orders[[#This Row],[Customer Gender]]="F","Female", orders[[#This Row],[Customer Gender]]="O","Other", TRUE,"Unknown")</f>
        <v>Female</v>
      </c>
    </row>
    <row r="1991" spans="1:15" x14ac:dyDescent="0.4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_xlfn.IFS(orders[[#This Row],[Customer Gender]]="M","Male", orders[[#This Row],[Customer Gender]]="F","Female", orders[[#This Row],[Customer Gender]]="O","Other", TRUE,"Unknown")</f>
        <v>Unknown</v>
      </c>
    </row>
    <row r="1992" spans="1:15" x14ac:dyDescent="0.4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_xlfn.IFS(orders[[#This Row],[Customer Gender]]="M","Male", orders[[#This Row],[Customer Gender]]="F","Female", orders[[#This Row],[Customer Gender]]="O","Other", TRUE,"Unknown")</f>
        <v>Unknown</v>
      </c>
    </row>
    <row r="1993" spans="1:15" x14ac:dyDescent="0.4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_xlfn.IFS(orders[[#This Row],[Customer Gender]]="M","Male", orders[[#This Row],[Customer Gender]]="F","Female", orders[[#This Row],[Customer Gender]]="O","Other", TRUE,"Unknown")</f>
        <v>Female</v>
      </c>
    </row>
    <row r="1994" spans="1:15" x14ac:dyDescent="0.4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_xlfn.IFS(orders[[#This Row],[Customer Gender]]="M","Male", orders[[#This Row],[Customer Gender]]="F","Female", orders[[#This Row],[Customer Gender]]="O","Other", TRUE,"Unknown")</f>
        <v>Female</v>
      </c>
    </row>
    <row r="1995" spans="1:15" x14ac:dyDescent="0.4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_xlfn.IFS(orders[[#This Row],[Customer Gender]]="M","Male", orders[[#This Row],[Customer Gender]]="F","Female", orders[[#This Row],[Customer Gender]]="O","Other", TRUE,"Unknown")</f>
        <v>Male</v>
      </c>
    </row>
    <row r="1996" spans="1:15" x14ac:dyDescent="0.4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_xlfn.IFS(orders[[#This Row],[Customer Gender]]="M","Male", orders[[#This Row],[Customer Gender]]="F","Female", orders[[#This Row],[Customer Gender]]="O","Other", TRUE,"Unknown")</f>
        <v>Male</v>
      </c>
    </row>
    <row r="1997" spans="1:15" x14ac:dyDescent="0.4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_xlfn.IFS(orders[[#This Row],[Customer Gender]]="M","Male", orders[[#This Row],[Customer Gender]]="F","Female", orders[[#This Row],[Customer Gender]]="O","Other", TRUE,"Unknown")</f>
        <v>Female</v>
      </c>
    </row>
    <row r="1998" spans="1:15" x14ac:dyDescent="0.4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_xlfn.IFS(orders[[#This Row],[Customer Gender]]="M","Male", orders[[#This Row],[Customer Gender]]="F","Female", orders[[#This Row],[Customer Gender]]="O","Other", TRUE,"Unknown")</f>
        <v>Female</v>
      </c>
    </row>
    <row r="1999" spans="1:15" x14ac:dyDescent="0.4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_xlfn.IFS(orders[[#This Row],[Customer Gender]]="M","Male", orders[[#This Row],[Customer Gender]]="F","Female", orders[[#This Row],[Customer Gender]]="O","Other", TRUE,"Unknown")</f>
        <v>Male</v>
      </c>
    </row>
    <row r="2000" spans="1:15" x14ac:dyDescent="0.4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_xlfn.IFS(orders[[#This Row],[Customer Gender]]="M","Male", orders[[#This Row],[Customer Gender]]="F","Female", orders[[#This Row],[Customer Gender]]="O","Other", TRUE,"Unknown")</f>
        <v>Male</v>
      </c>
    </row>
    <row r="2001" spans="1:15" x14ac:dyDescent="0.4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_xlfn.IFS(orders[[#This Row],[Customer Gender]]="M","Male", orders[[#This Row],[Customer Gender]]="F","Female", orders[[#This Row],[Customer Gender]]="O","Other", TRUE,"Unknown")</f>
        <v>Male</v>
      </c>
    </row>
    <row r="2002" spans="1:15" x14ac:dyDescent="0.4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_xlfn.IFS(orders[[#This Row],[Customer Gender]]="M","Male", orders[[#This Row],[Customer Gender]]="F","Female", orders[[#This Row],[Customer Gender]]="O","Other", TRUE,"Unknown")</f>
        <v>Female</v>
      </c>
    </row>
    <row r="2003" spans="1:15" x14ac:dyDescent="0.4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_xlfn.IFS(orders[[#This Row],[Customer Gender]]="M","Male", orders[[#This Row],[Customer Gender]]="F","Female", orders[[#This Row],[Customer Gender]]="O","Other", TRUE,"Unknown")</f>
        <v>Male</v>
      </c>
    </row>
    <row r="2004" spans="1:15" x14ac:dyDescent="0.4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_xlfn.IFS(orders[[#This Row],[Customer Gender]]="M","Male", orders[[#This Row],[Customer Gender]]="F","Female", orders[[#This Row],[Customer Gender]]="O","Other", TRUE,"Unknown")</f>
        <v>Other</v>
      </c>
    </row>
    <row r="2005" spans="1:15" x14ac:dyDescent="0.4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_xlfn.IFS(orders[[#This Row],[Customer Gender]]="M","Male", orders[[#This Row],[Customer Gender]]="F","Female", orders[[#This Row],[Customer Gender]]="O","Other", TRUE,"Unknown")</f>
        <v>Unknown</v>
      </c>
    </row>
    <row r="2006" spans="1:15" x14ac:dyDescent="0.4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_xlfn.IFS(orders[[#This Row],[Customer Gender]]="M","Male", orders[[#This Row],[Customer Gender]]="F","Female", orders[[#This Row],[Customer Gender]]="O","Other", TRUE,"Unknown")</f>
        <v>Female</v>
      </c>
    </row>
    <row r="2007" spans="1:15" x14ac:dyDescent="0.4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_xlfn.IFS(orders[[#This Row],[Customer Gender]]="M","Male", orders[[#This Row],[Customer Gender]]="F","Female", orders[[#This Row],[Customer Gender]]="O","Other", TRUE,"Unknown")</f>
        <v>Unknown</v>
      </c>
    </row>
    <row r="2008" spans="1:15" x14ac:dyDescent="0.4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_xlfn.IFS(orders[[#This Row],[Customer Gender]]="M","Male", orders[[#This Row],[Customer Gender]]="F","Female", orders[[#This Row],[Customer Gender]]="O","Other", TRUE,"Unknown")</f>
        <v>Male</v>
      </c>
    </row>
    <row r="2009" spans="1:15" x14ac:dyDescent="0.4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_xlfn.IFS(orders[[#This Row],[Customer Gender]]="M","Male", orders[[#This Row],[Customer Gender]]="F","Female", orders[[#This Row],[Customer Gender]]="O","Other", TRUE,"Unknown")</f>
        <v>Male</v>
      </c>
    </row>
    <row r="2010" spans="1:15" x14ac:dyDescent="0.4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_xlfn.IFS(orders[[#This Row],[Customer Gender]]="M","Male", orders[[#This Row],[Customer Gender]]="F","Female", orders[[#This Row],[Customer Gender]]="O","Other", TRUE,"Unknown")</f>
        <v>Female</v>
      </c>
    </row>
    <row r="2011" spans="1:15" x14ac:dyDescent="0.4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_xlfn.IFS(orders[[#This Row],[Customer Gender]]="M","Male", orders[[#This Row],[Customer Gender]]="F","Female", orders[[#This Row],[Customer Gender]]="O","Other", TRUE,"Unknown")</f>
        <v>Female</v>
      </c>
    </row>
    <row r="2012" spans="1:15" x14ac:dyDescent="0.4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_xlfn.IFS(orders[[#This Row],[Customer Gender]]="M","Male", orders[[#This Row],[Customer Gender]]="F","Female", orders[[#This Row],[Customer Gender]]="O","Other", TRUE,"Unknown")</f>
        <v>Female</v>
      </c>
    </row>
    <row r="2013" spans="1:15" x14ac:dyDescent="0.4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_xlfn.IFS(orders[[#This Row],[Customer Gender]]="M","Male", orders[[#This Row],[Customer Gender]]="F","Female", orders[[#This Row],[Customer Gender]]="O","Other", TRUE,"Unknown")</f>
        <v>Female</v>
      </c>
    </row>
    <row r="2014" spans="1:15" x14ac:dyDescent="0.4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_xlfn.IFS(orders[[#This Row],[Customer Gender]]="M","Male", orders[[#This Row],[Customer Gender]]="F","Female", orders[[#This Row],[Customer Gender]]="O","Other", TRUE,"Unknown")</f>
        <v>Male</v>
      </c>
    </row>
    <row r="2015" spans="1:15" x14ac:dyDescent="0.4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_xlfn.IFS(orders[[#This Row],[Customer Gender]]="M","Male", orders[[#This Row],[Customer Gender]]="F","Female", orders[[#This Row],[Customer Gender]]="O","Other", TRUE,"Unknown")</f>
        <v>Unknown</v>
      </c>
    </row>
    <row r="2016" spans="1:15" x14ac:dyDescent="0.4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_xlfn.IFS(orders[[#This Row],[Customer Gender]]="M","Male", orders[[#This Row],[Customer Gender]]="F","Female", orders[[#This Row],[Customer Gender]]="O","Other", TRUE,"Unknown")</f>
        <v>Male</v>
      </c>
    </row>
    <row r="2017" spans="1:15" x14ac:dyDescent="0.4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_xlfn.IFS(orders[[#This Row],[Customer Gender]]="M","Male", orders[[#This Row],[Customer Gender]]="F","Female", orders[[#This Row],[Customer Gender]]="O","Other", TRUE,"Unknown")</f>
        <v>Unknown</v>
      </c>
    </row>
    <row r="2018" spans="1:15" x14ac:dyDescent="0.4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_xlfn.IFS(orders[[#This Row],[Customer Gender]]="M","Male", orders[[#This Row],[Customer Gender]]="F","Female", orders[[#This Row],[Customer Gender]]="O","Other", TRUE,"Unknown")</f>
        <v>Female</v>
      </c>
    </row>
    <row r="2019" spans="1:15" x14ac:dyDescent="0.4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_xlfn.IFS(orders[[#This Row],[Customer Gender]]="M","Male", orders[[#This Row],[Customer Gender]]="F","Female", orders[[#This Row],[Customer Gender]]="O","Other", TRUE,"Unknown")</f>
        <v>Male</v>
      </c>
    </row>
    <row r="2020" spans="1:15" x14ac:dyDescent="0.4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_xlfn.IFS(orders[[#This Row],[Customer Gender]]="M","Male", orders[[#This Row],[Customer Gender]]="F","Female", orders[[#This Row],[Customer Gender]]="O","Other", TRUE,"Unknown")</f>
        <v>Female</v>
      </c>
    </row>
    <row r="2021" spans="1:15" x14ac:dyDescent="0.4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_xlfn.IFS(orders[[#This Row],[Customer Gender]]="M","Male", orders[[#This Row],[Customer Gender]]="F","Female", orders[[#This Row],[Customer Gender]]="O","Other", TRUE,"Unknown")</f>
        <v>Unknown</v>
      </c>
    </row>
    <row r="2022" spans="1:15" x14ac:dyDescent="0.4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_xlfn.IFS(orders[[#This Row],[Customer Gender]]="M","Male", orders[[#This Row],[Customer Gender]]="F","Female", orders[[#This Row],[Customer Gender]]="O","Other", TRUE,"Unknown")</f>
        <v>Female</v>
      </c>
    </row>
    <row r="2023" spans="1:15" x14ac:dyDescent="0.4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_xlfn.IFS(orders[[#This Row],[Customer Gender]]="M","Male", orders[[#This Row],[Customer Gender]]="F","Female", orders[[#This Row],[Customer Gender]]="O","Other", TRUE,"Unknown")</f>
        <v>Male</v>
      </c>
    </row>
    <row r="2024" spans="1:15" x14ac:dyDescent="0.4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_xlfn.IFS(orders[[#This Row],[Customer Gender]]="M","Male", orders[[#This Row],[Customer Gender]]="F","Female", orders[[#This Row],[Customer Gender]]="O","Other", TRUE,"Unknown")</f>
        <v>Other</v>
      </c>
    </row>
    <row r="2025" spans="1:15" x14ac:dyDescent="0.4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_xlfn.IFS(orders[[#This Row],[Customer Gender]]="M","Male", orders[[#This Row],[Customer Gender]]="F","Female", orders[[#This Row],[Customer Gender]]="O","Other", TRUE,"Unknown")</f>
        <v>Female</v>
      </c>
    </row>
    <row r="2026" spans="1:15" x14ac:dyDescent="0.4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_xlfn.IFS(orders[[#This Row],[Customer Gender]]="M","Male", orders[[#This Row],[Customer Gender]]="F","Female", orders[[#This Row],[Customer Gender]]="O","Other", TRUE,"Unknown")</f>
        <v>Male</v>
      </c>
    </row>
    <row r="2027" spans="1:15" x14ac:dyDescent="0.4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_xlfn.IFS(orders[[#This Row],[Customer Gender]]="M","Male", orders[[#This Row],[Customer Gender]]="F","Female", orders[[#This Row],[Customer Gender]]="O","Other", TRUE,"Unknown")</f>
        <v>Male</v>
      </c>
    </row>
    <row r="2028" spans="1:15" x14ac:dyDescent="0.4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_xlfn.IFS(orders[[#This Row],[Customer Gender]]="M","Male", orders[[#This Row],[Customer Gender]]="F","Female", orders[[#This Row],[Customer Gender]]="O","Other", TRUE,"Unknown")</f>
        <v>Female</v>
      </c>
    </row>
    <row r="2029" spans="1:15" x14ac:dyDescent="0.4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_xlfn.IFS(orders[[#This Row],[Customer Gender]]="M","Male", orders[[#This Row],[Customer Gender]]="F","Female", orders[[#This Row],[Customer Gender]]="O","Other", TRUE,"Unknown")</f>
        <v>Female</v>
      </c>
    </row>
    <row r="2030" spans="1:15" x14ac:dyDescent="0.4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_xlfn.IFS(orders[[#This Row],[Customer Gender]]="M","Male", orders[[#This Row],[Customer Gender]]="F","Female", orders[[#This Row],[Customer Gender]]="O","Other", TRUE,"Unknown")</f>
        <v>Male</v>
      </c>
    </row>
    <row r="2031" spans="1:15" x14ac:dyDescent="0.4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_xlfn.IFS(orders[[#This Row],[Customer Gender]]="M","Male", orders[[#This Row],[Customer Gender]]="F","Female", orders[[#This Row],[Customer Gender]]="O","Other", TRUE,"Unknown")</f>
        <v>Female</v>
      </c>
    </row>
    <row r="2032" spans="1:15" x14ac:dyDescent="0.4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_xlfn.IFS(orders[[#This Row],[Customer Gender]]="M","Male", orders[[#This Row],[Customer Gender]]="F","Female", orders[[#This Row],[Customer Gender]]="O","Other", TRUE,"Unknown")</f>
        <v>Female</v>
      </c>
    </row>
    <row r="2033" spans="1:15" x14ac:dyDescent="0.4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_xlfn.IFS(orders[[#This Row],[Customer Gender]]="M","Male", orders[[#This Row],[Customer Gender]]="F","Female", orders[[#This Row],[Customer Gender]]="O","Other", TRUE,"Unknown")</f>
        <v>Male</v>
      </c>
    </row>
    <row r="2034" spans="1:15" x14ac:dyDescent="0.4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_xlfn.IFS(orders[[#This Row],[Customer Gender]]="M","Male", orders[[#This Row],[Customer Gender]]="F","Female", orders[[#This Row],[Customer Gender]]="O","Other", TRUE,"Unknown")</f>
        <v>Male</v>
      </c>
    </row>
    <row r="2035" spans="1:15" x14ac:dyDescent="0.4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_xlfn.IFS(orders[[#This Row],[Customer Gender]]="M","Male", orders[[#This Row],[Customer Gender]]="F","Female", orders[[#This Row],[Customer Gender]]="O","Other", TRUE,"Unknown")</f>
        <v>Female</v>
      </c>
    </row>
    <row r="2036" spans="1:15" x14ac:dyDescent="0.4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_xlfn.IFS(orders[[#This Row],[Customer Gender]]="M","Male", orders[[#This Row],[Customer Gender]]="F","Female", orders[[#This Row],[Customer Gender]]="O","Other", TRUE,"Unknown")</f>
        <v>Female</v>
      </c>
    </row>
    <row r="2037" spans="1:15" x14ac:dyDescent="0.4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_xlfn.IFS(orders[[#This Row],[Customer Gender]]="M","Male", orders[[#This Row],[Customer Gender]]="F","Female", orders[[#This Row],[Customer Gender]]="O","Other", TRUE,"Unknown")</f>
        <v>Female</v>
      </c>
    </row>
    <row r="2038" spans="1:15" x14ac:dyDescent="0.4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_xlfn.IFS(orders[[#This Row],[Customer Gender]]="M","Male", orders[[#This Row],[Customer Gender]]="F","Female", orders[[#This Row],[Customer Gender]]="O","Other", TRUE,"Unknown")</f>
        <v>Male</v>
      </c>
    </row>
    <row r="2039" spans="1:15" x14ac:dyDescent="0.4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_xlfn.IFS(orders[[#This Row],[Customer Gender]]="M","Male", orders[[#This Row],[Customer Gender]]="F","Female", orders[[#This Row],[Customer Gender]]="O","Other", TRUE,"Unknown")</f>
        <v>Male</v>
      </c>
    </row>
    <row r="2040" spans="1:15" x14ac:dyDescent="0.4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_xlfn.IFS(orders[[#This Row],[Customer Gender]]="M","Male", orders[[#This Row],[Customer Gender]]="F","Female", orders[[#This Row],[Customer Gender]]="O","Other", TRUE,"Unknown")</f>
        <v>Male</v>
      </c>
    </row>
    <row r="2041" spans="1:15" x14ac:dyDescent="0.4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_xlfn.IFS(orders[[#This Row],[Customer Gender]]="M","Male", orders[[#This Row],[Customer Gender]]="F","Female", orders[[#This Row],[Customer Gender]]="O","Other", TRUE,"Unknown")</f>
        <v>Male</v>
      </c>
    </row>
    <row r="2042" spans="1:15" x14ac:dyDescent="0.4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_xlfn.IFS(orders[[#This Row],[Customer Gender]]="M","Male", orders[[#This Row],[Customer Gender]]="F","Female", orders[[#This Row],[Customer Gender]]="O","Other", TRUE,"Unknown")</f>
        <v>Male</v>
      </c>
    </row>
    <row r="2043" spans="1:15" x14ac:dyDescent="0.4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_xlfn.IFS(orders[[#This Row],[Customer Gender]]="M","Male", orders[[#This Row],[Customer Gender]]="F","Female", orders[[#This Row],[Customer Gender]]="O","Other", TRUE,"Unknown")</f>
        <v>Male</v>
      </c>
    </row>
    <row r="2044" spans="1:15" x14ac:dyDescent="0.4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_xlfn.IFS(orders[[#This Row],[Customer Gender]]="M","Male", orders[[#This Row],[Customer Gender]]="F","Female", orders[[#This Row],[Customer Gender]]="O","Other", TRUE,"Unknown")</f>
        <v>Female</v>
      </c>
    </row>
    <row r="2045" spans="1:15" x14ac:dyDescent="0.4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_xlfn.IFS(orders[[#This Row],[Customer Gender]]="M","Male", orders[[#This Row],[Customer Gender]]="F","Female", orders[[#This Row],[Customer Gender]]="O","Other", TRUE,"Unknown")</f>
        <v>Female</v>
      </c>
    </row>
    <row r="2046" spans="1:15" x14ac:dyDescent="0.4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_xlfn.IFS(orders[[#This Row],[Customer Gender]]="M","Male", orders[[#This Row],[Customer Gender]]="F","Female", orders[[#This Row],[Customer Gender]]="O","Other", TRUE,"Unknown")</f>
        <v>Male</v>
      </c>
    </row>
    <row r="2047" spans="1:15" x14ac:dyDescent="0.4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_xlfn.IFS(orders[[#This Row],[Customer Gender]]="M","Male", orders[[#This Row],[Customer Gender]]="F","Female", orders[[#This Row],[Customer Gender]]="O","Other", TRUE,"Unknown")</f>
        <v>Female</v>
      </c>
    </row>
    <row r="2048" spans="1:15" x14ac:dyDescent="0.4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_xlfn.IFS(orders[[#This Row],[Customer Gender]]="M","Male", orders[[#This Row],[Customer Gender]]="F","Female", orders[[#This Row],[Customer Gender]]="O","Other", TRUE,"Unknown")</f>
        <v>Female</v>
      </c>
    </row>
    <row r="2049" spans="1:15" x14ac:dyDescent="0.4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_xlfn.IFS(orders[[#This Row],[Customer Gender]]="M","Male", orders[[#This Row],[Customer Gender]]="F","Female", orders[[#This Row],[Customer Gender]]="O","Other", TRUE,"Unknown")</f>
        <v>Male</v>
      </c>
    </row>
    <row r="2050" spans="1:15" x14ac:dyDescent="0.4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_xlfn.IFS(orders[[#This Row],[Customer Gender]]="M","Male", orders[[#This Row],[Customer Gender]]="F","Female", orders[[#This Row],[Customer Gender]]="O","Other", TRUE,"Unknown")</f>
        <v>Female</v>
      </c>
    </row>
    <row r="2051" spans="1:15" x14ac:dyDescent="0.4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_xlfn.IFS(orders[[#This Row],[Customer Gender]]="M","Male", orders[[#This Row],[Customer Gender]]="F","Female", orders[[#This Row],[Customer Gender]]="O","Other", TRUE,"Unknown")</f>
        <v>Female</v>
      </c>
    </row>
    <row r="2052" spans="1:15" x14ac:dyDescent="0.4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_xlfn.IFS(orders[[#This Row],[Customer Gender]]="M","Male", orders[[#This Row],[Customer Gender]]="F","Female", orders[[#This Row],[Customer Gender]]="O","Other", TRUE,"Unknown")</f>
        <v>Female</v>
      </c>
    </row>
    <row r="2053" spans="1:15" x14ac:dyDescent="0.4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_xlfn.IFS(orders[[#This Row],[Customer Gender]]="M","Male", orders[[#This Row],[Customer Gender]]="F","Female", orders[[#This Row],[Customer Gender]]="O","Other", TRUE,"Unknown")</f>
        <v>Male</v>
      </c>
    </row>
    <row r="2054" spans="1:15" x14ac:dyDescent="0.4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_xlfn.IFS(orders[[#This Row],[Customer Gender]]="M","Male", orders[[#This Row],[Customer Gender]]="F","Female", orders[[#This Row],[Customer Gender]]="O","Other", TRUE,"Unknown")</f>
        <v>Male</v>
      </c>
    </row>
    <row r="2055" spans="1:15" x14ac:dyDescent="0.4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_xlfn.IFS(orders[[#This Row],[Customer Gender]]="M","Male", orders[[#This Row],[Customer Gender]]="F","Female", orders[[#This Row],[Customer Gender]]="O","Other", TRUE,"Unknown")</f>
        <v>Female</v>
      </c>
    </row>
    <row r="2056" spans="1:15" x14ac:dyDescent="0.4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_xlfn.IFS(orders[[#This Row],[Customer Gender]]="M","Male", orders[[#This Row],[Customer Gender]]="F","Female", orders[[#This Row],[Customer Gender]]="O","Other", TRUE,"Unknown")</f>
        <v>Female</v>
      </c>
    </row>
    <row r="2057" spans="1:15" x14ac:dyDescent="0.4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_xlfn.IFS(orders[[#This Row],[Customer Gender]]="M","Male", orders[[#This Row],[Customer Gender]]="F","Female", orders[[#This Row],[Customer Gender]]="O","Other", TRUE,"Unknown")</f>
        <v>Male</v>
      </c>
    </row>
    <row r="2058" spans="1:15" x14ac:dyDescent="0.4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_xlfn.IFS(orders[[#This Row],[Customer Gender]]="M","Male", orders[[#This Row],[Customer Gender]]="F","Female", orders[[#This Row],[Customer Gender]]="O","Other", TRUE,"Unknown")</f>
        <v>Female</v>
      </c>
    </row>
    <row r="2059" spans="1:15" x14ac:dyDescent="0.4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_xlfn.IFS(orders[[#This Row],[Customer Gender]]="M","Male", orders[[#This Row],[Customer Gender]]="F","Female", orders[[#This Row],[Customer Gender]]="O","Other", TRUE,"Unknown")</f>
        <v>Female</v>
      </c>
    </row>
    <row r="2060" spans="1:15" x14ac:dyDescent="0.4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_xlfn.IFS(orders[[#This Row],[Customer Gender]]="M","Male", orders[[#This Row],[Customer Gender]]="F","Female", orders[[#This Row],[Customer Gender]]="O","Other", TRUE,"Unknown")</f>
        <v>Male</v>
      </c>
    </row>
    <row r="2061" spans="1:15" x14ac:dyDescent="0.4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_xlfn.IFS(orders[[#This Row],[Customer Gender]]="M","Male", orders[[#This Row],[Customer Gender]]="F","Female", orders[[#This Row],[Customer Gender]]="O","Other", TRUE,"Unknown")</f>
        <v>Male</v>
      </c>
    </row>
    <row r="2062" spans="1:15" x14ac:dyDescent="0.4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_xlfn.IFS(orders[[#This Row],[Customer Gender]]="M","Male", orders[[#This Row],[Customer Gender]]="F","Female", orders[[#This Row],[Customer Gender]]="O","Other", TRUE,"Unknown")</f>
        <v>Female</v>
      </c>
    </row>
    <row r="2063" spans="1:15" x14ac:dyDescent="0.4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_xlfn.IFS(orders[[#This Row],[Customer Gender]]="M","Male", orders[[#This Row],[Customer Gender]]="F","Female", orders[[#This Row],[Customer Gender]]="O","Other", TRUE,"Unknown")</f>
        <v>Female</v>
      </c>
    </row>
    <row r="2064" spans="1:15" x14ac:dyDescent="0.4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_xlfn.IFS(orders[[#This Row],[Customer Gender]]="M","Male", orders[[#This Row],[Customer Gender]]="F","Female", orders[[#This Row],[Customer Gender]]="O","Other", TRUE,"Unknown")</f>
        <v>Female</v>
      </c>
    </row>
    <row r="2065" spans="1:15" x14ac:dyDescent="0.4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_xlfn.IFS(orders[[#This Row],[Customer Gender]]="M","Male", orders[[#This Row],[Customer Gender]]="F","Female", orders[[#This Row],[Customer Gender]]="O","Other", TRUE,"Unknown")</f>
        <v>Female</v>
      </c>
    </row>
    <row r="2066" spans="1:15" x14ac:dyDescent="0.4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_xlfn.IFS(orders[[#This Row],[Customer Gender]]="M","Male", orders[[#This Row],[Customer Gender]]="F","Female", orders[[#This Row],[Customer Gender]]="O","Other", TRUE,"Unknown")</f>
        <v>Male</v>
      </c>
    </row>
    <row r="2067" spans="1:15" x14ac:dyDescent="0.4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_xlfn.IFS(orders[[#This Row],[Customer Gender]]="M","Male", orders[[#This Row],[Customer Gender]]="F","Female", orders[[#This Row],[Customer Gender]]="O","Other", TRUE,"Unknown")</f>
        <v>Male</v>
      </c>
    </row>
    <row r="2068" spans="1:15" x14ac:dyDescent="0.4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_xlfn.IFS(orders[[#This Row],[Customer Gender]]="M","Male", orders[[#This Row],[Customer Gender]]="F","Female", orders[[#This Row],[Customer Gender]]="O","Other", TRUE,"Unknown")</f>
        <v>Female</v>
      </c>
    </row>
    <row r="2069" spans="1:15" x14ac:dyDescent="0.4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_xlfn.IFS(orders[[#This Row],[Customer Gender]]="M","Male", orders[[#This Row],[Customer Gender]]="F","Female", orders[[#This Row],[Customer Gender]]="O","Other", TRUE,"Unknown")</f>
        <v>Female</v>
      </c>
    </row>
    <row r="2070" spans="1:15" x14ac:dyDescent="0.4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_xlfn.IFS(orders[[#This Row],[Customer Gender]]="M","Male", orders[[#This Row],[Customer Gender]]="F","Female", orders[[#This Row],[Customer Gender]]="O","Other", TRUE,"Unknown")</f>
        <v>Male</v>
      </c>
    </row>
    <row r="2071" spans="1:15" x14ac:dyDescent="0.4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_xlfn.IFS(orders[[#This Row],[Customer Gender]]="M","Male", orders[[#This Row],[Customer Gender]]="F","Female", orders[[#This Row],[Customer Gender]]="O","Other", TRUE,"Unknown")</f>
        <v>Female</v>
      </c>
    </row>
    <row r="2072" spans="1:15" x14ac:dyDescent="0.4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_xlfn.IFS(orders[[#This Row],[Customer Gender]]="M","Male", orders[[#This Row],[Customer Gender]]="F","Female", orders[[#This Row],[Customer Gender]]="O","Other", TRUE,"Unknown")</f>
        <v>Male</v>
      </c>
    </row>
    <row r="2073" spans="1:15" x14ac:dyDescent="0.4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_xlfn.IFS(orders[[#This Row],[Customer Gender]]="M","Male", orders[[#This Row],[Customer Gender]]="F","Female", orders[[#This Row],[Customer Gender]]="O","Other", TRUE,"Unknown")</f>
        <v>Male</v>
      </c>
    </row>
    <row r="2074" spans="1:15" x14ac:dyDescent="0.4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_xlfn.IFS(orders[[#This Row],[Customer Gender]]="M","Male", orders[[#This Row],[Customer Gender]]="F","Female", orders[[#This Row],[Customer Gender]]="O","Other", TRUE,"Unknown")</f>
        <v>Male</v>
      </c>
    </row>
    <row r="2075" spans="1:15" x14ac:dyDescent="0.4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_xlfn.IFS(orders[[#This Row],[Customer Gender]]="M","Male", orders[[#This Row],[Customer Gender]]="F","Female", orders[[#This Row],[Customer Gender]]="O","Other", TRUE,"Unknown")</f>
        <v>Female</v>
      </c>
    </row>
    <row r="2076" spans="1:15" x14ac:dyDescent="0.4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_xlfn.IFS(orders[[#This Row],[Customer Gender]]="M","Male", orders[[#This Row],[Customer Gender]]="F","Female", orders[[#This Row],[Customer Gender]]="O","Other", TRUE,"Unknown")</f>
        <v>Female</v>
      </c>
    </row>
    <row r="2077" spans="1:15" x14ac:dyDescent="0.4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_xlfn.IFS(orders[[#This Row],[Customer Gender]]="M","Male", orders[[#This Row],[Customer Gender]]="F","Female", orders[[#This Row],[Customer Gender]]="O","Other", TRUE,"Unknown")</f>
        <v>Male</v>
      </c>
    </row>
    <row r="2078" spans="1:15" x14ac:dyDescent="0.4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_xlfn.IFS(orders[[#This Row],[Customer Gender]]="M","Male", orders[[#This Row],[Customer Gender]]="F","Female", orders[[#This Row],[Customer Gender]]="O","Other", TRUE,"Unknown")</f>
        <v>Female</v>
      </c>
    </row>
    <row r="2079" spans="1:15" x14ac:dyDescent="0.4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_xlfn.IFS(orders[[#This Row],[Customer Gender]]="M","Male", orders[[#This Row],[Customer Gender]]="F","Female", orders[[#This Row],[Customer Gender]]="O","Other", TRUE,"Unknown")</f>
        <v>Male</v>
      </c>
    </row>
    <row r="2080" spans="1:15" x14ac:dyDescent="0.4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_xlfn.IFS(orders[[#This Row],[Customer Gender]]="M","Male", orders[[#This Row],[Customer Gender]]="F","Female", orders[[#This Row],[Customer Gender]]="O","Other", TRUE,"Unknown")</f>
        <v>Female</v>
      </c>
    </row>
    <row r="2081" spans="1:15" x14ac:dyDescent="0.4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_xlfn.IFS(orders[[#This Row],[Customer Gender]]="M","Male", orders[[#This Row],[Customer Gender]]="F","Female", orders[[#This Row],[Customer Gender]]="O","Other", TRUE,"Unknown")</f>
        <v>Male</v>
      </c>
    </row>
    <row r="2082" spans="1:15" x14ac:dyDescent="0.4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_xlfn.IFS(orders[[#This Row],[Customer Gender]]="M","Male", orders[[#This Row],[Customer Gender]]="F","Female", orders[[#This Row],[Customer Gender]]="O","Other", TRUE,"Unknown")</f>
        <v>Male</v>
      </c>
    </row>
    <row r="2083" spans="1:15" x14ac:dyDescent="0.4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_xlfn.IFS(orders[[#This Row],[Customer Gender]]="M","Male", orders[[#This Row],[Customer Gender]]="F","Female", orders[[#This Row],[Customer Gender]]="O","Other", TRUE,"Unknown")</f>
        <v>Female</v>
      </c>
    </row>
    <row r="2084" spans="1:15" x14ac:dyDescent="0.4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_xlfn.IFS(orders[[#This Row],[Customer Gender]]="M","Male", orders[[#This Row],[Customer Gender]]="F","Female", orders[[#This Row],[Customer Gender]]="O","Other", TRUE,"Unknown")</f>
        <v>Other</v>
      </c>
    </row>
    <row r="2085" spans="1:15" x14ac:dyDescent="0.4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_xlfn.IFS(orders[[#This Row],[Customer Gender]]="M","Male", orders[[#This Row],[Customer Gender]]="F","Female", orders[[#This Row],[Customer Gender]]="O","Other", TRUE,"Unknown")</f>
        <v>Female</v>
      </c>
    </row>
    <row r="2086" spans="1:15" x14ac:dyDescent="0.4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_xlfn.IFS(orders[[#This Row],[Customer Gender]]="M","Male", orders[[#This Row],[Customer Gender]]="F","Female", orders[[#This Row],[Customer Gender]]="O","Other", TRUE,"Unknown")</f>
        <v>Female</v>
      </c>
    </row>
    <row r="2087" spans="1:15" x14ac:dyDescent="0.4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_xlfn.IFS(orders[[#This Row],[Customer Gender]]="M","Male", orders[[#This Row],[Customer Gender]]="F","Female", orders[[#This Row],[Customer Gender]]="O","Other", TRUE,"Unknown")</f>
        <v>Female</v>
      </c>
    </row>
    <row r="2088" spans="1:15" x14ac:dyDescent="0.4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_xlfn.IFS(orders[[#This Row],[Customer Gender]]="M","Male", orders[[#This Row],[Customer Gender]]="F","Female", orders[[#This Row],[Customer Gender]]="O","Other", TRUE,"Unknown")</f>
        <v>Female</v>
      </c>
    </row>
    <row r="2089" spans="1:15" x14ac:dyDescent="0.4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_xlfn.IFS(orders[[#This Row],[Customer Gender]]="M","Male", orders[[#This Row],[Customer Gender]]="F","Female", orders[[#This Row],[Customer Gender]]="O","Other", TRUE,"Unknown")</f>
        <v>Male</v>
      </c>
    </row>
    <row r="2090" spans="1:15" x14ac:dyDescent="0.4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_xlfn.IFS(orders[[#This Row],[Customer Gender]]="M","Male", orders[[#This Row],[Customer Gender]]="F","Female", orders[[#This Row],[Customer Gender]]="O","Other", TRUE,"Unknown")</f>
        <v>Male</v>
      </c>
    </row>
    <row r="2091" spans="1:15" x14ac:dyDescent="0.4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_xlfn.IFS(orders[[#This Row],[Customer Gender]]="M","Male", orders[[#This Row],[Customer Gender]]="F","Female", orders[[#This Row],[Customer Gender]]="O","Other", TRUE,"Unknown")</f>
        <v>Male</v>
      </c>
    </row>
    <row r="2092" spans="1:15" x14ac:dyDescent="0.4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_xlfn.IFS(orders[[#This Row],[Customer Gender]]="M","Male", orders[[#This Row],[Customer Gender]]="F","Female", orders[[#This Row],[Customer Gender]]="O","Other", TRUE,"Unknown")</f>
        <v>Female</v>
      </c>
    </row>
    <row r="2093" spans="1:15" x14ac:dyDescent="0.4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_xlfn.IFS(orders[[#This Row],[Customer Gender]]="M","Male", orders[[#This Row],[Customer Gender]]="F","Female", orders[[#This Row],[Customer Gender]]="O","Other", TRUE,"Unknown")</f>
        <v>Male</v>
      </c>
    </row>
    <row r="2094" spans="1:15" x14ac:dyDescent="0.4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_xlfn.IFS(orders[[#This Row],[Customer Gender]]="M","Male", orders[[#This Row],[Customer Gender]]="F","Female", orders[[#This Row],[Customer Gender]]="O","Other", TRUE,"Unknown")</f>
        <v>Male</v>
      </c>
    </row>
    <row r="2095" spans="1:15" x14ac:dyDescent="0.4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_xlfn.IFS(orders[[#This Row],[Customer Gender]]="M","Male", orders[[#This Row],[Customer Gender]]="F","Female", orders[[#This Row],[Customer Gender]]="O","Other", TRUE,"Unknown")</f>
        <v>Male</v>
      </c>
    </row>
    <row r="2096" spans="1:15" x14ac:dyDescent="0.4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_xlfn.IFS(orders[[#This Row],[Customer Gender]]="M","Male", orders[[#This Row],[Customer Gender]]="F","Female", orders[[#This Row],[Customer Gender]]="O","Other", TRUE,"Unknown")</f>
        <v>Female</v>
      </c>
    </row>
    <row r="2097" spans="1:15" x14ac:dyDescent="0.4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_xlfn.IFS(orders[[#This Row],[Customer Gender]]="M","Male", orders[[#This Row],[Customer Gender]]="F","Female", orders[[#This Row],[Customer Gender]]="O","Other", TRUE,"Unknown")</f>
        <v>Male</v>
      </c>
    </row>
    <row r="2098" spans="1:15" x14ac:dyDescent="0.4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_xlfn.IFS(orders[[#This Row],[Customer Gender]]="M","Male", orders[[#This Row],[Customer Gender]]="F","Female", orders[[#This Row],[Customer Gender]]="O","Other", TRUE,"Unknown")</f>
        <v>Female</v>
      </c>
    </row>
    <row r="2099" spans="1:15" x14ac:dyDescent="0.4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_xlfn.IFS(orders[[#This Row],[Customer Gender]]="M","Male", orders[[#This Row],[Customer Gender]]="F","Female", orders[[#This Row],[Customer Gender]]="O","Other", TRUE,"Unknown")</f>
        <v>Male</v>
      </c>
    </row>
    <row r="2100" spans="1:15" x14ac:dyDescent="0.4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_xlfn.IFS(orders[[#This Row],[Customer Gender]]="M","Male", orders[[#This Row],[Customer Gender]]="F","Female", orders[[#This Row],[Customer Gender]]="O","Other", TRUE,"Unknown")</f>
        <v>Male</v>
      </c>
    </row>
    <row r="2101" spans="1:15" x14ac:dyDescent="0.4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_xlfn.IFS(orders[[#This Row],[Customer Gender]]="M","Male", orders[[#This Row],[Customer Gender]]="F","Female", orders[[#This Row],[Customer Gender]]="O","Other", TRUE,"Unknown")</f>
        <v>Male</v>
      </c>
    </row>
    <row r="2102" spans="1:15" x14ac:dyDescent="0.4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_xlfn.IFS(orders[[#This Row],[Customer Gender]]="M","Male", orders[[#This Row],[Customer Gender]]="F","Female", orders[[#This Row],[Customer Gender]]="O","Other", TRUE,"Unknown")</f>
        <v>Female</v>
      </c>
    </row>
    <row r="2103" spans="1:15" x14ac:dyDescent="0.4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_xlfn.IFS(orders[[#This Row],[Customer Gender]]="M","Male", orders[[#This Row],[Customer Gender]]="F","Female", orders[[#This Row],[Customer Gender]]="O","Other", TRUE,"Unknown")</f>
        <v>Male</v>
      </c>
    </row>
    <row r="2104" spans="1:15" x14ac:dyDescent="0.4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_xlfn.IFS(orders[[#This Row],[Customer Gender]]="M","Male", orders[[#This Row],[Customer Gender]]="F","Female", orders[[#This Row],[Customer Gender]]="O","Other", TRUE,"Unknown")</f>
        <v>Female</v>
      </c>
    </row>
    <row r="2105" spans="1:15" x14ac:dyDescent="0.4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_xlfn.IFS(orders[[#This Row],[Customer Gender]]="M","Male", orders[[#This Row],[Customer Gender]]="F","Female", orders[[#This Row],[Customer Gender]]="O","Other", TRUE,"Unknown")</f>
        <v>Female</v>
      </c>
    </row>
    <row r="2106" spans="1:15" x14ac:dyDescent="0.4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_xlfn.IFS(orders[[#This Row],[Customer Gender]]="M","Male", orders[[#This Row],[Customer Gender]]="F","Female", orders[[#This Row],[Customer Gender]]="O","Other", TRUE,"Unknown")</f>
        <v>Female</v>
      </c>
    </row>
    <row r="2107" spans="1:15" x14ac:dyDescent="0.4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_xlfn.IFS(orders[[#This Row],[Customer Gender]]="M","Male", orders[[#This Row],[Customer Gender]]="F","Female", orders[[#This Row],[Customer Gender]]="O","Other", TRUE,"Unknown")</f>
        <v>Female</v>
      </c>
    </row>
    <row r="2108" spans="1:15" x14ac:dyDescent="0.4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_xlfn.IFS(orders[[#This Row],[Customer Gender]]="M","Male", orders[[#This Row],[Customer Gender]]="F","Female", orders[[#This Row],[Customer Gender]]="O","Other", TRUE,"Unknown")</f>
        <v>Male</v>
      </c>
    </row>
    <row r="2109" spans="1:15" x14ac:dyDescent="0.4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_xlfn.IFS(orders[[#This Row],[Customer Gender]]="M","Male", orders[[#This Row],[Customer Gender]]="F","Female", orders[[#This Row],[Customer Gender]]="O","Other", TRUE,"Unknown")</f>
        <v>Female</v>
      </c>
    </row>
    <row r="2110" spans="1:15" x14ac:dyDescent="0.4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_xlfn.IFS(orders[[#This Row],[Customer Gender]]="M","Male", orders[[#This Row],[Customer Gender]]="F","Female", orders[[#This Row],[Customer Gender]]="O","Other", TRUE,"Unknown")</f>
        <v>Male</v>
      </c>
    </row>
    <row r="2111" spans="1:15" x14ac:dyDescent="0.4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_xlfn.IFS(orders[[#This Row],[Customer Gender]]="M","Male", orders[[#This Row],[Customer Gender]]="F","Female", orders[[#This Row],[Customer Gender]]="O","Other", TRUE,"Unknown")</f>
        <v>Male</v>
      </c>
    </row>
    <row r="2112" spans="1:15" x14ac:dyDescent="0.4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_xlfn.IFS(orders[[#This Row],[Customer Gender]]="M","Male", orders[[#This Row],[Customer Gender]]="F","Female", orders[[#This Row],[Customer Gender]]="O","Other", TRUE,"Unknown")</f>
        <v>Female</v>
      </c>
    </row>
    <row r="2113" spans="1:15" x14ac:dyDescent="0.4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_xlfn.IFS(orders[[#This Row],[Customer Gender]]="M","Male", orders[[#This Row],[Customer Gender]]="F","Female", orders[[#This Row],[Customer Gender]]="O","Other", TRUE,"Unknown")</f>
        <v>Other</v>
      </c>
    </row>
    <row r="2114" spans="1:15" x14ac:dyDescent="0.4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_xlfn.IFS(orders[[#This Row],[Customer Gender]]="M","Male", orders[[#This Row],[Customer Gender]]="F","Female", orders[[#This Row],[Customer Gender]]="O","Other", TRUE,"Unknown")</f>
        <v>Male</v>
      </c>
    </row>
    <row r="2115" spans="1:15" x14ac:dyDescent="0.4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_xlfn.IFS(orders[[#This Row],[Customer Gender]]="M","Male", orders[[#This Row],[Customer Gender]]="F","Female", orders[[#This Row],[Customer Gender]]="O","Other", TRUE,"Unknown")</f>
        <v>Female</v>
      </c>
    </row>
    <row r="2116" spans="1:15" x14ac:dyDescent="0.4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_xlfn.IFS(orders[[#This Row],[Customer Gender]]="M","Male", orders[[#This Row],[Customer Gender]]="F","Female", orders[[#This Row],[Customer Gender]]="O","Other", TRUE,"Unknown")</f>
        <v>Female</v>
      </c>
    </row>
    <row r="2117" spans="1:15" x14ac:dyDescent="0.4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_xlfn.IFS(orders[[#This Row],[Customer Gender]]="M","Male", orders[[#This Row],[Customer Gender]]="F","Female", orders[[#This Row],[Customer Gender]]="O","Other", TRUE,"Unknown")</f>
        <v>Female</v>
      </c>
    </row>
    <row r="2118" spans="1:15" x14ac:dyDescent="0.4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_xlfn.IFS(orders[[#This Row],[Customer Gender]]="M","Male", orders[[#This Row],[Customer Gender]]="F","Female", orders[[#This Row],[Customer Gender]]="O","Other", TRUE,"Unknown")</f>
        <v>Male</v>
      </c>
    </row>
    <row r="2119" spans="1:15" x14ac:dyDescent="0.4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_xlfn.IFS(orders[[#This Row],[Customer Gender]]="M","Male", orders[[#This Row],[Customer Gender]]="F","Female", orders[[#This Row],[Customer Gender]]="O","Other", TRUE,"Unknown")</f>
        <v>Male</v>
      </c>
    </row>
    <row r="2120" spans="1:15" x14ac:dyDescent="0.4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_xlfn.IFS(orders[[#This Row],[Customer Gender]]="M","Male", orders[[#This Row],[Customer Gender]]="F","Female", orders[[#This Row],[Customer Gender]]="O","Other", TRUE,"Unknown")</f>
        <v>Male</v>
      </c>
    </row>
    <row r="2121" spans="1:15" x14ac:dyDescent="0.4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_xlfn.IFS(orders[[#This Row],[Customer Gender]]="M","Male", orders[[#This Row],[Customer Gender]]="F","Female", orders[[#This Row],[Customer Gender]]="O","Other", TRUE,"Unknown")</f>
        <v>Male</v>
      </c>
    </row>
    <row r="2122" spans="1:15" x14ac:dyDescent="0.4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_xlfn.IFS(orders[[#This Row],[Customer Gender]]="M","Male", orders[[#This Row],[Customer Gender]]="F","Female", orders[[#This Row],[Customer Gender]]="O","Other", TRUE,"Unknown")</f>
        <v>Female</v>
      </c>
    </row>
    <row r="2123" spans="1:15" x14ac:dyDescent="0.4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_xlfn.IFS(orders[[#This Row],[Customer Gender]]="M","Male", orders[[#This Row],[Customer Gender]]="F","Female", orders[[#This Row],[Customer Gender]]="O","Other", TRUE,"Unknown")</f>
        <v>Female</v>
      </c>
    </row>
    <row r="2124" spans="1:15" x14ac:dyDescent="0.4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_xlfn.IFS(orders[[#This Row],[Customer Gender]]="M","Male", orders[[#This Row],[Customer Gender]]="F","Female", orders[[#This Row],[Customer Gender]]="O","Other", TRUE,"Unknown")</f>
        <v>Unknown</v>
      </c>
    </row>
    <row r="2125" spans="1:15" x14ac:dyDescent="0.4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_xlfn.IFS(orders[[#This Row],[Customer Gender]]="M","Male", orders[[#This Row],[Customer Gender]]="F","Female", orders[[#This Row],[Customer Gender]]="O","Other", TRUE,"Unknown")</f>
        <v>Male</v>
      </c>
    </row>
    <row r="2126" spans="1:15" x14ac:dyDescent="0.4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_xlfn.IFS(orders[[#This Row],[Customer Gender]]="M","Male", orders[[#This Row],[Customer Gender]]="F","Female", orders[[#This Row],[Customer Gender]]="O","Other", TRUE,"Unknown")</f>
        <v>Female</v>
      </c>
    </row>
    <row r="2127" spans="1:15" x14ac:dyDescent="0.4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_xlfn.IFS(orders[[#This Row],[Customer Gender]]="M","Male", orders[[#This Row],[Customer Gender]]="F","Female", orders[[#This Row],[Customer Gender]]="O","Other", TRUE,"Unknown")</f>
        <v>Female</v>
      </c>
    </row>
    <row r="2128" spans="1:15" x14ac:dyDescent="0.4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_xlfn.IFS(orders[[#This Row],[Customer Gender]]="M","Male", orders[[#This Row],[Customer Gender]]="F","Female", orders[[#This Row],[Customer Gender]]="O","Other", TRUE,"Unknown")</f>
        <v>Female</v>
      </c>
    </row>
    <row r="2129" spans="1:15" x14ac:dyDescent="0.4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_xlfn.IFS(orders[[#This Row],[Customer Gender]]="M","Male", orders[[#This Row],[Customer Gender]]="F","Female", orders[[#This Row],[Customer Gender]]="O","Other", TRUE,"Unknown")</f>
        <v>Female</v>
      </c>
    </row>
    <row r="2130" spans="1:15" x14ac:dyDescent="0.4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_xlfn.IFS(orders[[#This Row],[Customer Gender]]="M","Male", orders[[#This Row],[Customer Gender]]="F","Female", orders[[#This Row],[Customer Gender]]="O","Other", TRUE,"Unknown")</f>
        <v>Male</v>
      </c>
    </row>
    <row r="2131" spans="1:15" x14ac:dyDescent="0.4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_xlfn.IFS(orders[[#This Row],[Customer Gender]]="M","Male", orders[[#This Row],[Customer Gender]]="F","Female", orders[[#This Row],[Customer Gender]]="O","Other", TRUE,"Unknown")</f>
        <v>Female</v>
      </c>
    </row>
    <row r="2132" spans="1:15" x14ac:dyDescent="0.4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_xlfn.IFS(orders[[#This Row],[Customer Gender]]="M","Male", orders[[#This Row],[Customer Gender]]="F","Female", orders[[#This Row],[Customer Gender]]="O","Other", TRUE,"Unknown")</f>
        <v>Unknown</v>
      </c>
    </row>
    <row r="2133" spans="1:15" x14ac:dyDescent="0.4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_xlfn.IFS(orders[[#This Row],[Customer Gender]]="M","Male", orders[[#This Row],[Customer Gender]]="F","Female", orders[[#This Row],[Customer Gender]]="O","Other", TRUE,"Unknown")</f>
        <v>Female</v>
      </c>
    </row>
    <row r="2134" spans="1:15" x14ac:dyDescent="0.4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_xlfn.IFS(orders[[#This Row],[Customer Gender]]="M","Male", orders[[#This Row],[Customer Gender]]="F","Female", orders[[#This Row],[Customer Gender]]="O","Other", TRUE,"Unknown")</f>
        <v>Male</v>
      </c>
    </row>
    <row r="2135" spans="1:15" x14ac:dyDescent="0.4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_xlfn.IFS(orders[[#This Row],[Customer Gender]]="M","Male", orders[[#This Row],[Customer Gender]]="F","Female", orders[[#This Row],[Customer Gender]]="O","Other", TRUE,"Unknown")</f>
        <v>Male</v>
      </c>
    </row>
    <row r="2136" spans="1:15" x14ac:dyDescent="0.4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_xlfn.IFS(orders[[#This Row],[Customer Gender]]="M","Male", orders[[#This Row],[Customer Gender]]="F","Female", orders[[#This Row],[Customer Gender]]="O","Other", TRUE,"Unknown")</f>
        <v>Male</v>
      </c>
    </row>
    <row r="2137" spans="1:15" x14ac:dyDescent="0.4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_xlfn.IFS(orders[[#This Row],[Customer Gender]]="M","Male", orders[[#This Row],[Customer Gender]]="F","Female", orders[[#This Row],[Customer Gender]]="O","Other", TRUE,"Unknown")</f>
        <v>Male</v>
      </c>
    </row>
    <row r="2138" spans="1:15" x14ac:dyDescent="0.4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_xlfn.IFS(orders[[#This Row],[Customer Gender]]="M","Male", orders[[#This Row],[Customer Gender]]="F","Female", orders[[#This Row],[Customer Gender]]="O","Other", TRUE,"Unknown")</f>
        <v>Male</v>
      </c>
    </row>
    <row r="2139" spans="1:15" x14ac:dyDescent="0.4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_xlfn.IFS(orders[[#This Row],[Customer Gender]]="M","Male", orders[[#This Row],[Customer Gender]]="F","Female", orders[[#This Row],[Customer Gender]]="O","Other", TRUE,"Unknown")</f>
        <v>Male</v>
      </c>
    </row>
    <row r="2140" spans="1:15" x14ac:dyDescent="0.4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_xlfn.IFS(orders[[#This Row],[Customer Gender]]="M","Male", orders[[#This Row],[Customer Gender]]="F","Female", orders[[#This Row],[Customer Gender]]="O","Other", TRUE,"Unknown")</f>
        <v>Female</v>
      </c>
    </row>
    <row r="2141" spans="1:15" x14ac:dyDescent="0.4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_xlfn.IFS(orders[[#This Row],[Customer Gender]]="M","Male", orders[[#This Row],[Customer Gender]]="F","Female", orders[[#This Row],[Customer Gender]]="O","Other", TRUE,"Unknown")</f>
        <v>Female</v>
      </c>
    </row>
    <row r="2142" spans="1:15" x14ac:dyDescent="0.4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_xlfn.IFS(orders[[#This Row],[Customer Gender]]="M","Male", orders[[#This Row],[Customer Gender]]="F","Female", orders[[#This Row],[Customer Gender]]="O","Other", TRUE,"Unknown")</f>
        <v>Male</v>
      </c>
    </row>
    <row r="2143" spans="1:15" x14ac:dyDescent="0.4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_xlfn.IFS(orders[[#This Row],[Customer Gender]]="M","Male", orders[[#This Row],[Customer Gender]]="F","Female", orders[[#This Row],[Customer Gender]]="O","Other", TRUE,"Unknown")</f>
        <v>Male</v>
      </c>
    </row>
    <row r="2144" spans="1:15" x14ac:dyDescent="0.4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_xlfn.IFS(orders[[#This Row],[Customer Gender]]="M","Male", orders[[#This Row],[Customer Gender]]="F","Female", orders[[#This Row],[Customer Gender]]="O","Other", TRUE,"Unknown")</f>
        <v>Male</v>
      </c>
    </row>
    <row r="2145" spans="1:15" x14ac:dyDescent="0.4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_xlfn.IFS(orders[[#This Row],[Customer Gender]]="M","Male", orders[[#This Row],[Customer Gender]]="F","Female", orders[[#This Row],[Customer Gender]]="O","Other", TRUE,"Unknown")</f>
        <v>Female</v>
      </c>
    </row>
    <row r="2146" spans="1:15" x14ac:dyDescent="0.4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_xlfn.IFS(orders[[#This Row],[Customer Gender]]="M","Male", orders[[#This Row],[Customer Gender]]="F","Female", orders[[#This Row],[Customer Gender]]="O","Other", TRUE,"Unknown")</f>
        <v>Male</v>
      </c>
    </row>
    <row r="2147" spans="1:15" x14ac:dyDescent="0.4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_xlfn.IFS(orders[[#This Row],[Customer Gender]]="M","Male", orders[[#This Row],[Customer Gender]]="F","Female", orders[[#This Row],[Customer Gender]]="O","Other", TRUE,"Unknown")</f>
        <v>Female</v>
      </c>
    </row>
    <row r="2148" spans="1:15" x14ac:dyDescent="0.4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_xlfn.IFS(orders[[#This Row],[Customer Gender]]="M","Male", orders[[#This Row],[Customer Gender]]="F","Female", orders[[#This Row],[Customer Gender]]="O","Other", TRUE,"Unknown")</f>
        <v>Female</v>
      </c>
    </row>
    <row r="2149" spans="1:15" x14ac:dyDescent="0.4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_xlfn.IFS(orders[[#This Row],[Customer Gender]]="M","Male", orders[[#This Row],[Customer Gender]]="F","Female", orders[[#This Row],[Customer Gender]]="O","Other", TRUE,"Unknown")</f>
        <v>Male</v>
      </c>
    </row>
    <row r="2150" spans="1:15" x14ac:dyDescent="0.4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_xlfn.IFS(orders[[#This Row],[Customer Gender]]="M","Male", orders[[#This Row],[Customer Gender]]="F","Female", orders[[#This Row],[Customer Gender]]="O","Other", TRUE,"Unknown")</f>
        <v>Female</v>
      </c>
    </row>
    <row r="2151" spans="1:15" x14ac:dyDescent="0.4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_xlfn.IFS(orders[[#This Row],[Customer Gender]]="M","Male", orders[[#This Row],[Customer Gender]]="F","Female", orders[[#This Row],[Customer Gender]]="O","Other", TRUE,"Unknown")</f>
        <v>Male</v>
      </c>
    </row>
    <row r="2152" spans="1:15" x14ac:dyDescent="0.4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_xlfn.IFS(orders[[#This Row],[Customer Gender]]="M","Male", orders[[#This Row],[Customer Gender]]="F","Female", orders[[#This Row],[Customer Gender]]="O","Other", TRUE,"Unknown")</f>
        <v>Female</v>
      </c>
    </row>
    <row r="2153" spans="1:15" x14ac:dyDescent="0.4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_xlfn.IFS(orders[[#This Row],[Customer Gender]]="M","Male", orders[[#This Row],[Customer Gender]]="F","Female", orders[[#This Row],[Customer Gender]]="O","Other", TRUE,"Unknown")</f>
        <v>Female</v>
      </c>
    </row>
    <row r="2154" spans="1:15" x14ac:dyDescent="0.4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_xlfn.IFS(orders[[#This Row],[Customer Gender]]="M","Male", orders[[#This Row],[Customer Gender]]="F","Female", orders[[#This Row],[Customer Gender]]="O","Other", TRUE,"Unknown")</f>
        <v>Female</v>
      </c>
    </row>
    <row r="2155" spans="1:15" x14ac:dyDescent="0.4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_xlfn.IFS(orders[[#This Row],[Customer Gender]]="M","Male", orders[[#This Row],[Customer Gender]]="F","Female", orders[[#This Row],[Customer Gender]]="O","Other", TRUE,"Unknown")</f>
        <v>Female</v>
      </c>
    </row>
    <row r="2156" spans="1:15" x14ac:dyDescent="0.4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_xlfn.IFS(orders[[#This Row],[Customer Gender]]="M","Male", orders[[#This Row],[Customer Gender]]="F","Female", orders[[#This Row],[Customer Gender]]="O","Other", TRUE,"Unknown")</f>
        <v>Male</v>
      </c>
    </row>
    <row r="2157" spans="1:15" x14ac:dyDescent="0.4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_xlfn.IFS(orders[[#This Row],[Customer Gender]]="M","Male", orders[[#This Row],[Customer Gender]]="F","Female", orders[[#This Row],[Customer Gender]]="O","Other", TRUE,"Unknown")</f>
        <v>Male</v>
      </c>
    </row>
    <row r="2158" spans="1:15" x14ac:dyDescent="0.4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_xlfn.IFS(orders[[#This Row],[Customer Gender]]="M","Male", orders[[#This Row],[Customer Gender]]="F","Female", orders[[#This Row],[Customer Gender]]="O","Other", TRUE,"Unknown")</f>
        <v>Female</v>
      </c>
    </row>
    <row r="2159" spans="1:15" x14ac:dyDescent="0.4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_xlfn.IFS(orders[[#This Row],[Customer Gender]]="M","Male", orders[[#This Row],[Customer Gender]]="F","Female", orders[[#This Row],[Customer Gender]]="O","Other", TRUE,"Unknown")</f>
        <v>Female</v>
      </c>
    </row>
    <row r="2160" spans="1:15" x14ac:dyDescent="0.4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_xlfn.IFS(orders[[#This Row],[Customer Gender]]="M","Male", orders[[#This Row],[Customer Gender]]="F","Female", orders[[#This Row],[Customer Gender]]="O","Other", TRUE,"Unknown")</f>
        <v>Unknown</v>
      </c>
    </row>
    <row r="2161" spans="1:15" x14ac:dyDescent="0.4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_xlfn.IFS(orders[[#This Row],[Customer Gender]]="M","Male", orders[[#This Row],[Customer Gender]]="F","Female", orders[[#This Row],[Customer Gender]]="O","Other", TRUE,"Unknown")</f>
        <v>Male</v>
      </c>
    </row>
    <row r="2162" spans="1:15" x14ac:dyDescent="0.4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_xlfn.IFS(orders[[#This Row],[Customer Gender]]="M","Male", orders[[#This Row],[Customer Gender]]="F","Female", orders[[#This Row],[Customer Gender]]="O","Other", TRUE,"Unknown")</f>
        <v>Female</v>
      </c>
    </row>
    <row r="2163" spans="1:15" x14ac:dyDescent="0.4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_xlfn.IFS(orders[[#This Row],[Customer Gender]]="M","Male", orders[[#This Row],[Customer Gender]]="F","Female", orders[[#This Row],[Customer Gender]]="O","Other", TRUE,"Unknown")</f>
        <v>Male</v>
      </c>
    </row>
    <row r="2164" spans="1:15" x14ac:dyDescent="0.4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_xlfn.IFS(orders[[#This Row],[Customer Gender]]="M","Male", orders[[#This Row],[Customer Gender]]="F","Female", orders[[#This Row],[Customer Gender]]="O","Other", TRUE,"Unknown")</f>
        <v>Male</v>
      </c>
    </row>
    <row r="2165" spans="1:15" x14ac:dyDescent="0.4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_xlfn.IFS(orders[[#This Row],[Customer Gender]]="M","Male", orders[[#This Row],[Customer Gender]]="F","Female", orders[[#This Row],[Customer Gender]]="O","Other", TRUE,"Unknown")</f>
        <v>Male</v>
      </c>
    </row>
    <row r="2166" spans="1:15" x14ac:dyDescent="0.4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_xlfn.IFS(orders[[#This Row],[Customer Gender]]="M","Male", orders[[#This Row],[Customer Gender]]="F","Female", orders[[#This Row],[Customer Gender]]="O","Other", TRUE,"Unknown")</f>
        <v>Male</v>
      </c>
    </row>
    <row r="2167" spans="1:15" x14ac:dyDescent="0.4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_xlfn.IFS(orders[[#This Row],[Customer Gender]]="M","Male", orders[[#This Row],[Customer Gender]]="F","Female", orders[[#This Row],[Customer Gender]]="O","Other", TRUE,"Unknown")</f>
        <v>Male</v>
      </c>
    </row>
    <row r="2168" spans="1:15" x14ac:dyDescent="0.4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_xlfn.IFS(orders[[#This Row],[Customer Gender]]="M","Male", orders[[#This Row],[Customer Gender]]="F","Female", orders[[#This Row],[Customer Gender]]="O","Other", TRUE,"Unknown")</f>
        <v>Unknown</v>
      </c>
    </row>
    <row r="2169" spans="1:15" x14ac:dyDescent="0.4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_xlfn.IFS(orders[[#This Row],[Customer Gender]]="M","Male", orders[[#This Row],[Customer Gender]]="F","Female", orders[[#This Row],[Customer Gender]]="O","Other", TRUE,"Unknown")</f>
        <v>Female</v>
      </c>
    </row>
    <row r="2170" spans="1:15" x14ac:dyDescent="0.4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_xlfn.IFS(orders[[#This Row],[Customer Gender]]="M","Male", orders[[#This Row],[Customer Gender]]="F","Female", orders[[#This Row],[Customer Gender]]="O","Other", TRUE,"Unknown")</f>
        <v>Male</v>
      </c>
    </row>
    <row r="2171" spans="1:15" x14ac:dyDescent="0.4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_xlfn.IFS(orders[[#This Row],[Customer Gender]]="M","Male", orders[[#This Row],[Customer Gender]]="F","Female", orders[[#This Row],[Customer Gender]]="O","Other", TRUE,"Unknown")</f>
        <v>Male</v>
      </c>
    </row>
    <row r="2172" spans="1:15" x14ac:dyDescent="0.4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_xlfn.IFS(orders[[#This Row],[Customer Gender]]="M","Male", orders[[#This Row],[Customer Gender]]="F","Female", orders[[#This Row],[Customer Gender]]="O","Other", TRUE,"Unknown")</f>
        <v>Female</v>
      </c>
    </row>
    <row r="2173" spans="1:15" x14ac:dyDescent="0.4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_xlfn.IFS(orders[[#This Row],[Customer Gender]]="M","Male", orders[[#This Row],[Customer Gender]]="F","Female", orders[[#This Row],[Customer Gender]]="O","Other", TRUE,"Unknown")</f>
        <v>Male</v>
      </c>
    </row>
    <row r="2174" spans="1:15" x14ac:dyDescent="0.4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_xlfn.IFS(orders[[#This Row],[Customer Gender]]="M","Male", orders[[#This Row],[Customer Gender]]="F","Female", orders[[#This Row],[Customer Gender]]="O","Other", TRUE,"Unknown")</f>
        <v>Male</v>
      </c>
    </row>
    <row r="2175" spans="1:15" x14ac:dyDescent="0.4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_xlfn.IFS(orders[[#This Row],[Customer Gender]]="M","Male", orders[[#This Row],[Customer Gender]]="F","Female", orders[[#This Row],[Customer Gender]]="O","Other", TRUE,"Unknown")</f>
        <v>Female</v>
      </c>
    </row>
    <row r="2176" spans="1:15" x14ac:dyDescent="0.4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_xlfn.IFS(orders[[#This Row],[Customer Gender]]="M","Male", orders[[#This Row],[Customer Gender]]="F","Female", orders[[#This Row],[Customer Gender]]="O","Other", TRUE,"Unknown")</f>
        <v>Female</v>
      </c>
    </row>
    <row r="2177" spans="1:15" x14ac:dyDescent="0.4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_xlfn.IFS(orders[[#This Row],[Customer Gender]]="M","Male", orders[[#This Row],[Customer Gender]]="F","Female", orders[[#This Row],[Customer Gender]]="O","Other", TRUE,"Unknown")</f>
        <v>Male</v>
      </c>
    </row>
    <row r="2178" spans="1:15" x14ac:dyDescent="0.4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_xlfn.IFS(orders[[#This Row],[Customer Gender]]="M","Male", orders[[#This Row],[Customer Gender]]="F","Female", orders[[#This Row],[Customer Gender]]="O","Other", TRUE,"Unknown")</f>
        <v>Female</v>
      </c>
    </row>
    <row r="2179" spans="1:15" x14ac:dyDescent="0.4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_xlfn.IFS(orders[[#This Row],[Customer Gender]]="M","Male", orders[[#This Row],[Customer Gender]]="F","Female", orders[[#This Row],[Customer Gender]]="O","Other", TRUE,"Unknown")</f>
        <v>Female</v>
      </c>
    </row>
    <row r="2180" spans="1:15" x14ac:dyDescent="0.4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_xlfn.IFS(orders[[#This Row],[Customer Gender]]="M","Male", orders[[#This Row],[Customer Gender]]="F","Female", orders[[#This Row],[Customer Gender]]="O","Other", TRUE,"Unknown")</f>
        <v>Female</v>
      </c>
    </row>
    <row r="2181" spans="1:15" x14ac:dyDescent="0.4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_xlfn.IFS(orders[[#This Row],[Customer Gender]]="M","Male", orders[[#This Row],[Customer Gender]]="F","Female", orders[[#This Row],[Customer Gender]]="O","Other", TRUE,"Unknown")</f>
        <v>Male</v>
      </c>
    </row>
    <row r="2182" spans="1:15" x14ac:dyDescent="0.4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_xlfn.IFS(orders[[#This Row],[Customer Gender]]="M","Male", orders[[#This Row],[Customer Gender]]="F","Female", orders[[#This Row],[Customer Gender]]="O","Other", TRUE,"Unknown")</f>
        <v>Male</v>
      </c>
    </row>
    <row r="2183" spans="1:15" x14ac:dyDescent="0.4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_xlfn.IFS(orders[[#This Row],[Customer Gender]]="M","Male", orders[[#This Row],[Customer Gender]]="F","Female", orders[[#This Row],[Customer Gender]]="O","Other", TRUE,"Unknown")</f>
        <v>Male</v>
      </c>
    </row>
    <row r="2184" spans="1:15" x14ac:dyDescent="0.4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_xlfn.IFS(orders[[#This Row],[Customer Gender]]="M","Male", orders[[#This Row],[Customer Gender]]="F","Female", orders[[#This Row],[Customer Gender]]="O","Other", TRUE,"Unknown")</f>
        <v>Other</v>
      </c>
    </row>
    <row r="2185" spans="1:15" x14ac:dyDescent="0.4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_xlfn.IFS(orders[[#This Row],[Customer Gender]]="M","Male", orders[[#This Row],[Customer Gender]]="F","Female", orders[[#This Row],[Customer Gender]]="O","Other", TRUE,"Unknown")</f>
        <v>Female</v>
      </c>
    </row>
    <row r="2186" spans="1:15" x14ac:dyDescent="0.4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_xlfn.IFS(orders[[#This Row],[Customer Gender]]="M","Male", orders[[#This Row],[Customer Gender]]="F","Female", orders[[#This Row],[Customer Gender]]="O","Other", TRUE,"Unknown")</f>
        <v>Male</v>
      </c>
    </row>
    <row r="2187" spans="1:15" x14ac:dyDescent="0.4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_xlfn.IFS(orders[[#This Row],[Customer Gender]]="M","Male", orders[[#This Row],[Customer Gender]]="F","Female", orders[[#This Row],[Customer Gender]]="O","Other", TRUE,"Unknown")</f>
        <v>Male</v>
      </c>
    </row>
    <row r="2188" spans="1:15" x14ac:dyDescent="0.4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_xlfn.IFS(orders[[#This Row],[Customer Gender]]="M","Male", orders[[#This Row],[Customer Gender]]="F","Female", orders[[#This Row],[Customer Gender]]="O","Other", TRUE,"Unknown")</f>
        <v>Female</v>
      </c>
    </row>
    <row r="2189" spans="1:15" x14ac:dyDescent="0.4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_xlfn.IFS(orders[[#This Row],[Customer Gender]]="M","Male", orders[[#This Row],[Customer Gender]]="F","Female", orders[[#This Row],[Customer Gender]]="O","Other", TRUE,"Unknown")</f>
        <v>Female</v>
      </c>
    </row>
    <row r="2190" spans="1:15" x14ac:dyDescent="0.4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_xlfn.IFS(orders[[#This Row],[Customer Gender]]="M","Male", orders[[#This Row],[Customer Gender]]="F","Female", orders[[#This Row],[Customer Gender]]="O","Other", TRUE,"Unknown")</f>
        <v>Male</v>
      </c>
    </row>
    <row r="2191" spans="1:15" x14ac:dyDescent="0.4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_xlfn.IFS(orders[[#This Row],[Customer Gender]]="M","Male", orders[[#This Row],[Customer Gender]]="F","Female", orders[[#This Row],[Customer Gender]]="O","Other", TRUE,"Unknown")</f>
        <v>Male</v>
      </c>
    </row>
    <row r="2192" spans="1:15" x14ac:dyDescent="0.4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_xlfn.IFS(orders[[#This Row],[Customer Gender]]="M","Male", orders[[#This Row],[Customer Gender]]="F","Female", orders[[#This Row],[Customer Gender]]="O","Other", TRUE,"Unknown")</f>
        <v>Male</v>
      </c>
    </row>
    <row r="2193" spans="1:15" x14ac:dyDescent="0.4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_xlfn.IFS(orders[[#This Row],[Customer Gender]]="M","Male", orders[[#This Row],[Customer Gender]]="F","Female", orders[[#This Row],[Customer Gender]]="O","Other", TRUE,"Unknown")</f>
        <v>Male</v>
      </c>
    </row>
    <row r="2194" spans="1:15" x14ac:dyDescent="0.4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_xlfn.IFS(orders[[#This Row],[Customer Gender]]="M","Male", orders[[#This Row],[Customer Gender]]="F","Female", orders[[#This Row],[Customer Gender]]="O","Other", TRUE,"Unknown")</f>
        <v>Male</v>
      </c>
    </row>
    <row r="2195" spans="1:15" x14ac:dyDescent="0.4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_xlfn.IFS(orders[[#This Row],[Customer Gender]]="M","Male", orders[[#This Row],[Customer Gender]]="F","Female", orders[[#This Row],[Customer Gender]]="O","Other", TRUE,"Unknown")</f>
        <v>Female</v>
      </c>
    </row>
    <row r="2196" spans="1:15" x14ac:dyDescent="0.4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_xlfn.IFS(orders[[#This Row],[Customer Gender]]="M","Male", orders[[#This Row],[Customer Gender]]="F","Female", orders[[#This Row],[Customer Gender]]="O","Other", TRUE,"Unknown")</f>
        <v>Male</v>
      </c>
    </row>
    <row r="2197" spans="1:15" x14ac:dyDescent="0.4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_xlfn.IFS(orders[[#This Row],[Customer Gender]]="M","Male", orders[[#This Row],[Customer Gender]]="F","Female", orders[[#This Row],[Customer Gender]]="O","Other", TRUE,"Unknown")</f>
        <v>Male</v>
      </c>
    </row>
    <row r="2198" spans="1:15" x14ac:dyDescent="0.4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_xlfn.IFS(orders[[#This Row],[Customer Gender]]="M","Male", orders[[#This Row],[Customer Gender]]="F","Female", orders[[#This Row],[Customer Gender]]="O","Other", TRUE,"Unknown")</f>
        <v>Female</v>
      </c>
    </row>
    <row r="2199" spans="1:15" x14ac:dyDescent="0.4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_xlfn.IFS(orders[[#This Row],[Customer Gender]]="M","Male", orders[[#This Row],[Customer Gender]]="F","Female", orders[[#This Row],[Customer Gender]]="O","Other", TRUE,"Unknown")</f>
        <v>Female</v>
      </c>
    </row>
    <row r="2200" spans="1:15" x14ac:dyDescent="0.4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_xlfn.IFS(orders[[#This Row],[Customer Gender]]="M","Male", orders[[#This Row],[Customer Gender]]="F","Female", orders[[#This Row],[Customer Gender]]="O","Other", TRUE,"Unknown")</f>
        <v>Male</v>
      </c>
    </row>
    <row r="2201" spans="1:15" x14ac:dyDescent="0.4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_xlfn.IFS(orders[[#This Row],[Customer Gender]]="M","Male", orders[[#This Row],[Customer Gender]]="F","Female", orders[[#This Row],[Customer Gender]]="O","Other", TRUE,"Unknown")</f>
        <v>Male</v>
      </c>
    </row>
    <row r="2202" spans="1:15" x14ac:dyDescent="0.4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_xlfn.IFS(orders[[#This Row],[Customer Gender]]="M","Male", orders[[#This Row],[Customer Gender]]="F","Female", orders[[#This Row],[Customer Gender]]="O","Other", TRUE,"Unknown")</f>
        <v>Male</v>
      </c>
    </row>
    <row r="2203" spans="1:15" x14ac:dyDescent="0.4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_xlfn.IFS(orders[[#This Row],[Customer Gender]]="M","Male", orders[[#This Row],[Customer Gender]]="F","Female", orders[[#This Row],[Customer Gender]]="O","Other", TRUE,"Unknown")</f>
        <v>Male</v>
      </c>
    </row>
    <row r="2204" spans="1:15" x14ac:dyDescent="0.4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_xlfn.IFS(orders[[#This Row],[Customer Gender]]="M","Male", orders[[#This Row],[Customer Gender]]="F","Female", orders[[#This Row],[Customer Gender]]="O","Other", TRUE,"Unknown")</f>
        <v>Male</v>
      </c>
    </row>
    <row r="2205" spans="1:15" x14ac:dyDescent="0.4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_xlfn.IFS(orders[[#This Row],[Customer Gender]]="M","Male", orders[[#This Row],[Customer Gender]]="F","Female", orders[[#This Row],[Customer Gender]]="O","Other", TRUE,"Unknown")</f>
        <v>Male</v>
      </c>
    </row>
    <row r="2206" spans="1:15" x14ac:dyDescent="0.4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_xlfn.IFS(orders[[#This Row],[Customer Gender]]="M","Male", orders[[#This Row],[Customer Gender]]="F","Female", orders[[#This Row],[Customer Gender]]="O","Other", TRUE,"Unknown")</f>
        <v>Female</v>
      </c>
    </row>
    <row r="2207" spans="1:15" x14ac:dyDescent="0.4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_xlfn.IFS(orders[[#This Row],[Customer Gender]]="M","Male", orders[[#This Row],[Customer Gender]]="F","Female", orders[[#This Row],[Customer Gender]]="O","Other", TRUE,"Unknown")</f>
        <v>Female</v>
      </c>
    </row>
    <row r="2208" spans="1:15" x14ac:dyDescent="0.4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_xlfn.IFS(orders[[#This Row],[Customer Gender]]="M","Male", orders[[#This Row],[Customer Gender]]="F","Female", orders[[#This Row],[Customer Gender]]="O","Other", TRUE,"Unknown")</f>
        <v>Female</v>
      </c>
    </row>
    <row r="2209" spans="1:15" x14ac:dyDescent="0.4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_xlfn.IFS(orders[[#This Row],[Customer Gender]]="M","Male", orders[[#This Row],[Customer Gender]]="F","Female", orders[[#This Row],[Customer Gender]]="O","Other", TRUE,"Unknown")</f>
        <v>Female</v>
      </c>
    </row>
    <row r="2210" spans="1:15" x14ac:dyDescent="0.4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_xlfn.IFS(orders[[#This Row],[Customer Gender]]="M","Male", orders[[#This Row],[Customer Gender]]="F","Female", orders[[#This Row],[Customer Gender]]="O","Other", TRUE,"Unknown")</f>
        <v>Female</v>
      </c>
    </row>
    <row r="2211" spans="1:15" x14ac:dyDescent="0.4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_xlfn.IFS(orders[[#This Row],[Customer Gender]]="M","Male", orders[[#This Row],[Customer Gender]]="F","Female", orders[[#This Row],[Customer Gender]]="O","Other", TRUE,"Unknown")</f>
        <v>Male</v>
      </c>
    </row>
    <row r="2212" spans="1:15" x14ac:dyDescent="0.4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_xlfn.IFS(orders[[#This Row],[Customer Gender]]="M","Male", orders[[#This Row],[Customer Gender]]="F","Female", orders[[#This Row],[Customer Gender]]="O","Other", TRUE,"Unknown")</f>
        <v>Unknown</v>
      </c>
    </row>
    <row r="2213" spans="1:15" x14ac:dyDescent="0.4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_xlfn.IFS(orders[[#This Row],[Customer Gender]]="M","Male", orders[[#This Row],[Customer Gender]]="F","Female", orders[[#This Row],[Customer Gender]]="O","Other", TRUE,"Unknown")</f>
        <v>Male</v>
      </c>
    </row>
    <row r="2214" spans="1:15" x14ac:dyDescent="0.4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_xlfn.IFS(orders[[#This Row],[Customer Gender]]="M","Male", orders[[#This Row],[Customer Gender]]="F","Female", orders[[#This Row],[Customer Gender]]="O","Other", TRUE,"Unknown")</f>
        <v>Female</v>
      </c>
    </row>
    <row r="2215" spans="1:15" x14ac:dyDescent="0.4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_xlfn.IFS(orders[[#This Row],[Customer Gender]]="M","Male", orders[[#This Row],[Customer Gender]]="F","Female", orders[[#This Row],[Customer Gender]]="O","Other", TRUE,"Unknown")</f>
        <v>Male</v>
      </c>
    </row>
    <row r="2216" spans="1:15" x14ac:dyDescent="0.4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_xlfn.IFS(orders[[#This Row],[Customer Gender]]="M","Male", orders[[#This Row],[Customer Gender]]="F","Female", orders[[#This Row],[Customer Gender]]="O","Other", TRUE,"Unknown")</f>
        <v>Other</v>
      </c>
    </row>
    <row r="2217" spans="1:15" x14ac:dyDescent="0.4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_xlfn.IFS(orders[[#This Row],[Customer Gender]]="M","Male", orders[[#This Row],[Customer Gender]]="F","Female", orders[[#This Row],[Customer Gender]]="O","Other", TRUE,"Unknown")</f>
        <v>Female</v>
      </c>
    </row>
    <row r="2218" spans="1:15" x14ac:dyDescent="0.4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_xlfn.IFS(orders[[#This Row],[Customer Gender]]="M","Male", orders[[#This Row],[Customer Gender]]="F","Female", orders[[#This Row],[Customer Gender]]="O","Other", TRUE,"Unknown")</f>
        <v>Male</v>
      </c>
    </row>
    <row r="2219" spans="1:15" x14ac:dyDescent="0.4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_xlfn.IFS(orders[[#This Row],[Customer Gender]]="M","Male", orders[[#This Row],[Customer Gender]]="F","Female", orders[[#This Row],[Customer Gender]]="O","Other", TRUE,"Unknown")</f>
        <v>Male</v>
      </c>
    </row>
    <row r="2220" spans="1:15" x14ac:dyDescent="0.4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_xlfn.IFS(orders[[#This Row],[Customer Gender]]="M","Male", orders[[#This Row],[Customer Gender]]="F","Female", orders[[#This Row],[Customer Gender]]="O","Other", TRUE,"Unknown")</f>
        <v>Male</v>
      </c>
    </row>
    <row r="2221" spans="1:15" x14ac:dyDescent="0.4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_xlfn.IFS(orders[[#This Row],[Customer Gender]]="M","Male", orders[[#This Row],[Customer Gender]]="F","Female", orders[[#This Row],[Customer Gender]]="O","Other", TRUE,"Unknown")</f>
        <v>Male</v>
      </c>
    </row>
    <row r="2222" spans="1:15" x14ac:dyDescent="0.4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_xlfn.IFS(orders[[#This Row],[Customer Gender]]="M","Male", orders[[#This Row],[Customer Gender]]="F","Female", orders[[#This Row],[Customer Gender]]="O","Other", TRUE,"Unknown")</f>
        <v>Male</v>
      </c>
    </row>
    <row r="2223" spans="1:15" x14ac:dyDescent="0.4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_xlfn.IFS(orders[[#This Row],[Customer Gender]]="M","Male", orders[[#This Row],[Customer Gender]]="F","Female", orders[[#This Row],[Customer Gender]]="O","Other", TRUE,"Unknown")</f>
        <v>Male</v>
      </c>
    </row>
    <row r="2224" spans="1:15" x14ac:dyDescent="0.4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_xlfn.IFS(orders[[#This Row],[Customer Gender]]="M","Male", orders[[#This Row],[Customer Gender]]="F","Female", orders[[#This Row],[Customer Gender]]="O","Other", TRUE,"Unknown")</f>
        <v>Female</v>
      </c>
    </row>
    <row r="2225" spans="1:15" x14ac:dyDescent="0.4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_xlfn.IFS(orders[[#This Row],[Customer Gender]]="M","Male", orders[[#This Row],[Customer Gender]]="F","Female", orders[[#This Row],[Customer Gender]]="O","Other", TRUE,"Unknown")</f>
        <v>Female</v>
      </c>
    </row>
    <row r="2226" spans="1:15" x14ac:dyDescent="0.4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_xlfn.IFS(orders[[#This Row],[Customer Gender]]="M","Male", orders[[#This Row],[Customer Gender]]="F","Female", orders[[#This Row],[Customer Gender]]="O","Other", TRUE,"Unknown")</f>
        <v>Female</v>
      </c>
    </row>
    <row r="2227" spans="1:15" x14ac:dyDescent="0.4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_xlfn.IFS(orders[[#This Row],[Customer Gender]]="M","Male", orders[[#This Row],[Customer Gender]]="F","Female", orders[[#This Row],[Customer Gender]]="O","Other", TRUE,"Unknown")</f>
        <v>Female</v>
      </c>
    </row>
    <row r="2228" spans="1:15" x14ac:dyDescent="0.4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_xlfn.IFS(orders[[#This Row],[Customer Gender]]="M","Male", orders[[#This Row],[Customer Gender]]="F","Female", orders[[#This Row],[Customer Gender]]="O","Other", TRUE,"Unknown")</f>
        <v>Male</v>
      </c>
    </row>
    <row r="2229" spans="1:15" x14ac:dyDescent="0.4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_xlfn.IFS(orders[[#This Row],[Customer Gender]]="M","Male", orders[[#This Row],[Customer Gender]]="F","Female", orders[[#This Row],[Customer Gender]]="O","Other", TRUE,"Unknown")</f>
        <v>Male</v>
      </c>
    </row>
    <row r="2230" spans="1:15" x14ac:dyDescent="0.4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_xlfn.IFS(orders[[#This Row],[Customer Gender]]="M","Male", orders[[#This Row],[Customer Gender]]="F","Female", orders[[#This Row],[Customer Gender]]="O","Other", TRUE,"Unknown")</f>
        <v>Female</v>
      </c>
    </row>
    <row r="2231" spans="1:15" x14ac:dyDescent="0.4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_xlfn.IFS(orders[[#This Row],[Customer Gender]]="M","Male", orders[[#This Row],[Customer Gender]]="F","Female", orders[[#This Row],[Customer Gender]]="O","Other", TRUE,"Unknown")</f>
        <v>Female</v>
      </c>
    </row>
    <row r="2232" spans="1:15" x14ac:dyDescent="0.4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_xlfn.IFS(orders[[#This Row],[Customer Gender]]="M","Male", orders[[#This Row],[Customer Gender]]="F","Female", orders[[#This Row],[Customer Gender]]="O","Other", TRUE,"Unknown")</f>
        <v>Female</v>
      </c>
    </row>
    <row r="2233" spans="1:15" x14ac:dyDescent="0.4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_xlfn.IFS(orders[[#This Row],[Customer Gender]]="M","Male", orders[[#This Row],[Customer Gender]]="F","Female", orders[[#This Row],[Customer Gender]]="O","Other", TRUE,"Unknown")</f>
        <v>Male</v>
      </c>
    </row>
    <row r="2234" spans="1:15" x14ac:dyDescent="0.4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_xlfn.IFS(orders[[#This Row],[Customer Gender]]="M","Male", orders[[#This Row],[Customer Gender]]="F","Female", orders[[#This Row],[Customer Gender]]="O","Other", TRUE,"Unknown")</f>
        <v>Female</v>
      </c>
    </row>
    <row r="2235" spans="1:15" x14ac:dyDescent="0.4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_xlfn.IFS(orders[[#This Row],[Customer Gender]]="M","Male", orders[[#This Row],[Customer Gender]]="F","Female", orders[[#This Row],[Customer Gender]]="O","Other", TRUE,"Unknown")</f>
        <v>Male</v>
      </c>
    </row>
    <row r="2236" spans="1:15" x14ac:dyDescent="0.4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_xlfn.IFS(orders[[#This Row],[Customer Gender]]="M","Male", orders[[#This Row],[Customer Gender]]="F","Female", orders[[#This Row],[Customer Gender]]="O","Other", TRUE,"Unknown")</f>
        <v>Female</v>
      </c>
    </row>
    <row r="2237" spans="1:15" x14ac:dyDescent="0.4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_xlfn.IFS(orders[[#This Row],[Customer Gender]]="M","Male", orders[[#This Row],[Customer Gender]]="F","Female", orders[[#This Row],[Customer Gender]]="O","Other", TRUE,"Unknown")</f>
        <v>Unknown</v>
      </c>
    </row>
    <row r="2238" spans="1:15" x14ac:dyDescent="0.4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_xlfn.IFS(orders[[#This Row],[Customer Gender]]="M","Male", orders[[#This Row],[Customer Gender]]="F","Female", orders[[#This Row],[Customer Gender]]="O","Other", TRUE,"Unknown")</f>
        <v>Female</v>
      </c>
    </row>
    <row r="2239" spans="1:15" x14ac:dyDescent="0.4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_xlfn.IFS(orders[[#This Row],[Customer Gender]]="M","Male", orders[[#This Row],[Customer Gender]]="F","Female", orders[[#This Row],[Customer Gender]]="O","Other", TRUE,"Unknown")</f>
        <v>Female</v>
      </c>
    </row>
    <row r="2240" spans="1:15" x14ac:dyDescent="0.4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_xlfn.IFS(orders[[#This Row],[Customer Gender]]="M","Male", orders[[#This Row],[Customer Gender]]="F","Female", orders[[#This Row],[Customer Gender]]="O","Other", TRUE,"Unknown")</f>
        <v>Male</v>
      </c>
    </row>
    <row r="2241" spans="1:15" x14ac:dyDescent="0.4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_xlfn.IFS(orders[[#This Row],[Customer Gender]]="M","Male", orders[[#This Row],[Customer Gender]]="F","Female", orders[[#This Row],[Customer Gender]]="O","Other", TRUE,"Unknown")</f>
        <v>Female</v>
      </c>
    </row>
    <row r="2242" spans="1:15" x14ac:dyDescent="0.4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_xlfn.IFS(orders[[#This Row],[Customer Gender]]="M","Male", orders[[#This Row],[Customer Gender]]="F","Female", orders[[#This Row],[Customer Gender]]="O","Other", TRUE,"Unknown")</f>
        <v>Female</v>
      </c>
    </row>
    <row r="2243" spans="1:15" x14ac:dyDescent="0.4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_xlfn.IFS(orders[[#This Row],[Customer Gender]]="M","Male", orders[[#This Row],[Customer Gender]]="F","Female", orders[[#This Row],[Customer Gender]]="O","Other", TRUE,"Unknown")</f>
        <v>Male</v>
      </c>
    </row>
    <row r="2244" spans="1:15" x14ac:dyDescent="0.4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_xlfn.IFS(orders[[#This Row],[Customer Gender]]="M","Male", orders[[#This Row],[Customer Gender]]="F","Female", orders[[#This Row],[Customer Gender]]="O","Other", TRUE,"Unknown")</f>
        <v>Male</v>
      </c>
    </row>
    <row r="2245" spans="1:15" x14ac:dyDescent="0.4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_xlfn.IFS(orders[[#This Row],[Customer Gender]]="M","Male", orders[[#This Row],[Customer Gender]]="F","Female", orders[[#This Row],[Customer Gender]]="O","Other", TRUE,"Unknown")</f>
        <v>Female</v>
      </c>
    </row>
    <row r="2246" spans="1:15" x14ac:dyDescent="0.4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_xlfn.IFS(orders[[#This Row],[Customer Gender]]="M","Male", orders[[#This Row],[Customer Gender]]="F","Female", orders[[#This Row],[Customer Gender]]="O","Other", TRUE,"Unknown")</f>
        <v>Male</v>
      </c>
    </row>
    <row r="2247" spans="1:15" x14ac:dyDescent="0.4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_xlfn.IFS(orders[[#This Row],[Customer Gender]]="M","Male", orders[[#This Row],[Customer Gender]]="F","Female", orders[[#This Row],[Customer Gender]]="O","Other", TRUE,"Unknown")</f>
        <v>Female</v>
      </c>
    </row>
    <row r="2248" spans="1:15" x14ac:dyDescent="0.4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_xlfn.IFS(orders[[#This Row],[Customer Gender]]="M","Male", orders[[#This Row],[Customer Gender]]="F","Female", orders[[#This Row],[Customer Gender]]="O","Other", TRUE,"Unknown")</f>
        <v>Female</v>
      </c>
    </row>
    <row r="2249" spans="1:15" x14ac:dyDescent="0.4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_xlfn.IFS(orders[[#This Row],[Customer Gender]]="M","Male", orders[[#This Row],[Customer Gender]]="F","Female", orders[[#This Row],[Customer Gender]]="O","Other", TRUE,"Unknown")</f>
        <v>Female</v>
      </c>
    </row>
    <row r="2250" spans="1:15" x14ac:dyDescent="0.4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_xlfn.IFS(orders[[#This Row],[Customer Gender]]="M","Male", orders[[#This Row],[Customer Gender]]="F","Female", orders[[#This Row],[Customer Gender]]="O","Other", TRUE,"Unknown")</f>
        <v>Male</v>
      </c>
    </row>
    <row r="2251" spans="1:15" x14ac:dyDescent="0.4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_xlfn.IFS(orders[[#This Row],[Customer Gender]]="M","Male", orders[[#This Row],[Customer Gender]]="F","Female", orders[[#This Row],[Customer Gender]]="O","Other", TRUE,"Unknown")</f>
        <v>Female</v>
      </c>
    </row>
    <row r="2252" spans="1:15" x14ac:dyDescent="0.4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_xlfn.IFS(orders[[#This Row],[Customer Gender]]="M","Male", orders[[#This Row],[Customer Gender]]="F","Female", orders[[#This Row],[Customer Gender]]="O","Other", TRUE,"Unknown")</f>
        <v>Female</v>
      </c>
    </row>
    <row r="2253" spans="1:15" x14ac:dyDescent="0.4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_xlfn.IFS(orders[[#This Row],[Customer Gender]]="M","Male", orders[[#This Row],[Customer Gender]]="F","Female", orders[[#This Row],[Customer Gender]]="O","Other", TRUE,"Unknown")</f>
        <v>Male</v>
      </c>
    </row>
    <row r="2254" spans="1:15" x14ac:dyDescent="0.4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_xlfn.IFS(orders[[#This Row],[Customer Gender]]="M","Male", orders[[#This Row],[Customer Gender]]="F","Female", orders[[#This Row],[Customer Gender]]="O","Other", TRUE,"Unknown")</f>
        <v>Male</v>
      </c>
    </row>
    <row r="2255" spans="1:15" x14ac:dyDescent="0.4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_xlfn.IFS(orders[[#This Row],[Customer Gender]]="M","Male", orders[[#This Row],[Customer Gender]]="F","Female", orders[[#This Row],[Customer Gender]]="O","Other", TRUE,"Unknown")</f>
        <v>Male</v>
      </c>
    </row>
    <row r="2256" spans="1:15" x14ac:dyDescent="0.4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_xlfn.IFS(orders[[#This Row],[Customer Gender]]="M","Male", orders[[#This Row],[Customer Gender]]="F","Female", orders[[#This Row],[Customer Gender]]="O","Other", TRUE,"Unknown")</f>
        <v>Female</v>
      </c>
    </row>
    <row r="2257" spans="1:15" x14ac:dyDescent="0.4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_xlfn.IFS(orders[[#This Row],[Customer Gender]]="M","Male", orders[[#This Row],[Customer Gender]]="F","Female", orders[[#This Row],[Customer Gender]]="O","Other", TRUE,"Unknown")</f>
        <v>Female</v>
      </c>
    </row>
    <row r="2258" spans="1:15" x14ac:dyDescent="0.4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_xlfn.IFS(orders[[#This Row],[Customer Gender]]="M","Male", orders[[#This Row],[Customer Gender]]="F","Female", orders[[#This Row],[Customer Gender]]="O","Other", TRUE,"Unknown")</f>
        <v>Male</v>
      </c>
    </row>
    <row r="2259" spans="1:15" x14ac:dyDescent="0.4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_xlfn.IFS(orders[[#This Row],[Customer Gender]]="M","Male", orders[[#This Row],[Customer Gender]]="F","Female", orders[[#This Row],[Customer Gender]]="O","Other", TRUE,"Unknown")</f>
        <v>Female</v>
      </c>
    </row>
    <row r="2260" spans="1:15" x14ac:dyDescent="0.4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_xlfn.IFS(orders[[#This Row],[Customer Gender]]="M","Male", orders[[#This Row],[Customer Gender]]="F","Female", orders[[#This Row],[Customer Gender]]="O","Other", TRUE,"Unknown")</f>
        <v>Female</v>
      </c>
    </row>
    <row r="2261" spans="1:15" x14ac:dyDescent="0.4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_xlfn.IFS(orders[[#This Row],[Customer Gender]]="M","Male", orders[[#This Row],[Customer Gender]]="F","Female", orders[[#This Row],[Customer Gender]]="O","Other", TRUE,"Unknown")</f>
        <v>Female</v>
      </c>
    </row>
    <row r="2262" spans="1:15" x14ac:dyDescent="0.4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_xlfn.IFS(orders[[#This Row],[Customer Gender]]="M","Male", orders[[#This Row],[Customer Gender]]="F","Female", orders[[#This Row],[Customer Gender]]="O","Other", TRUE,"Unknown")</f>
        <v>Female</v>
      </c>
    </row>
    <row r="2263" spans="1:15" x14ac:dyDescent="0.4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_xlfn.IFS(orders[[#This Row],[Customer Gender]]="M","Male", orders[[#This Row],[Customer Gender]]="F","Female", orders[[#This Row],[Customer Gender]]="O","Other", TRUE,"Unknown")</f>
        <v>Male</v>
      </c>
    </row>
    <row r="2264" spans="1:15" x14ac:dyDescent="0.4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_xlfn.IFS(orders[[#This Row],[Customer Gender]]="M","Male", orders[[#This Row],[Customer Gender]]="F","Female", orders[[#This Row],[Customer Gender]]="O","Other", TRUE,"Unknown")</f>
        <v>Male</v>
      </c>
    </row>
    <row r="2265" spans="1:15" x14ac:dyDescent="0.4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_xlfn.IFS(orders[[#This Row],[Customer Gender]]="M","Male", orders[[#This Row],[Customer Gender]]="F","Female", orders[[#This Row],[Customer Gender]]="O","Other", TRUE,"Unknown")</f>
        <v>Male</v>
      </c>
    </row>
    <row r="2266" spans="1:15" x14ac:dyDescent="0.4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_xlfn.IFS(orders[[#This Row],[Customer Gender]]="M","Male", orders[[#This Row],[Customer Gender]]="F","Female", orders[[#This Row],[Customer Gender]]="O","Other", TRUE,"Unknown")</f>
        <v>Male</v>
      </c>
    </row>
    <row r="2267" spans="1:15" x14ac:dyDescent="0.4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_xlfn.IFS(orders[[#This Row],[Customer Gender]]="M","Male", orders[[#This Row],[Customer Gender]]="F","Female", orders[[#This Row],[Customer Gender]]="O","Other", TRUE,"Unknown")</f>
        <v>Other</v>
      </c>
    </row>
    <row r="2268" spans="1:15" x14ac:dyDescent="0.4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_xlfn.IFS(orders[[#This Row],[Customer Gender]]="M","Male", orders[[#This Row],[Customer Gender]]="F","Female", orders[[#This Row],[Customer Gender]]="O","Other", TRUE,"Unknown")</f>
        <v>Female</v>
      </c>
    </row>
    <row r="2269" spans="1:15" x14ac:dyDescent="0.4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_xlfn.IFS(orders[[#This Row],[Customer Gender]]="M","Male", orders[[#This Row],[Customer Gender]]="F","Female", orders[[#This Row],[Customer Gender]]="O","Other", TRUE,"Unknown")</f>
        <v>Female</v>
      </c>
    </row>
    <row r="2270" spans="1:15" x14ac:dyDescent="0.4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_xlfn.IFS(orders[[#This Row],[Customer Gender]]="M","Male", orders[[#This Row],[Customer Gender]]="F","Female", orders[[#This Row],[Customer Gender]]="O","Other", TRUE,"Unknown")</f>
        <v>Female</v>
      </c>
    </row>
    <row r="2271" spans="1:15" x14ac:dyDescent="0.4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_xlfn.IFS(orders[[#This Row],[Customer Gender]]="M","Male", orders[[#This Row],[Customer Gender]]="F","Female", orders[[#This Row],[Customer Gender]]="O","Other", TRUE,"Unknown")</f>
        <v>Female</v>
      </c>
    </row>
    <row r="2272" spans="1:15" x14ac:dyDescent="0.4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_xlfn.IFS(orders[[#This Row],[Customer Gender]]="M","Male", orders[[#This Row],[Customer Gender]]="F","Female", orders[[#This Row],[Customer Gender]]="O","Other", TRUE,"Unknown")</f>
        <v>Female</v>
      </c>
    </row>
    <row r="2273" spans="1:15" x14ac:dyDescent="0.4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_xlfn.IFS(orders[[#This Row],[Customer Gender]]="M","Male", orders[[#This Row],[Customer Gender]]="F","Female", orders[[#This Row],[Customer Gender]]="O","Other", TRUE,"Unknown")</f>
        <v>Female</v>
      </c>
    </row>
    <row r="2274" spans="1:15" x14ac:dyDescent="0.4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_xlfn.IFS(orders[[#This Row],[Customer Gender]]="M","Male", orders[[#This Row],[Customer Gender]]="F","Female", orders[[#This Row],[Customer Gender]]="O","Other", TRUE,"Unknown")</f>
        <v>Female</v>
      </c>
    </row>
    <row r="2275" spans="1:15" x14ac:dyDescent="0.4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_xlfn.IFS(orders[[#This Row],[Customer Gender]]="M","Male", orders[[#This Row],[Customer Gender]]="F","Female", orders[[#This Row],[Customer Gender]]="O","Other", TRUE,"Unknown")</f>
        <v>Male</v>
      </c>
    </row>
    <row r="2276" spans="1:15" x14ac:dyDescent="0.4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_xlfn.IFS(orders[[#This Row],[Customer Gender]]="M","Male", orders[[#This Row],[Customer Gender]]="F","Female", orders[[#This Row],[Customer Gender]]="O","Other", TRUE,"Unknown")</f>
        <v>Male</v>
      </c>
    </row>
    <row r="2277" spans="1:15" x14ac:dyDescent="0.4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_xlfn.IFS(orders[[#This Row],[Customer Gender]]="M","Male", orders[[#This Row],[Customer Gender]]="F","Female", orders[[#This Row],[Customer Gender]]="O","Other", TRUE,"Unknown")</f>
        <v>Unknown</v>
      </c>
    </row>
    <row r="2278" spans="1:15" x14ac:dyDescent="0.4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_xlfn.IFS(orders[[#This Row],[Customer Gender]]="M","Male", orders[[#This Row],[Customer Gender]]="F","Female", orders[[#This Row],[Customer Gender]]="O","Other", TRUE,"Unknown")</f>
        <v>Female</v>
      </c>
    </row>
    <row r="2279" spans="1:15" x14ac:dyDescent="0.4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_xlfn.IFS(orders[[#This Row],[Customer Gender]]="M","Male", orders[[#This Row],[Customer Gender]]="F","Female", orders[[#This Row],[Customer Gender]]="O","Other", TRUE,"Unknown")</f>
        <v>Male</v>
      </c>
    </row>
    <row r="2280" spans="1:15" x14ac:dyDescent="0.4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_xlfn.IFS(orders[[#This Row],[Customer Gender]]="M","Male", orders[[#This Row],[Customer Gender]]="F","Female", orders[[#This Row],[Customer Gender]]="O","Other", TRUE,"Unknown")</f>
        <v>Male</v>
      </c>
    </row>
    <row r="2281" spans="1:15" x14ac:dyDescent="0.4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_xlfn.IFS(orders[[#This Row],[Customer Gender]]="M","Male", orders[[#This Row],[Customer Gender]]="F","Female", orders[[#This Row],[Customer Gender]]="O","Other", TRUE,"Unknown")</f>
        <v>Male</v>
      </c>
    </row>
    <row r="2282" spans="1:15" x14ac:dyDescent="0.4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_xlfn.IFS(orders[[#This Row],[Customer Gender]]="M","Male", orders[[#This Row],[Customer Gender]]="F","Female", orders[[#This Row],[Customer Gender]]="O","Other", TRUE,"Unknown")</f>
        <v>Male</v>
      </c>
    </row>
    <row r="2283" spans="1:15" x14ac:dyDescent="0.4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_xlfn.IFS(orders[[#This Row],[Customer Gender]]="M","Male", orders[[#This Row],[Customer Gender]]="F","Female", orders[[#This Row],[Customer Gender]]="O","Other", TRUE,"Unknown")</f>
        <v>Female</v>
      </c>
    </row>
    <row r="2284" spans="1:15" x14ac:dyDescent="0.4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_xlfn.IFS(orders[[#This Row],[Customer Gender]]="M","Male", orders[[#This Row],[Customer Gender]]="F","Female", orders[[#This Row],[Customer Gender]]="O","Other", TRUE,"Unknown")</f>
        <v>Female</v>
      </c>
    </row>
    <row r="2285" spans="1:15" x14ac:dyDescent="0.4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_xlfn.IFS(orders[[#This Row],[Customer Gender]]="M","Male", orders[[#This Row],[Customer Gender]]="F","Female", orders[[#This Row],[Customer Gender]]="O","Other", TRUE,"Unknown")</f>
        <v>Male</v>
      </c>
    </row>
    <row r="2286" spans="1:15" x14ac:dyDescent="0.4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_xlfn.IFS(orders[[#This Row],[Customer Gender]]="M","Male", orders[[#This Row],[Customer Gender]]="F","Female", orders[[#This Row],[Customer Gender]]="O","Other", TRUE,"Unknown")</f>
        <v>Male</v>
      </c>
    </row>
    <row r="2287" spans="1:15" x14ac:dyDescent="0.4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_xlfn.IFS(orders[[#This Row],[Customer Gender]]="M","Male", orders[[#This Row],[Customer Gender]]="F","Female", orders[[#This Row],[Customer Gender]]="O","Other", TRUE,"Unknown")</f>
        <v>Male</v>
      </c>
    </row>
    <row r="2288" spans="1:15" x14ac:dyDescent="0.4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_xlfn.IFS(orders[[#This Row],[Customer Gender]]="M","Male", orders[[#This Row],[Customer Gender]]="F","Female", orders[[#This Row],[Customer Gender]]="O","Other", TRUE,"Unknown")</f>
        <v>Male</v>
      </c>
    </row>
    <row r="2289" spans="1:15" x14ac:dyDescent="0.4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_xlfn.IFS(orders[[#This Row],[Customer Gender]]="M","Male", orders[[#This Row],[Customer Gender]]="F","Female", orders[[#This Row],[Customer Gender]]="O","Other", TRUE,"Unknown")</f>
        <v>Male</v>
      </c>
    </row>
    <row r="2290" spans="1:15" x14ac:dyDescent="0.4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_xlfn.IFS(orders[[#This Row],[Customer Gender]]="M","Male", orders[[#This Row],[Customer Gender]]="F","Female", orders[[#This Row],[Customer Gender]]="O","Other", TRUE,"Unknown")</f>
        <v>Other</v>
      </c>
    </row>
    <row r="2291" spans="1:15" x14ac:dyDescent="0.4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_xlfn.IFS(orders[[#This Row],[Customer Gender]]="M","Male", orders[[#This Row],[Customer Gender]]="F","Female", orders[[#This Row],[Customer Gender]]="O","Other", TRUE,"Unknown")</f>
        <v>Male</v>
      </c>
    </row>
    <row r="2292" spans="1:15" x14ac:dyDescent="0.4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_xlfn.IFS(orders[[#This Row],[Customer Gender]]="M","Male", orders[[#This Row],[Customer Gender]]="F","Female", orders[[#This Row],[Customer Gender]]="O","Other", TRUE,"Unknown")</f>
        <v>Male</v>
      </c>
    </row>
    <row r="2293" spans="1:15" x14ac:dyDescent="0.4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_xlfn.IFS(orders[[#This Row],[Customer Gender]]="M","Male", orders[[#This Row],[Customer Gender]]="F","Female", orders[[#This Row],[Customer Gender]]="O","Other", TRUE,"Unknown")</f>
        <v>Female</v>
      </c>
    </row>
    <row r="2294" spans="1:15" x14ac:dyDescent="0.4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_xlfn.IFS(orders[[#This Row],[Customer Gender]]="M","Male", orders[[#This Row],[Customer Gender]]="F","Female", orders[[#This Row],[Customer Gender]]="O","Other", TRUE,"Unknown")</f>
        <v>Male</v>
      </c>
    </row>
    <row r="2295" spans="1:15" x14ac:dyDescent="0.4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_xlfn.IFS(orders[[#This Row],[Customer Gender]]="M","Male", orders[[#This Row],[Customer Gender]]="F","Female", orders[[#This Row],[Customer Gender]]="O","Other", TRUE,"Unknown")</f>
        <v>Other</v>
      </c>
    </row>
    <row r="2296" spans="1:15" x14ac:dyDescent="0.4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_xlfn.IFS(orders[[#This Row],[Customer Gender]]="M","Male", orders[[#This Row],[Customer Gender]]="F","Female", orders[[#This Row],[Customer Gender]]="O","Other", TRUE,"Unknown")</f>
        <v>Male</v>
      </c>
    </row>
    <row r="2297" spans="1:15" x14ac:dyDescent="0.4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_xlfn.IFS(orders[[#This Row],[Customer Gender]]="M","Male", orders[[#This Row],[Customer Gender]]="F","Female", orders[[#This Row],[Customer Gender]]="O","Other", TRUE,"Unknown")</f>
        <v>Female</v>
      </c>
    </row>
    <row r="2298" spans="1:15" x14ac:dyDescent="0.4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_xlfn.IFS(orders[[#This Row],[Customer Gender]]="M","Male", orders[[#This Row],[Customer Gender]]="F","Female", orders[[#This Row],[Customer Gender]]="O","Other", TRUE,"Unknown")</f>
        <v>Male</v>
      </c>
    </row>
    <row r="2299" spans="1:15" x14ac:dyDescent="0.4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_xlfn.IFS(orders[[#This Row],[Customer Gender]]="M","Male", orders[[#This Row],[Customer Gender]]="F","Female", orders[[#This Row],[Customer Gender]]="O","Other", TRUE,"Unknown")</f>
        <v>Male</v>
      </c>
    </row>
    <row r="2300" spans="1:15" x14ac:dyDescent="0.4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_xlfn.IFS(orders[[#This Row],[Customer Gender]]="M","Male", orders[[#This Row],[Customer Gender]]="F","Female", orders[[#This Row],[Customer Gender]]="O","Other", TRUE,"Unknown")</f>
        <v>Male</v>
      </c>
    </row>
    <row r="2301" spans="1:15" x14ac:dyDescent="0.4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_xlfn.IFS(orders[[#This Row],[Customer Gender]]="M","Male", orders[[#This Row],[Customer Gender]]="F","Female", orders[[#This Row],[Customer Gender]]="O","Other", TRUE,"Unknown")</f>
        <v>Female</v>
      </c>
    </row>
    <row r="2302" spans="1:15" x14ac:dyDescent="0.4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_xlfn.IFS(orders[[#This Row],[Customer Gender]]="M","Male", orders[[#This Row],[Customer Gender]]="F","Female", orders[[#This Row],[Customer Gender]]="O","Other", TRUE,"Unknown")</f>
        <v>Male</v>
      </c>
    </row>
    <row r="2303" spans="1:15" x14ac:dyDescent="0.4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_xlfn.IFS(orders[[#This Row],[Customer Gender]]="M","Male", orders[[#This Row],[Customer Gender]]="F","Female", orders[[#This Row],[Customer Gender]]="O","Other", TRUE,"Unknown")</f>
        <v>Male</v>
      </c>
    </row>
    <row r="2304" spans="1:15" x14ac:dyDescent="0.4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_xlfn.IFS(orders[[#This Row],[Customer Gender]]="M","Male", orders[[#This Row],[Customer Gender]]="F","Female", orders[[#This Row],[Customer Gender]]="O","Other", TRUE,"Unknown")</f>
        <v>Male</v>
      </c>
    </row>
    <row r="2305" spans="1:15" x14ac:dyDescent="0.4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_xlfn.IFS(orders[[#This Row],[Customer Gender]]="M","Male", orders[[#This Row],[Customer Gender]]="F","Female", orders[[#This Row],[Customer Gender]]="O","Other", TRUE,"Unknown")</f>
        <v>Female</v>
      </c>
    </row>
    <row r="2306" spans="1:15" x14ac:dyDescent="0.4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_xlfn.IFS(orders[[#This Row],[Customer Gender]]="M","Male", orders[[#This Row],[Customer Gender]]="F","Female", orders[[#This Row],[Customer Gender]]="O","Other", TRUE,"Unknown")</f>
        <v>Female</v>
      </c>
    </row>
    <row r="2307" spans="1:15" x14ac:dyDescent="0.4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_xlfn.IFS(orders[[#This Row],[Customer Gender]]="M","Male", orders[[#This Row],[Customer Gender]]="F","Female", orders[[#This Row],[Customer Gender]]="O","Other", TRUE,"Unknown")</f>
        <v>Male</v>
      </c>
    </row>
    <row r="2308" spans="1:15" x14ac:dyDescent="0.4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_xlfn.IFS(orders[[#This Row],[Customer Gender]]="M","Male", orders[[#This Row],[Customer Gender]]="F","Female", orders[[#This Row],[Customer Gender]]="O","Other", TRUE,"Unknown")</f>
        <v>Female</v>
      </c>
    </row>
    <row r="2309" spans="1:15" x14ac:dyDescent="0.4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_xlfn.IFS(orders[[#This Row],[Customer Gender]]="M","Male", orders[[#This Row],[Customer Gender]]="F","Female", orders[[#This Row],[Customer Gender]]="O","Other", TRUE,"Unknown")</f>
        <v>Unknown</v>
      </c>
    </row>
    <row r="2310" spans="1:15" x14ac:dyDescent="0.4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_xlfn.IFS(orders[[#This Row],[Customer Gender]]="M","Male", orders[[#This Row],[Customer Gender]]="F","Female", orders[[#This Row],[Customer Gender]]="O","Other", TRUE,"Unknown")</f>
        <v>Male</v>
      </c>
    </row>
    <row r="2311" spans="1:15" x14ac:dyDescent="0.4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_xlfn.IFS(orders[[#This Row],[Customer Gender]]="M","Male", orders[[#This Row],[Customer Gender]]="F","Female", orders[[#This Row],[Customer Gender]]="O","Other", TRUE,"Unknown")</f>
        <v>Male</v>
      </c>
    </row>
    <row r="2312" spans="1:15" x14ac:dyDescent="0.4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_xlfn.IFS(orders[[#This Row],[Customer Gender]]="M","Male", orders[[#This Row],[Customer Gender]]="F","Female", orders[[#This Row],[Customer Gender]]="O","Other", TRUE,"Unknown")</f>
        <v>Male</v>
      </c>
    </row>
    <row r="2313" spans="1:15" x14ac:dyDescent="0.4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_xlfn.IFS(orders[[#This Row],[Customer Gender]]="M","Male", orders[[#This Row],[Customer Gender]]="F","Female", orders[[#This Row],[Customer Gender]]="O","Other", TRUE,"Unknown")</f>
        <v>Female</v>
      </c>
    </row>
    <row r="2314" spans="1:15" x14ac:dyDescent="0.4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_xlfn.IFS(orders[[#This Row],[Customer Gender]]="M","Male", orders[[#This Row],[Customer Gender]]="F","Female", orders[[#This Row],[Customer Gender]]="O","Other", TRUE,"Unknown")</f>
        <v>Female</v>
      </c>
    </row>
    <row r="2315" spans="1:15" x14ac:dyDescent="0.4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_xlfn.IFS(orders[[#This Row],[Customer Gender]]="M","Male", orders[[#This Row],[Customer Gender]]="F","Female", orders[[#This Row],[Customer Gender]]="O","Other", TRUE,"Unknown")</f>
        <v>Female</v>
      </c>
    </row>
    <row r="2316" spans="1:15" x14ac:dyDescent="0.4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_xlfn.IFS(orders[[#This Row],[Customer Gender]]="M","Male", orders[[#This Row],[Customer Gender]]="F","Female", orders[[#This Row],[Customer Gender]]="O","Other", TRUE,"Unknown")</f>
        <v>Female</v>
      </c>
    </row>
    <row r="2317" spans="1:15" x14ac:dyDescent="0.4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_xlfn.IFS(orders[[#This Row],[Customer Gender]]="M","Male", orders[[#This Row],[Customer Gender]]="F","Female", orders[[#This Row],[Customer Gender]]="O","Other", TRUE,"Unknown")</f>
        <v>Female</v>
      </c>
    </row>
    <row r="2318" spans="1:15" x14ac:dyDescent="0.4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_xlfn.IFS(orders[[#This Row],[Customer Gender]]="M","Male", orders[[#This Row],[Customer Gender]]="F","Female", orders[[#This Row],[Customer Gender]]="O","Other", TRUE,"Unknown")</f>
        <v>Male</v>
      </c>
    </row>
    <row r="2319" spans="1:15" x14ac:dyDescent="0.4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_xlfn.IFS(orders[[#This Row],[Customer Gender]]="M","Male", orders[[#This Row],[Customer Gender]]="F","Female", orders[[#This Row],[Customer Gender]]="O","Other", TRUE,"Unknown")</f>
        <v>Unknown</v>
      </c>
    </row>
    <row r="2320" spans="1:15" x14ac:dyDescent="0.4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_xlfn.IFS(orders[[#This Row],[Customer Gender]]="M","Male", orders[[#This Row],[Customer Gender]]="F","Female", orders[[#This Row],[Customer Gender]]="O","Other", TRUE,"Unknown")</f>
        <v>Unknown</v>
      </c>
    </row>
    <row r="2321" spans="1:15" x14ac:dyDescent="0.4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_xlfn.IFS(orders[[#This Row],[Customer Gender]]="M","Male", orders[[#This Row],[Customer Gender]]="F","Female", orders[[#This Row],[Customer Gender]]="O","Other", TRUE,"Unknown")</f>
        <v>Male</v>
      </c>
    </row>
    <row r="2322" spans="1:15" x14ac:dyDescent="0.4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_xlfn.IFS(orders[[#This Row],[Customer Gender]]="M","Male", orders[[#This Row],[Customer Gender]]="F","Female", orders[[#This Row],[Customer Gender]]="O","Other", TRUE,"Unknown")</f>
        <v>Female</v>
      </c>
    </row>
    <row r="2323" spans="1:15" x14ac:dyDescent="0.4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_xlfn.IFS(orders[[#This Row],[Customer Gender]]="M","Male", orders[[#This Row],[Customer Gender]]="F","Female", orders[[#This Row],[Customer Gender]]="O","Other", TRUE,"Unknown")</f>
        <v>Female</v>
      </c>
    </row>
    <row r="2324" spans="1:15" x14ac:dyDescent="0.4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_xlfn.IFS(orders[[#This Row],[Customer Gender]]="M","Male", orders[[#This Row],[Customer Gender]]="F","Female", orders[[#This Row],[Customer Gender]]="O","Other", TRUE,"Unknown")</f>
        <v>Female</v>
      </c>
    </row>
    <row r="2325" spans="1:15" x14ac:dyDescent="0.4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_xlfn.IFS(orders[[#This Row],[Customer Gender]]="M","Male", orders[[#This Row],[Customer Gender]]="F","Female", orders[[#This Row],[Customer Gender]]="O","Other", TRUE,"Unknown")</f>
        <v>Male</v>
      </c>
    </row>
    <row r="2326" spans="1:15" x14ac:dyDescent="0.4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_xlfn.IFS(orders[[#This Row],[Customer Gender]]="M","Male", orders[[#This Row],[Customer Gender]]="F","Female", orders[[#This Row],[Customer Gender]]="O","Other", TRUE,"Unknown")</f>
        <v>Female</v>
      </c>
    </row>
    <row r="2327" spans="1:15" x14ac:dyDescent="0.4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_xlfn.IFS(orders[[#This Row],[Customer Gender]]="M","Male", orders[[#This Row],[Customer Gender]]="F","Female", orders[[#This Row],[Customer Gender]]="O","Other", TRUE,"Unknown")</f>
        <v>Female</v>
      </c>
    </row>
    <row r="2328" spans="1:15" x14ac:dyDescent="0.4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_xlfn.IFS(orders[[#This Row],[Customer Gender]]="M","Male", orders[[#This Row],[Customer Gender]]="F","Female", orders[[#This Row],[Customer Gender]]="O","Other", TRUE,"Unknown")</f>
        <v>Female</v>
      </c>
    </row>
    <row r="2329" spans="1:15" x14ac:dyDescent="0.4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_xlfn.IFS(orders[[#This Row],[Customer Gender]]="M","Male", orders[[#This Row],[Customer Gender]]="F","Female", orders[[#This Row],[Customer Gender]]="O","Other", TRUE,"Unknown")</f>
        <v>Female</v>
      </c>
    </row>
    <row r="2330" spans="1:15" x14ac:dyDescent="0.4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_xlfn.IFS(orders[[#This Row],[Customer Gender]]="M","Male", orders[[#This Row],[Customer Gender]]="F","Female", orders[[#This Row],[Customer Gender]]="O","Other", TRUE,"Unknown")</f>
        <v>Female</v>
      </c>
    </row>
    <row r="2331" spans="1:15" x14ac:dyDescent="0.4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_xlfn.IFS(orders[[#This Row],[Customer Gender]]="M","Male", orders[[#This Row],[Customer Gender]]="F","Female", orders[[#This Row],[Customer Gender]]="O","Other", TRUE,"Unknown")</f>
        <v>Male</v>
      </c>
    </row>
    <row r="2332" spans="1:15" x14ac:dyDescent="0.4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_xlfn.IFS(orders[[#This Row],[Customer Gender]]="M","Male", orders[[#This Row],[Customer Gender]]="F","Female", orders[[#This Row],[Customer Gender]]="O","Other", TRUE,"Unknown")</f>
        <v>Male</v>
      </c>
    </row>
    <row r="2333" spans="1:15" x14ac:dyDescent="0.4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_xlfn.IFS(orders[[#This Row],[Customer Gender]]="M","Male", orders[[#This Row],[Customer Gender]]="F","Female", orders[[#This Row],[Customer Gender]]="O","Other", TRUE,"Unknown")</f>
        <v>Female</v>
      </c>
    </row>
    <row r="2334" spans="1:15" x14ac:dyDescent="0.4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_xlfn.IFS(orders[[#This Row],[Customer Gender]]="M","Male", orders[[#This Row],[Customer Gender]]="F","Female", orders[[#This Row],[Customer Gender]]="O","Other", TRUE,"Unknown")</f>
        <v>Male</v>
      </c>
    </row>
    <row r="2335" spans="1:15" x14ac:dyDescent="0.4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_xlfn.IFS(orders[[#This Row],[Customer Gender]]="M","Male", orders[[#This Row],[Customer Gender]]="F","Female", orders[[#This Row],[Customer Gender]]="O","Other", TRUE,"Unknown")</f>
        <v>Female</v>
      </c>
    </row>
    <row r="2336" spans="1:15" x14ac:dyDescent="0.4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_xlfn.IFS(orders[[#This Row],[Customer Gender]]="M","Male", orders[[#This Row],[Customer Gender]]="F","Female", orders[[#This Row],[Customer Gender]]="O","Other", TRUE,"Unknown")</f>
        <v>Male</v>
      </c>
    </row>
    <row r="2337" spans="1:15" x14ac:dyDescent="0.4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_xlfn.IFS(orders[[#This Row],[Customer Gender]]="M","Male", orders[[#This Row],[Customer Gender]]="F","Female", orders[[#This Row],[Customer Gender]]="O","Other", TRUE,"Unknown")</f>
        <v>Male</v>
      </c>
    </row>
    <row r="2338" spans="1:15" x14ac:dyDescent="0.4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_xlfn.IFS(orders[[#This Row],[Customer Gender]]="M","Male", orders[[#This Row],[Customer Gender]]="F","Female", orders[[#This Row],[Customer Gender]]="O","Other", TRUE,"Unknown")</f>
        <v>Female</v>
      </c>
    </row>
    <row r="2339" spans="1:15" x14ac:dyDescent="0.4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_xlfn.IFS(orders[[#This Row],[Customer Gender]]="M","Male", orders[[#This Row],[Customer Gender]]="F","Female", orders[[#This Row],[Customer Gender]]="O","Other", TRUE,"Unknown")</f>
        <v>Male</v>
      </c>
    </row>
    <row r="2340" spans="1:15" x14ac:dyDescent="0.4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_xlfn.IFS(orders[[#This Row],[Customer Gender]]="M","Male", orders[[#This Row],[Customer Gender]]="F","Female", orders[[#This Row],[Customer Gender]]="O","Other", TRUE,"Unknown")</f>
        <v>Male</v>
      </c>
    </row>
    <row r="2341" spans="1:15" x14ac:dyDescent="0.4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_xlfn.IFS(orders[[#This Row],[Customer Gender]]="M","Male", orders[[#This Row],[Customer Gender]]="F","Female", orders[[#This Row],[Customer Gender]]="O","Other", TRUE,"Unknown")</f>
        <v>Male</v>
      </c>
    </row>
    <row r="2342" spans="1:15" x14ac:dyDescent="0.4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_xlfn.IFS(orders[[#This Row],[Customer Gender]]="M","Male", orders[[#This Row],[Customer Gender]]="F","Female", orders[[#This Row],[Customer Gender]]="O","Other", TRUE,"Unknown")</f>
        <v>Male</v>
      </c>
    </row>
    <row r="2343" spans="1:15" x14ac:dyDescent="0.4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_xlfn.IFS(orders[[#This Row],[Customer Gender]]="M","Male", orders[[#This Row],[Customer Gender]]="F","Female", orders[[#This Row],[Customer Gender]]="O","Other", TRUE,"Unknown")</f>
        <v>Female</v>
      </c>
    </row>
    <row r="2344" spans="1:15" x14ac:dyDescent="0.4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_xlfn.IFS(orders[[#This Row],[Customer Gender]]="M","Male", orders[[#This Row],[Customer Gender]]="F","Female", orders[[#This Row],[Customer Gender]]="O","Other", TRUE,"Unknown")</f>
        <v>Male</v>
      </c>
    </row>
    <row r="2345" spans="1:15" x14ac:dyDescent="0.4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_xlfn.IFS(orders[[#This Row],[Customer Gender]]="M","Male", orders[[#This Row],[Customer Gender]]="F","Female", orders[[#This Row],[Customer Gender]]="O","Other", TRUE,"Unknown")</f>
        <v>Other</v>
      </c>
    </row>
    <row r="2346" spans="1:15" x14ac:dyDescent="0.4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_xlfn.IFS(orders[[#This Row],[Customer Gender]]="M","Male", orders[[#This Row],[Customer Gender]]="F","Female", orders[[#This Row],[Customer Gender]]="O","Other", TRUE,"Unknown")</f>
        <v>Female</v>
      </c>
    </row>
    <row r="2347" spans="1:15" x14ac:dyDescent="0.4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_xlfn.IFS(orders[[#This Row],[Customer Gender]]="M","Male", orders[[#This Row],[Customer Gender]]="F","Female", orders[[#This Row],[Customer Gender]]="O","Other", TRUE,"Unknown")</f>
        <v>Female</v>
      </c>
    </row>
    <row r="2348" spans="1:15" x14ac:dyDescent="0.4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_xlfn.IFS(orders[[#This Row],[Customer Gender]]="M","Male", orders[[#This Row],[Customer Gender]]="F","Female", orders[[#This Row],[Customer Gender]]="O","Other", TRUE,"Unknown")</f>
        <v>Female</v>
      </c>
    </row>
    <row r="2349" spans="1:15" x14ac:dyDescent="0.4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_xlfn.IFS(orders[[#This Row],[Customer Gender]]="M","Male", orders[[#This Row],[Customer Gender]]="F","Female", orders[[#This Row],[Customer Gender]]="O","Other", TRUE,"Unknown")</f>
        <v>Female</v>
      </c>
    </row>
    <row r="2350" spans="1:15" x14ac:dyDescent="0.4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_xlfn.IFS(orders[[#This Row],[Customer Gender]]="M","Male", orders[[#This Row],[Customer Gender]]="F","Female", orders[[#This Row],[Customer Gender]]="O","Other", TRUE,"Unknown")</f>
        <v>Other</v>
      </c>
    </row>
    <row r="2351" spans="1:15" x14ac:dyDescent="0.4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_xlfn.IFS(orders[[#This Row],[Customer Gender]]="M","Male", orders[[#This Row],[Customer Gender]]="F","Female", orders[[#This Row],[Customer Gender]]="O","Other", TRUE,"Unknown")</f>
        <v>Female</v>
      </c>
    </row>
    <row r="2352" spans="1:15" x14ac:dyDescent="0.4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_xlfn.IFS(orders[[#This Row],[Customer Gender]]="M","Male", orders[[#This Row],[Customer Gender]]="F","Female", orders[[#This Row],[Customer Gender]]="O","Other", TRUE,"Unknown")</f>
        <v>Female</v>
      </c>
    </row>
    <row r="2353" spans="1:15" x14ac:dyDescent="0.4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_xlfn.IFS(orders[[#This Row],[Customer Gender]]="M","Male", orders[[#This Row],[Customer Gender]]="F","Female", orders[[#This Row],[Customer Gender]]="O","Other", TRUE,"Unknown")</f>
        <v>Female</v>
      </c>
    </row>
    <row r="2354" spans="1:15" x14ac:dyDescent="0.4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_xlfn.IFS(orders[[#This Row],[Customer Gender]]="M","Male", orders[[#This Row],[Customer Gender]]="F","Female", orders[[#This Row],[Customer Gender]]="O","Other", TRUE,"Unknown")</f>
        <v>Female</v>
      </c>
    </row>
    <row r="2355" spans="1:15" x14ac:dyDescent="0.4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_xlfn.IFS(orders[[#This Row],[Customer Gender]]="M","Male", orders[[#This Row],[Customer Gender]]="F","Female", orders[[#This Row],[Customer Gender]]="O","Other", TRUE,"Unknown")</f>
        <v>Unknown</v>
      </c>
    </row>
    <row r="2356" spans="1:15" x14ac:dyDescent="0.4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_xlfn.IFS(orders[[#This Row],[Customer Gender]]="M","Male", orders[[#This Row],[Customer Gender]]="F","Female", orders[[#This Row],[Customer Gender]]="O","Other", TRUE,"Unknown")</f>
        <v>Female</v>
      </c>
    </row>
    <row r="2357" spans="1:15" x14ac:dyDescent="0.4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_xlfn.IFS(orders[[#This Row],[Customer Gender]]="M","Male", orders[[#This Row],[Customer Gender]]="F","Female", orders[[#This Row],[Customer Gender]]="O","Other", TRUE,"Unknown")</f>
        <v>Female</v>
      </c>
    </row>
    <row r="2358" spans="1:15" x14ac:dyDescent="0.4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_xlfn.IFS(orders[[#This Row],[Customer Gender]]="M","Male", orders[[#This Row],[Customer Gender]]="F","Female", orders[[#This Row],[Customer Gender]]="O","Other", TRUE,"Unknown")</f>
        <v>Female</v>
      </c>
    </row>
    <row r="2359" spans="1:15" x14ac:dyDescent="0.4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_xlfn.IFS(orders[[#This Row],[Customer Gender]]="M","Male", orders[[#This Row],[Customer Gender]]="F","Female", orders[[#This Row],[Customer Gender]]="O","Other", TRUE,"Unknown")</f>
        <v>Male</v>
      </c>
    </row>
    <row r="2360" spans="1:15" x14ac:dyDescent="0.4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_xlfn.IFS(orders[[#This Row],[Customer Gender]]="M","Male", orders[[#This Row],[Customer Gender]]="F","Female", orders[[#This Row],[Customer Gender]]="O","Other", TRUE,"Unknown")</f>
        <v>Male</v>
      </c>
    </row>
    <row r="2361" spans="1:15" x14ac:dyDescent="0.4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_xlfn.IFS(orders[[#This Row],[Customer Gender]]="M","Male", orders[[#This Row],[Customer Gender]]="F","Female", orders[[#This Row],[Customer Gender]]="O","Other", TRUE,"Unknown")</f>
        <v>Female</v>
      </c>
    </row>
    <row r="2362" spans="1:15" x14ac:dyDescent="0.4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_xlfn.IFS(orders[[#This Row],[Customer Gender]]="M","Male", orders[[#This Row],[Customer Gender]]="F","Female", orders[[#This Row],[Customer Gender]]="O","Other", TRUE,"Unknown")</f>
        <v>Male</v>
      </c>
    </row>
    <row r="2363" spans="1:15" x14ac:dyDescent="0.4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_xlfn.IFS(orders[[#This Row],[Customer Gender]]="M","Male", orders[[#This Row],[Customer Gender]]="F","Female", orders[[#This Row],[Customer Gender]]="O","Other", TRUE,"Unknown")</f>
        <v>Female</v>
      </c>
    </row>
    <row r="2364" spans="1:15" x14ac:dyDescent="0.4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_xlfn.IFS(orders[[#This Row],[Customer Gender]]="M","Male", orders[[#This Row],[Customer Gender]]="F","Female", orders[[#This Row],[Customer Gender]]="O","Other", TRUE,"Unknown")</f>
        <v>Female</v>
      </c>
    </row>
    <row r="2365" spans="1:15" x14ac:dyDescent="0.4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_xlfn.IFS(orders[[#This Row],[Customer Gender]]="M","Male", orders[[#This Row],[Customer Gender]]="F","Female", orders[[#This Row],[Customer Gender]]="O","Other", TRUE,"Unknown")</f>
        <v>Male</v>
      </c>
    </row>
    <row r="2366" spans="1:15" x14ac:dyDescent="0.4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_xlfn.IFS(orders[[#This Row],[Customer Gender]]="M","Male", orders[[#This Row],[Customer Gender]]="F","Female", orders[[#This Row],[Customer Gender]]="O","Other", TRUE,"Unknown")</f>
        <v>Male</v>
      </c>
    </row>
    <row r="2367" spans="1:15" x14ac:dyDescent="0.4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_xlfn.IFS(orders[[#This Row],[Customer Gender]]="M","Male", orders[[#This Row],[Customer Gender]]="F","Female", orders[[#This Row],[Customer Gender]]="O","Other", TRUE,"Unknown")</f>
        <v>Female</v>
      </c>
    </row>
    <row r="2368" spans="1:15" x14ac:dyDescent="0.4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_xlfn.IFS(orders[[#This Row],[Customer Gender]]="M","Male", orders[[#This Row],[Customer Gender]]="F","Female", orders[[#This Row],[Customer Gender]]="O","Other", TRUE,"Unknown")</f>
        <v>Male</v>
      </c>
    </row>
    <row r="2369" spans="1:15" x14ac:dyDescent="0.4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_xlfn.IFS(orders[[#This Row],[Customer Gender]]="M","Male", orders[[#This Row],[Customer Gender]]="F","Female", orders[[#This Row],[Customer Gender]]="O","Other", TRUE,"Unknown")</f>
        <v>Unknown</v>
      </c>
    </row>
    <row r="2370" spans="1:15" x14ac:dyDescent="0.4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_xlfn.IFS(orders[[#This Row],[Customer Gender]]="M","Male", orders[[#This Row],[Customer Gender]]="F","Female", orders[[#This Row],[Customer Gender]]="O","Other", TRUE,"Unknown")</f>
        <v>Male</v>
      </c>
    </row>
    <row r="2371" spans="1:15" x14ac:dyDescent="0.4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_xlfn.IFS(orders[[#This Row],[Customer Gender]]="M","Male", orders[[#This Row],[Customer Gender]]="F","Female", orders[[#This Row],[Customer Gender]]="O","Other", TRUE,"Unknown")</f>
        <v>Male</v>
      </c>
    </row>
    <row r="2372" spans="1:15" x14ac:dyDescent="0.4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_xlfn.IFS(orders[[#This Row],[Customer Gender]]="M","Male", orders[[#This Row],[Customer Gender]]="F","Female", orders[[#This Row],[Customer Gender]]="O","Other", TRUE,"Unknown")</f>
        <v>Female</v>
      </c>
    </row>
    <row r="2373" spans="1:15" x14ac:dyDescent="0.4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_xlfn.IFS(orders[[#This Row],[Customer Gender]]="M","Male", orders[[#This Row],[Customer Gender]]="F","Female", orders[[#This Row],[Customer Gender]]="O","Other", TRUE,"Unknown")</f>
        <v>Male</v>
      </c>
    </row>
    <row r="2374" spans="1:15" x14ac:dyDescent="0.4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_xlfn.IFS(orders[[#This Row],[Customer Gender]]="M","Male", orders[[#This Row],[Customer Gender]]="F","Female", orders[[#This Row],[Customer Gender]]="O","Other", TRUE,"Unknown")</f>
        <v>Female</v>
      </c>
    </row>
    <row r="2375" spans="1:15" x14ac:dyDescent="0.4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_xlfn.IFS(orders[[#This Row],[Customer Gender]]="M","Male", orders[[#This Row],[Customer Gender]]="F","Female", orders[[#This Row],[Customer Gender]]="O","Other", TRUE,"Unknown")</f>
        <v>Female</v>
      </c>
    </row>
    <row r="2376" spans="1:15" x14ac:dyDescent="0.4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_xlfn.IFS(orders[[#This Row],[Customer Gender]]="M","Male", orders[[#This Row],[Customer Gender]]="F","Female", orders[[#This Row],[Customer Gender]]="O","Other", TRUE,"Unknown")</f>
        <v>Male</v>
      </c>
    </row>
    <row r="2377" spans="1:15" x14ac:dyDescent="0.4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_xlfn.IFS(orders[[#This Row],[Customer Gender]]="M","Male", orders[[#This Row],[Customer Gender]]="F","Female", orders[[#This Row],[Customer Gender]]="O","Other", TRUE,"Unknown")</f>
        <v>Unknown</v>
      </c>
    </row>
    <row r="2378" spans="1:15" x14ac:dyDescent="0.4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_xlfn.IFS(orders[[#This Row],[Customer Gender]]="M","Male", orders[[#This Row],[Customer Gender]]="F","Female", orders[[#This Row],[Customer Gender]]="O","Other", TRUE,"Unknown")</f>
        <v>Female</v>
      </c>
    </row>
    <row r="2379" spans="1:15" x14ac:dyDescent="0.4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_xlfn.IFS(orders[[#This Row],[Customer Gender]]="M","Male", orders[[#This Row],[Customer Gender]]="F","Female", orders[[#This Row],[Customer Gender]]="O","Other", TRUE,"Unknown")</f>
        <v>Female</v>
      </c>
    </row>
    <row r="2380" spans="1:15" x14ac:dyDescent="0.4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_xlfn.IFS(orders[[#This Row],[Customer Gender]]="M","Male", orders[[#This Row],[Customer Gender]]="F","Female", orders[[#This Row],[Customer Gender]]="O","Other", TRUE,"Unknown")</f>
        <v>Female</v>
      </c>
    </row>
    <row r="2381" spans="1:15" x14ac:dyDescent="0.4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_xlfn.IFS(orders[[#This Row],[Customer Gender]]="M","Male", orders[[#This Row],[Customer Gender]]="F","Female", orders[[#This Row],[Customer Gender]]="O","Other", TRUE,"Unknown")</f>
        <v>Female</v>
      </c>
    </row>
    <row r="2382" spans="1:15" x14ac:dyDescent="0.4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_xlfn.IFS(orders[[#This Row],[Customer Gender]]="M","Male", orders[[#This Row],[Customer Gender]]="F","Female", orders[[#This Row],[Customer Gender]]="O","Other", TRUE,"Unknown")</f>
        <v>Female</v>
      </c>
    </row>
    <row r="2383" spans="1:15" x14ac:dyDescent="0.4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_xlfn.IFS(orders[[#This Row],[Customer Gender]]="M","Male", orders[[#This Row],[Customer Gender]]="F","Female", orders[[#This Row],[Customer Gender]]="O","Other", TRUE,"Unknown")</f>
        <v>Male</v>
      </c>
    </row>
    <row r="2384" spans="1:15" x14ac:dyDescent="0.4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_xlfn.IFS(orders[[#This Row],[Customer Gender]]="M","Male", orders[[#This Row],[Customer Gender]]="F","Female", orders[[#This Row],[Customer Gender]]="O","Other", TRUE,"Unknown")</f>
        <v>Unknown</v>
      </c>
    </row>
    <row r="2385" spans="1:15" x14ac:dyDescent="0.4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_xlfn.IFS(orders[[#This Row],[Customer Gender]]="M","Male", orders[[#This Row],[Customer Gender]]="F","Female", orders[[#This Row],[Customer Gender]]="O","Other", TRUE,"Unknown")</f>
        <v>Male</v>
      </c>
    </row>
    <row r="2386" spans="1:15" x14ac:dyDescent="0.4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_xlfn.IFS(orders[[#This Row],[Customer Gender]]="M","Male", orders[[#This Row],[Customer Gender]]="F","Female", orders[[#This Row],[Customer Gender]]="O","Other", TRUE,"Unknown")</f>
        <v>Male</v>
      </c>
    </row>
    <row r="2387" spans="1:15" x14ac:dyDescent="0.4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_xlfn.IFS(orders[[#This Row],[Customer Gender]]="M","Male", orders[[#This Row],[Customer Gender]]="F","Female", orders[[#This Row],[Customer Gender]]="O","Other", TRUE,"Unknown")</f>
        <v>Male</v>
      </c>
    </row>
    <row r="2388" spans="1:15" x14ac:dyDescent="0.4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_xlfn.IFS(orders[[#This Row],[Customer Gender]]="M","Male", orders[[#This Row],[Customer Gender]]="F","Female", orders[[#This Row],[Customer Gender]]="O","Other", TRUE,"Unknown")</f>
        <v>Female</v>
      </c>
    </row>
    <row r="2389" spans="1:15" x14ac:dyDescent="0.4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_xlfn.IFS(orders[[#This Row],[Customer Gender]]="M","Male", orders[[#This Row],[Customer Gender]]="F","Female", orders[[#This Row],[Customer Gender]]="O","Other", TRUE,"Unknown")</f>
        <v>Male</v>
      </c>
    </row>
    <row r="2390" spans="1:15" x14ac:dyDescent="0.4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_xlfn.IFS(orders[[#This Row],[Customer Gender]]="M","Male", orders[[#This Row],[Customer Gender]]="F","Female", orders[[#This Row],[Customer Gender]]="O","Other", TRUE,"Unknown")</f>
        <v>Male</v>
      </c>
    </row>
    <row r="2391" spans="1:15" x14ac:dyDescent="0.4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_xlfn.IFS(orders[[#This Row],[Customer Gender]]="M","Male", orders[[#This Row],[Customer Gender]]="F","Female", orders[[#This Row],[Customer Gender]]="O","Other", TRUE,"Unknown")</f>
        <v>Female</v>
      </c>
    </row>
    <row r="2392" spans="1:15" x14ac:dyDescent="0.4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_xlfn.IFS(orders[[#This Row],[Customer Gender]]="M","Male", orders[[#This Row],[Customer Gender]]="F","Female", orders[[#This Row],[Customer Gender]]="O","Other", TRUE,"Unknown")</f>
        <v>Female</v>
      </c>
    </row>
    <row r="2393" spans="1:15" x14ac:dyDescent="0.4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_xlfn.IFS(orders[[#This Row],[Customer Gender]]="M","Male", orders[[#This Row],[Customer Gender]]="F","Female", orders[[#This Row],[Customer Gender]]="O","Other", TRUE,"Unknown")</f>
        <v>Unknown</v>
      </c>
    </row>
    <row r="2394" spans="1:15" x14ac:dyDescent="0.4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_xlfn.IFS(orders[[#This Row],[Customer Gender]]="M","Male", orders[[#This Row],[Customer Gender]]="F","Female", orders[[#This Row],[Customer Gender]]="O","Other", TRUE,"Unknown")</f>
        <v>Male</v>
      </c>
    </row>
    <row r="2395" spans="1:15" x14ac:dyDescent="0.4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_xlfn.IFS(orders[[#This Row],[Customer Gender]]="M","Male", orders[[#This Row],[Customer Gender]]="F","Female", orders[[#This Row],[Customer Gender]]="O","Other", TRUE,"Unknown")</f>
        <v>Male</v>
      </c>
    </row>
    <row r="2396" spans="1:15" x14ac:dyDescent="0.4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_xlfn.IFS(orders[[#This Row],[Customer Gender]]="M","Male", orders[[#This Row],[Customer Gender]]="F","Female", orders[[#This Row],[Customer Gender]]="O","Other", TRUE,"Unknown")</f>
        <v>Male</v>
      </c>
    </row>
    <row r="2397" spans="1:15" x14ac:dyDescent="0.4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_xlfn.IFS(orders[[#This Row],[Customer Gender]]="M","Male", orders[[#This Row],[Customer Gender]]="F","Female", orders[[#This Row],[Customer Gender]]="O","Other", TRUE,"Unknown")</f>
        <v>Male</v>
      </c>
    </row>
    <row r="2398" spans="1:15" x14ac:dyDescent="0.4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_xlfn.IFS(orders[[#This Row],[Customer Gender]]="M","Male", orders[[#This Row],[Customer Gender]]="F","Female", orders[[#This Row],[Customer Gender]]="O","Other", TRUE,"Unknown")</f>
        <v>Male</v>
      </c>
    </row>
    <row r="2399" spans="1:15" x14ac:dyDescent="0.4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_xlfn.IFS(orders[[#This Row],[Customer Gender]]="M","Male", orders[[#This Row],[Customer Gender]]="F","Female", orders[[#This Row],[Customer Gender]]="O","Other", TRUE,"Unknown")</f>
        <v>Female</v>
      </c>
    </row>
    <row r="2400" spans="1:15" x14ac:dyDescent="0.4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_xlfn.IFS(orders[[#This Row],[Customer Gender]]="M","Male", orders[[#This Row],[Customer Gender]]="F","Female", orders[[#This Row],[Customer Gender]]="O","Other", TRUE,"Unknown")</f>
        <v>Female</v>
      </c>
    </row>
    <row r="2401" spans="1:15" x14ac:dyDescent="0.4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D23" sqref="D23"/>
    </sheetView>
  </sheetViews>
  <sheetFormatPr defaultRowHeight="14.25" x14ac:dyDescent="0.45"/>
  <cols>
    <col min="1" max="1" width="3.6640625" customWidth="1"/>
    <col min="2" max="2" width="52.796875" customWidth="1"/>
  </cols>
  <sheetData>
    <row r="2" spans="2:2" x14ac:dyDescent="0.45">
      <c r="B2" s="15" t="s">
        <v>2503</v>
      </c>
    </row>
    <row r="3" spans="2:2" x14ac:dyDescent="0.45">
      <c r="B3" s="3" t="s">
        <v>2504</v>
      </c>
    </row>
    <row r="4" spans="2:2" x14ac:dyDescent="0.45">
      <c r="B4" s="3" t="s">
        <v>2505</v>
      </c>
    </row>
    <row r="5" spans="2:2" x14ac:dyDescent="0.45">
      <c r="B5" s="3" t="s">
        <v>2506</v>
      </c>
    </row>
    <row r="6" spans="2:2" x14ac:dyDescent="0.45">
      <c r="B6" s="3" t="s">
        <v>2507</v>
      </c>
    </row>
    <row r="7" spans="2:2" x14ac:dyDescent="0.45">
      <c r="B7" s="3" t="s">
        <v>2508</v>
      </c>
    </row>
    <row r="10" spans="2:2" x14ac:dyDescent="0.45">
      <c r="B10" s="14" t="s">
        <v>2509</v>
      </c>
    </row>
    <row r="11" spans="2:2" x14ac:dyDescent="0.45">
      <c r="B11" t="s">
        <v>2510</v>
      </c>
    </row>
    <row r="12" spans="2:2" x14ac:dyDescent="0.45">
      <c r="B12" t="s">
        <v>2511</v>
      </c>
    </row>
    <row r="13" spans="2:2" x14ac:dyDescent="0.45">
      <c r="B13" t="s">
        <v>2512</v>
      </c>
    </row>
    <row r="14" spans="2:2" x14ac:dyDescent="0.45">
      <c r="B14" t="s">
        <v>2513</v>
      </c>
    </row>
    <row r="15" spans="2:2" x14ac:dyDescent="0.45">
      <c r="B15" t="s">
        <v>2514</v>
      </c>
    </row>
    <row r="16" spans="2:2" x14ac:dyDescent="0.45">
      <c r="B16" t="s">
        <v>2515</v>
      </c>
    </row>
    <row r="17" spans="2:2" x14ac:dyDescent="0.45">
      <c r="B17" t="s">
        <v>2516</v>
      </c>
    </row>
    <row r="18" spans="2:2" x14ac:dyDescent="0.45">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DashBoard</vt:lpstr>
      <vt:lpstr>matrix</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LAKSHMIPRIYA BODHANAPU</cp:lastModifiedBy>
  <dcterms:created xsi:type="dcterms:W3CDTF">2025-06-13T02:42:26Z</dcterms:created>
  <dcterms:modified xsi:type="dcterms:W3CDTF">2025-12-29T18:28:08Z</dcterms:modified>
</cp:coreProperties>
</file>